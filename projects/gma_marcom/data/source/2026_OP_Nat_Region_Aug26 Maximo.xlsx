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ceanusa-my.sharepoint.com/personal/dseymour_innoceanusa_com/Documents/Desktop/2026 Goals/Shared Files/Maximo Files/Master Pacing File/"/>
    </mc:Choice>
  </mc:AlternateContent>
  <xr:revisionPtr revIDLastSave="6313" documentId="8_{4A325587-8535-DC41-8550-F5B86FF314B1}" xr6:coauthVersionLast="47" xr6:coauthVersionMax="47" xr10:uidLastSave="{100F980C-6E88-0E4D-82DB-7D76DC9FE080}"/>
  <bookViews>
    <workbookView xWindow="-37900" yWindow="8760" windowWidth="38400" windowHeight="20240" firstSheet="4" activeTab="13" xr2:uid="{842CC431-760A-FF47-800A-397BD0AEFA81}"/>
  </bookViews>
  <sheets>
    <sheet name="Historic Data (Region)" sheetId="25" r:id="rId1"/>
    <sheet name="Region 2025 Data" sheetId="26" r:id="rId2"/>
    <sheet name="Goal Methodology" sheetId="24" r:id="rId3"/>
    <sheet name="Region OP Sales Goals" sheetId="28" r:id="rId4"/>
    <sheet name="Sales Goals" sheetId="5" r:id="rId5"/>
    <sheet name="Historic Data Weighted" sheetId="22" r:id="rId6"/>
    <sheet name="Historic Data" sheetId="3" r:id="rId7"/>
    <sheet name="Shop Goals" sheetId="14" r:id="rId8"/>
    <sheet name="Research Goals" sheetId="10" r:id="rId9"/>
    <sheet name="Consideration Goals" sheetId="19" r:id="rId10"/>
    <sheet name="HVA Goals No Ind Correlations" sheetId="6" state="hidden" r:id="rId11"/>
    <sheet name="Lead Goals" sheetId="11" r:id="rId12"/>
    <sheet name="MTD Actuals" sheetId="17" r:id="rId13"/>
    <sheet name="Aug26 OP Pace" sheetId="16" r:id="rId14"/>
    <sheet name="Sheet1" sheetId="32" r:id="rId15"/>
    <sheet name="Scorecard Charts" sheetId="30" r:id="rId16"/>
    <sheet name="Goals File Paste" sheetId="21" r:id="rId17"/>
    <sheet name="Site KPI Goals" sheetId="31" r:id="rId18"/>
    <sheet name="Region All Data + OP Goals" sheetId="27" r:id="rId19"/>
  </sheets>
  <definedNames>
    <definedName name="_AA4" hidden="1">{#N/A,#N/A,FALSE,"신규dep";#N/A,#N/A,FALSE,"신규dep-금형상각후";#N/A,#N/A,FALSE,"신규dep-연구비상각후";#N/A,#N/A,FALSE,"신규dep-기계,공구상각후"}</definedName>
    <definedName name="_d1" hidden="1">{#N/A,#N/A,FALSE,"신규dep";#N/A,#N/A,FALSE,"신규dep-금형상각후";#N/A,#N/A,FALSE,"신규dep-연구비상각후";#N/A,#N/A,FALSE,"신규dep-기계,공구상각후"}</definedName>
    <definedName name="_d2" hidden="1">{#N/A,#N/A,FALSE,"신규dep";#N/A,#N/A,FALSE,"신규dep-금형상각후";#N/A,#N/A,FALSE,"신규dep-연구비상각후";#N/A,#N/A,FALSE,"신규dep-기계,공구상각후"}</definedName>
    <definedName name="_e1" hidden="1">{#N/A,#N/A,FALSE,"단축1";#N/A,#N/A,FALSE,"단축2";#N/A,#N/A,FALSE,"단축3";#N/A,#N/A,FALSE,"장축";#N/A,#N/A,FALSE,"4WD"}</definedName>
    <definedName name="_e2" hidden="1">{#N/A,#N/A,FALSE,"단축1";#N/A,#N/A,FALSE,"단축2";#N/A,#N/A,FALSE,"단축3";#N/A,#N/A,FALSE,"장축";#N/A,#N/A,FALSE,"4WD"}</definedName>
    <definedName name="_e3" hidden="1">{#N/A,#N/A,FALSE,"단축1";#N/A,#N/A,FALSE,"단축2";#N/A,#N/A,FALSE,"단축3";#N/A,#N/A,FALSE,"장축";#N/A,#N/A,FALSE,"4WD"}</definedName>
    <definedName name="_e4" hidden="1">{#N/A,#N/A,FALSE,"단축1";#N/A,#N/A,FALSE,"단축2";#N/A,#N/A,FALSE,"단축3";#N/A,#N/A,FALSE,"장축";#N/A,#N/A,FALSE,"4WD"}</definedName>
    <definedName name="_e5" hidden="1">{#N/A,#N/A,FALSE,"단축1";#N/A,#N/A,FALSE,"단축2";#N/A,#N/A,FALSE,"단축3";#N/A,#N/A,FALSE,"장축";#N/A,#N/A,FALSE,"4WD"}</definedName>
    <definedName name="_e6" hidden="1">{#N/A,#N/A,FALSE,"단축1";#N/A,#N/A,FALSE,"단축2";#N/A,#N/A,FALSE,"단축3";#N/A,#N/A,FALSE,"장축";#N/A,#N/A,FALSE,"4WD"}</definedName>
    <definedName name="_e7" hidden="1">{#N/A,#N/A,FALSE,"신규dep";#N/A,#N/A,FALSE,"신규dep-금형상각후";#N/A,#N/A,FALSE,"신규dep-연구비상각후";#N/A,#N/A,FALSE,"신규dep-기계,공구상각후"}</definedName>
    <definedName name="_e9" hidden="1">{#N/A,#N/A,FALSE,"단축1";#N/A,#N/A,FALSE,"단축2";#N/A,#N/A,FALSE,"단축3";#N/A,#N/A,FALSE,"장축";#N/A,#N/A,FALSE,"4WD"}</definedName>
    <definedName name="_q1" hidden="1">{#N/A,#N/A,FALSE,"단축1";#N/A,#N/A,FALSE,"단축2";#N/A,#N/A,FALSE,"단축3";#N/A,#N/A,FALSE,"장축";#N/A,#N/A,FALSE,"4WD"}</definedName>
    <definedName name="_q3" hidden="1">{#N/A,#N/A,FALSE,"단축1";#N/A,#N/A,FALSE,"단축2";#N/A,#N/A,FALSE,"단축3";#N/A,#N/A,FALSE,"장축";#N/A,#N/A,FALSE,"4WD"}</definedName>
    <definedName name="_q5" hidden="1">{#N/A,#N/A,FALSE,"신규dep";#N/A,#N/A,FALSE,"신규dep-금형상각후";#N/A,#N/A,FALSE,"신규dep-연구비상각후";#N/A,#N/A,FALSE,"신규dep-기계,공구상각후"}</definedName>
    <definedName name="_q6" hidden="1">{#N/A,#N/A,FALSE,"신규dep";#N/A,#N/A,FALSE,"신규dep-금형상각후";#N/A,#N/A,FALSE,"신규dep-연구비상각후";#N/A,#N/A,FALSE,"신규dep-기계,공구상각후"}</definedName>
    <definedName name="_q7" hidden="1">{#N/A,#N/A,FALSE,"신규dep";#N/A,#N/A,FALSE,"신규dep-금형상각후";#N/A,#N/A,FALSE,"신규dep-연구비상각후";#N/A,#N/A,FALSE,"신규dep-기계,공구상각후"}</definedName>
    <definedName name="_q9" hidden="1">{#N/A,#N/A,FALSE,"신규dep";#N/A,#N/A,FALSE,"신규dep-금형상각후";#N/A,#N/A,FALSE,"신규dep-연구비상각후";#N/A,#N/A,FALSE,"신규dep-기계,공구상각후"}</definedName>
    <definedName name="_s1" hidden="1">{#N/A,#N/A,FALSE,"신규dep";#N/A,#N/A,FALSE,"신규dep-금형상각후";#N/A,#N/A,FALSE,"신규dep-연구비상각후";#N/A,#N/A,FALSE,"신규dep-기계,공구상각후"}</definedName>
    <definedName name="_s2" hidden="1">{#N/A,#N/A,FALSE,"신규dep";#N/A,#N/A,FALSE,"신규dep-금형상각후";#N/A,#N/A,FALSE,"신규dep-연구비상각후";#N/A,#N/A,FALSE,"신규dep-기계,공구상각후"}</definedName>
    <definedName name="_s3" hidden="1">{#N/A,#N/A,FALSE,"단축1";#N/A,#N/A,FALSE,"단축2";#N/A,#N/A,FALSE,"단축3";#N/A,#N/A,FALSE,"장축";#N/A,#N/A,FALSE,"4WD"}</definedName>
    <definedName name="_s4" hidden="1">{#N/A,#N/A,FALSE,"단축1";#N/A,#N/A,FALSE,"단축2";#N/A,#N/A,FALSE,"단축3";#N/A,#N/A,FALSE,"장축";#N/A,#N/A,FALSE,"4WD"}</definedName>
    <definedName name="_s5" hidden="1">{#N/A,#N/A,FALSE,"신규dep";#N/A,#N/A,FALSE,"신규dep-금형상각후";#N/A,#N/A,FALSE,"신규dep-연구비상각후";#N/A,#N/A,FALSE,"신규dep-기계,공구상각후"}</definedName>
    <definedName name="_s6" hidden="1">{#N/A,#N/A,FALSE,"신규dep";#N/A,#N/A,FALSE,"신규dep-금형상각후";#N/A,#N/A,FALSE,"신규dep-연구비상각후";#N/A,#N/A,FALSE,"신규dep-기계,공구상각후"}</definedName>
    <definedName name="_s7" hidden="1">{#N/A,#N/A,FALSE,"신규dep";#N/A,#N/A,FALSE,"신규dep-금형상각후";#N/A,#N/A,FALSE,"신규dep-연구비상각후";#N/A,#N/A,FALSE,"신규dep-기계,공구상각후"}</definedName>
    <definedName name="_s8" hidden="1">{#N/A,#N/A,FALSE,"신규dep";#N/A,#N/A,FALSE,"신규dep-금형상각후";#N/A,#N/A,FALSE,"신규dep-연구비상각후";#N/A,#N/A,FALSE,"신규dep-기계,공구상각후"}</definedName>
    <definedName name="_Sort" hidden="1">#REF!</definedName>
    <definedName name="_w1" hidden="1">{#N/A,#N/A,FALSE,"신규dep";#N/A,#N/A,FALSE,"신규dep-금형상각후";#N/A,#N/A,FALSE,"신규dep-연구비상각후";#N/A,#N/A,FALSE,"신규dep-기계,공구상각후"}</definedName>
    <definedName name="_w3" hidden="1">{#N/A,#N/A,FALSE,"신규dep";#N/A,#N/A,FALSE,"신규dep-금형상각후";#N/A,#N/A,FALSE,"신규dep-연구비상각후";#N/A,#N/A,FALSE,"신규dep-기계,공구상각후"}</definedName>
    <definedName name="_w4" hidden="1">{#N/A,#N/A,FALSE,"단축1";#N/A,#N/A,FALSE,"단축2";#N/A,#N/A,FALSE,"단축3";#N/A,#N/A,FALSE,"장축";#N/A,#N/A,FALSE,"4WD"}</definedName>
    <definedName name="_w5" hidden="1">{#N/A,#N/A,FALSE,"신규dep";#N/A,#N/A,FALSE,"신규dep-금형상각후";#N/A,#N/A,FALSE,"신규dep-연구비상각후";#N/A,#N/A,FALSE,"신규dep-기계,공구상각후"}</definedName>
    <definedName name="_x1" hidden="1">{#N/A,#N/A,FALSE,"단축1";#N/A,#N/A,FALSE,"단축2";#N/A,#N/A,FALSE,"단축3";#N/A,#N/A,FALSE,"장축";#N/A,#N/A,FALSE,"4WD"}</definedName>
    <definedName name="_x2" hidden="1">{#N/A,#N/A,FALSE,"단축1";#N/A,#N/A,FALSE,"단축2";#N/A,#N/A,FALSE,"단축3";#N/A,#N/A,FALSE,"장축";#N/A,#N/A,FALSE,"4WD"}</definedName>
    <definedName name="_z1" hidden="1">{#N/A,#N/A,FALSE,"단축1";#N/A,#N/A,FALSE,"단축2";#N/A,#N/A,FALSE,"단축3";#N/A,#N/A,FALSE,"장축";#N/A,#N/A,FALSE,"4WD"}</definedName>
    <definedName name="_z2" hidden="1">{#N/A,#N/A,FALSE,"단축1";#N/A,#N/A,FALSE,"단축2";#N/A,#N/A,FALSE,"단축3";#N/A,#N/A,FALSE,"장축";#N/A,#N/A,FALSE,"4WD"}</definedName>
    <definedName name="_z4" hidden="1">{#N/A,#N/A,FALSE,"단축1";#N/A,#N/A,FALSE,"단축2";#N/A,#N/A,FALSE,"단축3";#N/A,#N/A,FALSE,"장축";#N/A,#N/A,FALSE,"4WD"}</definedName>
    <definedName name="AA" hidden="1">{#N/A,#N/A,TRUE,"Y생산";#N/A,#N/A,TRUE,"Y판매";#N/A,#N/A,TRUE,"Y총물량";#N/A,#N/A,TRUE,"Y능력";#N/A,#N/A,TRUE,"YKD"}</definedName>
    <definedName name="AccessDatabase" hidden="1">"C:\생산판매\long98\9802장판원본.mdb"</definedName>
    <definedName name="ADI">#REF!</definedName>
    <definedName name="afklj" hidden="1">{#N/A,#N/A,FALSE,"96 3월물량표";#N/A,#N/A,FALSE,"96 4월물량표";#N/A,#N/A,FALSE,"96 5월물량표"}</definedName>
    <definedName name="as" hidden="1">{#N/A,#N/A,FALSE,"96 3월물량표";#N/A,#N/A,FALSE,"96 4월물량표";#N/A,#N/A,FALSE,"96 5월물량표"}</definedName>
    <definedName name="_xlnm.Database">#REF!</definedName>
    <definedName name="District">#REF!</definedName>
    <definedName name="EXPECT" hidden="1">{#N/A,#N/A,FALSE,"신규dep";#N/A,#N/A,FALSE,"신규dep-금형상각후";#N/A,#N/A,FALSE,"신규dep-연구비상각후";#N/A,#N/A,FALSE,"신규dep-기계,공구상각후"}</definedName>
    <definedName name="foranswer" hidden="1">{#N/A,#N/A,FALSE,"신규dep";#N/A,#N/A,FALSE,"신규dep-금형상각후";#N/A,#N/A,FALSE,"신규dep-연구비상각후";#N/A,#N/A,FALSE,"신규dep-기계,공구상각후"}</definedName>
    <definedName name="JAMIE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imberly" hidden="1">{#N/A,#N/A,FALSE,"신규dep";#N/A,#N/A,FALSE,"신규dep-금형상각후";#N/A,#N/A,FALSE,"신규dep-연구비상각후";#N/A,#N/A,FALSE,"신규dep-기계,공구상각후"}</definedName>
    <definedName name="OOO" hidden="1">{#N/A,#N/A,TRUE,"Y생산";#N/A,#N/A,TRUE,"Y판매";#N/A,#N/A,TRUE,"Y총물량";#N/A,#N/A,TRUE,"Y능력";#N/A,#N/A,TRUE,"YKD"}</definedName>
    <definedName name="pirnt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_xlnm.Print_Area">#REF!</definedName>
    <definedName name="QQQQ" hidden="1">{#N/A,#N/A,FALSE,"96 3월물량표";#N/A,#N/A,FALSE,"96 4월물량표";#N/A,#N/A,FALSE,"96 5월물량표"}</definedName>
    <definedName name="segment_lookup">#REF!</definedName>
    <definedName name="TEWR" hidden="1">{#N/A,#N/A,TRUE,"Y생산";#N/A,#N/A,TRUE,"Y판매";#N/A,#N/A,TRUE,"Y총물량";#N/A,#N/A,TRUE,"Y능력";#N/A,#N/A,TRUE,"YKD"}</definedName>
    <definedName name="wrn.345." hidden="1">{#N/A,#N/A,FALSE,"96 3월물량표";#N/A,#N/A,FALSE,"96 4월물량표";#N/A,#N/A,FALSE,"96 5월물량표"}</definedName>
    <definedName name="wrn.Y차._.종합." hidden="1">{#N/A,#N/A,TRUE,"Y생산";#N/A,#N/A,TRUE,"Y판매";#N/A,#N/A,TRUE,"Y총물량";#N/A,#N/A,TRUE,"Y능력";#N/A,#N/A,TRUE,"YKD"}</definedName>
    <definedName name="ㅁㅁ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옴ㄴ러ㅏㅇ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정수용" hidden="1">{#N/A,#N/A,TRUE,"Y생산";#N/A,#N/A,TRUE,"Y판매";#N/A,#N/A,TRUE,"Y총물량";#N/A,#N/A,TRUE,"Y능력";#N/A,#N/A,TRUE,"YKD"}</definedName>
    <definedName name="페이지1" hidden="1">{#N/A,#N/A,TRUE,"Y생산";#N/A,#N/A,TRUE,"Y판매";#N/A,#N/A,TRUE,"Y총물량";#N/A,#N/A,TRUE,"Y능력";#N/A,#N/A,TRUE,"YKD"}</definedName>
    <definedName name="홍" hidden="1">{#N/A,#N/A,FALSE,"96 3월물량표";#N/A,#N/A,FALSE,"96 4월물량표";#N/A,#N/A,FALSE,"96 5월물량표"}</definedName>
    <definedName name="ㅏㅏㅏ" hidden="1">{#N/A,#N/A,TRUE,"Y생산";#N/A,#N/A,TRUE,"Y판매";#N/A,#N/A,TRUE,"Y총물량";#N/A,#N/A,TRUE,"Y능력";#N/A,#N/A,TRUE,"YKD"}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16" l="1"/>
  <c r="B25" i="16"/>
  <c r="O35" i="5"/>
  <c r="EK69" i="3" l="1"/>
  <c r="EK70" i="3"/>
  <c r="G16" i="32"/>
  <c r="I13" i="32"/>
  <c r="H13" i="32"/>
  <c r="G13" i="32"/>
  <c r="H12" i="32"/>
  <c r="I12" i="32" s="1"/>
  <c r="G12" i="32"/>
  <c r="H23" i="32"/>
  <c r="I23" i="32" s="1"/>
  <c r="G23" i="32"/>
  <c r="I22" i="32"/>
  <c r="I21" i="32"/>
  <c r="I19" i="32"/>
  <c r="I18" i="32"/>
  <c r="I15" i="32"/>
  <c r="I11" i="32"/>
  <c r="H22" i="32"/>
  <c r="G22" i="32"/>
  <c r="H19" i="32"/>
  <c r="G19" i="32"/>
  <c r="H16" i="32"/>
  <c r="I16" i="32" s="1"/>
  <c r="K3" i="10"/>
  <c r="EJ70" i="3"/>
  <c r="EJ69" i="3"/>
  <c r="AT14" i="27"/>
  <c r="AT15" i="27"/>
  <c r="AT16" i="27"/>
  <c r="AT17" i="27"/>
  <c r="AT18" i="27"/>
  <c r="AT19" i="27"/>
  <c r="AT20" i="27"/>
  <c r="AT31" i="27" l="1"/>
  <c r="AT32" i="27"/>
  <c r="AT33" i="27"/>
  <c r="AT34" i="27"/>
  <c r="AT35" i="27"/>
  <c r="AT36" i="27"/>
  <c r="AT37" i="27"/>
  <c r="AS398" i="27"/>
  <c r="AS390" i="27"/>
  <c r="AS382" i="27"/>
  <c r="AS373" i="27"/>
  <c r="AS365" i="27"/>
  <c r="AS353" i="27"/>
  <c r="AS345" i="27"/>
  <c r="AS337" i="27"/>
  <c r="AS328" i="27"/>
  <c r="AS319" i="27" s="1"/>
  <c r="AS320" i="27"/>
  <c r="AS308" i="27"/>
  <c r="AS300" i="27"/>
  <c r="AS292" i="27"/>
  <c r="AS291" i="27"/>
  <c r="AS283" i="27"/>
  <c r="AS275" i="27"/>
  <c r="AS274" i="27" s="1"/>
  <c r="AS263" i="27"/>
  <c r="AS255" i="27"/>
  <c r="AS247" i="27"/>
  <c r="AS246" i="27" s="1"/>
  <c r="AS238" i="27"/>
  <c r="AS230" i="27"/>
  <c r="AS218" i="27"/>
  <c r="AS210" i="27"/>
  <c r="AS202" i="27"/>
  <c r="AS201" i="27" s="1"/>
  <c r="AS193" i="27"/>
  <c r="AS185" i="27"/>
  <c r="AS173" i="27"/>
  <c r="AS165" i="27"/>
  <c r="AS157" i="27"/>
  <c r="AS156" i="27" s="1"/>
  <c r="AS148" i="27"/>
  <c r="AS140" i="27"/>
  <c r="AS128" i="27"/>
  <c r="AS120" i="27"/>
  <c r="AS112" i="27"/>
  <c r="AS111" i="27"/>
  <c r="AS103" i="27"/>
  <c r="AS95" i="27"/>
  <c r="AS83" i="27"/>
  <c r="AS66" i="27" s="1"/>
  <c r="AS75" i="27"/>
  <c r="AS67" i="27"/>
  <c r="AS58" i="27"/>
  <c r="AS50" i="27"/>
  <c r="AS49" i="27"/>
  <c r="AS38" i="27"/>
  <c r="AS37" i="27"/>
  <c r="AS36" i="27"/>
  <c r="AS35" i="27"/>
  <c r="AS34" i="27"/>
  <c r="AS33" i="27"/>
  <c r="AS32" i="27"/>
  <c r="AS31" i="27"/>
  <c r="AS22" i="27"/>
  <c r="AS20" i="27"/>
  <c r="AS19" i="27"/>
  <c r="AS18" i="27"/>
  <c r="AS17" i="27"/>
  <c r="AS16" i="27"/>
  <c r="AS15" i="27"/>
  <c r="AS14" i="27"/>
  <c r="AS5" i="27"/>
  <c r="AS381" i="27" l="1"/>
  <c r="AS336" i="27"/>
  <c r="AS229" i="27"/>
  <c r="AS30" i="27"/>
  <c r="AS21" i="27" s="1"/>
  <c r="AS184" i="27"/>
  <c r="AS94" i="27"/>
  <c r="AS364" i="27"/>
  <c r="AS139" i="27"/>
  <c r="AS13" i="27"/>
  <c r="AS4" i="27" s="1"/>
  <c r="HR86" i="22"/>
  <c r="HA86" i="22"/>
  <c r="HP86" i="22" s="1"/>
  <c r="GS86" i="22"/>
  <c r="HU86" i="22" s="1"/>
  <c r="GT86" i="22"/>
  <c r="HY86" i="22" s="1"/>
  <c r="GU86" i="22"/>
  <c r="HT86" i="22" s="1"/>
  <c r="GV86" i="22"/>
  <c r="HV86" i="22" s="1"/>
  <c r="GW86" i="22"/>
  <c r="HX86" i="22" s="1"/>
  <c r="GX86" i="22"/>
  <c r="HS86" i="22" s="1"/>
  <c r="GY86" i="22"/>
  <c r="GZ86" i="22"/>
  <c r="HQ86" i="22" s="1"/>
  <c r="HD86" i="22"/>
  <c r="HE86" i="22"/>
  <c r="HF86" i="22"/>
  <c r="HG86" i="22"/>
  <c r="HH86" i="22"/>
  <c r="HI86" i="22"/>
  <c r="HJ86" i="22"/>
  <c r="HL86" i="22"/>
  <c r="HM86" i="22"/>
  <c r="EG86" i="22"/>
  <c r="DX86" i="22"/>
  <c r="DY86" i="22"/>
  <c r="DZ86" i="22"/>
  <c r="EA86" i="22"/>
  <c r="EB86" i="22"/>
  <c r="EC86" i="22"/>
  <c r="ED86" i="22"/>
  <c r="EF86" i="22"/>
  <c r="DU86" i="22"/>
  <c r="CZ86" i="22"/>
  <c r="DA86" i="22"/>
  <c r="DB86" i="22"/>
  <c r="DC86" i="22"/>
  <c r="DD86" i="22"/>
  <c r="DE86" i="22"/>
  <c r="DF86" i="22"/>
  <c r="DH86" i="22"/>
  <c r="DI86" i="22"/>
  <c r="DL86" i="22"/>
  <c r="DM86" i="22"/>
  <c r="DN86" i="22"/>
  <c r="DO86" i="22"/>
  <c r="DP86" i="22"/>
  <c r="DQ86" i="22"/>
  <c r="DR86" i="22"/>
  <c r="DT86" i="22"/>
  <c r="BX86" i="22"/>
  <c r="BM86" i="22"/>
  <c r="BP86" i="22"/>
  <c r="BQ86" i="22"/>
  <c r="BO86" i="22" s="1"/>
  <c r="BR86" i="22"/>
  <c r="BS86" i="22"/>
  <c r="BT86" i="22"/>
  <c r="BU86" i="22"/>
  <c r="BW86" i="22"/>
  <c r="CR63" i="22"/>
  <c r="HY63" i="22"/>
  <c r="HX63" i="22"/>
  <c r="HW63" i="22"/>
  <c r="HV63" i="22"/>
  <c r="HU63" i="22"/>
  <c r="HT63" i="22"/>
  <c r="HS63" i="22"/>
  <c r="HR63" i="22"/>
  <c r="HQ63" i="22"/>
  <c r="HP63" i="22"/>
  <c r="HM63" i="22"/>
  <c r="HL63" i="22"/>
  <c r="HK63" i="22"/>
  <c r="HJ63" i="22"/>
  <c r="HI63" i="22"/>
  <c r="HH63" i="22"/>
  <c r="HG63" i="22"/>
  <c r="HF63" i="22"/>
  <c r="HE63" i="22"/>
  <c r="HD63" i="22"/>
  <c r="CW63" i="22"/>
  <c r="CV63" i="22"/>
  <c r="CU63" i="22"/>
  <c r="CT63" i="22"/>
  <c r="CS63" i="22"/>
  <c r="CQ63" i="22"/>
  <c r="CP63" i="22"/>
  <c r="CO63" i="22"/>
  <c r="CN63" i="22"/>
  <c r="BO63" i="22"/>
  <c r="BK63" i="22" s="1"/>
  <c r="T63" i="22"/>
  <c r="X63" i="22" s="1"/>
  <c r="H63" i="22"/>
  <c r="L63" i="22" s="1"/>
  <c r="HP65" i="3"/>
  <c r="BM85" i="22" l="1"/>
  <c r="BO65" i="3"/>
  <c r="HQ65" i="3"/>
  <c r="HR65" i="3"/>
  <c r="HS65" i="3"/>
  <c r="HT65" i="3"/>
  <c r="HU65" i="3"/>
  <c r="HV65" i="3"/>
  <c r="HW65" i="3"/>
  <c r="HX65" i="3"/>
  <c r="HY65" i="3"/>
  <c r="HD65" i="3"/>
  <c r="HE65" i="3"/>
  <c r="HF65" i="3"/>
  <c r="HG65" i="3"/>
  <c r="HH65" i="3"/>
  <c r="HI65" i="3"/>
  <c r="HJ65" i="3"/>
  <c r="HK65" i="3"/>
  <c r="HL65" i="3"/>
  <c r="HM65" i="3"/>
  <c r="CN65" i="3"/>
  <c r="CO65" i="3"/>
  <c r="CP65" i="3"/>
  <c r="CQ65" i="3"/>
  <c r="CR65" i="3"/>
  <c r="CS65" i="3"/>
  <c r="CT65" i="3"/>
  <c r="CU65" i="3"/>
  <c r="CV65" i="3"/>
  <c r="CW65" i="3"/>
  <c r="CN66" i="3"/>
  <c r="CO66" i="3"/>
  <c r="CP66" i="3"/>
  <c r="CQ66" i="3"/>
  <c r="CR66" i="3"/>
  <c r="CS66" i="3"/>
  <c r="CT66" i="3"/>
  <c r="CU66" i="3"/>
  <c r="CV66" i="3"/>
  <c r="CW66" i="3"/>
  <c r="BK65" i="3"/>
  <c r="BK66" i="3"/>
  <c r="T65" i="3"/>
  <c r="X65" i="3" s="1"/>
  <c r="H65" i="3"/>
  <c r="L65" i="3" s="1"/>
  <c r="O45" i="5" l="1"/>
  <c r="O44" i="5"/>
  <c r="O43" i="5"/>
  <c r="O42" i="5"/>
  <c r="O41" i="5"/>
  <c r="O40" i="5"/>
  <c r="O39" i="5"/>
  <c r="O38" i="5"/>
  <c r="O37" i="5"/>
  <c r="O36" i="5"/>
  <c r="O34" i="5"/>
  <c r="B24" i="16" l="1"/>
  <c r="B29" i="16"/>
  <c r="C29" i="16" s="1"/>
  <c r="E5" i="27" l="1"/>
  <c r="HP64" i="3" l="1"/>
  <c r="HQ64" i="3"/>
  <c r="HR64" i="3"/>
  <c r="HS64" i="3"/>
  <c r="HT64" i="3"/>
  <c r="HU64" i="3"/>
  <c r="HV64" i="3"/>
  <c r="HW64" i="3"/>
  <c r="HX64" i="3"/>
  <c r="HY64" i="3"/>
  <c r="HD64" i="3"/>
  <c r="HE64" i="3"/>
  <c r="HF64" i="3"/>
  <c r="HG64" i="3"/>
  <c r="HH64" i="3"/>
  <c r="HI64" i="3"/>
  <c r="HJ64" i="3"/>
  <c r="HK64" i="3"/>
  <c r="HL64" i="3"/>
  <c r="HM64" i="3"/>
  <c r="HA59" i="22"/>
  <c r="HA61" i="3"/>
  <c r="AR128" i="27" l="1"/>
  <c r="AR83" i="27"/>
  <c r="AR398" i="27"/>
  <c r="AQ398" i="27"/>
  <c r="AR390" i="27"/>
  <c r="AQ390" i="27"/>
  <c r="AR382" i="27"/>
  <c r="AQ382" i="27"/>
  <c r="AQ381" i="27" s="1"/>
  <c r="AR373" i="27"/>
  <c r="AQ373" i="27"/>
  <c r="AQ364" i="27" s="1"/>
  <c r="AR365" i="27"/>
  <c r="AQ365" i="27"/>
  <c r="AR353" i="27"/>
  <c r="AQ353" i="27"/>
  <c r="AR345" i="27"/>
  <c r="AQ345" i="27"/>
  <c r="AR337" i="27"/>
  <c r="AQ337" i="27"/>
  <c r="AQ336" i="27" s="1"/>
  <c r="AR328" i="27"/>
  <c r="AQ328" i="27"/>
  <c r="AR320" i="27"/>
  <c r="AQ320" i="27"/>
  <c r="AQ319" i="27" s="1"/>
  <c r="AR308" i="27"/>
  <c r="AQ308" i="27"/>
  <c r="AR300" i="27"/>
  <c r="AQ300" i="27"/>
  <c r="AQ291" i="27" s="1"/>
  <c r="AR292" i="27"/>
  <c r="AQ292" i="27"/>
  <c r="AR283" i="27"/>
  <c r="AQ283" i="27"/>
  <c r="AQ274" i="27" s="1"/>
  <c r="AR275" i="27"/>
  <c r="AQ275" i="27"/>
  <c r="AR263" i="27"/>
  <c r="AQ263" i="27"/>
  <c r="AQ246" i="27" s="1"/>
  <c r="AR255" i="27"/>
  <c r="AQ255" i="27"/>
  <c r="AR247" i="27"/>
  <c r="AQ247" i="27"/>
  <c r="AR238" i="27"/>
  <c r="AQ238" i="27"/>
  <c r="AR230" i="27"/>
  <c r="AQ230" i="27"/>
  <c r="AQ229" i="27" s="1"/>
  <c r="AR218" i="27"/>
  <c r="AQ218" i="27"/>
  <c r="AR210" i="27"/>
  <c r="AQ210" i="27"/>
  <c r="AR202" i="27"/>
  <c r="AQ202" i="27"/>
  <c r="AQ201" i="27"/>
  <c r="AR193" i="27"/>
  <c r="AQ193" i="27"/>
  <c r="AR185" i="27"/>
  <c r="AQ185" i="27"/>
  <c r="AQ184" i="27" s="1"/>
  <c r="AR173" i="27"/>
  <c r="AQ173" i="27"/>
  <c r="AR165" i="27"/>
  <c r="AQ165" i="27"/>
  <c r="AR157" i="27"/>
  <c r="AQ157" i="27"/>
  <c r="AQ156" i="27" s="1"/>
  <c r="AR148" i="27"/>
  <c r="AQ148" i="27"/>
  <c r="AQ139" i="27" s="1"/>
  <c r="AR140" i="27"/>
  <c r="AQ140" i="27"/>
  <c r="AQ95" i="27"/>
  <c r="AQ94" i="27" s="1"/>
  <c r="AR95" i="27"/>
  <c r="AQ103" i="27"/>
  <c r="AR103" i="27"/>
  <c r="AQ112" i="27"/>
  <c r="AQ111" i="27" s="1"/>
  <c r="AR112" i="27"/>
  <c r="AQ120" i="27"/>
  <c r="AR120" i="27"/>
  <c r="AQ128" i="27"/>
  <c r="AQ83" i="27"/>
  <c r="AR75" i="27"/>
  <c r="AQ75" i="27"/>
  <c r="AR67" i="27"/>
  <c r="AQ67" i="27"/>
  <c r="AQ66" i="27" s="1"/>
  <c r="AR58" i="27"/>
  <c r="AQ58" i="27"/>
  <c r="AQ49" i="27" s="1"/>
  <c r="AR50" i="27"/>
  <c r="AQ50" i="27"/>
  <c r="AR38" i="27"/>
  <c r="AQ38" i="27"/>
  <c r="AR37" i="27"/>
  <c r="AQ37" i="27"/>
  <c r="AR36" i="27"/>
  <c r="AQ36" i="27"/>
  <c r="AR35" i="27"/>
  <c r="AQ35" i="27"/>
  <c r="AR34" i="27"/>
  <c r="AQ34" i="27"/>
  <c r="AR33" i="27"/>
  <c r="AQ33" i="27"/>
  <c r="AR32" i="27"/>
  <c r="AQ32" i="27"/>
  <c r="AR31" i="27"/>
  <c r="AQ31" i="27"/>
  <c r="AR22" i="27"/>
  <c r="AQ22" i="27"/>
  <c r="AR20" i="27"/>
  <c r="AQ20" i="27"/>
  <c r="AR19" i="27"/>
  <c r="AQ19" i="27"/>
  <c r="AR18" i="27"/>
  <c r="AQ18" i="27"/>
  <c r="AR17" i="27"/>
  <c r="AQ17" i="27"/>
  <c r="AR16" i="27"/>
  <c r="AQ16" i="27"/>
  <c r="AR15" i="27"/>
  <c r="AQ15" i="27"/>
  <c r="AR14" i="27"/>
  <c r="AQ14" i="27"/>
  <c r="AR5" i="27"/>
  <c r="AQ5" i="27"/>
  <c r="AR229" i="27" l="1"/>
  <c r="AR364" i="27"/>
  <c r="AR319" i="27"/>
  <c r="AR94" i="27"/>
  <c r="AR274" i="27"/>
  <c r="AR184" i="27"/>
  <c r="AR139" i="27"/>
  <c r="AR49" i="27"/>
  <c r="AR156" i="27"/>
  <c r="AR111" i="27"/>
  <c r="AR381" i="27"/>
  <c r="AR336" i="27"/>
  <c r="AR246" i="27"/>
  <c r="AR201" i="27"/>
  <c r="AR291" i="27"/>
  <c r="AR66" i="27"/>
  <c r="AR13" i="27"/>
  <c r="AR4" i="27" s="1"/>
  <c r="AQ13" i="27"/>
  <c r="AQ30" i="27"/>
  <c r="AR30" i="27"/>
  <c r="AR21" i="27" s="1"/>
  <c r="AQ21" i="27"/>
  <c r="AQ4" i="27"/>
  <c r="AC22" i="16"/>
  <c r="AD22" i="16"/>
  <c r="AC23" i="16"/>
  <c r="AD23" i="16"/>
  <c r="AC24" i="16"/>
  <c r="AD24" i="16"/>
  <c r="AC25" i="16"/>
  <c r="AD25" i="16"/>
  <c r="AC26" i="16"/>
  <c r="AD26" i="16"/>
  <c r="AC27" i="16"/>
  <c r="AD27" i="16"/>
  <c r="AC28" i="16"/>
  <c r="AD28" i="16"/>
  <c r="AC29" i="16"/>
  <c r="AD29" i="16"/>
  <c r="AC30" i="16"/>
  <c r="AD30" i="16"/>
  <c r="AC31" i="16"/>
  <c r="AD31" i="16"/>
  <c r="AD21" i="16"/>
  <c r="AC21" i="16"/>
  <c r="GS84" i="22" l="1"/>
  <c r="GT84" i="22"/>
  <c r="GU84" i="22"/>
  <c r="GV84" i="22"/>
  <c r="GW84" i="22"/>
  <c r="GX84" i="22"/>
  <c r="GY84" i="22"/>
  <c r="HR84" i="22" s="1"/>
  <c r="GZ84" i="22"/>
  <c r="HA84" i="22"/>
  <c r="GS85" i="22"/>
  <c r="HU85" i="22" s="1"/>
  <c r="GT85" i="22"/>
  <c r="GU85" i="22"/>
  <c r="GV85" i="22"/>
  <c r="GW85" i="22"/>
  <c r="GX85" i="22"/>
  <c r="GY85" i="22"/>
  <c r="GZ85" i="22"/>
  <c r="HA85" i="22"/>
  <c r="HP85" i="22" s="1"/>
  <c r="CZ85" i="22"/>
  <c r="DA85" i="22"/>
  <c r="HE85" i="22" s="1"/>
  <c r="DB85" i="22"/>
  <c r="DC85" i="22"/>
  <c r="DD85" i="22"/>
  <c r="DE85" i="22"/>
  <c r="DF85" i="22"/>
  <c r="DH85" i="22"/>
  <c r="DI85" i="22"/>
  <c r="DL85" i="22"/>
  <c r="DM85" i="22"/>
  <c r="DN85" i="22"/>
  <c r="DO85" i="22"/>
  <c r="DP85" i="22"/>
  <c r="DQ85" i="22"/>
  <c r="DR85" i="22"/>
  <c r="DT85" i="22"/>
  <c r="DU85" i="22"/>
  <c r="DX85" i="22"/>
  <c r="DY85" i="22"/>
  <c r="DZ85" i="22"/>
  <c r="EA85" i="22"/>
  <c r="EB85" i="22"/>
  <c r="EC85" i="22"/>
  <c r="ED85" i="22"/>
  <c r="HV85" i="22" s="1"/>
  <c r="EF85" i="22"/>
  <c r="EG85" i="22"/>
  <c r="CZ84" i="22"/>
  <c r="DA84" i="22"/>
  <c r="DB84" i="22"/>
  <c r="DC84" i="22"/>
  <c r="HG84" i="22" s="1"/>
  <c r="DD84" i="22"/>
  <c r="DE84" i="22"/>
  <c r="DF84" i="22"/>
  <c r="DH84" i="22"/>
  <c r="DI84" i="22"/>
  <c r="DL84" i="22"/>
  <c r="DM84" i="22"/>
  <c r="DN84" i="22"/>
  <c r="DO84" i="22"/>
  <c r="DP84" i="22"/>
  <c r="DQ84" i="22"/>
  <c r="DR84" i="22"/>
  <c r="DT84" i="22"/>
  <c r="DU84" i="22"/>
  <c r="DX84" i="22"/>
  <c r="DY84" i="22"/>
  <c r="DZ84" i="22"/>
  <c r="EA84" i="22"/>
  <c r="EB84" i="22"/>
  <c r="HT84" i="22" s="1"/>
  <c r="EC84" i="22"/>
  <c r="ED84" i="22"/>
  <c r="HV84" i="22" s="1"/>
  <c r="EF84" i="22"/>
  <c r="EG84" i="22"/>
  <c r="HY84" i="22" s="1"/>
  <c r="BM84" i="22"/>
  <c r="BP84" i="22"/>
  <c r="BQ84" i="22"/>
  <c r="BR84" i="22"/>
  <c r="BS84" i="22"/>
  <c r="BT84" i="22"/>
  <c r="BU84" i="22"/>
  <c r="BW84" i="22"/>
  <c r="BX84" i="22"/>
  <c r="BP85" i="22"/>
  <c r="BQ85" i="22"/>
  <c r="BR85" i="22"/>
  <c r="BS85" i="22"/>
  <c r="HH85" i="22" s="1"/>
  <c r="BT85" i="22"/>
  <c r="HI85" i="22" s="1"/>
  <c r="BU85" i="22"/>
  <c r="HJ85" i="22" s="1"/>
  <c r="BW85" i="22"/>
  <c r="HL85" i="22" s="1"/>
  <c r="BX85" i="22"/>
  <c r="HY62" i="22"/>
  <c r="HX62" i="22"/>
  <c r="HW62" i="22"/>
  <c r="HV62" i="22"/>
  <c r="HU62" i="22"/>
  <c r="HT62" i="22"/>
  <c r="HS62" i="22"/>
  <c r="HR62" i="22"/>
  <c r="HQ62" i="22"/>
  <c r="HP62" i="22"/>
  <c r="HM62" i="22"/>
  <c r="HL62" i="22"/>
  <c r="HK62" i="22"/>
  <c r="HJ62" i="22"/>
  <c r="HI62" i="22"/>
  <c r="HH62" i="22"/>
  <c r="HG62" i="22"/>
  <c r="HF62" i="22"/>
  <c r="HE62" i="22"/>
  <c r="HD62" i="22"/>
  <c r="CW62" i="22"/>
  <c r="CV62" i="22"/>
  <c r="CU62" i="22"/>
  <c r="CT62" i="22"/>
  <c r="CS62" i="22"/>
  <c r="CR62" i="22"/>
  <c r="CQ62" i="22"/>
  <c r="CP62" i="22"/>
  <c r="CO62" i="22"/>
  <c r="CN62" i="22"/>
  <c r="BO62" i="22"/>
  <c r="BK62" i="22" s="1"/>
  <c r="X62" i="22"/>
  <c r="L62" i="22"/>
  <c r="CK5" i="22"/>
  <c r="CJ5" i="22"/>
  <c r="CI5" i="22"/>
  <c r="CH5" i="22"/>
  <c r="CG5" i="22"/>
  <c r="CF5" i="22"/>
  <c r="CE5" i="22"/>
  <c r="CD5" i="22"/>
  <c r="CC5" i="22"/>
  <c r="CB5" i="22"/>
  <c r="CK4" i="22"/>
  <c r="CJ4" i="22"/>
  <c r="CI4" i="22"/>
  <c r="CH4" i="22"/>
  <c r="CG4" i="22"/>
  <c r="CF4" i="22"/>
  <c r="CE4" i="22"/>
  <c r="CD4" i="22"/>
  <c r="CC4" i="22"/>
  <c r="CB4" i="22"/>
  <c r="CK3" i="22"/>
  <c r="CJ3" i="22"/>
  <c r="CI3" i="22"/>
  <c r="CH3" i="22"/>
  <c r="CG3" i="22"/>
  <c r="CF3" i="22"/>
  <c r="CE3" i="22"/>
  <c r="CD3" i="22"/>
  <c r="CC3" i="22"/>
  <c r="CB3" i="22"/>
  <c r="CW64" i="3"/>
  <c r="CV64" i="3"/>
  <c r="CU64" i="3"/>
  <c r="CT64" i="3"/>
  <c r="CS64" i="3"/>
  <c r="CR64" i="3"/>
  <c r="CQ64" i="3"/>
  <c r="CP64" i="3"/>
  <c r="CO64" i="3"/>
  <c r="CN64" i="3"/>
  <c r="BO64" i="3"/>
  <c r="BK64" i="3" s="1"/>
  <c r="X64" i="3"/>
  <c r="L64" i="3"/>
  <c r="HD85" i="22" l="1"/>
  <c r="HM85" i="22"/>
  <c r="HG85" i="22"/>
  <c r="HT85" i="22"/>
  <c r="HF85" i="22"/>
  <c r="HQ85" i="22"/>
  <c r="HD84" i="22"/>
  <c r="HS85" i="22"/>
  <c r="HR85" i="22"/>
  <c r="HX85" i="22"/>
  <c r="HE84" i="22"/>
  <c r="BO85" i="22"/>
  <c r="HY85" i="22"/>
  <c r="HU84" i="22"/>
  <c r="HS84" i="22"/>
  <c r="HP84" i="22"/>
  <c r="HQ84" i="22"/>
  <c r="HX84" i="22"/>
  <c r="HF84" i="22"/>
  <c r="HL84" i="22"/>
  <c r="HJ84" i="22"/>
  <c r="HI84" i="22"/>
  <c r="HH84" i="22"/>
  <c r="HM84" i="22"/>
  <c r="BO84" i="22"/>
  <c r="AA20" i="5" l="1"/>
  <c r="AA21" i="5"/>
  <c r="AA22" i="5"/>
  <c r="AA23" i="5"/>
  <c r="AA24" i="5"/>
  <c r="AA25" i="5"/>
  <c r="AA26" i="5"/>
  <c r="AA27" i="5"/>
  <c r="AA28" i="5"/>
  <c r="AA29" i="5"/>
  <c r="AA30" i="5"/>
  <c r="AA19" i="5"/>
  <c r="Z20" i="5"/>
  <c r="Z21" i="5"/>
  <c r="Z22" i="5"/>
  <c r="Z23" i="5"/>
  <c r="Z24" i="5"/>
  <c r="Z25" i="5"/>
  <c r="Z26" i="5"/>
  <c r="Z27" i="5"/>
  <c r="Z28" i="5"/>
  <c r="Z29" i="5"/>
  <c r="Z30" i="5"/>
  <c r="Z19" i="5"/>
  <c r="O30" i="5"/>
  <c r="O19" i="5"/>
  <c r="O20" i="5"/>
  <c r="O21" i="5"/>
  <c r="O22" i="5"/>
  <c r="O23" i="5"/>
  <c r="O24" i="5"/>
  <c r="O25" i="5"/>
  <c r="O26" i="5"/>
  <c r="O27" i="5"/>
  <c r="O28" i="5"/>
  <c r="O29" i="5"/>
  <c r="O60" i="5"/>
  <c r="O59" i="5"/>
  <c r="O58" i="5"/>
  <c r="O57" i="5"/>
  <c r="O56" i="5"/>
  <c r="O55" i="5"/>
  <c r="O54" i="5"/>
  <c r="O53" i="5"/>
  <c r="O52" i="5"/>
  <c r="O51" i="5"/>
  <c r="O50" i="5"/>
  <c r="O49" i="5"/>
  <c r="B72" i="16"/>
  <c r="K125" i="14" l="1"/>
  <c r="K123" i="14"/>
  <c r="B71" i="16" l="1"/>
  <c r="B43" i="16"/>
  <c r="AO7" i="3"/>
  <c r="BD8" i="27" l="1"/>
  <c r="U7" i="3" l="1"/>
  <c r="HY61" i="22" l="1"/>
  <c r="HX61" i="22"/>
  <c r="HW61" i="22"/>
  <c r="HV61" i="22"/>
  <c r="HU61" i="22"/>
  <c r="HT61" i="22"/>
  <c r="HS61" i="22"/>
  <c r="HR61" i="22"/>
  <c r="HQ61" i="22"/>
  <c r="HP61" i="22"/>
  <c r="HM61" i="22"/>
  <c r="HL61" i="22"/>
  <c r="HK61" i="22"/>
  <c r="HJ61" i="22"/>
  <c r="HI61" i="22"/>
  <c r="HH61" i="22"/>
  <c r="HG61" i="22"/>
  <c r="HF61" i="22"/>
  <c r="HE61" i="22"/>
  <c r="HD61" i="22"/>
  <c r="CW61" i="22"/>
  <c r="CV61" i="22"/>
  <c r="CU61" i="22"/>
  <c r="CT61" i="22"/>
  <c r="CS61" i="22"/>
  <c r="CR61" i="22"/>
  <c r="CQ61" i="22"/>
  <c r="CP61" i="22"/>
  <c r="CO61" i="22"/>
  <c r="CN61" i="22"/>
  <c r="BO61" i="22"/>
  <c r="BK61" i="22" s="1"/>
  <c r="X61" i="22"/>
  <c r="L61" i="22"/>
  <c r="HP63" i="3"/>
  <c r="HY63" i="3"/>
  <c r="HX63" i="3"/>
  <c r="HW63" i="3"/>
  <c r="HV63" i="3"/>
  <c r="HU63" i="3"/>
  <c r="HT63" i="3"/>
  <c r="HS63" i="3"/>
  <c r="HR63" i="3"/>
  <c r="HQ63" i="3"/>
  <c r="HM63" i="3"/>
  <c r="HL63" i="3"/>
  <c r="HK63" i="3"/>
  <c r="HJ63" i="3"/>
  <c r="HI63" i="3"/>
  <c r="HH63" i="3"/>
  <c r="HG63" i="3"/>
  <c r="HF63" i="3"/>
  <c r="HE63" i="3"/>
  <c r="HD63" i="3"/>
  <c r="CW63" i="3"/>
  <c r="CV63" i="3"/>
  <c r="CU63" i="3"/>
  <c r="CT63" i="3"/>
  <c r="CS63" i="3"/>
  <c r="CR63" i="3"/>
  <c r="CQ63" i="3"/>
  <c r="CP63" i="3"/>
  <c r="CO63" i="3"/>
  <c r="CN63" i="3"/>
  <c r="BO63" i="3"/>
  <c r="BK63" i="3"/>
  <c r="X63" i="3"/>
  <c r="L63" i="3"/>
  <c r="O75" i="5"/>
  <c r="O74" i="5"/>
  <c r="O73" i="5"/>
  <c r="O72" i="5"/>
  <c r="O71" i="5"/>
  <c r="O70" i="5"/>
  <c r="O69" i="5"/>
  <c r="O68" i="5"/>
  <c r="O67" i="5"/>
  <c r="O66" i="5"/>
  <c r="O65" i="5"/>
  <c r="O64" i="5"/>
  <c r="CQ51" i="3"/>
  <c r="DO7" i="3" l="1"/>
  <c r="G84" i="14" s="1"/>
  <c r="GR7" i="3" l="1"/>
  <c r="GR6" i="3"/>
  <c r="AP398" i="27"/>
  <c r="AP390" i="27"/>
  <c r="AP382" i="27"/>
  <c r="AP381" i="27"/>
  <c r="AP373" i="27"/>
  <c r="AP364" i="27" s="1"/>
  <c r="AP365" i="27"/>
  <c r="AP353" i="27"/>
  <c r="AP345" i="27"/>
  <c r="AP337" i="27"/>
  <c r="AP336" i="27" s="1"/>
  <c r="AP328" i="27"/>
  <c r="AP320" i="27"/>
  <c r="AP319" i="27"/>
  <c r="AP308" i="27"/>
  <c r="AP300" i="27"/>
  <c r="AP292" i="27"/>
  <c r="AP291" i="27" s="1"/>
  <c r="AP283" i="27"/>
  <c r="AP275" i="27"/>
  <c r="AP274" i="27" s="1"/>
  <c r="AP263" i="27"/>
  <c r="AP255" i="27"/>
  <c r="AP247" i="27"/>
  <c r="AP246" i="27"/>
  <c r="AP238" i="27"/>
  <c r="AP230" i="27"/>
  <c r="AP229" i="27" s="1"/>
  <c r="AP218" i="27"/>
  <c r="AP210" i="27"/>
  <c r="AP201" i="27" s="1"/>
  <c r="AP202" i="27"/>
  <c r="AP193" i="27"/>
  <c r="AP185" i="27"/>
  <c r="AP184" i="27"/>
  <c r="AP173" i="27"/>
  <c r="AP165" i="27"/>
  <c r="AP157" i="27"/>
  <c r="AP156" i="27"/>
  <c r="AP148" i="27"/>
  <c r="AP139" i="27" s="1"/>
  <c r="AP140" i="27"/>
  <c r="AP128" i="27"/>
  <c r="AP120" i="27"/>
  <c r="AP112" i="27"/>
  <c r="AP111" i="27" s="1"/>
  <c r="AP103" i="27"/>
  <c r="AP95" i="27"/>
  <c r="AP94" i="27"/>
  <c r="AP83" i="27"/>
  <c r="AP75" i="27"/>
  <c r="AP67" i="27"/>
  <c r="AP66" i="27" s="1"/>
  <c r="AP58" i="27"/>
  <c r="AP50" i="27"/>
  <c r="AP49" i="27" s="1"/>
  <c r="AP38" i="27"/>
  <c r="AP37" i="27"/>
  <c r="AP36" i="27"/>
  <c r="AP35" i="27"/>
  <c r="AP34" i="27"/>
  <c r="AP33" i="27"/>
  <c r="AP32" i="27"/>
  <c r="AP31" i="27"/>
  <c r="AP30" i="27"/>
  <c r="AP21" i="27" s="1"/>
  <c r="AP22" i="27"/>
  <c r="AP20" i="27"/>
  <c r="AP19" i="27"/>
  <c r="AP18" i="27"/>
  <c r="AP13" i="27" s="1"/>
  <c r="AP4" i="27" s="1"/>
  <c r="AP17" i="27"/>
  <c r="AP16" i="27"/>
  <c r="AP15" i="27"/>
  <c r="AP14" i="27"/>
  <c r="AP5" i="27"/>
  <c r="HE57" i="3" l="1"/>
  <c r="HP47" i="3" l="1"/>
  <c r="HD62" i="3"/>
  <c r="HQ61" i="3" l="1"/>
  <c r="GS83" i="22" l="1"/>
  <c r="GT83" i="22"/>
  <c r="GU83" i="22"/>
  <c r="GV83" i="22"/>
  <c r="GW83" i="22"/>
  <c r="GX83" i="22"/>
  <c r="HS83" i="22" s="1"/>
  <c r="GY83" i="22"/>
  <c r="GZ83" i="22"/>
  <c r="HA83" i="22"/>
  <c r="DX83" i="22"/>
  <c r="DY83" i="22"/>
  <c r="DZ83" i="22"/>
  <c r="EA83" i="22"/>
  <c r="EB83" i="22"/>
  <c r="EC83" i="22"/>
  <c r="ED83" i="22"/>
  <c r="EF83" i="22"/>
  <c r="EG83" i="22"/>
  <c r="HY83" i="22" s="1"/>
  <c r="DL83" i="22"/>
  <c r="DM83" i="22"/>
  <c r="DN83" i="22"/>
  <c r="DO83" i="22"/>
  <c r="DP83" i="22"/>
  <c r="DQ83" i="22"/>
  <c r="DR83" i="22"/>
  <c r="DT83" i="22"/>
  <c r="DU83" i="22"/>
  <c r="CZ83" i="22"/>
  <c r="DA83" i="22"/>
  <c r="DB83" i="22"/>
  <c r="DC83" i="22"/>
  <c r="DD83" i="22"/>
  <c r="DE83" i="22"/>
  <c r="DF83" i="22"/>
  <c r="DH83" i="22"/>
  <c r="DI83" i="22"/>
  <c r="BM83" i="22"/>
  <c r="BP83" i="22"/>
  <c r="BQ83" i="22"/>
  <c r="BR83" i="22"/>
  <c r="BS83" i="22"/>
  <c r="BT83" i="22"/>
  <c r="BU83" i="22"/>
  <c r="BW83" i="22"/>
  <c r="BX83" i="22"/>
  <c r="HP60" i="22"/>
  <c r="HQ60" i="22"/>
  <c r="HR60" i="22"/>
  <c r="HS60" i="22"/>
  <c r="HT60" i="22"/>
  <c r="HU60" i="22"/>
  <c r="HV60" i="22"/>
  <c r="HW60" i="22"/>
  <c r="HX60" i="22"/>
  <c r="HY60" i="22"/>
  <c r="HD60" i="22"/>
  <c r="HE60" i="22"/>
  <c r="HF60" i="22"/>
  <c r="HG60" i="22"/>
  <c r="HH60" i="22"/>
  <c r="HI60" i="22"/>
  <c r="HJ60" i="22"/>
  <c r="HK60" i="22"/>
  <c r="HL60" i="22"/>
  <c r="HM60" i="22"/>
  <c r="CW60" i="22"/>
  <c r="CV60" i="22"/>
  <c r="CU60" i="22"/>
  <c r="CT60" i="22"/>
  <c r="CS60" i="22"/>
  <c r="CR60" i="22"/>
  <c r="CQ60" i="22"/>
  <c r="CP60" i="22"/>
  <c r="CO60" i="22"/>
  <c r="CN60" i="22"/>
  <c r="CW59" i="22"/>
  <c r="CV59" i="22"/>
  <c r="CU59" i="22"/>
  <c r="CT59" i="22"/>
  <c r="CS59" i="22"/>
  <c r="CR59" i="22"/>
  <c r="CQ59" i="22"/>
  <c r="CP59" i="22"/>
  <c r="CO59" i="22"/>
  <c r="CN59" i="22"/>
  <c r="CW58" i="22"/>
  <c r="CV58" i="22"/>
  <c r="CU58" i="22"/>
  <c r="CT58" i="22"/>
  <c r="CS58" i="22"/>
  <c r="CR58" i="22"/>
  <c r="CQ58" i="22"/>
  <c r="CP58" i="22"/>
  <c r="CO58" i="22"/>
  <c r="CN58" i="22"/>
  <c r="CW57" i="22"/>
  <c r="CV57" i="22"/>
  <c r="CU57" i="22"/>
  <c r="CT57" i="22"/>
  <c r="CS57" i="22"/>
  <c r="CR57" i="22"/>
  <c r="CQ57" i="22"/>
  <c r="CP57" i="22"/>
  <c r="CO57" i="22"/>
  <c r="CW56" i="22"/>
  <c r="CV56" i="22"/>
  <c r="CU56" i="22"/>
  <c r="CT56" i="22"/>
  <c r="CS56" i="22"/>
  <c r="CR56" i="22"/>
  <c r="CQ56" i="22"/>
  <c r="CP56" i="22"/>
  <c r="CO56" i="22"/>
  <c r="CW55" i="22"/>
  <c r="CV55" i="22"/>
  <c r="CU55" i="22"/>
  <c r="CT55" i="22"/>
  <c r="CS55" i="22"/>
  <c r="CR55" i="22"/>
  <c r="CQ55" i="22"/>
  <c r="CP55" i="22"/>
  <c r="CO55" i="22"/>
  <c r="CW54" i="22"/>
  <c r="CV54" i="22"/>
  <c r="CU54" i="22"/>
  <c r="CT54" i="22"/>
  <c r="CS54" i="22"/>
  <c r="CR54" i="22"/>
  <c r="CQ54" i="22"/>
  <c r="CP54" i="22"/>
  <c r="CO54" i="22"/>
  <c r="CW53" i="22"/>
  <c r="CV53" i="22"/>
  <c r="CU53" i="22"/>
  <c r="CT53" i="22"/>
  <c r="CS53" i="22"/>
  <c r="CR53" i="22"/>
  <c r="CQ53" i="22"/>
  <c r="CP53" i="22"/>
  <c r="CO53" i="22"/>
  <c r="CW52" i="22"/>
  <c r="CV52" i="22"/>
  <c r="CU52" i="22"/>
  <c r="CT52" i="22"/>
  <c r="CS52" i="22"/>
  <c r="CR52" i="22"/>
  <c r="CQ52" i="22"/>
  <c r="CP52" i="22"/>
  <c r="CO52" i="22"/>
  <c r="CW51" i="22"/>
  <c r="CV51" i="22"/>
  <c r="CU51" i="22"/>
  <c r="CT51" i="22"/>
  <c r="CS51" i="22"/>
  <c r="CR51" i="22"/>
  <c r="CQ51" i="22"/>
  <c r="CP51" i="22"/>
  <c r="CO51" i="22"/>
  <c r="CW50" i="22"/>
  <c r="CV50" i="22"/>
  <c r="CU50" i="22"/>
  <c r="CT50" i="22"/>
  <c r="CS50" i="22"/>
  <c r="CR50" i="22"/>
  <c r="CQ50" i="22"/>
  <c r="CP50" i="22"/>
  <c r="CO50" i="22"/>
  <c r="CW49" i="22"/>
  <c r="CV49" i="22"/>
  <c r="CU49" i="22"/>
  <c r="CT49" i="22"/>
  <c r="CS49" i="22"/>
  <c r="CR49" i="22"/>
  <c r="CQ49" i="22"/>
  <c r="CP49" i="22"/>
  <c r="CO49" i="22"/>
  <c r="CW48" i="22"/>
  <c r="CV48" i="22"/>
  <c r="CU48" i="22"/>
  <c r="CT48" i="22"/>
  <c r="CS48" i="22"/>
  <c r="CR48" i="22"/>
  <c r="CQ48" i="22"/>
  <c r="CP48" i="22"/>
  <c r="CO48" i="22"/>
  <c r="CW47" i="22"/>
  <c r="CV47" i="22"/>
  <c r="CU47" i="22"/>
  <c r="CT47" i="22"/>
  <c r="CS47" i="22"/>
  <c r="CR47" i="22"/>
  <c r="CQ47" i="22"/>
  <c r="CP47" i="22"/>
  <c r="CO47" i="22"/>
  <c r="CW46" i="22"/>
  <c r="CV46" i="22"/>
  <c r="CU46" i="22"/>
  <c r="CT46" i="22"/>
  <c r="CS46" i="22"/>
  <c r="CR46" i="22"/>
  <c r="CQ46" i="22"/>
  <c r="CP46" i="22"/>
  <c r="CO46" i="22"/>
  <c r="CW45" i="22"/>
  <c r="CV45" i="22"/>
  <c r="CU45" i="22"/>
  <c r="CT45" i="22"/>
  <c r="CS45" i="22"/>
  <c r="CR45" i="22"/>
  <c r="CQ45" i="22"/>
  <c r="CP45" i="22"/>
  <c r="CO45" i="22"/>
  <c r="CN62" i="3"/>
  <c r="BO60" i="22"/>
  <c r="BK60" i="22" s="1"/>
  <c r="X60" i="22"/>
  <c r="L60" i="22"/>
  <c r="HP83" i="22" l="1"/>
  <c r="HX83" i="22"/>
  <c r="HV83" i="22"/>
  <c r="HT83" i="22"/>
  <c r="HQ83" i="22"/>
  <c r="HU83" i="22"/>
  <c r="HM83" i="22"/>
  <c r="HR83" i="22"/>
  <c r="HD83" i="22"/>
  <c r="HL83" i="22"/>
  <c r="HJ83" i="22"/>
  <c r="HI83" i="22"/>
  <c r="HH83" i="22"/>
  <c r="HG83" i="22"/>
  <c r="HF83" i="22"/>
  <c r="HE83" i="22"/>
  <c r="BO83" i="22"/>
  <c r="BO62" i="3"/>
  <c r="BK62" i="3" s="1"/>
  <c r="BP82" i="22" l="1"/>
  <c r="HP62" i="3"/>
  <c r="HQ62" i="3"/>
  <c r="HR62" i="3"/>
  <c r="HS62" i="3"/>
  <c r="HT62" i="3"/>
  <c r="HU62" i="3"/>
  <c r="HV62" i="3"/>
  <c r="HW62" i="3"/>
  <c r="HX62" i="3"/>
  <c r="HY62" i="3"/>
  <c r="HE62" i="3"/>
  <c r="HF62" i="3"/>
  <c r="HG62" i="3"/>
  <c r="HH62" i="3"/>
  <c r="HI62" i="3"/>
  <c r="HJ62" i="3"/>
  <c r="HK62" i="3"/>
  <c r="HL62" i="3"/>
  <c r="HM62" i="3"/>
  <c r="CO62" i="3"/>
  <c r="CP62" i="3"/>
  <c r="CQ62" i="3"/>
  <c r="CR62" i="3"/>
  <c r="CS62" i="3"/>
  <c r="CT62" i="3"/>
  <c r="CU62" i="3"/>
  <c r="CV62" i="3"/>
  <c r="CW62" i="3"/>
  <c r="X62" i="3" l="1"/>
  <c r="L62" i="3"/>
  <c r="HP48" i="3" l="1"/>
  <c r="DL47" i="3"/>
  <c r="CN47" i="3" s="1"/>
  <c r="O90" i="5" l="1"/>
  <c r="O89" i="5"/>
  <c r="O88" i="5"/>
  <c r="O87" i="5"/>
  <c r="O86" i="5"/>
  <c r="O85" i="5"/>
  <c r="O84" i="5"/>
  <c r="O83" i="5"/>
  <c r="O82" i="5"/>
  <c r="O81" i="5"/>
  <c r="O80" i="5"/>
  <c r="O79" i="5"/>
  <c r="BD9" i="27"/>
  <c r="V115" i="28"/>
  <c r="HA58" i="22" l="1"/>
  <c r="HA57" i="22"/>
  <c r="HA56" i="22"/>
  <c r="HA55" i="22"/>
  <c r="HA54" i="22"/>
  <c r="HA53" i="22"/>
  <c r="HA52" i="22"/>
  <c r="HA51" i="22"/>
  <c r="HA50" i="22"/>
  <c r="HA49" i="22"/>
  <c r="HA48" i="22"/>
  <c r="HA47" i="22"/>
  <c r="HA46" i="22"/>
  <c r="HA45" i="22"/>
  <c r="GT82" i="22" l="1"/>
  <c r="GS82" i="22"/>
  <c r="DX82" i="22"/>
  <c r="DY82" i="22"/>
  <c r="DZ82" i="22"/>
  <c r="EA82" i="22"/>
  <c r="EB82" i="22"/>
  <c r="EC82" i="22"/>
  <c r="ED82" i="22"/>
  <c r="EF82" i="22"/>
  <c r="EG82" i="22"/>
  <c r="HY82" i="22" s="1"/>
  <c r="DM82" i="22"/>
  <c r="DN82" i="22"/>
  <c r="DO82" i="22"/>
  <c r="DP82" i="22"/>
  <c r="DQ82" i="22"/>
  <c r="DR82" i="22"/>
  <c r="HJ82" i="22" s="1"/>
  <c r="DT82" i="22"/>
  <c r="HL82" i="22" s="1"/>
  <c r="DU82" i="22"/>
  <c r="DA82" i="22"/>
  <c r="HE82" i="22" s="1"/>
  <c r="DB82" i="22"/>
  <c r="DC82" i="22"/>
  <c r="DD82" i="22"/>
  <c r="DE82" i="22"/>
  <c r="DF82" i="22"/>
  <c r="DH82" i="22"/>
  <c r="DI82" i="22"/>
  <c r="BQ82" i="22"/>
  <c r="BR82" i="22"/>
  <c r="BS82" i="22"/>
  <c r="BT82" i="22"/>
  <c r="BU82" i="22"/>
  <c r="BW82" i="22"/>
  <c r="BX82" i="22"/>
  <c r="HI82" i="22" l="1"/>
  <c r="HH82" i="22"/>
  <c r="HU82" i="22"/>
  <c r="HF82" i="22"/>
  <c r="HG82" i="22"/>
  <c r="HM82" i="22"/>
  <c r="BO82" i="22"/>
  <c r="HP59" i="22"/>
  <c r="GU82" i="22"/>
  <c r="HT82" i="22" s="1"/>
  <c r="GV82" i="22"/>
  <c r="HV82" i="22" s="1"/>
  <c r="GW82" i="22"/>
  <c r="HX82" i="22" s="1"/>
  <c r="GX82" i="22"/>
  <c r="HS82" i="22" s="1"/>
  <c r="GY82" i="22"/>
  <c r="HR82" i="22" s="1"/>
  <c r="GZ82" i="22"/>
  <c r="HQ82" i="22" s="1"/>
  <c r="HA82" i="22"/>
  <c r="HP82" i="22" s="1"/>
  <c r="AO398" i="27" l="1"/>
  <c r="AO390" i="27"/>
  <c r="AO382" i="27"/>
  <c r="AO381" i="27" s="1"/>
  <c r="AO373" i="27"/>
  <c r="AO365" i="27"/>
  <c r="AO364" i="27"/>
  <c r="AO353" i="27"/>
  <c r="AO345" i="27"/>
  <c r="AO337" i="27"/>
  <c r="AO336" i="27" s="1"/>
  <c r="AO328" i="27"/>
  <c r="AO320" i="27"/>
  <c r="AO319" i="27" s="1"/>
  <c r="AO308" i="27"/>
  <c r="AO300" i="27"/>
  <c r="AO292" i="27"/>
  <c r="AO291" i="27" s="1"/>
  <c r="AO283" i="27"/>
  <c r="AO275" i="27"/>
  <c r="AO274" i="27" s="1"/>
  <c r="AO263" i="27"/>
  <c r="AO255" i="27"/>
  <c r="AO247" i="27"/>
  <c r="AO246" i="27"/>
  <c r="AO238" i="27"/>
  <c r="AO230" i="27"/>
  <c r="AO229" i="27" s="1"/>
  <c r="AO218" i="27"/>
  <c r="AO210" i="27"/>
  <c r="AO202" i="27"/>
  <c r="AO201" i="27" s="1"/>
  <c r="AO193" i="27"/>
  <c r="AO185" i="27"/>
  <c r="AO184" i="27"/>
  <c r="AO173" i="27"/>
  <c r="AO165" i="27"/>
  <c r="AO156" i="27" s="1"/>
  <c r="AO157" i="27"/>
  <c r="AO148" i="27"/>
  <c r="AO139" i="27" s="1"/>
  <c r="AO140" i="27"/>
  <c r="AO128" i="27"/>
  <c r="AO120" i="27"/>
  <c r="AO112" i="27"/>
  <c r="AO111" i="27"/>
  <c r="AO103" i="27"/>
  <c r="AO94" i="27" s="1"/>
  <c r="AO95" i="27"/>
  <c r="AO83" i="27"/>
  <c r="AO66" i="27" s="1"/>
  <c r="AO75" i="27"/>
  <c r="AO67" i="27"/>
  <c r="AO58" i="27"/>
  <c r="AO50" i="27"/>
  <c r="AO49" i="27"/>
  <c r="AO38" i="27"/>
  <c r="AO37" i="27"/>
  <c r="AO36" i="27"/>
  <c r="AO35" i="27"/>
  <c r="AO30" i="27" s="1"/>
  <c r="AO21" i="27" s="1"/>
  <c r="AO34" i="27"/>
  <c r="AO33" i="27"/>
  <c r="AO32" i="27"/>
  <c r="AO31" i="27"/>
  <c r="AO22" i="27"/>
  <c r="AO20" i="27"/>
  <c r="AO19" i="27"/>
  <c r="AO18" i="27"/>
  <c r="AO13" i="27" s="1"/>
  <c r="AO4" i="27" s="1"/>
  <c r="AO17" i="27"/>
  <c r="AO16" i="27"/>
  <c r="AO15" i="27"/>
  <c r="AO14" i="27"/>
  <c r="AO5" i="27"/>
  <c r="AE118" i="28" l="1"/>
  <c r="S17" i="28"/>
  <c r="T19" i="28" l="1"/>
  <c r="HY59" i="22"/>
  <c r="HX59" i="22"/>
  <c r="HW59" i="22"/>
  <c r="HV59" i="22"/>
  <c r="HU59" i="22"/>
  <c r="HT59" i="22"/>
  <c r="HS59" i="22"/>
  <c r="HR59" i="22"/>
  <c r="HQ59" i="22"/>
  <c r="HM59" i="22"/>
  <c r="HL59" i="22"/>
  <c r="HK59" i="22"/>
  <c r="HJ59" i="22"/>
  <c r="HI59" i="22"/>
  <c r="HH59" i="22"/>
  <c r="HG59" i="22"/>
  <c r="HF59" i="22"/>
  <c r="HE59" i="22"/>
  <c r="HD59" i="22"/>
  <c r="BO59" i="22"/>
  <c r="BK59" i="22" s="1"/>
  <c r="X59" i="22"/>
  <c r="L59" i="22"/>
  <c r="HY61" i="3"/>
  <c r="HX61" i="3"/>
  <c r="HW61" i="3"/>
  <c r="HV61" i="3"/>
  <c r="HU61" i="3"/>
  <c r="HT61" i="3"/>
  <c r="HS61" i="3"/>
  <c r="HR61" i="3"/>
  <c r="HP61" i="3"/>
  <c r="HM61" i="3"/>
  <c r="HL61" i="3"/>
  <c r="HK61" i="3"/>
  <c r="HJ61" i="3"/>
  <c r="HI61" i="3"/>
  <c r="HH61" i="3"/>
  <c r="HG61" i="3"/>
  <c r="HF61" i="3"/>
  <c r="HE61" i="3"/>
  <c r="HD61" i="3"/>
  <c r="CW61" i="3"/>
  <c r="CV61" i="3"/>
  <c r="CU61" i="3"/>
  <c r="CT61" i="3"/>
  <c r="CS61" i="3"/>
  <c r="CR61" i="3"/>
  <c r="CQ61" i="3"/>
  <c r="CP61" i="3"/>
  <c r="CO61" i="3"/>
  <c r="CN61" i="3"/>
  <c r="BO61" i="3"/>
  <c r="BK61" i="3" s="1"/>
  <c r="X61" i="3"/>
  <c r="L61" i="3"/>
  <c r="E4" i="31"/>
  <c r="E3" i="31"/>
  <c r="D6" i="31"/>
  <c r="F4" i="31" s="1"/>
  <c r="T13" i="5"/>
  <c r="T12" i="5"/>
  <c r="F3" i="31" l="1"/>
  <c r="G4" i="31"/>
  <c r="G3" i="31" l="1"/>
  <c r="O105" i="5" l="1"/>
  <c r="O104" i="5"/>
  <c r="O103" i="5"/>
  <c r="O102" i="5"/>
  <c r="O101" i="5"/>
  <c r="O100" i="5"/>
  <c r="O99" i="5"/>
  <c r="O98" i="5"/>
  <c r="O97" i="5"/>
  <c r="O96" i="5"/>
  <c r="O95" i="5"/>
  <c r="O94" i="5"/>
  <c r="C145" i="11"/>
  <c r="Z5" i="11" a="1"/>
  <c r="Z5" i="11" s="1"/>
  <c r="AN20" i="27" l="1"/>
  <c r="AM20" i="27"/>
  <c r="AN19" i="27"/>
  <c r="AM19" i="27"/>
  <c r="AN18" i="27"/>
  <c r="AM18" i="27"/>
  <c r="AN17" i="27"/>
  <c r="AM17" i="27"/>
  <c r="AN16" i="27"/>
  <c r="AM16" i="27"/>
  <c r="AN15" i="27"/>
  <c r="AM15" i="27"/>
  <c r="AN14" i="27"/>
  <c r="AM14" i="27"/>
  <c r="BF196" i="27" l="1"/>
  <c r="BH225" i="27"/>
  <c r="BG225" i="27"/>
  <c r="BF225" i="27"/>
  <c r="BH224" i="27"/>
  <c r="BG224" i="27"/>
  <c r="BF224" i="27"/>
  <c r="BH223" i="27"/>
  <c r="BG223" i="27"/>
  <c r="BF223" i="27"/>
  <c r="BH222" i="27"/>
  <c r="BG222" i="27"/>
  <c r="BF222" i="27"/>
  <c r="BH221" i="27"/>
  <c r="BG221" i="27"/>
  <c r="BF221" i="27"/>
  <c r="BH220" i="27"/>
  <c r="BG220" i="27"/>
  <c r="BF220" i="27"/>
  <c r="BH219" i="27"/>
  <c r="BG219" i="27"/>
  <c r="BF219" i="27"/>
  <c r="BH217" i="27"/>
  <c r="BG217" i="27"/>
  <c r="BF217" i="27"/>
  <c r="BH216" i="27"/>
  <c r="BG216" i="27"/>
  <c r="BF216" i="27"/>
  <c r="BH215" i="27"/>
  <c r="BG215" i="27"/>
  <c r="BF215" i="27"/>
  <c r="BH214" i="27"/>
  <c r="BG214" i="27"/>
  <c r="BF214" i="27"/>
  <c r="BH213" i="27"/>
  <c r="BG213" i="27"/>
  <c r="BF213" i="27"/>
  <c r="BH212" i="27"/>
  <c r="BG212" i="27"/>
  <c r="BF212" i="27"/>
  <c r="BH211" i="27"/>
  <c r="BG211" i="27"/>
  <c r="BF211" i="27"/>
  <c r="BH209" i="27"/>
  <c r="BG209" i="27"/>
  <c r="BF209" i="27"/>
  <c r="BH208" i="27"/>
  <c r="BG208" i="27"/>
  <c r="BF208" i="27"/>
  <c r="BH207" i="27"/>
  <c r="BG207" i="27"/>
  <c r="BF207" i="27"/>
  <c r="BH206" i="27"/>
  <c r="BG206" i="27"/>
  <c r="BF206" i="27"/>
  <c r="BH205" i="27"/>
  <c r="BG205" i="27"/>
  <c r="BF205" i="27"/>
  <c r="BH204" i="27"/>
  <c r="BG204" i="27"/>
  <c r="BF204" i="27"/>
  <c r="BH203" i="27"/>
  <c r="BG203" i="27"/>
  <c r="BF203" i="27"/>
  <c r="BH200" i="27"/>
  <c r="BG200" i="27"/>
  <c r="BF200" i="27"/>
  <c r="BH199" i="27"/>
  <c r="BG199" i="27"/>
  <c r="BF199" i="27"/>
  <c r="BH198" i="27"/>
  <c r="BG198" i="27"/>
  <c r="BF198" i="27"/>
  <c r="BH197" i="27"/>
  <c r="BG197" i="27"/>
  <c r="BF197" i="27"/>
  <c r="BH196" i="27"/>
  <c r="BG196" i="27"/>
  <c r="BH195" i="27"/>
  <c r="BG195" i="27"/>
  <c r="BF195" i="27"/>
  <c r="BH194" i="27"/>
  <c r="BG194" i="27"/>
  <c r="BF194" i="27"/>
  <c r="BH192" i="27"/>
  <c r="BG192" i="27"/>
  <c r="BF192" i="27"/>
  <c r="BH191" i="27"/>
  <c r="BG191" i="27"/>
  <c r="BF191" i="27"/>
  <c r="BH190" i="27"/>
  <c r="BG190" i="27"/>
  <c r="BF190" i="27"/>
  <c r="BH189" i="27"/>
  <c r="BG189" i="27"/>
  <c r="BF189" i="27"/>
  <c r="BH188" i="27"/>
  <c r="BG188" i="27"/>
  <c r="BF188" i="27"/>
  <c r="BH187" i="27"/>
  <c r="BG187" i="27"/>
  <c r="BF187" i="27"/>
  <c r="BH186" i="27"/>
  <c r="BG186" i="27"/>
  <c r="BF186" i="27"/>
  <c r="AM21" i="27"/>
  <c r="O21" i="27"/>
  <c r="Q22" i="27"/>
  <c r="I22" i="27"/>
  <c r="P18" i="27"/>
  <c r="F14" i="27"/>
  <c r="G14" i="27"/>
  <c r="H14" i="27"/>
  <c r="I14" i="27"/>
  <c r="J14" i="27"/>
  <c r="K14" i="27"/>
  <c r="L14" i="27"/>
  <c r="M14" i="27"/>
  <c r="N14" i="27"/>
  <c r="O14" i="27"/>
  <c r="P14" i="27"/>
  <c r="F15" i="27"/>
  <c r="G15" i="27"/>
  <c r="H15" i="27"/>
  <c r="I15" i="27"/>
  <c r="J15" i="27"/>
  <c r="K15" i="27"/>
  <c r="L15" i="27"/>
  <c r="M15" i="27"/>
  <c r="N15" i="27"/>
  <c r="O15" i="27"/>
  <c r="P15" i="27"/>
  <c r="F16" i="27"/>
  <c r="G16" i="27"/>
  <c r="H16" i="27"/>
  <c r="I16" i="27"/>
  <c r="J16" i="27"/>
  <c r="K16" i="27"/>
  <c r="L16" i="27"/>
  <c r="M16" i="27"/>
  <c r="N16" i="27"/>
  <c r="O16" i="27"/>
  <c r="P16" i="27"/>
  <c r="F17" i="27"/>
  <c r="G17" i="27"/>
  <c r="H17" i="27"/>
  <c r="I17" i="27"/>
  <c r="J17" i="27"/>
  <c r="K17" i="27"/>
  <c r="L17" i="27"/>
  <c r="M17" i="27"/>
  <c r="N17" i="27"/>
  <c r="O17" i="27"/>
  <c r="P17" i="27"/>
  <c r="F18" i="27"/>
  <c r="G18" i="27"/>
  <c r="H18" i="27"/>
  <c r="I18" i="27"/>
  <c r="J18" i="27"/>
  <c r="K18" i="27"/>
  <c r="L18" i="27"/>
  <c r="M18" i="27"/>
  <c r="N18" i="27"/>
  <c r="O18" i="27"/>
  <c r="F19" i="27"/>
  <c r="G19" i="27"/>
  <c r="H19" i="27"/>
  <c r="I19" i="27"/>
  <c r="J19" i="27"/>
  <c r="K19" i="27"/>
  <c r="L19" i="27"/>
  <c r="M19" i="27"/>
  <c r="N19" i="27"/>
  <c r="O19" i="27"/>
  <c r="P19" i="27"/>
  <c r="F20" i="27"/>
  <c r="G20" i="27"/>
  <c r="H20" i="27"/>
  <c r="I20" i="27"/>
  <c r="J20" i="27"/>
  <c r="K20" i="27"/>
  <c r="L20" i="27"/>
  <c r="M20" i="27"/>
  <c r="N20" i="27"/>
  <c r="O20" i="27"/>
  <c r="P20" i="27"/>
  <c r="E15" i="27"/>
  <c r="E16" i="27"/>
  <c r="E17" i="27"/>
  <c r="E18" i="27"/>
  <c r="E19" i="27"/>
  <c r="E20" i="27"/>
  <c r="E14" i="27"/>
  <c r="AY405" i="27"/>
  <c r="AY404" i="27"/>
  <c r="AY403" i="27"/>
  <c r="AY402" i="27"/>
  <c r="AY401" i="27"/>
  <c r="AY400" i="27"/>
  <c r="AY399" i="27"/>
  <c r="AY397" i="27"/>
  <c r="AY396" i="27"/>
  <c r="AY395" i="27"/>
  <c r="AY394" i="27"/>
  <c r="AY393" i="27"/>
  <c r="AY392" i="27"/>
  <c r="AY391" i="27"/>
  <c r="AY389" i="27"/>
  <c r="AY388" i="27"/>
  <c r="AY387" i="27"/>
  <c r="AY386" i="27"/>
  <c r="AY385" i="27"/>
  <c r="AY384" i="27"/>
  <c r="AY383" i="27"/>
  <c r="AY380" i="27"/>
  <c r="AY379" i="27"/>
  <c r="AY378" i="27"/>
  <c r="AY377" i="27"/>
  <c r="AY376" i="27"/>
  <c r="AY375" i="27"/>
  <c r="AY374" i="27"/>
  <c r="AY372" i="27"/>
  <c r="AY371" i="27"/>
  <c r="AY370" i="27"/>
  <c r="AY369" i="27"/>
  <c r="AY368" i="27"/>
  <c r="AY367" i="27"/>
  <c r="AY366" i="27"/>
  <c r="AY360" i="27"/>
  <c r="AY359" i="27"/>
  <c r="AY358" i="27"/>
  <c r="AY357" i="27"/>
  <c r="AY356" i="27"/>
  <c r="AY355" i="27"/>
  <c r="AY354" i="27"/>
  <c r="AY352" i="27"/>
  <c r="AY351" i="27"/>
  <c r="AY350" i="27"/>
  <c r="AY349" i="27"/>
  <c r="AY348" i="27"/>
  <c r="AY347" i="27"/>
  <c r="AY346" i="27"/>
  <c r="AY344" i="27"/>
  <c r="AY343" i="27"/>
  <c r="AY342" i="27"/>
  <c r="AY341" i="27"/>
  <c r="AY340" i="27"/>
  <c r="AY339" i="27"/>
  <c r="AY338" i="27"/>
  <c r="AY335" i="27"/>
  <c r="AY334" i="27"/>
  <c r="AY333" i="27"/>
  <c r="AY332" i="27"/>
  <c r="AY331" i="27"/>
  <c r="AY330" i="27"/>
  <c r="AY329" i="27"/>
  <c r="AY327" i="27"/>
  <c r="AY326" i="27"/>
  <c r="AY325" i="27"/>
  <c r="AY324" i="27"/>
  <c r="AY323" i="27"/>
  <c r="AY322" i="27"/>
  <c r="AY321" i="27"/>
  <c r="AY315" i="27"/>
  <c r="AY314" i="27"/>
  <c r="AY313" i="27"/>
  <c r="AY312" i="27"/>
  <c r="AY311" i="27"/>
  <c r="AY310" i="27"/>
  <c r="AY309" i="27"/>
  <c r="AY307" i="27"/>
  <c r="AY306" i="27"/>
  <c r="AY305" i="27"/>
  <c r="AY304" i="27"/>
  <c r="AY303" i="27"/>
  <c r="AY302" i="27"/>
  <c r="AY301" i="27"/>
  <c r="AY299" i="27"/>
  <c r="AY298" i="27"/>
  <c r="AY297" i="27"/>
  <c r="AY296" i="27"/>
  <c r="AY295" i="27"/>
  <c r="AY294" i="27"/>
  <c r="AY293" i="27"/>
  <c r="AY290" i="27"/>
  <c r="AY289" i="27"/>
  <c r="AY288" i="27"/>
  <c r="AY287" i="27"/>
  <c r="AY286" i="27"/>
  <c r="AY285" i="27"/>
  <c r="AY284" i="27"/>
  <c r="AY282" i="27"/>
  <c r="AY281" i="27"/>
  <c r="AY280" i="27"/>
  <c r="AY279" i="27"/>
  <c r="AY278" i="27"/>
  <c r="AY277" i="27"/>
  <c r="AY276" i="27"/>
  <c r="AY270" i="27"/>
  <c r="AY269" i="27"/>
  <c r="AY268" i="27"/>
  <c r="AY267" i="27"/>
  <c r="AY266" i="27"/>
  <c r="AY265" i="27"/>
  <c r="AY264" i="27"/>
  <c r="AY262" i="27"/>
  <c r="AY261" i="27"/>
  <c r="AY260" i="27"/>
  <c r="AY259" i="27"/>
  <c r="AY258" i="27"/>
  <c r="AY257" i="27"/>
  <c r="AY256" i="27"/>
  <c r="AY254" i="27"/>
  <c r="AY253" i="27"/>
  <c r="AY252" i="27"/>
  <c r="AY251" i="27"/>
  <c r="AY250" i="27"/>
  <c r="AY249" i="27"/>
  <c r="AY248" i="27"/>
  <c r="AY245" i="27"/>
  <c r="AY244" i="27"/>
  <c r="AY243" i="27"/>
  <c r="AY242" i="27"/>
  <c r="AY241" i="27"/>
  <c r="AY240" i="27"/>
  <c r="AY239" i="27"/>
  <c r="AY237" i="27"/>
  <c r="AY236" i="27"/>
  <c r="AY235" i="27"/>
  <c r="AY234" i="27"/>
  <c r="AY233" i="27"/>
  <c r="AY232" i="27"/>
  <c r="AY231" i="27"/>
  <c r="AY225" i="27"/>
  <c r="AY224" i="27"/>
  <c r="AY223" i="27"/>
  <c r="AY222" i="27"/>
  <c r="AY221" i="27"/>
  <c r="AY220" i="27"/>
  <c r="AY219" i="27"/>
  <c r="AY217" i="27"/>
  <c r="AY216" i="27"/>
  <c r="AY215" i="27"/>
  <c r="AY214" i="27"/>
  <c r="AY213" i="27"/>
  <c r="AY212" i="27"/>
  <c r="AY211" i="27"/>
  <c r="AY209" i="27"/>
  <c r="AY208" i="27"/>
  <c r="AY207" i="27"/>
  <c r="AY206" i="27"/>
  <c r="AY205" i="27"/>
  <c r="AY204" i="27"/>
  <c r="AY203" i="27"/>
  <c r="AY200" i="27"/>
  <c r="AY199" i="27"/>
  <c r="AY198" i="27"/>
  <c r="AY197" i="27"/>
  <c r="AY196" i="27"/>
  <c r="AY195" i="27"/>
  <c r="AY194" i="27"/>
  <c r="AY192" i="27"/>
  <c r="AY191" i="27"/>
  <c r="AY190" i="27"/>
  <c r="AY189" i="27"/>
  <c r="AY188" i="27"/>
  <c r="AY187" i="27"/>
  <c r="AY186" i="27"/>
  <c r="AY135" i="27"/>
  <c r="AY134" i="27"/>
  <c r="AY133" i="27"/>
  <c r="AY132" i="27"/>
  <c r="AY131" i="27"/>
  <c r="AY130" i="27"/>
  <c r="AY129" i="27"/>
  <c r="AY127" i="27"/>
  <c r="AY126" i="27"/>
  <c r="AY125" i="27"/>
  <c r="AY124" i="27"/>
  <c r="AY123" i="27"/>
  <c r="AY122" i="27"/>
  <c r="AY121" i="27"/>
  <c r="AY119" i="27"/>
  <c r="AY118" i="27"/>
  <c r="AY117" i="27"/>
  <c r="AY116" i="27"/>
  <c r="AY115" i="27"/>
  <c r="AY114" i="27"/>
  <c r="AY113" i="27"/>
  <c r="AY110" i="27"/>
  <c r="AY109" i="27"/>
  <c r="AY108" i="27"/>
  <c r="AY107" i="27"/>
  <c r="AY106" i="27"/>
  <c r="AY105" i="27"/>
  <c r="AY104" i="27"/>
  <c r="AY102" i="27"/>
  <c r="AY101" i="27"/>
  <c r="AY100" i="27"/>
  <c r="AY99" i="27"/>
  <c r="AY98" i="27"/>
  <c r="AY97" i="27"/>
  <c r="AY96" i="27"/>
  <c r="Q119" i="27"/>
  <c r="Q118" i="27"/>
  <c r="Q117" i="27"/>
  <c r="Q116" i="27"/>
  <c r="Q115" i="27"/>
  <c r="Q114" i="27"/>
  <c r="Q113" i="27"/>
  <c r="Q110" i="27"/>
  <c r="Q109" i="27"/>
  <c r="Q108" i="27"/>
  <c r="Q107" i="27"/>
  <c r="Q106" i="27"/>
  <c r="Q105" i="27"/>
  <c r="Q104" i="27"/>
  <c r="Q102" i="27"/>
  <c r="Q101" i="27"/>
  <c r="Q100" i="27"/>
  <c r="Q99" i="27"/>
  <c r="Q98" i="27"/>
  <c r="Q97" i="27"/>
  <c r="Q96" i="27"/>
  <c r="AN390" i="27"/>
  <c r="AN345" i="27"/>
  <c r="AN300" i="27"/>
  <c r="AN255" i="27"/>
  <c r="AN210" i="27"/>
  <c r="AN165" i="27"/>
  <c r="AN120" i="27"/>
  <c r="AN75" i="27"/>
  <c r="AN30" i="27"/>
  <c r="Q405" i="27"/>
  <c r="Q404" i="27"/>
  <c r="Q403" i="27"/>
  <c r="Q402" i="27"/>
  <c r="Q401" i="27"/>
  <c r="Q400" i="27"/>
  <c r="Q399" i="27"/>
  <c r="Q389" i="27"/>
  <c r="Q388" i="27"/>
  <c r="Q387" i="27"/>
  <c r="Q386" i="27"/>
  <c r="Q385" i="27"/>
  <c r="Q384" i="27"/>
  <c r="Q383" i="27"/>
  <c r="Q380" i="27"/>
  <c r="Q379" i="27"/>
  <c r="Q378" i="27"/>
  <c r="Q377" i="27"/>
  <c r="Q376" i="27"/>
  <c r="Q375" i="27"/>
  <c r="Q374" i="27"/>
  <c r="Q372" i="27"/>
  <c r="Q371" i="27"/>
  <c r="Q370" i="27"/>
  <c r="Q369" i="27"/>
  <c r="Q368" i="27"/>
  <c r="Q367" i="27"/>
  <c r="Q366" i="27"/>
  <c r="P398" i="27"/>
  <c r="O398" i="27"/>
  <c r="N398" i="27"/>
  <c r="M398" i="27"/>
  <c r="L398" i="27"/>
  <c r="K398" i="27"/>
  <c r="J398" i="27"/>
  <c r="I398" i="27"/>
  <c r="H398" i="27"/>
  <c r="G398" i="27"/>
  <c r="F398" i="27"/>
  <c r="E398" i="27"/>
  <c r="P390" i="27"/>
  <c r="O390" i="27"/>
  <c r="N390" i="27"/>
  <c r="M390" i="27"/>
  <c r="L390" i="27"/>
  <c r="K390" i="27"/>
  <c r="J390" i="27"/>
  <c r="I390" i="27"/>
  <c r="H390" i="27"/>
  <c r="G390" i="27"/>
  <c r="F390" i="27"/>
  <c r="E390" i="27"/>
  <c r="P373" i="27"/>
  <c r="O373" i="27"/>
  <c r="N373" i="27"/>
  <c r="M373" i="27"/>
  <c r="L373" i="27"/>
  <c r="K373" i="27"/>
  <c r="J373" i="27"/>
  <c r="I373" i="27"/>
  <c r="H373" i="27"/>
  <c r="G373" i="27"/>
  <c r="F373" i="27"/>
  <c r="E373" i="27"/>
  <c r="P365" i="27"/>
  <c r="O365" i="27"/>
  <c r="N365" i="27"/>
  <c r="M365" i="27"/>
  <c r="L365" i="27"/>
  <c r="K365" i="27"/>
  <c r="J365" i="27"/>
  <c r="I365" i="27"/>
  <c r="H365" i="27"/>
  <c r="G365" i="27"/>
  <c r="F365" i="27"/>
  <c r="E365" i="27"/>
  <c r="Q352" i="27"/>
  <c r="Q351" i="27"/>
  <c r="Q350" i="27"/>
  <c r="Q349" i="27"/>
  <c r="Q348" i="27"/>
  <c r="Q347" i="27"/>
  <c r="Q346" i="27"/>
  <c r="Q360" i="27"/>
  <c r="Q359" i="27"/>
  <c r="Q358" i="27"/>
  <c r="Q357" i="27"/>
  <c r="Q356" i="27"/>
  <c r="Q355" i="27"/>
  <c r="Q354" i="27"/>
  <c r="Q344" i="27"/>
  <c r="Q343" i="27"/>
  <c r="Q342" i="27"/>
  <c r="Q341" i="27"/>
  <c r="Q340" i="27"/>
  <c r="Q339" i="27"/>
  <c r="Q338" i="27"/>
  <c r="Q335" i="27"/>
  <c r="Q334" i="27"/>
  <c r="Q333" i="27"/>
  <c r="Q332" i="27"/>
  <c r="Q331" i="27"/>
  <c r="Q330" i="27"/>
  <c r="Q329" i="27"/>
  <c r="Q327" i="27"/>
  <c r="Q326" i="27"/>
  <c r="Q325" i="27"/>
  <c r="Q324" i="27"/>
  <c r="Q323" i="27"/>
  <c r="Q322" i="27"/>
  <c r="Q321" i="27"/>
  <c r="P353" i="27"/>
  <c r="O353" i="27"/>
  <c r="N353" i="27"/>
  <c r="M353" i="27"/>
  <c r="L353" i="27"/>
  <c r="K353" i="27"/>
  <c r="J353" i="27"/>
  <c r="I353" i="27"/>
  <c r="H353" i="27"/>
  <c r="G353" i="27"/>
  <c r="F353" i="27"/>
  <c r="E353" i="27"/>
  <c r="P337" i="27"/>
  <c r="O337" i="27"/>
  <c r="N337" i="27"/>
  <c r="M337" i="27"/>
  <c r="L337" i="27"/>
  <c r="K337" i="27"/>
  <c r="J337" i="27"/>
  <c r="I337" i="27"/>
  <c r="H337" i="27"/>
  <c r="G337" i="27"/>
  <c r="F337" i="27"/>
  <c r="E337" i="27"/>
  <c r="P165" i="27"/>
  <c r="O165" i="27"/>
  <c r="N165" i="27"/>
  <c r="M165" i="27"/>
  <c r="L165" i="27"/>
  <c r="K165" i="27"/>
  <c r="J165" i="27"/>
  <c r="I165" i="27"/>
  <c r="H165" i="27"/>
  <c r="G165" i="27"/>
  <c r="F165" i="27"/>
  <c r="E165" i="27"/>
  <c r="P173" i="27"/>
  <c r="O173" i="27"/>
  <c r="N173" i="27"/>
  <c r="M173" i="27"/>
  <c r="L173" i="27"/>
  <c r="K173" i="27"/>
  <c r="J173" i="27"/>
  <c r="I173" i="27"/>
  <c r="H173" i="27"/>
  <c r="G173" i="27"/>
  <c r="F173" i="27"/>
  <c r="E173" i="27"/>
  <c r="P210" i="27"/>
  <c r="O210" i="27"/>
  <c r="N210" i="27"/>
  <c r="M210" i="27"/>
  <c r="L210" i="27"/>
  <c r="K210" i="27"/>
  <c r="J210" i="27"/>
  <c r="I210" i="27"/>
  <c r="H210" i="27"/>
  <c r="G210" i="27"/>
  <c r="F210" i="27"/>
  <c r="E210" i="27"/>
  <c r="P255" i="27"/>
  <c r="O255" i="27"/>
  <c r="N255" i="27"/>
  <c r="M255" i="27"/>
  <c r="L255" i="27"/>
  <c r="K255" i="27"/>
  <c r="J255" i="27"/>
  <c r="I255" i="27"/>
  <c r="H255" i="27"/>
  <c r="G255" i="27"/>
  <c r="F255" i="27"/>
  <c r="E255" i="27"/>
  <c r="P345" i="27"/>
  <c r="O345" i="27"/>
  <c r="N345" i="27"/>
  <c r="M345" i="27"/>
  <c r="L345" i="27"/>
  <c r="K345" i="27"/>
  <c r="J345" i="27"/>
  <c r="I345" i="27"/>
  <c r="H345" i="27"/>
  <c r="G345" i="27"/>
  <c r="F345" i="27"/>
  <c r="E345" i="27"/>
  <c r="P328" i="27"/>
  <c r="O328" i="27"/>
  <c r="N328" i="27"/>
  <c r="M328" i="27"/>
  <c r="L328" i="27"/>
  <c r="K328" i="27"/>
  <c r="J328" i="27"/>
  <c r="I328" i="27"/>
  <c r="H328" i="27"/>
  <c r="G328" i="27"/>
  <c r="F328" i="27"/>
  <c r="E328" i="27"/>
  <c r="P320" i="27"/>
  <c r="O320" i="27"/>
  <c r="N320" i="27"/>
  <c r="M320" i="27"/>
  <c r="L320" i="27"/>
  <c r="K320" i="27"/>
  <c r="J320" i="27"/>
  <c r="I320" i="27"/>
  <c r="H320" i="27"/>
  <c r="G320" i="27"/>
  <c r="F320" i="27"/>
  <c r="E320" i="27"/>
  <c r="Q315" i="27"/>
  <c r="Q314" i="27"/>
  <c r="Q313" i="27"/>
  <c r="Q312" i="27"/>
  <c r="Q311" i="27"/>
  <c r="Q310" i="27"/>
  <c r="Q309" i="27"/>
  <c r="Q307" i="27"/>
  <c r="Q306" i="27"/>
  <c r="Q305" i="27"/>
  <c r="Q304" i="27"/>
  <c r="Q303" i="27"/>
  <c r="Q302" i="27"/>
  <c r="Q301" i="27"/>
  <c r="Q299" i="27"/>
  <c r="Q298" i="27"/>
  <c r="Q297" i="27"/>
  <c r="Q296" i="27"/>
  <c r="Q295" i="27"/>
  <c r="Q294" i="27"/>
  <c r="Q293" i="27"/>
  <c r="Q290" i="27"/>
  <c r="Q289" i="27"/>
  <c r="Q288" i="27"/>
  <c r="Q287" i="27"/>
  <c r="Q286" i="27"/>
  <c r="Q285" i="27"/>
  <c r="Q284" i="27"/>
  <c r="Q282" i="27"/>
  <c r="Q281" i="27"/>
  <c r="Q280" i="27"/>
  <c r="Q279" i="27"/>
  <c r="Q278" i="27"/>
  <c r="Q277" i="27"/>
  <c r="Q276" i="27"/>
  <c r="P308" i="27"/>
  <c r="O308" i="27"/>
  <c r="N308" i="27"/>
  <c r="M308" i="27"/>
  <c r="L308" i="27"/>
  <c r="K308" i="27"/>
  <c r="J308" i="27"/>
  <c r="I308" i="27"/>
  <c r="H308" i="27"/>
  <c r="G308" i="27"/>
  <c r="F308" i="27"/>
  <c r="E308" i="27"/>
  <c r="P300" i="27"/>
  <c r="O300" i="27"/>
  <c r="N300" i="27"/>
  <c r="M300" i="27"/>
  <c r="L300" i="27"/>
  <c r="K300" i="27"/>
  <c r="J300" i="27"/>
  <c r="I300" i="27"/>
  <c r="H300" i="27"/>
  <c r="G300" i="27"/>
  <c r="F300" i="27"/>
  <c r="E300" i="27"/>
  <c r="P283" i="27"/>
  <c r="O283" i="27"/>
  <c r="O274" i="27" s="1"/>
  <c r="N283" i="27"/>
  <c r="M283" i="27"/>
  <c r="L283" i="27"/>
  <c r="K283" i="27"/>
  <c r="J283" i="27"/>
  <c r="I283" i="27"/>
  <c r="H283" i="27"/>
  <c r="G283" i="27"/>
  <c r="F283" i="27"/>
  <c r="E283" i="27"/>
  <c r="P263" i="27"/>
  <c r="O263" i="27"/>
  <c r="N263" i="27"/>
  <c r="M263" i="27"/>
  <c r="L263" i="27"/>
  <c r="K263" i="27"/>
  <c r="J263" i="27"/>
  <c r="I263" i="27"/>
  <c r="H263" i="27"/>
  <c r="G263" i="27"/>
  <c r="G246" i="27" s="1"/>
  <c r="F263" i="27"/>
  <c r="E263" i="27"/>
  <c r="P292" i="27"/>
  <c r="O292" i="27"/>
  <c r="N292" i="27"/>
  <c r="M292" i="27"/>
  <c r="L292" i="27"/>
  <c r="K292" i="27"/>
  <c r="J292" i="27"/>
  <c r="I292" i="27"/>
  <c r="H292" i="27"/>
  <c r="G292" i="27"/>
  <c r="G291" i="27" s="1"/>
  <c r="F292" i="27"/>
  <c r="E292" i="27"/>
  <c r="P275" i="27"/>
  <c r="O275" i="27"/>
  <c r="N275" i="27"/>
  <c r="M275" i="27"/>
  <c r="L275" i="27"/>
  <c r="K275" i="27"/>
  <c r="J275" i="27"/>
  <c r="I275" i="27"/>
  <c r="H275" i="27"/>
  <c r="G275" i="27"/>
  <c r="F275" i="27"/>
  <c r="E275" i="27"/>
  <c r="Q270" i="27"/>
  <c r="Q269" i="27"/>
  <c r="Q268" i="27"/>
  <c r="Q267" i="27"/>
  <c r="Q263" i="27" s="1"/>
  <c r="Q266" i="27"/>
  <c r="Q265" i="27"/>
  <c r="Q264" i="27"/>
  <c r="Q254" i="27"/>
  <c r="Q253" i="27"/>
  <c r="Q252" i="27"/>
  <c r="Q251" i="27"/>
  <c r="Q250" i="27"/>
  <c r="Q249" i="27"/>
  <c r="Q248" i="27"/>
  <c r="Q245" i="27"/>
  <c r="Q244" i="27"/>
  <c r="Q243" i="27"/>
  <c r="Q242" i="27"/>
  <c r="Q241" i="27"/>
  <c r="Q240" i="27"/>
  <c r="Q239" i="27"/>
  <c r="Q237" i="27"/>
  <c r="Q236" i="27"/>
  <c r="Q235" i="27"/>
  <c r="Q234" i="27"/>
  <c r="Q233" i="27"/>
  <c r="Q232" i="27"/>
  <c r="Q231" i="27"/>
  <c r="P247" i="27"/>
  <c r="O247" i="27"/>
  <c r="N247" i="27"/>
  <c r="M247" i="27"/>
  <c r="L247" i="27"/>
  <c r="K247" i="27"/>
  <c r="J247" i="27"/>
  <c r="I247" i="27"/>
  <c r="H247" i="27"/>
  <c r="G247" i="27"/>
  <c r="F247" i="27"/>
  <c r="E247" i="27"/>
  <c r="P238" i="27"/>
  <c r="O238" i="27"/>
  <c r="N238" i="27"/>
  <c r="M238" i="27"/>
  <c r="L238" i="27"/>
  <c r="K238" i="27"/>
  <c r="J238" i="27"/>
  <c r="I238" i="27"/>
  <c r="H238" i="27"/>
  <c r="G238" i="27"/>
  <c r="F238" i="27"/>
  <c r="E238" i="27"/>
  <c r="P230" i="27"/>
  <c r="O230" i="27"/>
  <c r="N230" i="27"/>
  <c r="M230" i="27"/>
  <c r="L230" i="27"/>
  <c r="K230" i="27"/>
  <c r="J230" i="27"/>
  <c r="I230" i="27"/>
  <c r="H230" i="27"/>
  <c r="G230" i="27"/>
  <c r="F230" i="27"/>
  <c r="E230" i="27"/>
  <c r="Q225" i="27"/>
  <c r="Q224" i="27"/>
  <c r="Q223" i="27"/>
  <c r="Q222" i="27"/>
  <c r="Q221" i="27"/>
  <c r="Q220" i="27"/>
  <c r="Q219" i="27"/>
  <c r="Q217" i="27"/>
  <c r="Q216" i="27"/>
  <c r="Q215" i="27"/>
  <c r="Q214" i="27"/>
  <c r="Q213" i="27"/>
  <c r="Q212" i="27"/>
  <c r="Q211" i="27"/>
  <c r="Q209" i="27"/>
  <c r="Q208" i="27"/>
  <c r="Q207" i="27"/>
  <c r="Q206" i="27"/>
  <c r="Q205" i="27"/>
  <c r="Q204" i="27"/>
  <c r="Q203" i="27"/>
  <c r="Q200" i="27"/>
  <c r="Q199" i="27"/>
  <c r="Q198" i="27"/>
  <c r="Q197" i="27"/>
  <c r="Q196" i="27"/>
  <c r="Q195" i="27"/>
  <c r="Q194" i="27"/>
  <c r="Q192" i="27"/>
  <c r="Q191" i="27"/>
  <c r="Q190" i="27"/>
  <c r="Q189" i="27"/>
  <c r="Q188" i="27"/>
  <c r="Q187" i="27"/>
  <c r="Q186" i="27"/>
  <c r="P218" i="27"/>
  <c r="O218" i="27"/>
  <c r="N218" i="27"/>
  <c r="M218" i="27"/>
  <c r="L218" i="27"/>
  <c r="K218" i="27"/>
  <c r="J218" i="27"/>
  <c r="I218" i="27"/>
  <c r="H218" i="27"/>
  <c r="G218" i="27"/>
  <c r="F218" i="27"/>
  <c r="E218" i="27"/>
  <c r="P202" i="27"/>
  <c r="O202" i="27"/>
  <c r="N202" i="27"/>
  <c r="M202" i="27"/>
  <c r="L202" i="27"/>
  <c r="K202" i="27"/>
  <c r="J202" i="27"/>
  <c r="I202" i="27"/>
  <c r="H202" i="27"/>
  <c r="G202" i="27"/>
  <c r="F202" i="27"/>
  <c r="E202" i="27"/>
  <c r="P193" i="27"/>
  <c r="O193" i="27"/>
  <c r="N193" i="27"/>
  <c r="M193" i="27"/>
  <c r="L193" i="27"/>
  <c r="K193" i="27"/>
  <c r="J193" i="27"/>
  <c r="I193" i="27"/>
  <c r="H193" i="27"/>
  <c r="G193" i="27"/>
  <c r="F193" i="27"/>
  <c r="E193" i="27"/>
  <c r="P185" i="27"/>
  <c r="O185" i="27"/>
  <c r="N185" i="27"/>
  <c r="M185" i="27"/>
  <c r="L185" i="27"/>
  <c r="K185" i="27"/>
  <c r="J185" i="27"/>
  <c r="I185" i="27"/>
  <c r="H185" i="27"/>
  <c r="G185" i="27"/>
  <c r="F185" i="27"/>
  <c r="E185" i="27"/>
  <c r="Q135" i="27"/>
  <c r="Q134" i="27"/>
  <c r="Q133" i="27"/>
  <c r="Q132" i="27"/>
  <c r="Q131" i="27"/>
  <c r="Q130" i="27"/>
  <c r="Q129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F103" i="27"/>
  <c r="P103" i="27"/>
  <c r="O103" i="27"/>
  <c r="N103" i="27"/>
  <c r="M103" i="27"/>
  <c r="L103" i="27"/>
  <c r="K103" i="27"/>
  <c r="J103" i="27"/>
  <c r="I103" i="27"/>
  <c r="H103" i="27"/>
  <c r="G103" i="27"/>
  <c r="E103" i="27"/>
  <c r="P95" i="27"/>
  <c r="O95" i="27"/>
  <c r="N95" i="27"/>
  <c r="M95" i="27"/>
  <c r="L95" i="27"/>
  <c r="L94" i="27" s="1"/>
  <c r="K95" i="27"/>
  <c r="K94" i="27" s="1"/>
  <c r="J95" i="27"/>
  <c r="I95" i="27"/>
  <c r="H95" i="27"/>
  <c r="G95" i="27"/>
  <c r="F95" i="27"/>
  <c r="E95" i="27"/>
  <c r="E120" i="27"/>
  <c r="F120" i="27"/>
  <c r="G120" i="27"/>
  <c r="H120" i="27"/>
  <c r="I120" i="27"/>
  <c r="J120" i="27"/>
  <c r="K120" i="27"/>
  <c r="L120" i="27"/>
  <c r="M120" i="27"/>
  <c r="N120" i="27"/>
  <c r="O120" i="27"/>
  <c r="P120" i="27"/>
  <c r="Q121" i="27"/>
  <c r="Q122" i="27"/>
  <c r="Q123" i="27"/>
  <c r="Q124" i="27"/>
  <c r="Q125" i="27"/>
  <c r="Q126" i="27"/>
  <c r="Q127" i="27"/>
  <c r="Q397" i="27"/>
  <c r="Q396" i="27"/>
  <c r="Q395" i="27"/>
  <c r="Q394" i="27"/>
  <c r="Q393" i="27"/>
  <c r="Q392" i="27"/>
  <c r="Q391" i="27"/>
  <c r="Q262" i="27"/>
  <c r="Q261" i="27"/>
  <c r="Q260" i="27"/>
  <c r="Q259" i="27"/>
  <c r="Q258" i="27"/>
  <c r="Q257" i="27"/>
  <c r="Q256" i="27"/>
  <c r="E30" i="27"/>
  <c r="HP60" i="3"/>
  <c r="X58" i="22"/>
  <c r="L58" i="22"/>
  <c r="X60" i="3"/>
  <c r="L60" i="3"/>
  <c r="HP58" i="22"/>
  <c r="HQ58" i="22"/>
  <c r="HR58" i="22"/>
  <c r="HS58" i="22"/>
  <c r="HT58" i="22"/>
  <c r="HU58" i="22"/>
  <c r="HV58" i="22"/>
  <c r="HW58" i="22"/>
  <c r="HX58" i="22"/>
  <c r="HY58" i="22"/>
  <c r="HD58" i="22"/>
  <c r="HE58" i="22"/>
  <c r="HF58" i="22"/>
  <c r="HG58" i="22"/>
  <c r="HH58" i="22"/>
  <c r="HI58" i="22"/>
  <c r="HJ58" i="22"/>
  <c r="HK58" i="22"/>
  <c r="HL58" i="22"/>
  <c r="HM58" i="22"/>
  <c r="GS81" i="22"/>
  <c r="GT81" i="22"/>
  <c r="GU81" i="22"/>
  <c r="GV81" i="22"/>
  <c r="GW81" i="22"/>
  <c r="GX81" i="22"/>
  <c r="GY81" i="22"/>
  <c r="GZ81" i="22"/>
  <c r="HA81" i="22"/>
  <c r="DX81" i="22"/>
  <c r="DM81" i="22"/>
  <c r="DN81" i="22"/>
  <c r="DO81" i="22"/>
  <c r="DP81" i="22"/>
  <c r="DQ81" i="22"/>
  <c r="DR81" i="22"/>
  <c r="DT81" i="22"/>
  <c r="DU81" i="22"/>
  <c r="DI81" i="22"/>
  <c r="DA81" i="22"/>
  <c r="DB81" i="22"/>
  <c r="DC81" i="22"/>
  <c r="DD81" i="22"/>
  <c r="DE81" i="22"/>
  <c r="DF81" i="22"/>
  <c r="DH81" i="22"/>
  <c r="BX81" i="22"/>
  <c r="BO58" i="22"/>
  <c r="BK58" i="22" s="1"/>
  <c r="HQ60" i="3"/>
  <c r="HR60" i="3"/>
  <c r="HS60" i="3"/>
  <c r="HT60" i="3"/>
  <c r="HU60" i="3"/>
  <c r="HV60" i="3"/>
  <c r="HW60" i="3"/>
  <c r="HX60" i="3"/>
  <c r="HY60" i="3"/>
  <c r="HD60" i="3"/>
  <c r="HE60" i="3"/>
  <c r="HF60" i="3"/>
  <c r="HG60" i="3"/>
  <c r="HH60" i="3"/>
  <c r="HI60" i="3"/>
  <c r="HJ60" i="3"/>
  <c r="HK60" i="3"/>
  <c r="HL60" i="3"/>
  <c r="HM60" i="3"/>
  <c r="CN60" i="3"/>
  <c r="CO60" i="3"/>
  <c r="CP60" i="3"/>
  <c r="CQ60" i="3"/>
  <c r="CR60" i="3"/>
  <c r="CS60" i="3"/>
  <c r="CT60" i="3"/>
  <c r="CU60" i="3"/>
  <c r="CV60" i="3"/>
  <c r="CW60" i="3"/>
  <c r="BO60" i="3"/>
  <c r="BK60" i="3"/>
  <c r="L26" i="16"/>
  <c r="J26" i="16"/>
  <c r="B26" i="16"/>
  <c r="CO48" i="3"/>
  <c r="CP48" i="3"/>
  <c r="CQ48" i="3"/>
  <c r="CR48" i="3"/>
  <c r="CS48" i="3"/>
  <c r="CT48" i="3"/>
  <c r="CU48" i="3"/>
  <c r="CV48" i="3"/>
  <c r="CW48" i="3"/>
  <c r="CO49" i="3"/>
  <c r="CP49" i="3"/>
  <c r="CQ49" i="3"/>
  <c r="CR49" i="3"/>
  <c r="CS49" i="3"/>
  <c r="CT49" i="3"/>
  <c r="CU49" i="3"/>
  <c r="CV49" i="3"/>
  <c r="CW49" i="3"/>
  <c r="CO50" i="3"/>
  <c r="CP50" i="3"/>
  <c r="CQ50" i="3"/>
  <c r="CR50" i="3"/>
  <c r="CS50" i="3"/>
  <c r="CT50" i="3"/>
  <c r="CU50" i="3"/>
  <c r="CV50" i="3"/>
  <c r="CW50" i="3"/>
  <c r="CO51" i="3"/>
  <c r="CP51" i="3"/>
  <c r="CR51" i="3"/>
  <c r="CS51" i="3"/>
  <c r="CT51" i="3"/>
  <c r="CU51" i="3"/>
  <c r="CV51" i="3"/>
  <c r="CW51" i="3"/>
  <c r="CO52" i="3"/>
  <c r="CP52" i="3"/>
  <c r="CQ52" i="3"/>
  <c r="CR52" i="3"/>
  <c r="CS52" i="3"/>
  <c r="CT52" i="3"/>
  <c r="CU52" i="3"/>
  <c r="CV52" i="3"/>
  <c r="CW52" i="3"/>
  <c r="CO53" i="3"/>
  <c r="CP53" i="3"/>
  <c r="CQ53" i="3"/>
  <c r="CR53" i="3"/>
  <c r="CS53" i="3"/>
  <c r="CT53" i="3"/>
  <c r="CU53" i="3"/>
  <c r="CV53" i="3"/>
  <c r="CW53" i="3"/>
  <c r="CO54" i="3"/>
  <c r="CP54" i="3"/>
  <c r="CQ54" i="3"/>
  <c r="CR54" i="3"/>
  <c r="CS54" i="3"/>
  <c r="CT54" i="3"/>
  <c r="CU54" i="3"/>
  <c r="CV54" i="3"/>
  <c r="CW54" i="3"/>
  <c r="CO55" i="3"/>
  <c r="CP55" i="3"/>
  <c r="CQ55" i="3"/>
  <c r="CR55" i="3"/>
  <c r="CS55" i="3"/>
  <c r="CT55" i="3"/>
  <c r="CU55" i="3"/>
  <c r="CV55" i="3"/>
  <c r="CW55" i="3"/>
  <c r="CO56" i="3"/>
  <c r="CP56" i="3"/>
  <c r="CQ56" i="3"/>
  <c r="CR56" i="3"/>
  <c r="CS56" i="3"/>
  <c r="CT56" i="3"/>
  <c r="CU56" i="3"/>
  <c r="CV56" i="3"/>
  <c r="CW56" i="3"/>
  <c r="CO57" i="3"/>
  <c r="CP57" i="3"/>
  <c r="CQ57" i="3"/>
  <c r="CR57" i="3"/>
  <c r="CS57" i="3"/>
  <c r="CT57" i="3"/>
  <c r="CU57" i="3"/>
  <c r="CV57" i="3"/>
  <c r="CW57" i="3"/>
  <c r="CO58" i="3"/>
  <c r="CP58" i="3"/>
  <c r="CQ58" i="3"/>
  <c r="CR58" i="3"/>
  <c r="CS58" i="3"/>
  <c r="CT58" i="3"/>
  <c r="CU58" i="3"/>
  <c r="CV58" i="3"/>
  <c r="CW58" i="3"/>
  <c r="CO59" i="3"/>
  <c r="CP59" i="3"/>
  <c r="CQ59" i="3"/>
  <c r="CR59" i="3"/>
  <c r="CS59" i="3"/>
  <c r="CT59" i="3"/>
  <c r="CU59" i="3"/>
  <c r="CV59" i="3"/>
  <c r="CW59" i="3"/>
  <c r="CO47" i="3"/>
  <c r="CP47" i="3"/>
  <c r="CQ47" i="3"/>
  <c r="CR47" i="3"/>
  <c r="CS47" i="3"/>
  <c r="CT47" i="3"/>
  <c r="CU47" i="3"/>
  <c r="CV47" i="3"/>
  <c r="CW47" i="3"/>
  <c r="CQ6" i="3"/>
  <c r="CR5" i="3"/>
  <c r="CB7" i="3"/>
  <c r="CB6" i="3"/>
  <c r="CB5" i="3"/>
  <c r="CP5" i="3" l="1"/>
  <c r="CQ5" i="3"/>
  <c r="CO6" i="3"/>
  <c r="CP7" i="3"/>
  <c r="CQ7" i="3"/>
  <c r="CU6" i="3"/>
  <c r="CO5" i="3"/>
  <c r="CS7" i="3"/>
  <c r="CP6" i="3"/>
  <c r="CO7" i="3"/>
  <c r="CW6" i="3"/>
  <c r="CV6" i="3"/>
  <c r="CT6" i="3"/>
  <c r="CS5" i="3"/>
  <c r="CS6" i="3"/>
  <c r="CR6" i="3"/>
  <c r="CR7" i="3"/>
  <c r="HM81" i="22"/>
  <c r="HP81" i="22"/>
  <c r="E364" i="27"/>
  <c r="O364" i="27"/>
  <c r="F364" i="27"/>
  <c r="P364" i="27"/>
  <c r="G364" i="27"/>
  <c r="F319" i="27"/>
  <c r="P319" i="27"/>
  <c r="G319" i="27"/>
  <c r="L229" i="27"/>
  <c r="K184" i="27"/>
  <c r="O94" i="27"/>
  <c r="L364" i="27"/>
  <c r="K319" i="27"/>
  <c r="K274" i="27"/>
  <c r="E229" i="27"/>
  <c r="O229" i="27"/>
  <c r="E184" i="27"/>
  <c r="O184" i="27"/>
  <c r="E94" i="27"/>
  <c r="P94" i="27"/>
  <c r="Q255" i="27"/>
  <c r="E111" i="27"/>
  <c r="M364" i="27"/>
  <c r="M94" i="27"/>
  <c r="G184" i="27"/>
  <c r="Q390" i="27"/>
  <c r="M184" i="27"/>
  <c r="F246" i="27"/>
  <c r="P246" i="27"/>
  <c r="Q103" i="27"/>
  <c r="Q94" i="27" s="1"/>
  <c r="L274" i="27"/>
  <c r="M274" i="27"/>
  <c r="N184" i="27"/>
  <c r="Q210" i="27"/>
  <c r="K364" i="27"/>
  <c r="F184" i="27"/>
  <c r="F201" i="27"/>
  <c r="Q373" i="27"/>
  <c r="N274" i="27"/>
  <c r="H111" i="27"/>
  <c r="M201" i="27"/>
  <c r="Q202" i="27"/>
  <c r="F274" i="27"/>
  <c r="P274" i="27"/>
  <c r="K246" i="27"/>
  <c r="Q283" i="27"/>
  <c r="Q95" i="27"/>
  <c r="P184" i="27"/>
  <c r="N201" i="27"/>
  <c r="M229" i="27"/>
  <c r="G274" i="27"/>
  <c r="Q345" i="27"/>
  <c r="Q365" i="27"/>
  <c r="E274" i="27"/>
  <c r="H336" i="27"/>
  <c r="F336" i="27"/>
  <c r="P336" i="27"/>
  <c r="Q328" i="27"/>
  <c r="Q319" i="27" s="1"/>
  <c r="Q120" i="27"/>
  <c r="L201" i="27"/>
  <c r="G94" i="27"/>
  <c r="G229" i="27"/>
  <c r="I274" i="27"/>
  <c r="Q308" i="27"/>
  <c r="G336" i="27"/>
  <c r="Q320" i="27"/>
  <c r="Q112" i="27"/>
  <c r="E201" i="27"/>
  <c r="Q193" i="27"/>
  <c r="Q184" i="27" s="1"/>
  <c r="Q238" i="27"/>
  <c r="J274" i="27"/>
  <c r="E246" i="27"/>
  <c r="Q300" i="27"/>
  <c r="Q353" i="27"/>
  <c r="Q398" i="27"/>
  <c r="M291" i="27"/>
  <c r="E291" i="27"/>
  <c r="O201" i="27"/>
  <c r="K201" i="27"/>
  <c r="P201" i="27"/>
  <c r="Q218" i="27"/>
  <c r="M111" i="27"/>
  <c r="L319" i="27"/>
  <c r="M319" i="27"/>
  <c r="N319" i="27"/>
  <c r="E319" i="27"/>
  <c r="O319" i="27"/>
  <c r="Q275" i="27"/>
  <c r="Q274" i="27" s="1"/>
  <c r="I229" i="27"/>
  <c r="Q230" i="27"/>
  <c r="Q229" i="27" s="1"/>
  <c r="K229" i="27"/>
  <c r="L184" i="27"/>
  <c r="Q185" i="27"/>
  <c r="F94" i="27"/>
  <c r="K336" i="27"/>
  <c r="Q337" i="27"/>
  <c r="M336" i="27"/>
  <c r="N336" i="27"/>
  <c r="E336" i="27"/>
  <c r="O336" i="27"/>
  <c r="Q292" i="27"/>
  <c r="N291" i="27"/>
  <c r="P291" i="27"/>
  <c r="Q247" i="27"/>
  <c r="Q246" i="27" s="1"/>
  <c r="I201" i="27"/>
  <c r="J201" i="27"/>
  <c r="G201" i="27"/>
  <c r="H201" i="27"/>
  <c r="F111" i="27"/>
  <c r="P111" i="27"/>
  <c r="G111" i="27"/>
  <c r="N364" i="27"/>
  <c r="H364" i="27"/>
  <c r="I364" i="27"/>
  <c r="J364" i="27"/>
  <c r="L336" i="27"/>
  <c r="I336" i="27"/>
  <c r="J336" i="27"/>
  <c r="I319" i="27"/>
  <c r="H319" i="27"/>
  <c r="J319" i="27"/>
  <c r="Q291" i="27"/>
  <c r="O291" i="27"/>
  <c r="F291" i="27"/>
  <c r="J291" i="27"/>
  <c r="L291" i="27"/>
  <c r="K291" i="27"/>
  <c r="H291" i="27"/>
  <c r="I291" i="27"/>
  <c r="H274" i="27"/>
  <c r="L246" i="27"/>
  <c r="M246" i="27"/>
  <c r="N246" i="27"/>
  <c r="O246" i="27"/>
  <c r="H246" i="27"/>
  <c r="I246" i="27"/>
  <c r="J246" i="27"/>
  <c r="N229" i="27"/>
  <c r="F229" i="27"/>
  <c r="P229" i="27"/>
  <c r="H229" i="27"/>
  <c r="J229" i="27"/>
  <c r="H184" i="27"/>
  <c r="I184" i="27"/>
  <c r="J184" i="27"/>
  <c r="N111" i="27"/>
  <c r="Q128" i="27"/>
  <c r="O111" i="27"/>
  <c r="I111" i="27"/>
  <c r="J111" i="27"/>
  <c r="K111" i="27"/>
  <c r="L111" i="27"/>
  <c r="N94" i="27"/>
  <c r="H94" i="27"/>
  <c r="I94" i="27"/>
  <c r="J94" i="27"/>
  <c r="CV5" i="3"/>
  <c r="CT5" i="3"/>
  <c r="CW5" i="3"/>
  <c r="CU5" i="3"/>
  <c r="CT7" i="3"/>
  <c r="CU7" i="3"/>
  <c r="CV7" i="3"/>
  <c r="CW7" i="3"/>
  <c r="Q364" i="27" l="1"/>
  <c r="Q336" i="27"/>
  <c r="Q111" i="27"/>
  <c r="Q201" i="27"/>
  <c r="O120" i="5"/>
  <c r="O119" i="5"/>
  <c r="O118" i="5"/>
  <c r="O117" i="5"/>
  <c r="O116" i="5"/>
  <c r="O115" i="5"/>
  <c r="O114" i="5"/>
  <c r="O113" i="5"/>
  <c r="O112" i="5"/>
  <c r="O111" i="5"/>
  <c r="O110" i="5"/>
  <c r="O109" i="5"/>
  <c r="AY398" i="27"/>
  <c r="AX398" i="27"/>
  <c r="AW398" i="27"/>
  <c r="AV398" i="27"/>
  <c r="AU398" i="27"/>
  <c r="AT398" i="27"/>
  <c r="AN398" i="27"/>
  <c r="AN381" i="27" s="1"/>
  <c r="AM398" i="27"/>
  <c r="AM381" i="27" s="1"/>
  <c r="AY390" i="27"/>
  <c r="AX390" i="27"/>
  <c r="AW390" i="27"/>
  <c r="AV390" i="27"/>
  <c r="AU390" i="27"/>
  <c r="AT390" i="27"/>
  <c r="AM390" i="27"/>
  <c r="AY382" i="27"/>
  <c r="AX382" i="27"/>
  <c r="AW382" i="27"/>
  <c r="AV382" i="27"/>
  <c r="AU382" i="27"/>
  <c r="AT382" i="27"/>
  <c r="AN382" i="27"/>
  <c r="AM382" i="27"/>
  <c r="AY373" i="27"/>
  <c r="AX373" i="27"/>
  <c r="AW373" i="27"/>
  <c r="AV373" i="27"/>
  <c r="AU373" i="27"/>
  <c r="AT373" i="27"/>
  <c r="AN373" i="27"/>
  <c r="AM373" i="27"/>
  <c r="AY365" i="27"/>
  <c r="AX365" i="27"/>
  <c r="AX364" i="27" s="1"/>
  <c r="AW365" i="27"/>
  <c r="AV365" i="27"/>
  <c r="AU365" i="27"/>
  <c r="AT365" i="27"/>
  <c r="AN365" i="27"/>
  <c r="AM365" i="27"/>
  <c r="AY353" i="27"/>
  <c r="AX353" i="27"/>
  <c r="AW353" i="27"/>
  <c r="AV353" i="27"/>
  <c r="AU353" i="27"/>
  <c r="AT353" i="27"/>
  <c r="AN353" i="27"/>
  <c r="AM353" i="27"/>
  <c r="AY345" i="27"/>
  <c r="AX345" i="27"/>
  <c r="AW345" i="27"/>
  <c r="AV345" i="27"/>
  <c r="AU345" i="27"/>
  <c r="AT345" i="27"/>
  <c r="AM345" i="27"/>
  <c r="AY337" i="27"/>
  <c r="AX337" i="27"/>
  <c r="AW337" i="27"/>
  <c r="AV337" i="27"/>
  <c r="AV336" i="27" s="1"/>
  <c r="AU337" i="27"/>
  <c r="AT337" i="27"/>
  <c r="AN337" i="27"/>
  <c r="AM337" i="27"/>
  <c r="AY328" i="27"/>
  <c r="AX328" i="27"/>
  <c r="AW328" i="27"/>
  <c r="AV328" i="27"/>
  <c r="AU328" i="27"/>
  <c r="AT328" i="27"/>
  <c r="AN328" i="27"/>
  <c r="AM328" i="27"/>
  <c r="AY320" i="27"/>
  <c r="AX320" i="27"/>
  <c r="AW320" i="27"/>
  <c r="AV320" i="27"/>
  <c r="AV319" i="27" s="1"/>
  <c r="AU320" i="27"/>
  <c r="AT320" i="27"/>
  <c r="AN320" i="27"/>
  <c r="AM320" i="27"/>
  <c r="AY308" i="27"/>
  <c r="AX308" i="27"/>
  <c r="AW308" i="27"/>
  <c r="AV308" i="27"/>
  <c r="AU308" i="27"/>
  <c r="AT308" i="27"/>
  <c r="AN308" i="27"/>
  <c r="AM308" i="27"/>
  <c r="AY300" i="27"/>
  <c r="AX300" i="27"/>
  <c r="AW300" i="27"/>
  <c r="AV300" i="27"/>
  <c r="AU300" i="27"/>
  <c r="AT300" i="27"/>
  <c r="AM300" i="27"/>
  <c r="AY292" i="27"/>
  <c r="AX292" i="27"/>
  <c r="AW292" i="27"/>
  <c r="AV292" i="27"/>
  <c r="AU292" i="27"/>
  <c r="AT292" i="27"/>
  <c r="AN292" i="27"/>
  <c r="AM292" i="27"/>
  <c r="AY283" i="27"/>
  <c r="AX283" i="27"/>
  <c r="AW283" i="27"/>
  <c r="AV283" i="27"/>
  <c r="AU283" i="27"/>
  <c r="AT283" i="27"/>
  <c r="AN283" i="27"/>
  <c r="AM283" i="27"/>
  <c r="AY275" i="27"/>
  <c r="AX275" i="27"/>
  <c r="AX274" i="27" s="1"/>
  <c r="AW275" i="27"/>
  <c r="AW274" i="27" s="1"/>
  <c r="AV275" i="27"/>
  <c r="AV274" i="27" s="1"/>
  <c r="AU275" i="27"/>
  <c r="AT275" i="27"/>
  <c r="AN275" i="27"/>
  <c r="AN274" i="27" s="1"/>
  <c r="AM275" i="27"/>
  <c r="AY263" i="27"/>
  <c r="AX263" i="27"/>
  <c r="AW263" i="27"/>
  <c r="AV263" i="27"/>
  <c r="AU263" i="27"/>
  <c r="AT263" i="27"/>
  <c r="AN263" i="27"/>
  <c r="AM263" i="27"/>
  <c r="AY255" i="27"/>
  <c r="AX255" i="27"/>
  <c r="AW255" i="27"/>
  <c r="AV255" i="27"/>
  <c r="AU255" i="27"/>
  <c r="AT255" i="27"/>
  <c r="AM255" i="27"/>
  <c r="AY247" i="27"/>
  <c r="AX247" i="27"/>
  <c r="AW247" i="27"/>
  <c r="AV247" i="27"/>
  <c r="AU247" i="27"/>
  <c r="AT247" i="27"/>
  <c r="AN247" i="27"/>
  <c r="AM247" i="27"/>
  <c r="AY238" i="27"/>
  <c r="AX238" i="27"/>
  <c r="AW238" i="27"/>
  <c r="AV238" i="27"/>
  <c r="AU238" i="27"/>
  <c r="AT238" i="27"/>
  <c r="AN238" i="27"/>
  <c r="AM238" i="27"/>
  <c r="AY230" i="27"/>
  <c r="AX230" i="27"/>
  <c r="AW230" i="27"/>
  <c r="AV230" i="27"/>
  <c r="AU230" i="27"/>
  <c r="AT230" i="27"/>
  <c r="AT229" i="27" s="1"/>
  <c r="AN230" i="27"/>
  <c r="AM230" i="27"/>
  <c r="AY218" i="27"/>
  <c r="AX218" i="27"/>
  <c r="AW218" i="27"/>
  <c r="AV218" i="27"/>
  <c r="AU218" i="27"/>
  <c r="AT218" i="27"/>
  <c r="AN218" i="27"/>
  <c r="AM218" i="27"/>
  <c r="AY210" i="27"/>
  <c r="AX210" i="27"/>
  <c r="AW210" i="27"/>
  <c r="AV210" i="27"/>
  <c r="AU210" i="27"/>
  <c r="AT210" i="27"/>
  <c r="AM210" i="27"/>
  <c r="AY202" i="27"/>
  <c r="AX202" i="27"/>
  <c r="AX201" i="27" s="1"/>
  <c r="AW202" i="27"/>
  <c r="AV202" i="27"/>
  <c r="AU202" i="27"/>
  <c r="AT202" i="27"/>
  <c r="AN202" i="27"/>
  <c r="AM202" i="27"/>
  <c r="AY193" i="27"/>
  <c r="AX193" i="27"/>
  <c r="AW193" i="27"/>
  <c r="AV193" i="27"/>
  <c r="AU193" i="27"/>
  <c r="AT193" i="27"/>
  <c r="AN193" i="27"/>
  <c r="AM193" i="27"/>
  <c r="AY185" i="27"/>
  <c r="AX185" i="27"/>
  <c r="AX184" i="27" s="1"/>
  <c r="AW185" i="27"/>
  <c r="AV185" i="27"/>
  <c r="AV184" i="27" s="1"/>
  <c r="AU185" i="27"/>
  <c r="AU184" i="27" s="1"/>
  <c r="AT185" i="27"/>
  <c r="AT184" i="27" s="1"/>
  <c r="AN185" i="27"/>
  <c r="AN184" i="27" s="1"/>
  <c r="AM185" i="27"/>
  <c r="AY180" i="27"/>
  <c r="AY179" i="27"/>
  <c r="AY178" i="27"/>
  <c r="AY177" i="27"/>
  <c r="AY176" i="27"/>
  <c r="AY175" i="27"/>
  <c r="AY174" i="27"/>
  <c r="AX173" i="27"/>
  <c r="AW173" i="27"/>
  <c r="AV173" i="27"/>
  <c r="AU173" i="27"/>
  <c r="AT173" i="27"/>
  <c r="AN173" i="27"/>
  <c r="AM173" i="27"/>
  <c r="AY172" i="27"/>
  <c r="AY171" i="27"/>
  <c r="AY170" i="27"/>
  <c r="AY169" i="27"/>
  <c r="AY168" i="27"/>
  <c r="AY167" i="27"/>
  <c r="AY166" i="27"/>
  <c r="AX165" i="27"/>
  <c r="AW165" i="27"/>
  <c r="AV165" i="27"/>
  <c r="AU165" i="27"/>
  <c r="AU156" i="27" s="1"/>
  <c r="AT165" i="27"/>
  <c r="AM165" i="27"/>
  <c r="AY164" i="27"/>
  <c r="AY163" i="27"/>
  <c r="AY162" i="27"/>
  <c r="AY161" i="27"/>
  <c r="AY160" i="27"/>
  <c r="AY159" i="27"/>
  <c r="AY158" i="27"/>
  <c r="AX157" i="27"/>
  <c r="AW157" i="27"/>
  <c r="AV157" i="27"/>
  <c r="AU157" i="27"/>
  <c r="AT157" i="27"/>
  <c r="AN157" i="27"/>
  <c r="AM157" i="27"/>
  <c r="AX156" i="27"/>
  <c r="AY155" i="27"/>
  <c r="AY154" i="27"/>
  <c r="AY153" i="27"/>
  <c r="AY152" i="27"/>
  <c r="AY151" i="27"/>
  <c r="AY150" i="27"/>
  <c r="AY149" i="27"/>
  <c r="AX148" i="27"/>
  <c r="AW148" i="27"/>
  <c r="AV148" i="27"/>
  <c r="AU148" i="27"/>
  <c r="AT148" i="27"/>
  <c r="AN148" i="27"/>
  <c r="AM148" i="27"/>
  <c r="AY147" i="27"/>
  <c r="AY146" i="27"/>
  <c r="AY145" i="27"/>
  <c r="AY144" i="27"/>
  <c r="AY143" i="27"/>
  <c r="AY142" i="27"/>
  <c r="AY141" i="27"/>
  <c r="AX140" i="27"/>
  <c r="AW140" i="27"/>
  <c r="AV140" i="27"/>
  <c r="AU140" i="27"/>
  <c r="AT140" i="27"/>
  <c r="AN140" i="27"/>
  <c r="AM140" i="27"/>
  <c r="AX139" i="27"/>
  <c r="AW139" i="27"/>
  <c r="AY90" i="27"/>
  <c r="AY89" i="27"/>
  <c r="AY88" i="27"/>
  <c r="AY87" i="27"/>
  <c r="AY86" i="27"/>
  <c r="AY85" i="27"/>
  <c r="AY84" i="27"/>
  <c r="AX83" i="27"/>
  <c r="AW83" i="27"/>
  <c r="AV83" i="27"/>
  <c r="AU83" i="27"/>
  <c r="AT83" i="27"/>
  <c r="AN83" i="27"/>
  <c r="AM83" i="27"/>
  <c r="AY82" i="27"/>
  <c r="AY81" i="27"/>
  <c r="AY80" i="27"/>
  <c r="AY79" i="27"/>
  <c r="AY78" i="27"/>
  <c r="AY77" i="27"/>
  <c r="AY76" i="27"/>
  <c r="AX75" i="27"/>
  <c r="AW75" i="27"/>
  <c r="AV75" i="27"/>
  <c r="AV66" i="27" s="1"/>
  <c r="AU75" i="27"/>
  <c r="AU66" i="27" s="1"/>
  <c r="AT75" i="27"/>
  <c r="AM75" i="27"/>
  <c r="AY74" i="27"/>
  <c r="AY73" i="27"/>
  <c r="AY72" i="27"/>
  <c r="AY71" i="27"/>
  <c r="AY70" i="27"/>
  <c r="AY69" i="27"/>
  <c r="AY68" i="27"/>
  <c r="AX67" i="27"/>
  <c r="AW67" i="27"/>
  <c r="AV67" i="27"/>
  <c r="AU67" i="27"/>
  <c r="AT67" i="27"/>
  <c r="AN67" i="27"/>
  <c r="AM67" i="27"/>
  <c r="AY65" i="27"/>
  <c r="AY64" i="27"/>
  <c r="AY63" i="27"/>
  <c r="AY62" i="27"/>
  <c r="AY61" i="27"/>
  <c r="AY60" i="27"/>
  <c r="AY59" i="27"/>
  <c r="AX58" i="27"/>
  <c r="AW58" i="27"/>
  <c r="AV58" i="27"/>
  <c r="AU58" i="27"/>
  <c r="AT58" i="27"/>
  <c r="AN58" i="27"/>
  <c r="AM58" i="27"/>
  <c r="AY57" i="27"/>
  <c r="AY56" i="27"/>
  <c r="AY55" i="27"/>
  <c r="AY54" i="27"/>
  <c r="AY53" i="27"/>
  <c r="AY52" i="27"/>
  <c r="AY51" i="27"/>
  <c r="AX50" i="27"/>
  <c r="AW50" i="27"/>
  <c r="AV50" i="27"/>
  <c r="AU50" i="27"/>
  <c r="AT50" i="27"/>
  <c r="AN50" i="27"/>
  <c r="AM50" i="27"/>
  <c r="AW49" i="27"/>
  <c r="AY45" i="27"/>
  <c r="AY44" i="27"/>
  <c r="AY43" i="27"/>
  <c r="AY42" i="27"/>
  <c r="AY41" i="27"/>
  <c r="AY40" i="27"/>
  <c r="AY39" i="27"/>
  <c r="AX38" i="27"/>
  <c r="AW38" i="27"/>
  <c r="AV38" i="27"/>
  <c r="AU38" i="27"/>
  <c r="AT38" i="27"/>
  <c r="AN38" i="27"/>
  <c r="AM38" i="27"/>
  <c r="AY37" i="27"/>
  <c r="AY36" i="27"/>
  <c r="AY35" i="27"/>
  <c r="AY34" i="27"/>
  <c r="AY33" i="27"/>
  <c r="AY32" i="27"/>
  <c r="AY31" i="27"/>
  <c r="AX30" i="27"/>
  <c r="AW30" i="27"/>
  <c r="AW21" i="27" s="1"/>
  <c r="AV30" i="27"/>
  <c r="AU30" i="27"/>
  <c r="AT30" i="27"/>
  <c r="AM30" i="27"/>
  <c r="AY29" i="27"/>
  <c r="AY28" i="27"/>
  <c r="AY27" i="27"/>
  <c r="AY26" i="27"/>
  <c r="AY25" i="27"/>
  <c r="AY24" i="27"/>
  <c r="AY23" i="27"/>
  <c r="AX22" i="27"/>
  <c r="AW22" i="27"/>
  <c r="AV22" i="27"/>
  <c r="AU22" i="27"/>
  <c r="AT22" i="27"/>
  <c r="AN22" i="27"/>
  <c r="AM22" i="27"/>
  <c r="AY20" i="27"/>
  <c r="AY19" i="27"/>
  <c r="AY18" i="27"/>
  <c r="AY17" i="27"/>
  <c r="AY16" i="27"/>
  <c r="AY15" i="27"/>
  <c r="AY14" i="27"/>
  <c r="AX13" i="27"/>
  <c r="AW13" i="27"/>
  <c r="AV13" i="27"/>
  <c r="AU13" i="27"/>
  <c r="AT13" i="27"/>
  <c r="AN13" i="27"/>
  <c r="AM13" i="27"/>
  <c r="AY12" i="27"/>
  <c r="AY11" i="27"/>
  <c r="AY10" i="27"/>
  <c r="AY9" i="27"/>
  <c r="AY8" i="27"/>
  <c r="AY7" i="27"/>
  <c r="AY6" i="27"/>
  <c r="AX5" i="27"/>
  <c r="AW5" i="27"/>
  <c r="AV5" i="27"/>
  <c r="AU5" i="27"/>
  <c r="AU4" i="27" s="1"/>
  <c r="AT5" i="27"/>
  <c r="AN5" i="27"/>
  <c r="AM5" i="27"/>
  <c r="AX4" i="27"/>
  <c r="AW4" i="27"/>
  <c r="Q180" i="27"/>
  <c r="Q179" i="27"/>
  <c r="Q178" i="27"/>
  <c r="Q177" i="27"/>
  <c r="Q176" i="27"/>
  <c r="Q175" i="27"/>
  <c r="Q174" i="27"/>
  <c r="Q172" i="27"/>
  <c r="Q171" i="27"/>
  <c r="Q170" i="27"/>
  <c r="Q169" i="27"/>
  <c r="Q168" i="27"/>
  <c r="Q167" i="27"/>
  <c r="Q166" i="27"/>
  <c r="Q164" i="27"/>
  <c r="Q163" i="27"/>
  <c r="Q162" i="27"/>
  <c r="Q161" i="27"/>
  <c r="Q160" i="27"/>
  <c r="Q159" i="27"/>
  <c r="Q158" i="27"/>
  <c r="P157" i="27"/>
  <c r="P156" i="27" s="1"/>
  <c r="O157" i="27"/>
  <c r="O156" i="27" s="1"/>
  <c r="N157" i="27"/>
  <c r="N156" i="27" s="1"/>
  <c r="M157" i="27"/>
  <c r="M156" i="27" s="1"/>
  <c r="L157" i="27"/>
  <c r="L156" i="27" s="1"/>
  <c r="K157" i="27"/>
  <c r="J157" i="27"/>
  <c r="J156" i="27" s="1"/>
  <c r="I157" i="27"/>
  <c r="I156" i="27" s="1"/>
  <c r="H157" i="27"/>
  <c r="H156" i="27" s="1"/>
  <c r="G157" i="27"/>
  <c r="G156" i="27" s="1"/>
  <c r="F157" i="27"/>
  <c r="F156" i="27" s="1"/>
  <c r="E157" i="27"/>
  <c r="E156" i="27" s="1"/>
  <c r="K156" i="27"/>
  <c r="Q155" i="27"/>
  <c r="Q154" i="27"/>
  <c r="Q153" i="27"/>
  <c r="Q152" i="27"/>
  <c r="Q151" i="27"/>
  <c r="Q150" i="27"/>
  <c r="Q149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Q147" i="27"/>
  <c r="Q146" i="27"/>
  <c r="Q145" i="27"/>
  <c r="Q144" i="27"/>
  <c r="Q143" i="27"/>
  <c r="Q142" i="27"/>
  <c r="Q141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Q90" i="27"/>
  <c r="Q89" i="27"/>
  <c r="Q88" i="27"/>
  <c r="Q87" i="27"/>
  <c r="Q86" i="27"/>
  <c r="Q85" i="27"/>
  <c r="Q84" i="27"/>
  <c r="P83" i="27"/>
  <c r="O83" i="27"/>
  <c r="O66" i="27" s="1"/>
  <c r="N83" i="27"/>
  <c r="M83" i="27"/>
  <c r="L83" i="27"/>
  <c r="K83" i="27"/>
  <c r="J83" i="27"/>
  <c r="I83" i="27"/>
  <c r="H83" i="27"/>
  <c r="G83" i="27"/>
  <c r="F83" i="27"/>
  <c r="E83" i="27"/>
  <c r="Q82" i="27"/>
  <c r="Q81" i="27"/>
  <c r="Q80" i="27"/>
  <c r="Q79" i="27"/>
  <c r="Q78" i="27"/>
  <c r="Q77" i="27"/>
  <c r="Q76" i="27"/>
  <c r="P75" i="27"/>
  <c r="O75" i="27"/>
  <c r="N75" i="27"/>
  <c r="N66" i="27" s="1"/>
  <c r="M75" i="27"/>
  <c r="L75" i="27"/>
  <c r="K75" i="27"/>
  <c r="J75" i="27"/>
  <c r="I75" i="27"/>
  <c r="H75" i="27"/>
  <c r="G75" i="27"/>
  <c r="F75" i="27"/>
  <c r="E75" i="27"/>
  <c r="E66" i="27" s="1"/>
  <c r="Q74" i="27"/>
  <c r="Q73" i="27"/>
  <c r="Q72" i="27"/>
  <c r="Q71" i="27"/>
  <c r="Q70" i="27"/>
  <c r="Q69" i="27"/>
  <c r="Q68" i="27"/>
  <c r="P67" i="27"/>
  <c r="O67" i="27"/>
  <c r="N67" i="27"/>
  <c r="M67" i="27"/>
  <c r="L67" i="27"/>
  <c r="K67" i="27"/>
  <c r="J67" i="27"/>
  <c r="J66" i="27" s="1"/>
  <c r="I67" i="27"/>
  <c r="H67" i="27"/>
  <c r="G67" i="27"/>
  <c r="F67" i="27"/>
  <c r="E67" i="27"/>
  <c r="M66" i="27"/>
  <c r="Q65" i="27"/>
  <c r="Q64" i="27"/>
  <c r="Q63" i="27"/>
  <c r="Q62" i="27"/>
  <c r="Q61" i="27"/>
  <c r="Q60" i="27"/>
  <c r="Q59" i="27"/>
  <c r="P58" i="27"/>
  <c r="P49" i="27" s="1"/>
  <c r="O58" i="27"/>
  <c r="N58" i="27"/>
  <c r="M58" i="27"/>
  <c r="M49" i="27" s="1"/>
  <c r="L58" i="27"/>
  <c r="K58" i="27"/>
  <c r="J58" i="27"/>
  <c r="I58" i="27"/>
  <c r="H58" i="27"/>
  <c r="H49" i="27" s="1"/>
  <c r="G58" i="27"/>
  <c r="G49" i="27" s="1"/>
  <c r="F58" i="27"/>
  <c r="F49" i="27" s="1"/>
  <c r="E58" i="27"/>
  <c r="Q57" i="27"/>
  <c r="Q56" i="27"/>
  <c r="Q55" i="27"/>
  <c r="Q54" i="27"/>
  <c r="Q53" i="27"/>
  <c r="Q52" i="27"/>
  <c r="Q51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Q45" i="27"/>
  <c r="Q44" i="27"/>
  <c r="Q43" i="27"/>
  <c r="Q42" i="27"/>
  <c r="Q41" i="27"/>
  <c r="Q40" i="27"/>
  <c r="Q39" i="27"/>
  <c r="Q38" i="27" s="1"/>
  <c r="P38" i="27"/>
  <c r="O38" i="27"/>
  <c r="N38" i="27"/>
  <c r="M38" i="27"/>
  <c r="L38" i="27"/>
  <c r="K38" i="27"/>
  <c r="J38" i="27"/>
  <c r="I38" i="27"/>
  <c r="H38" i="27"/>
  <c r="G38" i="27"/>
  <c r="F38" i="27"/>
  <c r="E38" i="27"/>
  <c r="Q37" i="27"/>
  <c r="Q36" i="27"/>
  <c r="Q35" i="27"/>
  <c r="Q34" i="27"/>
  <c r="Q33" i="27"/>
  <c r="Q32" i="27"/>
  <c r="Q31" i="27"/>
  <c r="P30" i="27"/>
  <c r="O30" i="27"/>
  <c r="N30" i="27"/>
  <c r="M30" i="27"/>
  <c r="M21" i="27" s="1"/>
  <c r="L30" i="27"/>
  <c r="K30" i="27"/>
  <c r="J30" i="27"/>
  <c r="I30" i="27"/>
  <c r="H30" i="27"/>
  <c r="G30" i="27"/>
  <c r="F30" i="27"/>
  <c r="Q29" i="27"/>
  <c r="Q28" i="27"/>
  <c r="Q27" i="27"/>
  <c r="Q26" i="27"/>
  <c r="Q25" i="27"/>
  <c r="Q24" i="27"/>
  <c r="Q23" i="27"/>
  <c r="P22" i="27"/>
  <c r="O22" i="27"/>
  <c r="N22" i="27"/>
  <c r="M22" i="27"/>
  <c r="L22" i="27"/>
  <c r="K22" i="27"/>
  <c r="K21" i="27" s="1"/>
  <c r="J22" i="27"/>
  <c r="H22" i="27"/>
  <c r="G22" i="27"/>
  <c r="F22" i="27"/>
  <c r="E22" i="27"/>
  <c r="L21" i="27"/>
  <c r="Q20" i="27"/>
  <c r="Q19" i="27"/>
  <c r="Q18" i="27"/>
  <c r="Q17" i="27"/>
  <c r="Q16" i="27"/>
  <c r="Q15" i="27"/>
  <c r="Q14" i="27"/>
  <c r="P13" i="27"/>
  <c r="O13" i="27"/>
  <c r="O4" i="27" s="1"/>
  <c r="N13" i="27"/>
  <c r="N4" i="27" s="1"/>
  <c r="M13" i="27"/>
  <c r="L13" i="27"/>
  <c r="L4" i="27" s="1"/>
  <c r="K13" i="27"/>
  <c r="J13" i="27"/>
  <c r="I13" i="27"/>
  <c r="H13" i="27"/>
  <c r="G13" i="27"/>
  <c r="F13" i="27"/>
  <c r="F4" i="27" s="1"/>
  <c r="E13" i="27"/>
  <c r="Q12" i="27"/>
  <c r="Q11" i="27"/>
  <c r="Q10" i="27"/>
  <c r="Q9" i="27"/>
  <c r="Q8" i="27"/>
  <c r="Q7" i="27"/>
  <c r="Q6" i="27"/>
  <c r="P5" i="27"/>
  <c r="O5" i="27"/>
  <c r="N5" i="27"/>
  <c r="M5" i="27"/>
  <c r="L5" i="27"/>
  <c r="K5" i="27"/>
  <c r="J5" i="27"/>
  <c r="I5" i="27"/>
  <c r="H5" i="27"/>
  <c r="G5" i="27"/>
  <c r="F5" i="27"/>
  <c r="AY95" i="27"/>
  <c r="AX95" i="27"/>
  <c r="AW95" i="27"/>
  <c r="AV95" i="27"/>
  <c r="AU95" i="27"/>
  <c r="AT95" i="27"/>
  <c r="AN95" i="27"/>
  <c r="AM95" i="27"/>
  <c r="AY103" i="27"/>
  <c r="AX103" i="27"/>
  <c r="AW103" i="27"/>
  <c r="AV103" i="27"/>
  <c r="AU103" i="27"/>
  <c r="AT103" i="27"/>
  <c r="AN103" i="27"/>
  <c r="AM103" i="27"/>
  <c r="AY112" i="27"/>
  <c r="AX112" i="27"/>
  <c r="AW112" i="27"/>
  <c r="AV112" i="27"/>
  <c r="AU112" i="27"/>
  <c r="AT112" i="27"/>
  <c r="AN112" i="27"/>
  <c r="AM112" i="27"/>
  <c r="AY120" i="27"/>
  <c r="AX120" i="27"/>
  <c r="AW120" i="27"/>
  <c r="AV120" i="27"/>
  <c r="AU120" i="27"/>
  <c r="AT120" i="27"/>
  <c r="AM120" i="27"/>
  <c r="AY128" i="27"/>
  <c r="AX128" i="27"/>
  <c r="AW128" i="27"/>
  <c r="AV128" i="27"/>
  <c r="AU128" i="27"/>
  <c r="AT128" i="27"/>
  <c r="AN128" i="27"/>
  <c r="AM128" i="27"/>
  <c r="HR81" i="22"/>
  <c r="GV80" i="22"/>
  <c r="GS80" i="22"/>
  <c r="GT80" i="22"/>
  <c r="GU80" i="22"/>
  <c r="GW80" i="22"/>
  <c r="GX80" i="22"/>
  <c r="GY80" i="22"/>
  <c r="GZ80" i="22"/>
  <c r="DX80" i="22"/>
  <c r="DZ80" i="22"/>
  <c r="DY80" i="22"/>
  <c r="HQ80" i="22" s="1"/>
  <c r="EA80" i="22"/>
  <c r="EB80" i="22"/>
  <c r="EC80" i="22"/>
  <c r="ED80" i="22"/>
  <c r="EF80" i="22"/>
  <c r="EG80" i="22"/>
  <c r="DY81" i="22"/>
  <c r="HQ81" i="22" s="1"/>
  <c r="DZ81" i="22"/>
  <c r="EA81" i="22"/>
  <c r="HS81" i="22" s="1"/>
  <c r="EB81" i="22"/>
  <c r="HT81" i="22" s="1"/>
  <c r="EC81" i="22"/>
  <c r="HU81" i="22" s="1"/>
  <c r="ED81" i="22"/>
  <c r="HV81" i="22" s="1"/>
  <c r="EF81" i="22"/>
  <c r="HX81" i="22" s="1"/>
  <c r="EG81" i="22"/>
  <c r="HY81" i="22" s="1"/>
  <c r="DX79" i="22"/>
  <c r="AT49" i="27" l="1"/>
  <c r="AT319" i="27"/>
  <c r="AT246" i="27"/>
  <c r="HX80" i="22"/>
  <c r="HY80" i="22"/>
  <c r="HU80" i="22"/>
  <c r="HV80" i="22"/>
  <c r="HR80" i="22"/>
  <c r="HS80" i="22"/>
  <c r="HT80" i="22"/>
  <c r="AY364" i="27"/>
  <c r="AN364" i="27"/>
  <c r="AM274" i="27"/>
  <c r="AM139" i="27"/>
  <c r="AM4" i="27"/>
  <c r="M4" i="27"/>
  <c r="E4" i="27"/>
  <c r="P139" i="27"/>
  <c r="H139" i="27"/>
  <c r="N21" i="27"/>
  <c r="M139" i="27"/>
  <c r="AU246" i="27"/>
  <c r="AW336" i="27"/>
  <c r="N139" i="27"/>
  <c r="Q165" i="27"/>
  <c r="AY30" i="27"/>
  <c r="AT66" i="27"/>
  <c r="AT156" i="27"/>
  <c r="AV246" i="27"/>
  <c r="AX336" i="27"/>
  <c r="AT381" i="27"/>
  <c r="O49" i="27"/>
  <c r="AV94" i="27"/>
  <c r="G139" i="27"/>
  <c r="Q140" i="27"/>
  <c r="AT4" i="27"/>
  <c r="AU21" i="27"/>
  <c r="AV21" i="27"/>
  <c r="AU49" i="27"/>
  <c r="AT139" i="27"/>
  <c r="P4" i="27"/>
  <c r="AV156" i="27"/>
  <c r="AM66" i="27"/>
  <c r="AM156" i="27"/>
  <c r="AW156" i="27"/>
  <c r="E21" i="27"/>
  <c r="AN111" i="27"/>
  <c r="AW94" i="27"/>
  <c r="I21" i="27"/>
  <c r="P66" i="27"/>
  <c r="AN94" i="27"/>
  <c r="Q5" i="27"/>
  <c r="G66" i="27"/>
  <c r="I139" i="27"/>
  <c r="J139" i="27"/>
  <c r="AN49" i="27"/>
  <c r="AX49" i="27"/>
  <c r="AM246" i="27"/>
  <c r="E49" i="27"/>
  <c r="F139" i="27"/>
  <c r="Q148" i="27"/>
  <c r="Q139" i="27" s="1"/>
  <c r="AT21" i="27"/>
  <c r="AM111" i="27"/>
  <c r="AM94" i="27"/>
  <c r="F66" i="27"/>
  <c r="AT111" i="27"/>
  <c r="AX94" i="27"/>
  <c r="G4" i="27"/>
  <c r="AW66" i="27"/>
  <c r="H4" i="27"/>
  <c r="I49" i="27"/>
  <c r="J21" i="27"/>
  <c r="J49" i="27"/>
  <c r="L139" i="27"/>
  <c r="AY13" i="27"/>
  <c r="AY50" i="27"/>
  <c r="AN139" i="27"/>
  <c r="AW201" i="27"/>
  <c r="AY229" i="27"/>
  <c r="AN246" i="27"/>
  <c r="AU274" i="27"/>
  <c r="AY291" i="27"/>
  <c r="AU336" i="27"/>
  <c r="AM364" i="27"/>
  <c r="O139" i="27"/>
  <c r="AV111" i="27"/>
  <c r="AW111" i="27"/>
  <c r="AX111" i="27"/>
  <c r="G21" i="27"/>
  <c r="Q58" i="27"/>
  <c r="AU94" i="27"/>
  <c r="Q13" i="27"/>
  <c r="Q4" i="27" s="1"/>
  <c r="AY58" i="27"/>
  <c r="AV201" i="27"/>
  <c r="AN229" i="27"/>
  <c r="AX229" i="27"/>
  <c r="AT274" i="27"/>
  <c r="AX291" i="27"/>
  <c r="AT336" i="27"/>
  <c r="AV364" i="27"/>
  <c r="AW364" i="27"/>
  <c r="AM291" i="27"/>
  <c r="I66" i="27"/>
  <c r="K4" i="27"/>
  <c r="Q30" i="27"/>
  <c r="N49" i="27"/>
  <c r="K66" i="27"/>
  <c r="Q157" i="27"/>
  <c r="AM184" i="27"/>
  <c r="AW184" i="27"/>
  <c r="AW246" i="27"/>
  <c r="AY274" i="27"/>
  <c r="AN291" i="27"/>
  <c r="AU319" i="27"/>
  <c r="AU381" i="27"/>
  <c r="I4" i="27"/>
  <c r="L49" i="27"/>
  <c r="AU139" i="27"/>
  <c r="J4" i="27"/>
  <c r="Q67" i="27"/>
  <c r="Q66" i="27" s="1"/>
  <c r="AN4" i="27"/>
  <c r="P21" i="27"/>
  <c r="L66" i="27"/>
  <c r="AY148" i="27"/>
  <c r="AM201" i="27"/>
  <c r="AX246" i="27"/>
  <c r="AT291" i="27"/>
  <c r="AV381" i="27"/>
  <c r="Q75" i="27"/>
  <c r="AX66" i="27"/>
  <c r="AU111" i="27"/>
  <c r="AV139" i="27"/>
  <c r="AY173" i="27"/>
  <c r="AY184" i="27"/>
  <c r="AN201" i="27"/>
  <c r="AU229" i="27"/>
  <c r="AU291" i="27"/>
  <c r="AM319" i="27"/>
  <c r="AW319" i="27"/>
  <c r="AW381" i="27"/>
  <c r="K49" i="27"/>
  <c r="H66" i="27"/>
  <c r="Q83" i="27"/>
  <c r="AT201" i="27"/>
  <c r="AV229" i="27"/>
  <c r="AV291" i="27"/>
  <c r="AN319" i="27"/>
  <c r="AX319" i="27"/>
  <c r="AM336" i="27"/>
  <c r="AT364" i="27"/>
  <c r="AX381" i="27"/>
  <c r="E139" i="27"/>
  <c r="AV4" i="27"/>
  <c r="F21" i="27"/>
  <c r="H21" i="27"/>
  <c r="Q50" i="27"/>
  <c r="K139" i="27"/>
  <c r="AV49" i="27"/>
  <c r="AT94" i="27"/>
  <c r="Q173" i="27"/>
  <c r="AX21" i="27"/>
  <c r="AM49" i="27"/>
  <c r="AU201" i="27"/>
  <c r="AM229" i="27"/>
  <c r="AW229" i="27"/>
  <c r="AW291" i="27"/>
  <c r="AY319" i="27"/>
  <c r="AN336" i="27"/>
  <c r="AU364" i="27"/>
  <c r="AY140" i="27"/>
  <c r="AY381" i="27"/>
  <c r="AY336" i="27"/>
  <c r="AY246" i="27"/>
  <c r="AY201" i="27"/>
  <c r="AY111" i="27"/>
  <c r="AY94" i="27"/>
  <c r="AY5" i="27"/>
  <c r="AN156" i="27"/>
  <c r="AY165" i="27"/>
  <c r="AY157" i="27"/>
  <c r="AY83" i="27"/>
  <c r="AN66" i="27"/>
  <c r="AY75" i="27"/>
  <c r="AY67" i="27"/>
  <c r="AY38" i="27"/>
  <c r="AN21" i="27"/>
  <c r="AY22" i="27"/>
  <c r="DU7" i="3"/>
  <c r="AY21" i="27" l="1"/>
  <c r="AY4" i="27"/>
  <c r="AY156" i="27"/>
  <c r="Q21" i="27"/>
  <c r="Q156" i="27"/>
  <c r="Q49" i="27"/>
  <c r="AY66" i="27"/>
  <c r="AY49" i="27"/>
  <c r="AY139" i="27"/>
  <c r="B14" i="16"/>
  <c r="BO6" i="3"/>
  <c r="BO7" i="3"/>
  <c r="L143" i="16"/>
  <c r="J143" i="16"/>
  <c r="L142" i="16"/>
  <c r="J142" i="16"/>
  <c r="L141" i="16"/>
  <c r="J141" i="16"/>
  <c r="L139" i="16"/>
  <c r="J139" i="16"/>
  <c r="L138" i="16"/>
  <c r="J138" i="16"/>
  <c r="L137" i="16"/>
  <c r="J137" i="16"/>
  <c r="L135" i="16"/>
  <c r="J135" i="16"/>
  <c r="L129" i="16"/>
  <c r="J129" i="16"/>
  <c r="L128" i="16"/>
  <c r="J128" i="16"/>
  <c r="L127" i="16"/>
  <c r="J127" i="16"/>
  <c r="L125" i="16"/>
  <c r="J125" i="16"/>
  <c r="L124" i="16"/>
  <c r="J124" i="16"/>
  <c r="L123" i="16"/>
  <c r="J123" i="16"/>
  <c r="L121" i="16"/>
  <c r="J121" i="16"/>
  <c r="L115" i="16"/>
  <c r="J115" i="16"/>
  <c r="L114" i="16"/>
  <c r="J114" i="16"/>
  <c r="L113" i="16"/>
  <c r="J113" i="16"/>
  <c r="L111" i="16"/>
  <c r="J111" i="16"/>
  <c r="L110" i="16"/>
  <c r="J110" i="16"/>
  <c r="L109" i="16"/>
  <c r="J109" i="16"/>
  <c r="L107" i="16"/>
  <c r="J107" i="16"/>
  <c r="L101" i="16"/>
  <c r="J101" i="16"/>
  <c r="L100" i="16"/>
  <c r="J100" i="16"/>
  <c r="L99" i="16"/>
  <c r="J99" i="16"/>
  <c r="L97" i="16"/>
  <c r="J97" i="16"/>
  <c r="L96" i="16"/>
  <c r="L95" i="16"/>
  <c r="L93" i="16"/>
  <c r="J96" i="16"/>
  <c r="J95" i="16"/>
  <c r="J93" i="16"/>
  <c r="J79" i="16"/>
  <c r="W7" i="3"/>
  <c r="HA80" i="22"/>
  <c r="HP80" i="22" s="1"/>
  <c r="DL46" i="22"/>
  <c r="CN46" i="22" s="1"/>
  <c r="DL57" i="22"/>
  <c r="DL56" i="22"/>
  <c r="CN56" i="22" s="1"/>
  <c r="DL55" i="22"/>
  <c r="CN55" i="22" s="1"/>
  <c r="DL54" i="22"/>
  <c r="CN54" i="22" s="1"/>
  <c r="DL53" i="22"/>
  <c r="CN53" i="22" s="1"/>
  <c r="DL52" i="22"/>
  <c r="CN52" i="22" s="1"/>
  <c r="DL51" i="22"/>
  <c r="CN51" i="22" s="1"/>
  <c r="DL50" i="22"/>
  <c r="CN50" i="22" s="1"/>
  <c r="DL49" i="22"/>
  <c r="CN49" i="22" s="1"/>
  <c r="DL48" i="22"/>
  <c r="CN48" i="22" s="1"/>
  <c r="DL47" i="22"/>
  <c r="CN47" i="22" s="1"/>
  <c r="DL45" i="22"/>
  <c r="CN45" i="22" s="1"/>
  <c r="DL48" i="3"/>
  <c r="CN48" i="3" s="1"/>
  <c r="DL49" i="3"/>
  <c r="CN49" i="3" s="1"/>
  <c r="DL50" i="3"/>
  <c r="CN50" i="3" s="1"/>
  <c r="DL51" i="3"/>
  <c r="CN51" i="3" s="1"/>
  <c r="DL52" i="3"/>
  <c r="CN52" i="3" s="1"/>
  <c r="DL53" i="3"/>
  <c r="CN53" i="3" s="1"/>
  <c r="DL54" i="3"/>
  <c r="CN54" i="3" s="1"/>
  <c r="DL55" i="3"/>
  <c r="CN55" i="3" s="1"/>
  <c r="DL56" i="3"/>
  <c r="CN56" i="3" s="1"/>
  <c r="DL57" i="3"/>
  <c r="CN57" i="3" s="1"/>
  <c r="DL58" i="3"/>
  <c r="CN58" i="3" s="1"/>
  <c r="DL59" i="3"/>
  <c r="L87" i="16"/>
  <c r="L86" i="16"/>
  <c r="L85" i="16"/>
  <c r="L83" i="16"/>
  <c r="L82" i="16"/>
  <c r="L81" i="16"/>
  <c r="L79" i="16"/>
  <c r="J87" i="16"/>
  <c r="J86" i="16"/>
  <c r="J85" i="16"/>
  <c r="J83" i="16"/>
  <c r="J82" i="16"/>
  <c r="J81" i="16"/>
  <c r="L73" i="16"/>
  <c r="J73" i="16"/>
  <c r="L72" i="16"/>
  <c r="J72" i="16"/>
  <c r="L71" i="16"/>
  <c r="J71" i="16"/>
  <c r="L69" i="16"/>
  <c r="J69" i="16"/>
  <c r="L68" i="16"/>
  <c r="J68" i="16"/>
  <c r="L67" i="16"/>
  <c r="J67" i="16"/>
  <c r="L65" i="16"/>
  <c r="J65" i="16"/>
  <c r="L59" i="16"/>
  <c r="J59" i="16"/>
  <c r="L58" i="16"/>
  <c r="L57" i="16"/>
  <c r="J57" i="16"/>
  <c r="L55" i="16"/>
  <c r="L54" i="16"/>
  <c r="L53" i="16"/>
  <c r="L51" i="16"/>
  <c r="J58" i="16"/>
  <c r="J55" i="16"/>
  <c r="J54" i="16"/>
  <c r="J53" i="16"/>
  <c r="J51" i="16"/>
  <c r="X57" i="22"/>
  <c r="X59" i="3"/>
  <c r="L57" i="22"/>
  <c r="L59" i="3"/>
  <c r="L45" i="16"/>
  <c r="L44" i="16"/>
  <c r="L43" i="16"/>
  <c r="L41" i="16"/>
  <c r="L40" i="16"/>
  <c r="L39" i="16"/>
  <c r="L37" i="16"/>
  <c r="C219" i="11"/>
  <c r="C182" i="11"/>
  <c r="C209" i="11"/>
  <c r="C172" i="11"/>
  <c r="C108" i="11"/>
  <c r="C71" i="11"/>
  <c r="J45" i="16"/>
  <c r="J44" i="16"/>
  <c r="J43" i="16"/>
  <c r="J41" i="16"/>
  <c r="J40" i="16"/>
  <c r="J39" i="16"/>
  <c r="J37" i="16"/>
  <c r="HY57" i="22"/>
  <c r="HX57" i="22"/>
  <c r="HW57" i="22"/>
  <c r="HV57" i="22"/>
  <c r="HU57" i="22"/>
  <c r="HT57" i="22"/>
  <c r="HS57" i="22"/>
  <c r="HR57" i="22"/>
  <c r="HQ57" i="22"/>
  <c r="HM57" i="22"/>
  <c r="HL57" i="22"/>
  <c r="HK57" i="22"/>
  <c r="HJ57" i="22"/>
  <c r="HI57" i="22"/>
  <c r="HH57" i="22"/>
  <c r="HG57" i="22"/>
  <c r="HF57" i="22"/>
  <c r="HE57" i="22"/>
  <c r="BK57" i="22"/>
  <c r="HP59" i="3"/>
  <c r="HQ59" i="3"/>
  <c r="HR59" i="3"/>
  <c r="HS59" i="3"/>
  <c r="HT59" i="3"/>
  <c r="HU59" i="3"/>
  <c r="HV59" i="3"/>
  <c r="HW59" i="3"/>
  <c r="HX59" i="3"/>
  <c r="HY59" i="3"/>
  <c r="HG59" i="3"/>
  <c r="HE59" i="3"/>
  <c r="HF59" i="3"/>
  <c r="HH59" i="3"/>
  <c r="HI59" i="3"/>
  <c r="HJ59" i="3"/>
  <c r="HK59" i="3"/>
  <c r="HL59" i="3"/>
  <c r="HM59" i="3"/>
  <c r="BO3" i="22"/>
  <c r="BK59" i="3"/>
  <c r="HD57" i="22" l="1"/>
  <c r="CN57" i="22"/>
  <c r="C26" i="16"/>
  <c r="K26" i="16" s="1"/>
  <c r="C71" i="16"/>
  <c r="R37" i="16"/>
  <c r="HD59" i="3"/>
  <c r="CN59" i="3"/>
  <c r="CN6" i="3"/>
  <c r="D6" i="14" s="1"/>
  <c r="CN7" i="3"/>
  <c r="G6" i="14" s="1"/>
  <c r="P26" i="16" s="1"/>
  <c r="CN5" i="3"/>
  <c r="HP57" i="22"/>
  <c r="L112" i="16"/>
  <c r="J140" i="16"/>
  <c r="J98" i="16"/>
  <c r="L136" i="16"/>
  <c r="J122" i="16"/>
  <c r="J126" i="16"/>
  <c r="L140" i="16"/>
  <c r="T98" i="16"/>
  <c r="T56" i="16"/>
  <c r="R84" i="16"/>
  <c r="R70" i="16"/>
  <c r="R107" i="16"/>
  <c r="R126" i="16"/>
  <c r="W126" i="16"/>
  <c r="T70" i="16"/>
  <c r="L108" i="16"/>
  <c r="J108" i="16"/>
  <c r="R93" i="16"/>
  <c r="T140" i="16"/>
  <c r="T112" i="16"/>
  <c r="T37" i="16"/>
  <c r="R51" i="16"/>
  <c r="W42" i="16"/>
  <c r="T107" i="16"/>
  <c r="R140" i="16"/>
  <c r="R98" i="16"/>
  <c r="W84" i="16"/>
  <c r="T51" i="16"/>
  <c r="R65" i="16"/>
  <c r="R42" i="16"/>
  <c r="T65" i="16"/>
  <c r="W98" i="16"/>
  <c r="T79" i="16"/>
  <c r="R79" i="16"/>
  <c r="T84" i="16"/>
  <c r="R56" i="16"/>
  <c r="R135" i="16"/>
  <c r="T93" i="16"/>
  <c r="T126" i="16"/>
  <c r="T135" i="16"/>
  <c r="T42" i="16"/>
  <c r="W56" i="16"/>
  <c r="W70" i="16"/>
  <c r="R121" i="16"/>
  <c r="T121" i="16"/>
  <c r="R112" i="16"/>
  <c r="W140" i="16"/>
  <c r="W112" i="16"/>
  <c r="J136" i="16"/>
  <c r="L126" i="16"/>
  <c r="L122" i="16"/>
  <c r="J112" i="16"/>
  <c r="J94" i="16"/>
  <c r="L98" i="16"/>
  <c r="L94" i="16"/>
  <c r="L84" i="16"/>
  <c r="L80" i="16"/>
  <c r="J84" i="16"/>
  <c r="J80" i="16"/>
  <c r="L70" i="16"/>
  <c r="L66" i="16"/>
  <c r="J70" i="16"/>
  <c r="J66" i="16"/>
  <c r="L56" i="16"/>
  <c r="L52" i="16"/>
  <c r="J56" i="16"/>
  <c r="J52" i="16"/>
  <c r="L42" i="16"/>
  <c r="L38" i="16"/>
  <c r="J42" i="16"/>
  <c r="J38" i="16"/>
  <c r="DN7" i="3"/>
  <c r="DN6" i="3"/>
  <c r="BM6" i="3"/>
  <c r="HK49" i="22"/>
  <c r="M26" i="16" l="1"/>
  <c r="J31" i="16"/>
  <c r="L30" i="16"/>
  <c r="J30" i="16"/>
  <c r="L29" i="16"/>
  <c r="J29" i="16"/>
  <c r="L27" i="16"/>
  <c r="J27" i="16"/>
  <c r="L25" i="16"/>
  <c r="J25" i="16"/>
  <c r="J24" i="16"/>
  <c r="L24" i="16"/>
  <c r="J22" i="16"/>
  <c r="L21" i="16"/>
  <c r="J21" i="16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AE19" i="28"/>
  <c r="AD19" i="28"/>
  <c r="AC19" i="28"/>
  <c r="AB19" i="28"/>
  <c r="AA19" i="28"/>
  <c r="Z19" i="28"/>
  <c r="Y19" i="28"/>
  <c r="X19" i="28"/>
  <c r="W19" i="28"/>
  <c r="V19" i="28"/>
  <c r="U19" i="28"/>
  <c r="S19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AE115" i="28"/>
  <c r="AD115" i="28"/>
  <c r="AC115" i="28"/>
  <c r="AB115" i="28"/>
  <c r="AA115" i="28"/>
  <c r="Z115" i="28"/>
  <c r="Y115" i="28"/>
  <c r="X115" i="28"/>
  <c r="W115" i="28"/>
  <c r="U115" i="28"/>
  <c r="T115" i="28"/>
  <c r="S115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AE67" i="28"/>
  <c r="AD67" i="28"/>
  <c r="AC67" i="28"/>
  <c r="AB67" i="28"/>
  <c r="AA67" i="28"/>
  <c r="Z67" i="28"/>
  <c r="Y67" i="28"/>
  <c r="X67" i="28"/>
  <c r="W67" i="28"/>
  <c r="V67" i="28"/>
  <c r="U67" i="28"/>
  <c r="T67" i="28"/>
  <c r="S67" i="28"/>
  <c r="AE66" i="28"/>
  <c r="AD66" i="28"/>
  <c r="AC66" i="28"/>
  <c r="AB66" i="28"/>
  <c r="AA66" i="28"/>
  <c r="Z66" i="28"/>
  <c r="Y66" i="28"/>
  <c r="X66" i="28"/>
  <c r="W66" i="28"/>
  <c r="V66" i="28"/>
  <c r="U66" i="28"/>
  <c r="T66" i="28"/>
  <c r="S66" i="28"/>
  <c r="AE65" i="28"/>
  <c r="AD65" i="28"/>
  <c r="AC65" i="28"/>
  <c r="AB65" i="28"/>
  <c r="AA65" i="28"/>
  <c r="Z65" i="28"/>
  <c r="Y65" i="28"/>
  <c r="X65" i="28"/>
  <c r="W65" i="28"/>
  <c r="V65" i="28"/>
  <c r="U65" i="28"/>
  <c r="T65" i="28"/>
  <c r="S65" i="28"/>
  <c r="AE64" i="28"/>
  <c r="AD64" i="28"/>
  <c r="AC64" i="28"/>
  <c r="AB64" i="28"/>
  <c r="AA64" i="28"/>
  <c r="Z64" i="28"/>
  <c r="Y64" i="28"/>
  <c r="X64" i="28"/>
  <c r="W64" i="28"/>
  <c r="V64" i="28"/>
  <c r="U64" i="28"/>
  <c r="T64" i="28"/>
  <c r="S64" i="28"/>
  <c r="AE63" i="28"/>
  <c r="AD63" i="28"/>
  <c r="AC63" i="28"/>
  <c r="AB63" i="28"/>
  <c r="AA63" i="28"/>
  <c r="Z63" i="28"/>
  <c r="Y63" i="28"/>
  <c r="X63" i="28"/>
  <c r="W63" i="28"/>
  <c r="V63" i="28"/>
  <c r="U63" i="28"/>
  <c r="T63" i="28"/>
  <c r="S63" i="28"/>
  <c r="AE62" i="28"/>
  <c r="AD62" i="28"/>
  <c r="AC62" i="28"/>
  <c r="AB62" i="28"/>
  <c r="AA62" i="28"/>
  <c r="Z62" i="28"/>
  <c r="Y62" i="28"/>
  <c r="X62" i="28"/>
  <c r="W62" i="28"/>
  <c r="V62" i="28"/>
  <c r="U62" i="28"/>
  <c r="T62" i="28"/>
  <c r="S62" i="28"/>
  <c r="AE61" i="28"/>
  <c r="AD61" i="28"/>
  <c r="AC61" i="28"/>
  <c r="AB61" i="28"/>
  <c r="AA61" i="28"/>
  <c r="Z61" i="28"/>
  <c r="Y61" i="28"/>
  <c r="X61" i="28"/>
  <c r="W61" i="28"/>
  <c r="V61" i="28"/>
  <c r="U61" i="28"/>
  <c r="T61" i="28"/>
  <c r="S61" i="28"/>
  <c r="AE60" i="28"/>
  <c r="AD60" i="28"/>
  <c r="AC60" i="28"/>
  <c r="AB60" i="28"/>
  <c r="AA60" i="28"/>
  <c r="Z60" i="28"/>
  <c r="Y60" i="28"/>
  <c r="X60" i="28"/>
  <c r="W60" i="28"/>
  <c r="V60" i="28"/>
  <c r="U60" i="28"/>
  <c r="T60" i="28"/>
  <c r="S60" i="28"/>
  <c r="AE44" i="28"/>
  <c r="S42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S34" i="28"/>
  <c r="S33" i="28"/>
  <c r="S32" i="28"/>
  <c r="S31" i="28"/>
  <c r="S30" i="28"/>
  <c r="S29" i="28"/>
  <c r="S28" i="28"/>
  <c r="S27" i="28"/>
  <c r="R21" i="16" l="1"/>
  <c r="W27" i="16"/>
  <c r="W21" i="16"/>
  <c r="R27" i="16"/>
  <c r="T27" i="16"/>
  <c r="T21" i="16"/>
  <c r="J28" i="16"/>
  <c r="L23" i="16"/>
  <c r="J23" i="16"/>
  <c r="B143" i="16"/>
  <c r="D143" i="16" s="1"/>
  <c r="B142" i="16"/>
  <c r="B141" i="16"/>
  <c r="B138" i="16"/>
  <c r="B139" i="16"/>
  <c r="B137" i="16"/>
  <c r="B135" i="16"/>
  <c r="B129" i="16"/>
  <c r="D129" i="16" s="1"/>
  <c r="B128" i="16"/>
  <c r="B127" i="16"/>
  <c r="B124" i="16"/>
  <c r="B125" i="16"/>
  <c r="B123" i="16"/>
  <c r="B121" i="16"/>
  <c r="B115" i="16"/>
  <c r="D115" i="16" s="1"/>
  <c r="B114" i="16"/>
  <c r="B113" i="16"/>
  <c r="B110" i="16"/>
  <c r="B111" i="16"/>
  <c r="B109" i="16"/>
  <c r="B107" i="16"/>
  <c r="B101" i="16"/>
  <c r="C101" i="16" s="1"/>
  <c r="B100" i="16"/>
  <c r="B99" i="16"/>
  <c r="B97" i="16"/>
  <c r="B96" i="16"/>
  <c r="B95" i="16"/>
  <c r="B93" i="16"/>
  <c r="B87" i="16"/>
  <c r="D87" i="16" s="1"/>
  <c r="B86" i="16"/>
  <c r="B85" i="16"/>
  <c r="C85" i="16" s="1"/>
  <c r="B83" i="16"/>
  <c r="B82" i="16"/>
  <c r="B81" i="16"/>
  <c r="B79" i="16"/>
  <c r="B73" i="16"/>
  <c r="B69" i="16"/>
  <c r="B68" i="16"/>
  <c r="B67" i="16"/>
  <c r="B65" i="16"/>
  <c r="Q70" i="16" s="1"/>
  <c r="B59" i="16"/>
  <c r="D59" i="16" s="1"/>
  <c r="B58" i="16"/>
  <c r="B57" i="16"/>
  <c r="B55" i="16"/>
  <c r="C55" i="16" s="1"/>
  <c r="B54" i="16"/>
  <c r="B53" i="16"/>
  <c r="B51" i="16"/>
  <c r="B52" i="16" l="1"/>
  <c r="D71" i="16"/>
  <c r="S70" i="16"/>
  <c r="D113" i="16"/>
  <c r="D112" i="16" s="1"/>
  <c r="Q112" i="16"/>
  <c r="Q98" i="16"/>
  <c r="Q140" i="16"/>
  <c r="D57" i="16"/>
  <c r="D56" i="16" s="1"/>
  <c r="Q56" i="16"/>
  <c r="D85" i="16"/>
  <c r="D84" i="16" s="1"/>
  <c r="Q84" i="16"/>
  <c r="Q126" i="16"/>
  <c r="D141" i="16"/>
  <c r="D140" i="16" s="1"/>
  <c r="B126" i="16"/>
  <c r="M55" i="16"/>
  <c r="K55" i="16"/>
  <c r="M101" i="16"/>
  <c r="K101" i="16"/>
  <c r="B70" i="16"/>
  <c r="B98" i="16"/>
  <c r="B140" i="16"/>
  <c r="D101" i="16"/>
  <c r="E101" i="16" s="1"/>
  <c r="D127" i="16"/>
  <c r="D126" i="16" s="1"/>
  <c r="B112" i="16"/>
  <c r="D73" i="16"/>
  <c r="B94" i="16"/>
  <c r="B66" i="16"/>
  <c r="B136" i="16"/>
  <c r="B108" i="16"/>
  <c r="D99" i="16"/>
  <c r="B56" i="16"/>
  <c r="B80" i="16"/>
  <c r="B122" i="16"/>
  <c r="B84" i="16"/>
  <c r="B45" i="16"/>
  <c r="B31" i="16" s="1"/>
  <c r="B44" i="16"/>
  <c r="B41" i="16"/>
  <c r="C41" i="16" s="1"/>
  <c r="B40" i="16"/>
  <c r="B39" i="16"/>
  <c r="B37" i="16"/>
  <c r="B27" i="16"/>
  <c r="C27" i="16" s="1"/>
  <c r="BC4" i="25"/>
  <c r="CI9" i="25"/>
  <c r="BJ51" i="25"/>
  <c r="BK53" i="25"/>
  <c r="CE50" i="25"/>
  <c r="CE51" i="25"/>
  <c r="CE52" i="25"/>
  <c r="CE53" i="25"/>
  <c r="CE54" i="25"/>
  <c r="CE55" i="25"/>
  <c r="CE56" i="25"/>
  <c r="CE57" i="25"/>
  <c r="CE58" i="25"/>
  <c r="CE59" i="25"/>
  <c r="CE60" i="25"/>
  <c r="CE61" i="25"/>
  <c r="DM51" i="25"/>
  <c r="DM52" i="25"/>
  <c r="DM53" i="25"/>
  <c r="DM54" i="25"/>
  <c r="DM55" i="25"/>
  <c r="DM56" i="25"/>
  <c r="DM57" i="25"/>
  <c r="DM58" i="25"/>
  <c r="DM59" i="25"/>
  <c r="DM60" i="25"/>
  <c r="DM61" i="25"/>
  <c r="DM50" i="25"/>
  <c r="DL51" i="25"/>
  <c r="DL52" i="25"/>
  <c r="DL53" i="25"/>
  <c r="DL54" i="25"/>
  <c r="DL55" i="25"/>
  <c r="DL56" i="25"/>
  <c r="DL57" i="25"/>
  <c r="DL58" i="25"/>
  <c r="DL59" i="25"/>
  <c r="DL60" i="25"/>
  <c r="DL61" i="25"/>
  <c r="DL50" i="25"/>
  <c r="DB51" i="25"/>
  <c r="DB52" i="25"/>
  <c r="DB53" i="25"/>
  <c r="DB54" i="25"/>
  <c r="DB55" i="25"/>
  <c r="DB56" i="25"/>
  <c r="DB57" i="25"/>
  <c r="DB58" i="25"/>
  <c r="DB59" i="25"/>
  <c r="DB60" i="25"/>
  <c r="DB61" i="25"/>
  <c r="DB50" i="25"/>
  <c r="DA51" i="25"/>
  <c r="DA52" i="25"/>
  <c r="DA53" i="25"/>
  <c r="DA54" i="25"/>
  <c r="DA55" i="25"/>
  <c r="DA56" i="25"/>
  <c r="DA57" i="25"/>
  <c r="DA58" i="25"/>
  <c r="DA59" i="25"/>
  <c r="DA60" i="25"/>
  <c r="DA61" i="25"/>
  <c r="DA50" i="25"/>
  <c r="CQ51" i="25"/>
  <c r="CQ52" i="25"/>
  <c r="CQ53" i="25"/>
  <c r="CQ54" i="25"/>
  <c r="CQ55" i="25"/>
  <c r="CQ56" i="25"/>
  <c r="CQ57" i="25"/>
  <c r="CQ58" i="25"/>
  <c r="CQ59" i="25"/>
  <c r="CQ60" i="25"/>
  <c r="CQ61" i="25"/>
  <c r="CQ50" i="25"/>
  <c r="CP50" i="25"/>
  <c r="CP61" i="25"/>
  <c r="CP60" i="25"/>
  <c r="CP59" i="25"/>
  <c r="CP58" i="25"/>
  <c r="CP57" i="25"/>
  <c r="CP56" i="25"/>
  <c r="CP55" i="25"/>
  <c r="CP54" i="25"/>
  <c r="CP53" i="25"/>
  <c r="CP52" i="25"/>
  <c r="CP51" i="25"/>
  <c r="BU51" i="25"/>
  <c r="BU52" i="25"/>
  <c r="BU53" i="25"/>
  <c r="BU54" i="25"/>
  <c r="BU55" i="25"/>
  <c r="BU56" i="25"/>
  <c r="BU57" i="25"/>
  <c r="BU58" i="25"/>
  <c r="BU59" i="25"/>
  <c r="BU60" i="25"/>
  <c r="BU61" i="25"/>
  <c r="BU50" i="25"/>
  <c r="BT50" i="25"/>
  <c r="BJ50" i="25"/>
  <c r="J3" i="25"/>
  <c r="J4" i="25"/>
  <c r="BK51" i="25"/>
  <c r="BK52" i="25"/>
  <c r="BK54" i="25"/>
  <c r="BK55" i="25"/>
  <c r="BK56" i="25"/>
  <c r="BK57" i="25"/>
  <c r="BK58" i="25"/>
  <c r="BK59" i="25"/>
  <c r="BK60" i="25"/>
  <c r="BK61" i="25"/>
  <c r="BK50" i="25"/>
  <c r="BD3" i="25"/>
  <c r="BE3" i="25"/>
  <c r="BF3" i="25"/>
  <c r="BG3" i="25"/>
  <c r="BH3" i="25"/>
  <c r="BI3" i="25"/>
  <c r="BD4" i="25"/>
  <c r="BE4" i="25"/>
  <c r="BF4" i="25"/>
  <c r="BG4" i="25"/>
  <c r="BH4" i="25"/>
  <c r="BI4" i="25"/>
  <c r="BD5" i="25"/>
  <c r="BE5" i="25"/>
  <c r="BF5" i="25"/>
  <c r="BG5" i="25"/>
  <c r="BH5" i="25"/>
  <c r="BI5" i="25"/>
  <c r="BC3" i="25"/>
  <c r="BC5" i="25"/>
  <c r="BJ52" i="25"/>
  <c r="BJ53" i="25"/>
  <c r="BJ54" i="25"/>
  <c r="BJ55" i="25"/>
  <c r="BJ56" i="25"/>
  <c r="BJ57" i="25"/>
  <c r="BJ58" i="25"/>
  <c r="BJ59" i="25"/>
  <c r="BJ60" i="25"/>
  <c r="BJ61" i="25"/>
  <c r="BT51" i="25"/>
  <c r="BT52" i="25"/>
  <c r="BT53" i="25"/>
  <c r="BT54" i="25"/>
  <c r="BT55" i="25"/>
  <c r="BT56" i="25"/>
  <c r="BT57" i="25"/>
  <c r="BT58" i="25"/>
  <c r="BT59" i="25"/>
  <c r="BT60" i="25"/>
  <c r="BT61" i="25"/>
  <c r="BX51" i="25"/>
  <c r="BY51" i="25"/>
  <c r="BZ51" i="25"/>
  <c r="CA51" i="25"/>
  <c r="CB51" i="25"/>
  <c r="CC51" i="25"/>
  <c r="CD51" i="25"/>
  <c r="BX52" i="25"/>
  <c r="BY52" i="25"/>
  <c r="BZ52" i="25"/>
  <c r="CA52" i="25"/>
  <c r="CB52" i="25"/>
  <c r="CC52" i="25"/>
  <c r="CD52" i="25"/>
  <c r="BX53" i="25"/>
  <c r="BY53" i="25"/>
  <c r="BZ53" i="25"/>
  <c r="CA53" i="25"/>
  <c r="CB53" i="25"/>
  <c r="CC53" i="25"/>
  <c r="CD53" i="25"/>
  <c r="BX54" i="25"/>
  <c r="BY54" i="25"/>
  <c r="BZ54" i="25"/>
  <c r="CA54" i="25"/>
  <c r="CB54" i="25"/>
  <c r="CC54" i="25"/>
  <c r="CD54" i="25"/>
  <c r="BX55" i="25"/>
  <c r="BY55" i="25"/>
  <c r="BZ55" i="25"/>
  <c r="CA55" i="25"/>
  <c r="CB55" i="25"/>
  <c r="CC55" i="25"/>
  <c r="CD55" i="25"/>
  <c r="BX56" i="25"/>
  <c r="BY56" i="25"/>
  <c r="BZ56" i="25"/>
  <c r="CA56" i="25"/>
  <c r="CB56" i="25"/>
  <c r="CC56" i="25"/>
  <c r="CD56" i="25"/>
  <c r="BX57" i="25"/>
  <c r="BY57" i="25"/>
  <c r="BZ57" i="25"/>
  <c r="CA57" i="25"/>
  <c r="CB57" i="25"/>
  <c r="CC57" i="25"/>
  <c r="CD57" i="25"/>
  <c r="BX58" i="25"/>
  <c r="BY58" i="25"/>
  <c r="BZ58" i="25"/>
  <c r="CA58" i="25"/>
  <c r="CB58" i="25"/>
  <c r="CC58" i="25"/>
  <c r="CD58" i="25"/>
  <c r="BX59" i="25"/>
  <c r="BY59" i="25"/>
  <c r="BZ59" i="25"/>
  <c r="CA59" i="25"/>
  <c r="CB59" i="25"/>
  <c r="CC59" i="25"/>
  <c r="CD59" i="25"/>
  <c r="BX60" i="25"/>
  <c r="BY60" i="25"/>
  <c r="BZ60" i="25"/>
  <c r="CA60" i="25"/>
  <c r="CB60" i="25"/>
  <c r="CC60" i="25"/>
  <c r="CD60" i="25"/>
  <c r="BX61" i="25"/>
  <c r="BY61" i="25"/>
  <c r="BZ61" i="25"/>
  <c r="CA61" i="25"/>
  <c r="CB61" i="25"/>
  <c r="CC61" i="25"/>
  <c r="CD61" i="25"/>
  <c r="BY50" i="25"/>
  <c r="BZ50" i="25"/>
  <c r="CA50" i="25"/>
  <c r="CB50" i="25"/>
  <c r="CC50" i="25"/>
  <c r="CD50" i="25"/>
  <c r="BX50" i="25"/>
  <c r="M4" i="25"/>
  <c r="C4" i="25"/>
  <c r="C3" i="25"/>
  <c r="D70" i="16" l="1"/>
  <c r="K27" i="16"/>
  <c r="DM3" i="25"/>
  <c r="DM9" i="25" s="1"/>
  <c r="C25" i="16"/>
  <c r="O27" i="16"/>
  <c r="CF57" i="25"/>
  <c r="CF56" i="25"/>
  <c r="U56" i="16"/>
  <c r="S56" i="16"/>
  <c r="U98" i="16"/>
  <c r="S98" i="16"/>
  <c r="U112" i="16"/>
  <c r="S112" i="16"/>
  <c r="U84" i="16"/>
  <c r="S84" i="16"/>
  <c r="D43" i="16"/>
  <c r="Q42" i="16"/>
  <c r="U70" i="16"/>
  <c r="S140" i="16"/>
  <c r="U140" i="16"/>
  <c r="U126" i="16"/>
  <c r="S126" i="16"/>
  <c r="C45" i="16"/>
  <c r="K45" i="16" s="1"/>
  <c r="C31" i="16"/>
  <c r="K31" i="16" s="1"/>
  <c r="D98" i="16"/>
  <c r="K41" i="16"/>
  <c r="M41" i="16"/>
  <c r="CF61" i="25"/>
  <c r="CF51" i="25"/>
  <c r="CF60" i="25"/>
  <c r="CF59" i="25"/>
  <c r="CF58" i="25"/>
  <c r="CF55" i="25"/>
  <c r="CF54" i="25"/>
  <c r="DM5" i="25"/>
  <c r="DM8" i="25" s="1"/>
  <c r="DM4" i="25"/>
  <c r="DM7" i="25" s="1"/>
  <c r="CF53" i="25"/>
  <c r="CF50" i="25"/>
  <c r="CF52" i="25"/>
  <c r="D45" i="16"/>
  <c r="B42" i="16"/>
  <c r="B38" i="16"/>
  <c r="DB3" i="25"/>
  <c r="DB9" i="25" s="1"/>
  <c r="DB4" i="25"/>
  <c r="CQ4" i="25"/>
  <c r="DB5" i="25"/>
  <c r="CQ5" i="25"/>
  <c r="BU3" i="25"/>
  <c r="BU9" i="25" s="1"/>
  <c r="DA4" i="25"/>
  <c r="CQ3" i="25"/>
  <c r="CQ9" i="25" s="1"/>
  <c r="DA3" i="25"/>
  <c r="BK3" i="25"/>
  <c r="BK9" i="25" s="1"/>
  <c r="CP4" i="25"/>
  <c r="BC7" i="25"/>
  <c r="BU4" i="25"/>
  <c r="BU7" i="25" s="1"/>
  <c r="BK5" i="25"/>
  <c r="BK4" i="25"/>
  <c r="BK7" i="25" s="1"/>
  <c r="BJ5" i="25"/>
  <c r="BT3" i="25"/>
  <c r="BU5" i="25"/>
  <c r="BJ4" i="25"/>
  <c r="BJ3" i="25"/>
  <c r="BJ9" i="25" s="1"/>
  <c r="BX5" i="25"/>
  <c r="BX4" i="25"/>
  <c r="BX7" i="25" s="1"/>
  <c r="K25" i="16" l="1"/>
  <c r="CF4" i="25"/>
  <c r="CF7" i="25" s="1"/>
  <c r="O25" i="16"/>
  <c r="D42" i="16"/>
  <c r="U42" i="16"/>
  <c r="S42" i="16"/>
  <c r="M45" i="16"/>
  <c r="CF5" i="25"/>
  <c r="CF8" i="25" s="1"/>
  <c r="CF3" i="25"/>
  <c r="CF9" i="25" s="1"/>
  <c r="D31" i="16"/>
  <c r="E31" i="16" s="1"/>
  <c r="BD9" i="25"/>
  <c r="BE9" i="25"/>
  <c r="CE3" i="25"/>
  <c r="CE4" i="25"/>
  <c r="BF9" i="25"/>
  <c r="BI9" i="25"/>
  <c r="BH9" i="25"/>
  <c r="BC9" i="25"/>
  <c r="BG9" i="25"/>
  <c r="HD35" i="3"/>
  <c r="ET4" i="25"/>
  <c r="ET5" i="25"/>
  <c r="ET3" i="25"/>
  <c r="AX4" i="25"/>
  <c r="BA61" i="25"/>
  <c r="BA60" i="25"/>
  <c r="BA59" i="25"/>
  <c r="BA58" i="25"/>
  <c r="BA57" i="25"/>
  <c r="BA56" i="25"/>
  <c r="BA55" i="25"/>
  <c r="BA54" i="25"/>
  <c r="BA53" i="25"/>
  <c r="BA52" i="25"/>
  <c r="BA51" i="25"/>
  <c r="BA50" i="25"/>
  <c r="BA49" i="25"/>
  <c r="J49" i="25"/>
  <c r="BA48" i="25"/>
  <c r="J48" i="25"/>
  <c r="BA47" i="25"/>
  <c r="J47" i="25"/>
  <c r="BA46" i="25"/>
  <c r="J46" i="25"/>
  <c r="BA45" i="25"/>
  <c r="J45" i="25"/>
  <c r="BA44" i="25"/>
  <c r="J44" i="25"/>
  <c r="BA43" i="25"/>
  <c r="J43" i="25"/>
  <c r="BA42" i="25"/>
  <c r="J42" i="25"/>
  <c r="BA41" i="25"/>
  <c r="J41" i="25"/>
  <c r="BA40" i="25"/>
  <c r="J40" i="25"/>
  <c r="BA39" i="25"/>
  <c r="J39" i="25"/>
  <c r="BA38" i="25"/>
  <c r="J38" i="25"/>
  <c r="BA37" i="25"/>
  <c r="J37" i="25"/>
  <c r="BA36" i="25"/>
  <c r="J36" i="25"/>
  <c r="BA35" i="25"/>
  <c r="J35" i="25"/>
  <c r="BA34" i="25"/>
  <c r="J34" i="25"/>
  <c r="BA33" i="25"/>
  <c r="J33" i="25"/>
  <c r="BA32" i="25"/>
  <c r="J32" i="25"/>
  <c r="BA31" i="25"/>
  <c r="J31" i="25"/>
  <c r="BA30" i="25"/>
  <c r="J30" i="25"/>
  <c r="BA29" i="25"/>
  <c r="J29" i="25"/>
  <c r="BA28" i="25"/>
  <c r="J28" i="25"/>
  <c r="BA27" i="25"/>
  <c r="J27" i="25"/>
  <c r="BA26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EQ5" i="25"/>
  <c r="EP5" i="25"/>
  <c r="EO5" i="25"/>
  <c r="EN5" i="25"/>
  <c r="EM5" i="25"/>
  <c r="EL5" i="25"/>
  <c r="EK5" i="25"/>
  <c r="EJ5" i="25"/>
  <c r="EG5" i="25"/>
  <c r="EF5" i="25"/>
  <c r="EE5" i="25"/>
  <c r="ED5" i="25"/>
  <c r="EC5" i="25"/>
  <c r="EB5" i="25"/>
  <c r="EA5" i="25"/>
  <c r="DZ5" i="25"/>
  <c r="DW5" i="25"/>
  <c r="DV5" i="25"/>
  <c r="DU5" i="25"/>
  <c r="DT5" i="25"/>
  <c r="DS5" i="25"/>
  <c r="DR5" i="25"/>
  <c r="DQ5" i="25"/>
  <c r="DP5" i="25"/>
  <c r="DL5" i="25"/>
  <c r="DK5" i="25"/>
  <c r="DJ5" i="25"/>
  <c r="DI5" i="25"/>
  <c r="DH5" i="25"/>
  <c r="DG5" i="25"/>
  <c r="DF5" i="25"/>
  <c r="DE5" i="25"/>
  <c r="DA5" i="25"/>
  <c r="CZ5" i="25"/>
  <c r="CY5" i="25"/>
  <c r="CX5" i="25"/>
  <c r="CW5" i="25"/>
  <c r="CV5" i="25"/>
  <c r="CU5" i="25"/>
  <c r="CT5" i="25"/>
  <c r="CP5" i="25"/>
  <c r="CO5" i="25"/>
  <c r="CN5" i="25"/>
  <c r="CM5" i="25"/>
  <c r="CL5" i="25"/>
  <c r="CK5" i="25"/>
  <c r="CJ5" i="25"/>
  <c r="CI5" i="25"/>
  <c r="CE5" i="25"/>
  <c r="CD5" i="25"/>
  <c r="CC5" i="25"/>
  <c r="CB5" i="25"/>
  <c r="CA5" i="25"/>
  <c r="BZ5" i="25"/>
  <c r="BY5" i="25"/>
  <c r="BT5" i="25"/>
  <c r="BS5" i="25"/>
  <c r="BR5" i="25"/>
  <c r="BQ5" i="25"/>
  <c r="BP5" i="25"/>
  <c r="BO5" i="25"/>
  <c r="BN5" i="25"/>
  <c r="BM5" i="25"/>
  <c r="AX5" i="25"/>
  <c r="AW5" i="25"/>
  <c r="AV5" i="25"/>
  <c r="AU5" i="25"/>
  <c r="AT5" i="25"/>
  <c r="AS5" i="25"/>
  <c r="AR5" i="25"/>
  <c r="AQ5" i="25"/>
  <c r="AN5" i="25"/>
  <c r="AM5" i="25"/>
  <c r="AL5" i="25"/>
  <c r="AK5" i="25"/>
  <c r="AJ5" i="25"/>
  <c r="AI5" i="25"/>
  <c r="AH5" i="25"/>
  <c r="AG5" i="25"/>
  <c r="AD5" i="25"/>
  <c r="AC5" i="25"/>
  <c r="AB5" i="25"/>
  <c r="AA5" i="25"/>
  <c r="Z5" i="25"/>
  <c r="Y5" i="25"/>
  <c r="X5" i="25"/>
  <c r="W5" i="25"/>
  <c r="T5" i="25"/>
  <c r="S5" i="25"/>
  <c r="R5" i="25"/>
  <c r="Q5" i="25"/>
  <c r="P5" i="25"/>
  <c r="O5" i="25"/>
  <c r="N5" i="25"/>
  <c r="M5" i="25"/>
  <c r="BX8" i="25" s="1"/>
  <c r="I5" i="25"/>
  <c r="H5" i="25"/>
  <c r="G5" i="25"/>
  <c r="F5" i="25"/>
  <c r="E5" i="25"/>
  <c r="D5" i="25"/>
  <c r="C5" i="25"/>
  <c r="EQ4" i="25"/>
  <c r="EP4" i="25"/>
  <c r="EO4" i="25"/>
  <c r="EN4" i="25"/>
  <c r="EM4" i="25"/>
  <c r="EL4" i="25"/>
  <c r="EK4" i="25"/>
  <c r="EJ4" i="25"/>
  <c r="EG4" i="25"/>
  <c r="EF4" i="25"/>
  <c r="EE4" i="25"/>
  <c r="ED4" i="25"/>
  <c r="EC4" i="25"/>
  <c r="EB4" i="25"/>
  <c r="EA4" i="25"/>
  <c r="DZ4" i="25"/>
  <c r="DW4" i="25"/>
  <c r="DV4" i="25"/>
  <c r="DU4" i="25"/>
  <c r="DT4" i="25"/>
  <c r="DS4" i="25"/>
  <c r="DR4" i="25"/>
  <c r="DQ4" i="25"/>
  <c r="DP4" i="25"/>
  <c r="DL4" i="25"/>
  <c r="DK4" i="25"/>
  <c r="DJ4" i="25"/>
  <c r="DI4" i="25"/>
  <c r="DH4" i="25"/>
  <c r="DG4" i="25"/>
  <c r="DF4" i="25"/>
  <c r="DE4" i="25"/>
  <c r="DE7" i="25" s="1"/>
  <c r="CZ4" i="25"/>
  <c r="CY4" i="25"/>
  <c r="CX4" i="25"/>
  <c r="CW4" i="25"/>
  <c r="CV4" i="25"/>
  <c r="CU4" i="25"/>
  <c r="CT4" i="25"/>
  <c r="CT7" i="25" s="1"/>
  <c r="CO4" i="25"/>
  <c r="CN4" i="25"/>
  <c r="CM4" i="25"/>
  <c r="CL4" i="25"/>
  <c r="CK4" i="25"/>
  <c r="CJ4" i="25"/>
  <c r="CI4" i="25"/>
  <c r="CI7" i="25" s="1"/>
  <c r="CD4" i="25"/>
  <c r="CC4" i="25"/>
  <c r="CB4" i="25"/>
  <c r="CA4" i="25"/>
  <c r="BZ4" i="25"/>
  <c r="BY4" i="25"/>
  <c r="BT4" i="25"/>
  <c r="BT7" i="25" s="1"/>
  <c r="BS4" i="25"/>
  <c r="BR4" i="25"/>
  <c r="BQ4" i="25"/>
  <c r="BP4" i="25"/>
  <c r="BO4" i="25"/>
  <c r="BN4" i="25"/>
  <c r="BM4" i="25"/>
  <c r="BM7" i="25" s="1"/>
  <c r="AW4" i="25"/>
  <c r="AV4" i="25"/>
  <c r="AU4" i="25"/>
  <c r="AT4" i="25"/>
  <c r="AS4" i="25"/>
  <c r="AR4" i="25"/>
  <c r="AQ4" i="25"/>
  <c r="AN4" i="25"/>
  <c r="AM4" i="25"/>
  <c r="AL4" i="25"/>
  <c r="AK4" i="25"/>
  <c r="AJ4" i="25"/>
  <c r="AI4" i="25"/>
  <c r="AH4" i="25"/>
  <c r="AG4" i="25"/>
  <c r="AD4" i="25"/>
  <c r="AC4" i="25"/>
  <c r="AB4" i="25"/>
  <c r="AA4" i="25"/>
  <c r="Z4" i="25"/>
  <c r="Y4" i="25"/>
  <c r="X4" i="25"/>
  <c r="W4" i="25"/>
  <c r="T4" i="25"/>
  <c r="DB7" i="25" s="1"/>
  <c r="S4" i="25"/>
  <c r="R4" i="25"/>
  <c r="Q4" i="25"/>
  <c r="P4" i="25"/>
  <c r="O4" i="25"/>
  <c r="N4" i="25"/>
  <c r="I4" i="25"/>
  <c r="H4" i="25"/>
  <c r="G4" i="25"/>
  <c r="F4" i="25"/>
  <c r="E4" i="25"/>
  <c r="D4" i="25"/>
  <c r="EQ3" i="25"/>
  <c r="EP3" i="25"/>
  <c r="EO3" i="25"/>
  <c r="EN3" i="25"/>
  <c r="EM3" i="25"/>
  <c r="EL3" i="25"/>
  <c r="EK3" i="25"/>
  <c r="EJ3" i="25"/>
  <c r="EG3" i="25"/>
  <c r="EG9" i="25" s="1"/>
  <c r="EF3" i="25"/>
  <c r="EE3" i="25"/>
  <c r="ED3" i="25"/>
  <c r="EC3" i="25"/>
  <c r="EB3" i="25"/>
  <c r="EA3" i="25"/>
  <c r="DZ3" i="25"/>
  <c r="DW3" i="25"/>
  <c r="DW9" i="25" s="1"/>
  <c r="DV3" i="25"/>
  <c r="DU3" i="25"/>
  <c r="DT3" i="25"/>
  <c r="DS3" i="25"/>
  <c r="DR3" i="25"/>
  <c r="DQ3" i="25"/>
  <c r="DP3" i="25"/>
  <c r="DL3" i="25"/>
  <c r="DL9" i="25" s="1"/>
  <c r="DK3" i="25"/>
  <c r="DK9" i="25" s="1"/>
  <c r="DJ3" i="25"/>
  <c r="DI3" i="25"/>
  <c r="DH3" i="25"/>
  <c r="DG3" i="25"/>
  <c r="DF3" i="25"/>
  <c r="DE3" i="25"/>
  <c r="DA9" i="25"/>
  <c r="CZ3" i="25"/>
  <c r="CY3" i="25"/>
  <c r="CX3" i="25"/>
  <c r="CW3" i="25"/>
  <c r="CV3" i="25"/>
  <c r="CU3" i="25"/>
  <c r="CT3" i="25"/>
  <c r="CP3" i="25"/>
  <c r="CO3" i="25"/>
  <c r="CO9" i="25" s="1"/>
  <c r="CN3" i="25"/>
  <c r="CN9" i="25" s="1"/>
  <c r="CM3" i="25"/>
  <c r="CL3" i="25"/>
  <c r="CK3" i="25"/>
  <c r="CJ3" i="25"/>
  <c r="CI3" i="25"/>
  <c r="CE9" i="25"/>
  <c r="CD3" i="25"/>
  <c r="CC3" i="25"/>
  <c r="CB3" i="25"/>
  <c r="CA3" i="25"/>
  <c r="BZ3" i="25"/>
  <c r="BY3" i="25"/>
  <c r="BX3" i="25"/>
  <c r="BT9" i="25"/>
  <c r="BS3" i="25"/>
  <c r="BR3" i="25"/>
  <c r="BQ3" i="25"/>
  <c r="BP3" i="25"/>
  <c r="BO3" i="25"/>
  <c r="BN3" i="25"/>
  <c r="BM3" i="25"/>
  <c r="AX3" i="25"/>
  <c r="AX9" i="25" s="1"/>
  <c r="AW3" i="25"/>
  <c r="AV3" i="25"/>
  <c r="AU3" i="25"/>
  <c r="AT3" i="25"/>
  <c r="AS3" i="25"/>
  <c r="AR3" i="25"/>
  <c r="AQ3" i="25"/>
  <c r="AN3" i="25"/>
  <c r="AN9" i="25" s="1"/>
  <c r="AM3" i="25"/>
  <c r="AL3" i="25"/>
  <c r="AK3" i="25"/>
  <c r="AJ3" i="25"/>
  <c r="AI3" i="25"/>
  <c r="AH3" i="25"/>
  <c r="AG3" i="25"/>
  <c r="AD3" i="25"/>
  <c r="AD9" i="25" s="1"/>
  <c r="AC3" i="25"/>
  <c r="AB3" i="25"/>
  <c r="AA3" i="25"/>
  <c r="Z3" i="25"/>
  <c r="Y3" i="25"/>
  <c r="X3" i="25"/>
  <c r="W3" i="25"/>
  <c r="T3" i="25"/>
  <c r="T9" i="25" s="1"/>
  <c r="S3" i="25"/>
  <c r="R3" i="25"/>
  <c r="Q3" i="25"/>
  <c r="P3" i="25"/>
  <c r="O3" i="25"/>
  <c r="N3" i="25"/>
  <c r="M3" i="25"/>
  <c r="I3" i="25"/>
  <c r="H3" i="25"/>
  <c r="G3" i="25"/>
  <c r="F3" i="25"/>
  <c r="E3" i="25"/>
  <c r="D3" i="25"/>
  <c r="O31" i="16" l="1"/>
  <c r="CQ8" i="25"/>
  <c r="DB8" i="25"/>
  <c r="CQ7" i="25"/>
  <c r="CP7" i="25"/>
  <c r="AV9" i="25"/>
  <c r="DJ9" i="25"/>
  <c r="BS9" i="25"/>
  <c r="BR9" i="25"/>
  <c r="BO7" i="25"/>
  <c r="BE7" i="25"/>
  <c r="BS7" i="25"/>
  <c r="BI7" i="25"/>
  <c r="BS8" i="25"/>
  <c r="BI8" i="25"/>
  <c r="BE8" i="25"/>
  <c r="BO8" i="25"/>
  <c r="BQ7" i="25"/>
  <c r="BG7" i="25"/>
  <c r="BP7" i="25"/>
  <c r="BF7" i="25"/>
  <c r="BF8" i="25"/>
  <c r="BP8" i="25"/>
  <c r="BG8" i="25"/>
  <c r="BQ8" i="25"/>
  <c r="BR8" i="25"/>
  <c r="BH8" i="25"/>
  <c r="BM9" i="25"/>
  <c r="BO9" i="25"/>
  <c r="BM8" i="25"/>
  <c r="BC8" i="25"/>
  <c r="BR7" i="25"/>
  <c r="BH7" i="25"/>
  <c r="BN9" i="25"/>
  <c r="BP9" i="25"/>
  <c r="BQ9" i="25"/>
  <c r="BN7" i="25"/>
  <c r="BD7" i="25"/>
  <c r="BN8" i="25"/>
  <c r="BD8" i="25"/>
  <c r="AJ9" i="25"/>
  <c r="W9" i="25"/>
  <c r="AK9" i="25"/>
  <c r="AL9" i="25"/>
  <c r="AM9" i="25"/>
  <c r="AW9" i="25"/>
  <c r="CW9" i="25"/>
  <c r="Y9" i="25"/>
  <c r="X9" i="25"/>
  <c r="CX9" i="25"/>
  <c r="CV9" i="25"/>
  <c r="CY9" i="25"/>
  <c r="CJ9" i="25"/>
  <c r="AA9" i="25"/>
  <c r="EK9" i="25"/>
  <c r="CK9" i="25"/>
  <c r="CL9" i="25"/>
  <c r="AB9" i="25"/>
  <c r="CZ9" i="25"/>
  <c r="Z9" i="25"/>
  <c r="EL9" i="25"/>
  <c r="EM9" i="25"/>
  <c r="AC9" i="25"/>
  <c r="CD9" i="25"/>
  <c r="EF9" i="25"/>
  <c r="DZ9" i="25"/>
  <c r="BZ9" i="25"/>
  <c r="EA9" i="25"/>
  <c r="EB9" i="25"/>
  <c r="CA9" i="25"/>
  <c r="EC9" i="25"/>
  <c r="S9" i="25"/>
  <c r="CC9" i="25"/>
  <c r="EE9" i="25"/>
  <c r="AR9" i="25"/>
  <c r="AQ9" i="25"/>
  <c r="AU9" i="25"/>
  <c r="DL7" i="25"/>
  <c r="DA7" i="25"/>
  <c r="CE7" i="25"/>
  <c r="CC8" i="25"/>
  <c r="CY8" i="25"/>
  <c r="CN8" i="25"/>
  <c r="DJ8" i="25"/>
  <c r="DP9" i="25"/>
  <c r="DE9" i="25"/>
  <c r="CP8" i="25"/>
  <c r="CE8" i="25"/>
  <c r="DL8" i="25"/>
  <c r="DA8" i="25"/>
  <c r="CA7" i="25"/>
  <c r="DH7" i="25"/>
  <c r="CW7" i="25"/>
  <c r="CL7" i="25"/>
  <c r="AI9" i="25"/>
  <c r="AS9" i="25"/>
  <c r="DF9" i="25"/>
  <c r="DS9" i="25"/>
  <c r="EJ9" i="25"/>
  <c r="DI7" i="25"/>
  <c r="CX7" i="25"/>
  <c r="CM7" i="25"/>
  <c r="CB7" i="25"/>
  <c r="DG8" i="25"/>
  <c r="CV8" i="25"/>
  <c r="CK8" i="25"/>
  <c r="BZ8" i="25"/>
  <c r="BY7" i="25"/>
  <c r="DF7" i="25"/>
  <c r="CU7" i="25"/>
  <c r="CJ7" i="25"/>
  <c r="DG7" i="25"/>
  <c r="CV7" i="25"/>
  <c r="CK7" i="25"/>
  <c r="BZ7" i="25"/>
  <c r="CI8" i="25"/>
  <c r="DE8" i="25"/>
  <c r="CT8" i="25"/>
  <c r="CJ8" i="25"/>
  <c r="DF8" i="25"/>
  <c r="CU8" i="25"/>
  <c r="BY8" i="25"/>
  <c r="AH9" i="25"/>
  <c r="CT9" i="25"/>
  <c r="DG9" i="25"/>
  <c r="DT9" i="25"/>
  <c r="DJ7" i="25"/>
  <c r="CY7" i="25"/>
  <c r="CN7" i="25"/>
  <c r="CC7" i="25"/>
  <c r="CA8" i="25"/>
  <c r="DH8" i="25"/>
  <c r="CW8" i="25"/>
  <c r="CL8" i="25"/>
  <c r="CO8" i="25"/>
  <c r="CD8" i="25"/>
  <c r="DK8" i="25"/>
  <c r="CZ8" i="25"/>
  <c r="AG9" i="25"/>
  <c r="AT9" i="25"/>
  <c r="CU9" i="25"/>
  <c r="DH9" i="25"/>
  <c r="DU9" i="25"/>
  <c r="CD7" i="25"/>
  <c r="DK7" i="25"/>
  <c r="CZ7" i="25"/>
  <c r="CO7" i="25"/>
  <c r="CM8" i="25"/>
  <c r="CB8" i="25"/>
  <c r="DI8" i="25"/>
  <c r="CX8" i="25"/>
  <c r="BX9" i="25"/>
  <c r="BY9" i="25"/>
  <c r="M9" i="25"/>
  <c r="N9" i="25"/>
  <c r="O9" i="25"/>
  <c r="P9" i="25"/>
  <c r="Q9" i="25"/>
  <c r="CM9" i="25"/>
  <c r="EN9" i="25"/>
  <c r="R9" i="25"/>
  <c r="EO9" i="25"/>
  <c r="CB9" i="25"/>
  <c r="DR9" i="25"/>
  <c r="ED9" i="25"/>
  <c r="EP9" i="25"/>
  <c r="DQ9" i="25"/>
  <c r="CP9" i="25"/>
  <c r="EQ9" i="25"/>
  <c r="DI9" i="25"/>
  <c r="DV9" i="25"/>
  <c r="FD4" i="25"/>
  <c r="FJ5" i="25"/>
  <c r="EZ5" i="25"/>
  <c r="J5" i="25"/>
  <c r="EW3" i="25"/>
  <c r="FF3" i="25"/>
  <c r="FG3" i="25"/>
  <c r="FJ4" i="25"/>
  <c r="FK5" i="25"/>
  <c r="FE4" i="25"/>
  <c r="FF4" i="25"/>
  <c r="FJ3" i="25"/>
  <c r="FK3" i="25"/>
  <c r="FK9" i="25" s="1"/>
  <c r="FH3" i="25"/>
  <c r="FF5" i="25"/>
  <c r="FI4" i="25"/>
  <c r="FG4" i="25"/>
  <c r="FG5" i="25"/>
  <c r="FH5" i="25"/>
  <c r="FK4" i="25"/>
  <c r="FI5" i="25"/>
  <c r="FE3" i="25"/>
  <c r="EV3" i="25"/>
  <c r="FA5" i="25"/>
  <c r="EU4" i="25"/>
  <c r="EZ4" i="25"/>
  <c r="EY4" i="25"/>
  <c r="EW4" i="25"/>
  <c r="EV4" i="25"/>
  <c r="EU3" i="25"/>
  <c r="BA5" i="25"/>
  <c r="EY5" i="25"/>
  <c r="EZ3" i="25"/>
  <c r="FA3" i="25"/>
  <c r="EX3" i="25"/>
  <c r="EV5" i="25"/>
  <c r="EW5" i="25"/>
  <c r="EX5" i="25"/>
  <c r="FA4" i="25"/>
  <c r="BA4" i="25"/>
  <c r="BA3" i="25"/>
  <c r="G9" i="25"/>
  <c r="EY3" i="25"/>
  <c r="FI3" i="25"/>
  <c r="FD3" i="25"/>
  <c r="EX4" i="25"/>
  <c r="FH4" i="25"/>
  <c r="EU5" i="25"/>
  <c r="FE5" i="25"/>
  <c r="B21" i="16"/>
  <c r="C21" i="16" s="1"/>
  <c r="BO5" i="3"/>
  <c r="BM3" i="22"/>
  <c r="HD50" i="22"/>
  <c r="HD45" i="22"/>
  <c r="K5" i="22"/>
  <c r="J5" i="22"/>
  <c r="I5" i="22"/>
  <c r="H5" i="22"/>
  <c r="G5" i="22"/>
  <c r="F5" i="22"/>
  <c r="E5" i="22"/>
  <c r="D5" i="22"/>
  <c r="C5" i="22"/>
  <c r="K4" i="22"/>
  <c r="J4" i="22"/>
  <c r="I4" i="22"/>
  <c r="H4" i="22"/>
  <c r="G4" i="22"/>
  <c r="F4" i="22"/>
  <c r="E4" i="22"/>
  <c r="D4" i="22"/>
  <c r="C4" i="22"/>
  <c r="D6" i="3"/>
  <c r="E6" i="3"/>
  <c r="F6" i="3"/>
  <c r="G6" i="3"/>
  <c r="H6" i="3"/>
  <c r="I6" i="3"/>
  <c r="J6" i="3"/>
  <c r="K6" i="3"/>
  <c r="D7" i="3"/>
  <c r="E7" i="3"/>
  <c r="F7" i="3"/>
  <c r="G7" i="3"/>
  <c r="H7" i="3"/>
  <c r="I7" i="3"/>
  <c r="J7" i="3"/>
  <c r="K7" i="3"/>
  <c r="C7" i="3"/>
  <c r="C6" i="3"/>
  <c r="L56" i="22"/>
  <c r="L55" i="22"/>
  <c r="L54" i="22"/>
  <c r="L53" i="22"/>
  <c r="L51" i="22"/>
  <c r="L50" i="22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K3" i="22"/>
  <c r="J3" i="22"/>
  <c r="I3" i="22"/>
  <c r="H3" i="22"/>
  <c r="G3" i="22"/>
  <c r="F3" i="22"/>
  <c r="E3" i="22"/>
  <c r="D3" i="22"/>
  <c r="C3" i="22"/>
  <c r="L58" i="3"/>
  <c r="L57" i="3"/>
  <c r="L56" i="3"/>
  <c r="L55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K5" i="3"/>
  <c r="J5" i="3"/>
  <c r="I5" i="3"/>
  <c r="H5" i="3"/>
  <c r="G5" i="3"/>
  <c r="F5" i="3"/>
  <c r="E5" i="3"/>
  <c r="D5" i="3"/>
  <c r="C5" i="3"/>
  <c r="W6" i="3"/>
  <c r="BX6" i="3"/>
  <c r="BO5" i="22"/>
  <c r="BY5" i="22"/>
  <c r="BX5" i="22"/>
  <c r="BW5" i="22"/>
  <c r="BV5" i="22"/>
  <c r="BU5" i="22"/>
  <c r="BT5" i="22"/>
  <c r="BS5" i="22"/>
  <c r="BR5" i="22"/>
  <c r="BQ5" i="22"/>
  <c r="BP5" i="22"/>
  <c r="BM5" i="22"/>
  <c r="BY4" i="22"/>
  <c r="BX4" i="22"/>
  <c r="BW4" i="22"/>
  <c r="BV4" i="22"/>
  <c r="BU4" i="22"/>
  <c r="BT4" i="22"/>
  <c r="BS4" i="22"/>
  <c r="BR4" i="22"/>
  <c r="BQ4" i="22"/>
  <c r="BP4" i="22"/>
  <c r="BM4" i="22"/>
  <c r="BY7" i="3"/>
  <c r="BX7" i="3"/>
  <c r="BW7" i="3"/>
  <c r="BV7" i="3"/>
  <c r="BU7" i="3"/>
  <c r="BT7" i="3"/>
  <c r="BS7" i="3"/>
  <c r="BR7" i="3"/>
  <c r="BQ7" i="3"/>
  <c r="BP7" i="3"/>
  <c r="BY6" i="3"/>
  <c r="BW6" i="3"/>
  <c r="BV6" i="3"/>
  <c r="BU6" i="3"/>
  <c r="BT6" i="3"/>
  <c r="BS6" i="3"/>
  <c r="BR6" i="3"/>
  <c r="BQ6" i="3"/>
  <c r="BP6" i="3"/>
  <c r="BM7" i="3"/>
  <c r="G105" i="14" l="1"/>
  <c r="G85" i="14"/>
  <c r="G65" i="14"/>
  <c r="D85" i="14"/>
  <c r="D165" i="14"/>
  <c r="G165" i="14"/>
  <c r="G185" i="14"/>
  <c r="D45" i="14"/>
  <c r="G45" i="14"/>
  <c r="D105" i="14"/>
  <c r="G125" i="14"/>
  <c r="D185" i="14"/>
  <c r="D65" i="14"/>
  <c r="D145" i="14"/>
  <c r="G145" i="14"/>
  <c r="L7" i="3"/>
  <c r="G5" i="14" s="1"/>
  <c r="P27" i="16" s="1"/>
  <c r="L6" i="3"/>
  <c r="D5" i="14" s="1"/>
  <c r="D125" i="14"/>
  <c r="L4" i="22"/>
  <c r="L5" i="22"/>
  <c r="K21" i="16"/>
  <c r="M21" i="16"/>
  <c r="BU8" i="25"/>
  <c r="BK8" i="25"/>
  <c r="BJ8" i="25"/>
  <c r="BT8" i="25"/>
  <c r="BJ7" i="25"/>
  <c r="FD9" i="25"/>
  <c r="EX9" i="25"/>
  <c r="FI9" i="25"/>
  <c r="FH9" i="25"/>
  <c r="FF9" i="25"/>
  <c r="FG9" i="25"/>
  <c r="EW9" i="25"/>
  <c r="EV9" i="25"/>
  <c r="J9" i="25"/>
  <c r="E9" i="25"/>
  <c r="H9" i="25"/>
  <c r="FE9" i="25"/>
  <c r="FJ9" i="25"/>
  <c r="I9" i="25"/>
  <c r="F9" i="25"/>
  <c r="EU9" i="25"/>
  <c r="C9" i="25"/>
  <c r="ET9" i="25"/>
  <c r="FA9" i="25"/>
  <c r="EY9" i="25"/>
  <c r="EZ9" i="25"/>
  <c r="D9" i="25"/>
  <c r="FD5" i="25"/>
  <c r="L3" i="22"/>
  <c r="L5" i="3"/>
  <c r="D21" i="11" l="1"/>
  <c r="P11" i="11" a="1"/>
  <c r="P11" i="11" s="1"/>
  <c r="F17" i="11" s="1"/>
  <c r="Z14" i="11" a="1"/>
  <c r="Z14" i="11" s="1"/>
  <c r="Y14" i="11" a="1"/>
  <c r="Y14" i="11" s="1"/>
  <c r="X14" i="11" a="1"/>
  <c r="X14" i="11" s="1"/>
  <c r="K20" i="11" s="1"/>
  <c r="W14" i="11" a="1"/>
  <c r="W14" i="11" s="1"/>
  <c r="L20" i="11" s="1"/>
  <c r="V14" i="11" a="1"/>
  <c r="V14" i="11" s="1"/>
  <c r="E20" i="11" s="1"/>
  <c r="U14" i="11" a="1"/>
  <c r="U14" i="11" s="1"/>
  <c r="J20" i="11" s="1"/>
  <c r="T14" i="11" a="1"/>
  <c r="T14" i="11" s="1"/>
  <c r="I20" i="11" s="1"/>
  <c r="S14" i="11" a="1"/>
  <c r="S14" i="11" s="1"/>
  <c r="H20" i="11" s="1"/>
  <c r="R14" i="11" a="1"/>
  <c r="R14" i="11" s="1"/>
  <c r="Q14" i="11" a="1"/>
  <c r="Q14" i="11" s="1"/>
  <c r="G20" i="11" s="1"/>
  <c r="P14" i="11" a="1"/>
  <c r="P14" i="11" s="1"/>
  <c r="F20" i="11" s="1"/>
  <c r="Z13" i="11" a="1"/>
  <c r="Z13" i="11" s="1"/>
  <c r="Y13" i="11" a="1"/>
  <c r="Y13" i="11" s="1"/>
  <c r="X13" i="11" a="1"/>
  <c r="X13" i="11" s="1"/>
  <c r="K19" i="11" s="1"/>
  <c r="W13" i="11" a="1"/>
  <c r="W13" i="11" s="1"/>
  <c r="L19" i="11" s="1"/>
  <c r="V13" i="11" a="1"/>
  <c r="V13" i="11" s="1"/>
  <c r="E19" i="11" s="1"/>
  <c r="U13" i="11" a="1"/>
  <c r="U13" i="11" s="1"/>
  <c r="J19" i="11" s="1"/>
  <c r="T13" i="11" a="1"/>
  <c r="T13" i="11" s="1"/>
  <c r="I19" i="11" s="1"/>
  <c r="S13" i="11" a="1"/>
  <c r="S13" i="11" s="1"/>
  <c r="H19" i="11" s="1"/>
  <c r="R13" i="11" a="1"/>
  <c r="R13" i="11" s="1"/>
  <c r="Q13" i="11" a="1"/>
  <c r="Q13" i="11" s="1"/>
  <c r="G19" i="11" s="1"/>
  <c r="P13" i="11" a="1"/>
  <c r="P13" i="11" s="1"/>
  <c r="F19" i="11" s="1"/>
  <c r="Z12" i="11" a="1"/>
  <c r="Z12" i="11" s="1"/>
  <c r="Y12" i="11" a="1"/>
  <c r="Y12" i="11" s="1"/>
  <c r="X12" i="11" a="1"/>
  <c r="X12" i="11" s="1"/>
  <c r="K18" i="11" s="1"/>
  <c r="W12" i="11" a="1"/>
  <c r="W12" i="11" s="1"/>
  <c r="L18" i="11" s="1"/>
  <c r="V12" i="11" a="1"/>
  <c r="V12" i="11" s="1"/>
  <c r="E18" i="11" s="1"/>
  <c r="U12" i="11" a="1"/>
  <c r="U12" i="11" s="1"/>
  <c r="J18" i="11" s="1"/>
  <c r="T12" i="11" a="1"/>
  <c r="T12" i="11" s="1"/>
  <c r="I18" i="11" s="1"/>
  <c r="S12" i="11" a="1"/>
  <c r="S12" i="11" s="1"/>
  <c r="H18" i="11" s="1"/>
  <c r="R12" i="11" a="1"/>
  <c r="R12" i="11" s="1"/>
  <c r="Q12" i="11" a="1"/>
  <c r="Q12" i="11" s="1"/>
  <c r="G18" i="11" s="1"/>
  <c r="P12" i="11" a="1"/>
  <c r="P12" i="11" s="1"/>
  <c r="F18" i="11" s="1"/>
  <c r="Z11" i="11" a="1"/>
  <c r="Z11" i="11" s="1"/>
  <c r="Y11" i="11" a="1"/>
  <c r="Y11" i="11" s="1"/>
  <c r="X11" i="11" a="1"/>
  <c r="X11" i="11" s="1"/>
  <c r="K17" i="11" s="1"/>
  <c r="W11" i="11" a="1"/>
  <c r="W11" i="11" s="1"/>
  <c r="L17" i="11" s="1"/>
  <c r="V11" i="11" a="1"/>
  <c r="V11" i="11" s="1"/>
  <c r="E17" i="11" s="1"/>
  <c r="U11" i="11" a="1"/>
  <c r="U11" i="11" s="1"/>
  <c r="J17" i="11" s="1"/>
  <c r="T11" i="11" a="1"/>
  <c r="T11" i="11" s="1"/>
  <c r="I17" i="11" s="1"/>
  <c r="S11" i="11" a="1"/>
  <c r="S11" i="11" s="1"/>
  <c r="H17" i="11" s="1"/>
  <c r="R11" i="11" a="1"/>
  <c r="R11" i="11" s="1"/>
  <c r="Q11" i="11" a="1"/>
  <c r="Q11" i="11" s="1"/>
  <c r="G17" i="11" s="1"/>
  <c r="Z10" i="11" a="1"/>
  <c r="Z10" i="11" s="1"/>
  <c r="Y10" i="11" a="1"/>
  <c r="Y10" i="11" s="1"/>
  <c r="X10" i="11" a="1"/>
  <c r="X10" i="11" s="1"/>
  <c r="K16" i="11" s="1"/>
  <c r="W10" i="11" a="1"/>
  <c r="W10" i="11" s="1"/>
  <c r="L16" i="11" s="1"/>
  <c r="V10" i="11" a="1"/>
  <c r="V10" i="11" s="1"/>
  <c r="E16" i="11" s="1"/>
  <c r="U10" i="11" a="1"/>
  <c r="U10" i="11" s="1"/>
  <c r="J16" i="11" s="1"/>
  <c r="T10" i="11" a="1"/>
  <c r="T10" i="11" s="1"/>
  <c r="I16" i="11" s="1"/>
  <c r="S10" i="11" a="1"/>
  <c r="S10" i="11" s="1"/>
  <c r="H16" i="11" s="1"/>
  <c r="R10" i="11" a="1"/>
  <c r="R10" i="11" s="1"/>
  <c r="Q10" i="11" a="1"/>
  <c r="Q10" i="11" s="1"/>
  <c r="G16" i="11" s="1"/>
  <c r="P10" i="11" a="1"/>
  <c r="P10" i="11" s="1"/>
  <c r="F16" i="11" s="1"/>
  <c r="Z9" i="11" a="1"/>
  <c r="Z9" i="11" s="1"/>
  <c r="Y9" i="11" a="1"/>
  <c r="Y9" i="11" s="1"/>
  <c r="X9" i="11" a="1"/>
  <c r="X9" i="11" s="1"/>
  <c r="K15" i="11" s="1"/>
  <c r="W9" i="11" a="1"/>
  <c r="W9" i="11" s="1"/>
  <c r="L15" i="11" s="1"/>
  <c r="V9" i="11" a="1"/>
  <c r="V9" i="11" s="1"/>
  <c r="E15" i="11" s="1"/>
  <c r="U9" i="11" a="1"/>
  <c r="U9" i="11" s="1"/>
  <c r="J15" i="11" s="1"/>
  <c r="T9" i="11" a="1"/>
  <c r="T9" i="11" s="1"/>
  <c r="I15" i="11" s="1"/>
  <c r="S9" i="11" a="1"/>
  <c r="S9" i="11" s="1"/>
  <c r="H15" i="11" s="1"/>
  <c r="R9" i="11" a="1"/>
  <c r="R9" i="11" s="1"/>
  <c r="Q9" i="11" a="1"/>
  <c r="Q9" i="11" s="1"/>
  <c r="G15" i="11" s="1"/>
  <c r="P9" i="11" a="1"/>
  <c r="P9" i="11" s="1"/>
  <c r="F15" i="11" s="1"/>
  <c r="Z8" i="11" a="1"/>
  <c r="Z8" i="11" s="1"/>
  <c r="Y8" i="11" a="1"/>
  <c r="Y8" i="11" s="1"/>
  <c r="X8" i="11" a="1"/>
  <c r="X8" i="11" s="1"/>
  <c r="K14" i="11" s="1"/>
  <c r="W8" i="11" a="1"/>
  <c r="W8" i="11" s="1"/>
  <c r="L14" i="11" s="1"/>
  <c r="V8" i="11" a="1"/>
  <c r="V8" i="11" s="1"/>
  <c r="E14" i="11" s="1"/>
  <c r="U8" i="11" a="1"/>
  <c r="U8" i="11" s="1"/>
  <c r="J14" i="11" s="1"/>
  <c r="T8" i="11" a="1"/>
  <c r="T8" i="11" s="1"/>
  <c r="I14" i="11" s="1"/>
  <c r="S8" i="11" a="1"/>
  <c r="S8" i="11" s="1"/>
  <c r="H14" i="11" s="1"/>
  <c r="R8" i="11" a="1"/>
  <c r="R8" i="11" s="1"/>
  <c r="Q8" i="11" a="1"/>
  <c r="Q8" i="11" s="1"/>
  <c r="G14" i="11" s="1"/>
  <c r="P8" i="11" a="1"/>
  <c r="P8" i="11" s="1"/>
  <c r="F14" i="11" s="1"/>
  <c r="Z7" i="11" a="1"/>
  <c r="Z7" i="11" s="1"/>
  <c r="Y7" i="11" a="1"/>
  <c r="Y7" i="11" s="1"/>
  <c r="X7" i="11" a="1"/>
  <c r="X7" i="11" s="1"/>
  <c r="K13" i="11" s="1"/>
  <c r="W7" i="11" a="1"/>
  <c r="W7" i="11" s="1"/>
  <c r="L13" i="11" s="1"/>
  <c r="V7" i="11" a="1"/>
  <c r="V7" i="11" s="1"/>
  <c r="E13" i="11" s="1"/>
  <c r="U7" i="11" a="1"/>
  <c r="U7" i="11" s="1"/>
  <c r="J13" i="11" s="1"/>
  <c r="T7" i="11" a="1"/>
  <c r="T7" i="11" s="1"/>
  <c r="I13" i="11" s="1"/>
  <c r="S7" i="11" a="1"/>
  <c r="S7" i="11" s="1"/>
  <c r="H13" i="11" s="1"/>
  <c r="R7" i="11" a="1"/>
  <c r="R7" i="11" s="1"/>
  <c r="Q7" i="11" a="1"/>
  <c r="Q7" i="11" s="1"/>
  <c r="G13" i="11" s="1"/>
  <c r="P7" i="11" a="1"/>
  <c r="P7" i="11" s="1"/>
  <c r="F13" i="11" s="1"/>
  <c r="Z6" i="11" a="1"/>
  <c r="Z6" i="11" s="1"/>
  <c r="Y6" i="11" a="1"/>
  <c r="Y6" i="11" s="1"/>
  <c r="X6" i="11" a="1"/>
  <c r="X6" i="11" s="1"/>
  <c r="K12" i="11" s="1"/>
  <c r="W6" i="11" a="1"/>
  <c r="W6" i="11" s="1"/>
  <c r="L12" i="11" s="1"/>
  <c r="V6" i="11" a="1"/>
  <c r="V6" i="11" s="1"/>
  <c r="E12" i="11" s="1"/>
  <c r="U6" i="11" a="1"/>
  <c r="U6" i="11" s="1"/>
  <c r="J12" i="11" s="1"/>
  <c r="T6" i="11" a="1"/>
  <c r="T6" i="11" s="1"/>
  <c r="I12" i="11" s="1"/>
  <c r="S6" i="11" a="1"/>
  <c r="S6" i="11" s="1"/>
  <c r="H12" i="11" s="1"/>
  <c r="R6" i="11" a="1"/>
  <c r="R6" i="11" s="1"/>
  <c r="Q6" i="11" a="1"/>
  <c r="Q6" i="11" s="1"/>
  <c r="G12" i="11" s="1"/>
  <c r="P6" i="11" a="1"/>
  <c r="P6" i="11" s="1"/>
  <c r="F12" i="11" s="1"/>
  <c r="Y5" i="11" a="1"/>
  <c r="Y5" i="11" s="1"/>
  <c r="X5" i="11" a="1"/>
  <c r="X5" i="11" s="1"/>
  <c r="K11" i="11" s="1"/>
  <c r="W5" i="11" a="1"/>
  <c r="W5" i="11" s="1"/>
  <c r="L11" i="11" s="1"/>
  <c r="V5" i="11" a="1"/>
  <c r="V5" i="11" s="1"/>
  <c r="E11" i="11" s="1"/>
  <c r="U5" i="11" a="1"/>
  <c r="U5" i="11" s="1"/>
  <c r="J11" i="11" s="1"/>
  <c r="T5" i="11" a="1"/>
  <c r="T5" i="11" s="1"/>
  <c r="I11" i="11" s="1"/>
  <c r="S5" i="11" a="1"/>
  <c r="S5" i="11" s="1"/>
  <c r="H11" i="11" s="1"/>
  <c r="R5" i="11" a="1"/>
  <c r="R5" i="11" s="1"/>
  <c r="Q5" i="11" a="1"/>
  <c r="Q5" i="11" s="1"/>
  <c r="G11" i="11" s="1"/>
  <c r="P5" i="11" a="1"/>
  <c r="P5" i="11" s="1"/>
  <c r="F11" i="11" s="1"/>
  <c r="Z4" i="11" a="1"/>
  <c r="Z4" i="11" s="1"/>
  <c r="Y4" i="11" a="1"/>
  <c r="Y4" i="11" s="1"/>
  <c r="X4" i="11" a="1"/>
  <c r="X4" i="11" s="1"/>
  <c r="K10" i="11" s="1"/>
  <c r="W4" i="11" a="1"/>
  <c r="W4" i="11" s="1"/>
  <c r="L10" i="11" s="1"/>
  <c r="V4" i="11" a="1"/>
  <c r="V4" i="11" s="1"/>
  <c r="E10" i="11" s="1"/>
  <c r="U4" i="11" a="1"/>
  <c r="U4" i="11" s="1"/>
  <c r="J10" i="11" s="1"/>
  <c r="T4" i="11" a="1"/>
  <c r="T4" i="11" s="1"/>
  <c r="I10" i="11" s="1"/>
  <c r="S4" i="11" a="1"/>
  <c r="S4" i="11" s="1"/>
  <c r="H10" i="11" s="1"/>
  <c r="R4" i="11" a="1"/>
  <c r="R4" i="11" s="1"/>
  <c r="Q4" i="11" a="1"/>
  <c r="Q4" i="11" s="1"/>
  <c r="G10" i="11" s="1"/>
  <c r="P4" i="11" a="1"/>
  <c r="P4" i="11" s="1"/>
  <c r="F10" i="11" s="1"/>
  <c r="Z3" i="11" a="1"/>
  <c r="Z3" i="11" s="1"/>
  <c r="Y3" i="11" a="1"/>
  <c r="Y3" i="11" s="1"/>
  <c r="X3" i="11" a="1"/>
  <c r="X3" i="11" s="1"/>
  <c r="K9" i="11" s="1"/>
  <c r="W3" i="11" a="1"/>
  <c r="W3" i="11" s="1"/>
  <c r="L9" i="11" s="1"/>
  <c r="V3" i="11" a="1"/>
  <c r="V3" i="11" s="1"/>
  <c r="E9" i="11" s="1"/>
  <c r="U3" i="11" a="1"/>
  <c r="U3" i="11" s="1"/>
  <c r="J9" i="11" s="1"/>
  <c r="T3" i="11" a="1"/>
  <c r="T3" i="11" s="1"/>
  <c r="I9" i="11" s="1"/>
  <c r="S3" i="11" a="1"/>
  <c r="S3" i="11" s="1"/>
  <c r="H9" i="11" s="1"/>
  <c r="R3" i="11" a="1"/>
  <c r="R3" i="11" s="1"/>
  <c r="Q3" i="11" a="1"/>
  <c r="Q3" i="11" s="1"/>
  <c r="G9" i="11" s="1"/>
  <c r="P3" i="11" a="1"/>
  <c r="P3" i="11" s="1"/>
  <c r="F9" i="11" s="1"/>
  <c r="Y15" i="10" a="1"/>
  <c r="Y15" i="10" s="1"/>
  <c r="R14" i="10" a="1"/>
  <c r="R14" i="10" s="1"/>
  <c r="Y14" i="10" a="1"/>
  <c r="Y14" i="10" s="1"/>
  <c r="X14" i="10" a="1"/>
  <c r="X14" i="10" s="1"/>
  <c r="W14" i="10" a="1"/>
  <c r="W14" i="10" s="1"/>
  <c r="V14" i="10" a="1"/>
  <c r="V14" i="10" s="1"/>
  <c r="U14" i="10" a="1"/>
  <c r="U14" i="10" s="1"/>
  <c r="T14" i="10" a="1"/>
  <c r="T14" i="10" s="1"/>
  <c r="S14" i="10" a="1"/>
  <c r="S14" i="10" s="1"/>
  <c r="Q14" i="10" a="1"/>
  <c r="Q14" i="10" s="1"/>
  <c r="P14" i="10" a="1"/>
  <c r="P14" i="10" s="1"/>
  <c r="O14" i="10" a="1"/>
  <c r="O14" i="10" s="1"/>
  <c r="Y13" i="10" a="1"/>
  <c r="Y13" i="10" s="1"/>
  <c r="X13" i="10" a="1"/>
  <c r="X13" i="10" s="1"/>
  <c r="W13" i="10" a="1"/>
  <c r="W13" i="10" s="1"/>
  <c r="V13" i="10" a="1"/>
  <c r="V13" i="10" s="1"/>
  <c r="U13" i="10" a="1"/>
  <c r="U13" i="10" s="1"/>
  <c r="T13" i="10" a="1"/>
  <c r="T13" i="10" s="1"/>
  <c r="S13" i="10" a="1"/>
  <c r="S13" i="10" s="1"/>
  <c r="R13" i="10" a="1"/>
  <c r="R13" i="10" s="1"/>
  <c r="Q13" i="10" a="1"/>
  <c r="Q13" i="10" s="1"/>
  <c r="P13" i="10" a="1"/>
  <c r="P13" i="10" s="1"/>
  <c r="O13" i="10" a="1"/>
  <c r="O13" i="10" s="1"/>
  <c r="Y12" i="10" a="1"/>
  <c r="Y12" i="10" s="1"/>
  <c r="X12" i="10" a="1"/>
  <c r="X12" i="10" s="1"/>
  <c r="W12" i="10" a="1"/>
  <c r="W12" i="10" s="1"/>
  <c r="V12" i="10" a="1"/>
  <c r="V12" i="10" s="1"/>
  <c r="U12" i="10" a="1"/>
  <c r="U12" i="10" s="1"/>
  <c r="T12" i="10" a="1"/>
  <c r="T12" i="10" s="1"/>
  <c r="S12" i="10" a="1"/>
  <c r="S12" i="10" s="1"/>
  <c r="R12" i="10" a="1"/>
  <c r="R12" i="10" s="1"/>
  <c r="Q12" i="10" a="1"/>
  <c r="Q12" i="10" s="1"/>
  <c r="P12" i="10" a="1"/>
  <c r="P12" i="10" s="1"/>
  <c r="O12" i="10" a="1"/>
  <c r="O12" i="10" s="1"/>
  <c r="Y11" i="10" a="1"/>
  <c r="Y11" i="10" s="1"/>
  <c r="X11" i="10" a="1"/>
  <c r="X11" i="10" s="1"/>
  <c r="W11" i="10" a="1"/>
  <c r="W11" i="10" s="1"/>
  <c r="V11" i="10" a="1"/>
  <c r="V11" i="10" s="1"/>
  <c r="U11" i="10" a="1"/>
  <c r="U11" i="10" s="1"/>
  <c r="T11" i="10" a="1"/>
  <c r="T11" i="10" s="1"/>
  <c r="S11" i="10" a="1"/>
  <c r="S11" i="10" s="1"/>
  <c r="R11" i="10" a="1"/>
  <c r="R11" i="10" s="1"/>
  <c r="Q11" i="10" a="1"/>
  <c r="Q11" i="10" s="1"/>
  <c r="P11" i="10" a="1"/>
  <c r="P11" i="10" s="1"/>
  <c r="O11" i="10" a="1"/>
  <c r="O11" i="10" s="1"/>
  <c r="Y10" i="10" a="1"/>
  <c r="Y10" i="10" s="1"/>
  <c r="X10" i="10" a="1"/>
  <c r="X10" i="10" s="1"/>
  <c r="W10" i="10" a="1"/>
  <c r="W10" i="10" s="1"/>
  <c r="V10" i="10" a="1"/>
  <c r="V10" i="10" s="1"/>
  <c r="U10" i="10" a="1"/>
  <c r="U10" i="10" s="1"/>
  <c r="T10" i="10" a="1"/>
  <c r="T10" i="10" s="1"/>
  <c r="S10" i="10" a="1"/>
  <c r="S10" i="10" s="1"/>
  <c r="R10" i="10" a="1"/>
  <c r="R10" i="10" s="1"/>
  <c r="Q10" i="10" a="1"/>
  <c r="Q10" i="10" s="1"/>
  <c r="P10" i="10" a="1"/>
  <c r="P10" i="10" s="1"/>
  <c r="O10" i="10" a="1"/>
  <c r="O10" i="10" s="1"/>
  <c r="Y9" i="10" a="1"/>
  <c r="Y9" i="10" s="1"/>
  <c r="X9" i="10" a="1"/>
  <c r="X9" i="10" s="1"/>
  <c r="W9" i="10" a="1"/>
  <c r="W9" i="10" s="1"/>
  <c r="V9" i="10" a="1"/>
  <c r="V9" i="10" s="1"/>
  <c r="U9" i="10" a="1"/>
  <c r="U9" i="10" s="1"/>
  <c r="T9" i="10" a="1"/>
  <c r="T9" i="10" s="1"/>
  <c r="S9" i="10" a="1"/>
  <c r="S9" i="10" s="1"/>
  <c r="R9" i="10" a="1"/>
  <c r="R9" i="10" s="1"/>
  <c r="Q9" i="10" a="1"/>
  <c r="Q9" i="10" s="1"/>
  <c r="P9" i="10" a="1"/>
  <c r="P9" i="10" s="1"/>
  <c r="O9" i="10" a="1"/>
  <c r="O9" i="10" s="1"/>
  <c r="Y8" i="10" a="1"/>
  <c r="Y8" i="10" s="1"/>
  <c r="X8" i="10" a="1"/>
  <c r="X8" i="10" s="1"/>
  <c r="W8" i="10" a="1"/>
  <c r="W8" i="10" s="1"/>
  <c r="V8" i="10" a="1"/>
  <c r="V8" i="10" s="1"/>
  <c r="U8" i="10" a="1"/>
  <c r="U8" i="10" s="1"/>
  <c r="T8" i="10" a="1"/>
  <c r="T8" i="10" s="1"/>
  <c r="S8" i="10" a="1"/>
  <c r="S8" i="10" s="1"/>
  <c r="R8" i="10" a="1"/>
  <c r="R8" i="10" s="1"/>
  <c r="Q8" i="10" a="1"/>
  <c r="Q8" i="10" s="1"/>
  <c r="P8" i="10" a="1"/>
  <c r="P8" i="10" s="1"/>
  <c r="O8" i="10" a="1"/>
  <c r="O8" i="10" s="1"/>
  <c r="Y7" i="10" a="1"/>
  <c r="Y7" i="10" s="1"/>
  <c r="X7" i="10" a="1"/>
  <c r="X7" i="10" s="1"/>
  <c r="W7" i="10" a="1"/>
  <c r="W7" i="10" s="1"/>
  <c r="V7" i="10" a="1"/>
  <c r="V7" i="10" s="1"/>
  <c r="U7" i="10" a="1"/>
  <c r="U7" i="10" s="1"/>
  <c r="T7" i="10" a="1"/>
  <c r="T7" i="10" s="1"/>
  <c r="S7" i="10" a="1"/>
  <c r="S7" i="10" s="1"/>
  <c r="R7" i="10" a="1"/>
  <c r="R7" i="10" s="1"/>
  <c r="Q7" i="10" a="1"/>
  <c r="Q7" i="10" s="1"/>
  <c r="P7" i="10" a="1"/>
  <c r="P7" i="10" s="1"/>
  <c r="O7" i="10" a="1"/>
  <c r="O7" i="10" s="1"/>
  <c r="Y6" i="10" a="1"/>
  <c r="Y6" i="10" s="1"/>
  <c r="X6" i="10" a="1"/>
  <c r="X6" i="10" s="1"/>
  <c r="W6" i="10" a="1"/>
  <c r="W6" i="10" s="1"/>
  <c r="V6" i="10" a="1"/>
  <c r="V6" i="10" s="1"/>
  <c r="U6" i="10" a="1"/>
  <c r="U6" i="10" s="1"/>
  <c r="T6" i="10" a="1"/>
  <c r="T6" i="10" s="1"/>
  <c r="S6" i="10" a="1"/>
  <c r="S6" i="10" s="1"/>
  <c r="R6" i="10" a="1"/>
  <c r="R6" i="10" s="1"/>
  <c r="Q6" i="10" a="1"/>
  <c r="Q6" i="10" s="1"/>
  <c r="P6" i="10" a="1"/>
  <c r="P6" i="10" s="1"/>
  <c r="O6" i="10" a="1"/>
  <c r="O6" i="10" s="1"/>
  <c r="Y5" i="10" a="1"/>
  <c r="Y5" i="10" s="1"/>
  <c r="X5" i="10" a="1"/>
  <c r="X5" i="10" s="1"/>
  <c r="W5" i="10" a="1"/>
  <c r="W5" i="10" s="1"/>
  <c r="V5" i="10" a="1"/>
  <c r="V5" i="10" s="1"/>
  <c r="U5" i="10" a="1"/>
  <c r="U5" i="10" s="1"/>
  <c r="T5" i="10" a="1"/>
  <c r="T5" i="10" s="1"/>
  <c r="S5" i="10" a="1"/>
  <c r="S5" i="10" s="1"/>
  <c r="R5" i="10" a="1"/>
  <c r="R5" i="10" s="1"/>
  <c r="Q5" i="10" a="1"/>
  <c r="Q5" i="10" s="1"/>
  <c r="P5" i="10" a="1"/>
  <c r="P5" i="10" s="1"/>
  <c r="O5" i="10" a="1"/>
  <c r="O5" i="10" s="1"/>
  <c r="Y4" i="10" a="1"/>
  <c r="Y4" i="10" s="1"/>
  <c r="X4" i="10" a="1"/>
  <c r="X4" i="10" s="1"/>
  <c r="W4" i="10" a="1"/>
  <c r="W4" i="10" s="1"/>
  <c r="V4" i="10" a="1"/>
  <c r="V4" i="10" s="1"/>
  <c r="U4" i="10" a="1"/>
  <c r="U4" i="10" s="1"/>
  <c r="T4" i="10" a="1"/>
  <c r="T4" i="10" s="1"/>
  <c r="S4" i="10" a="1"/>
  <c r="S4" i="10" s="1"/>
  <c r="R4" i="10" a="1"/>
  <c r="R4" i="10" s="1"/>
  <c r="Q4" i="10" a="1"/>
  <c r="Q4" i="10" s="1"/>
  <c r="P4" i="10" a="1"/>
  <c r="P4" i="10" s="1"/>
  <c r="O4" i="10" a="1"/>
  <c r="O4" i="10" s="1"/>
  <c r="Y3" i="10" a="1"/>
  <c r="Y3" i="10" s="1"/>
  <c r="X3" i="10" a="1"/>
  <c r="X3" i="10" s="1"/>
  <c r="W3" i="10" a="1"/>
  <c r="W3" i="10" s="1"/>
  <c r="V3" i="10" a="1"/>
  <c r="V3" i="10" s="1"/>
  <c r="U3" i="10" a="1"/>
  <c r="U3" i="10" s="1"/>
  <c r="T3" i="10" a="1"/>
  <c r="T3" i="10" s="1"/>
  <c r="S3" i="10" a="1"/>
  <c r="S3" i="10" s="1"/>
  <c r="R3" i="10" a="1"/>
  <c r="R3" i="10" s="1"/>
  <c r="Q3" i="10" a="1"/>
  <c r="Q3" i="10" s="1"/>
  <c r="P3" i="10" a="1"/>
  <c r="P3" i="10" s="1"/>
  <c r="O3" i="10" a="1"/>
  <c r="O3" i="10" s="1"/>
  <c r="AA4" i="14" a="1"/>
  <c r="AA4" i="14" s="1"/>
  <c r="AA5" i="14" a="1"/>
  <c r="AA5" i="14" s="1"/>
  <c r="AA6" i="14" a="1"/>
  <c r="AA6" i="14" s="1"/>
  <c r="AA7" i="14" a="1"/>
  <c r="AA7" i="14" s="1"/>
  <c r="AA8" i="14" a="1"/>
  <c r="AA8" i="14" s="1"/>
  <c r="AA9" i="14" a="1"/>
  <c r="AA9" i="14" s="1"/>
  <c r="AA10" i="14" a="1"/>
  <c r="AA10" i="14" s="1"/>
  <c r="AA11" i="14" a="1"/>
  <c r="AA11" i="14" s="1"/>
  <c r="AA12" i="14" a="1"/>
  <c r="AA12" i="14" s="1"/>
  <c r="AA13" i="14" a="1"/>
  <c r="AA13" i="14" s="1"/>
  <c r="AA14" i="14" a="1"/>
  <c r="AA14" i="14" s="1"/>
  <c r="AA3" i="14" a="1"/>
  <c r="AA3" i="14" s="1"/>
  <c r="G8" i="14" s="1"/>
  <c r="Z4" i="14" a="1"/>
  <c r="Z4" i="14" s="1"/>
  <c r="Z5" i="14" a="1"/>
  <c r="Z5" i="14" s="1"/>
  <c r="Z6" i="14" a="1"/>
  <c r="Z6" i="14" s="1"/>
  <c r="Z7" i="14" a="1"/>
  <c r="Z7" i="14" s="1"/>
  <c r="Z8" i="14" a="1"/>
  <c r="Z8" i="14" s="1"/>
  <c r="Z9" i="14" a="1"/>
  <c r="Z9" i="14" s="1"/>
  <c r="Z10" i="14" a="1"/>
  <c r="Z10" i="14" s="1"/>
  <c r="Z11" i="14" a="1"/>
  <c r="Z11" i="14" s="1"/>
  <c r="Z12" i="14" a="1"/>
  <c r="Z12" i="14" s="1"/>
  <c r="Z13" i="14" a="1"/>
  <c r="Z13" i="14" s="1"/>
  <c r="Z14" i="14" a="1"/>
  <c r="Z14" i="14" s="1"/>
  <c r="Z3" i="14" a="1"/>
  <c r="Z3" i="14" s="1"/>
  <c r="Y4" i="14" a="1"/>
  <c r="Y4" i="14" s="1"/>
  <c r="Y5" i="14" a="1"/>
  <c r="Y5" i="14" s="1"/>
  <c r="Y6" i="14" a="1"/>
  <c r="Y6" i="14" s="1"/>
  <c r="Y7" i="14" a="1"/>
  <c r="Y7" i="14" s="1"/>
  <c r="Y8" i="14" a="1"/>
  <c r="Y8" i="14" s="1"/>
  <c r="Y9" i="14" a="1"/>
  <c r="Y9" i="14" s="1"/>
  <c r="Y10" i="14" a="1"/>
  <c r="Y10" i="14" s="1"/>
  <c r="Y11" i="14" a="1"/>
  <c r="Y11" i="14" s="1"/>
  <c r="Y12" i="14" a="1"/>
  <c r="Y12" i="14" s="1"/>
  <c r="Y13" i="14" a="1"/>
  <c r="Y13" i="14" s="1"/>
  <c r="Y14" i="14" a="1"/>
  <c r="Y14" i="14" s="1"/>
  <c r="Y3" i="14" a="1"/>
  <c r="Y3" i="14" s="1"/>
  <c r="X4" i="14" a="1"/>
  <c r="X4" i="14" s="1"/>
  <c r="X5" i="14" a="1"/>
  <c r="X5" i="14" s="1"/>
  <c r="X6" i="14" a="1"/>
  <c r="X6" i="14" s="1"/>
  <c r="X7" i="14" a="1"/>
  <c r="X7" i="14" s="1"/>
  <c r="X8" i="14" a="1"/>
  <c r="X8" i="14" s="1"/>
  <c r="X9" i="14" a="1"/>
  <c r="X9" i="14" s="1"/>
  <c r="X10" i="14" a="1"/>
  <c r="X10" i="14" s="1"/>
  <c r="X11" i="14" a="1"/>
  <c r="X11" i="14" s="1"/>
  <c r="X12" i="14" a="1"/>
  <c r="X12" i="14" s="1"/>
  <c r="X13" i="14" a="1"/>
  <c r="X13" i="14" s="1"/>
  <c r="X14" i="14" a="1"/>
  <c r="X14" i="14" s="1"/>
  <c r="X3" i="14" a="1"/>
  <c r="X3" i="14" s="1"/>
  <c r="W4" i="14" a="1"/>
  <c r="W4" i="14" s="1"/>
  <c r="W5" i="14" a="1"/>
  <c r="W5" i="14" s="1"/>
  <c r="W6" i="14" a="1"/>
  <c r="W6" i="14" s="1"/>
  <c r="W7" i="14" a="1"/>
  <c r="W7" i="14" s="1"/>
  <c r="W8" i="14" a="1"/>
  <c r="W8" i="14" s="1"/>
  <c r="W9" i="14" a="1"/>
  <c r="W9" i="14" s="1"/>
  <c r="W10" i="14" a="1"/>
  <c r="W10" i="14" s="1"/>
  <c r="W11" i="14" a="1"/>
  <c r="W11" i="14" s="1"/>
  <c r="W12" i="14" a="1"/>
  <c r="W12" i="14" s="1"/>
  <c r="W13" i="14" a="1"/>
  <c r="W13" i="14" s="1"/>
  <c r="W14" i="14" a="1"/>
  <c r="W14" i="14" s="1"/>
  <c r="W3" i="14" a="1"/>
  <c r="W3" i="14" s="1"/>
  <c r="V4" i="14" a="1"/>
  <c r="V4" i="14" s="1"/>
  <c r="V5" i="14" a="1"/>
  <c r="V5" i="14" s="1"/>
  <c r="V6" i="14" a="1"/>
  <c r="V6" i="14" s="1"/>
  <c r="V7" i="14" a="1"/>
  <c r="V7" i="14" s="1"/>
  <c r="V8" i="14" a="1"/>
  <c r="V8" i="14" s="1"/>
  <c r="E93" i="14" s="1"/>
  <c r="V9" i="14" a="1"/>
  <c r="V9" i="14" s="1"/>
  <c r="V10" i="14" a="1"/>
  <c r="V10" i="14" s="1"/>
  <c r="V11" i="14" a="1"/>
  <c r="V11" i="14" s="1"/>
  <c r="V12" i="14" a="1"/>
  <c r="V12" i="14" s="1"/>
  <c r="V13" i="14" a="1"/>
  <c r="V13" i="14" s="1"/>
  <c r="V14" i="14" a="1"/>
  <c r="V14" i="14" s="1"/>
  <c r="V3" i="14" a="1"/>
  <c r="V3" i="14" s="1"/>
  <c r="U4" i="14" a="1"/>
  <c r="U4" i="14" s="1"/>
  <c r="U5" i="14" a="1"/>
  <c r="U5" i="14" s="1"/>
  <c r="U6" i="14" a="1"/>
  <c r="U6" i="14" s="1"/>
  <c r="U7" i="14" a="1"/>
  <c r="U7" i="14" s="1"/>
  <c r="U8" i="14" a="1"/>
  <c r="U8" i="14" s="1"/>
  <c r="U9" i="14" a="1"/>
  <c r="U9" i="14" s="1"/>
  <c r="U10" i="14" a="1"/>
  <c r="U10" i="14" s="1"/>
  <c r="U11" i="14" a="1"/>
  <c r="U11" i="14" s="1"/>
  <c r="U12" i="14" a="1"/>
  <c r="U12" i="14" s="1"/>
  <c r="U13" i="14" a="1"/>
  <c r="U13" i="14" s="1"/>
  <c r="U14" i="14" a="1"/>
  <c r="U14" i="14" s="1"/>
  <c r="U3" i="14" a="1"/>
  <c r="U3" i="14" s="1"/>
  <c r="T4" i="14" a="1"/>
  <c r="T4" i="14" s="1"/>
  <c r="T5" i="14" a="1"/>
  <c r="T5" i="14" s="1"/>
  <c r="T6" i="14" a="1"/>
  <c r="T6" i="14" s="1"/>
  <c r="T7" i="14" a="1"/>
  <c r="T7" i="14" s="1"/>
  <c r="T8" i="14" a="1"/>
  <c r="T8" i="14" s="1"/>
  <c r="T9" i="14" a="1"/>
  <c r="T9" i="14" s="1"/>
  <c r="T10" i="14" a="1"/>
  <c r="T10" i="14" s="1"/>
  <c r="T11" i="14" a="1"/>
  <c r="T11" i="14" s="1"/>
  <c r="T12" i="14" a="1"/>
  <c r="T12" i="14" s="1"/>
  <c r="T13" i="14" a="1"/>
  <c r="T13" i="14" s="1"/>
  <c r="T14" i="14" a="1"/>
  <c r="T14" i="14" s="1"/>
  <c r="T3" i="14" a="1"/>
  <c r="T3" i="14" s="1"/>
  <c r="S4" i="14" a="1"/>
  <c r="S4" i="14" s="1"/>
  <c r="S5" i="14" a="1"/>
  <c r="S5" i="14" s="1"/>
  <c r="S6" i="14" a="1"/>
  <c r="S6" i="14" s="1"/>
  <c r="S7" i="14" a="1"/>
  <c r="S7" i="14" s="1"/>
  <c r="S8" i="14" a="1"/>
  <c r="S8" i="14" s="1"/>
  <c r="S9" i="14" a="1"/>
  <c r="S9" i="14" s="1"/>
  <c r="S10" i="14" a="1"/>
  <c r="S10" i="14" s="1"/>
  <c r="S11" i="14" a="1"/>
  <c r="S11" i="14" s="1"/>
  <c r="S12" i="14" a="1"/>
  <c r="S12" i="14" s="1"/>
  <c r="S13" i="14" a="1"/>
  <c r="S13" i="14" s="1"/>
  <c r="S14" i="14" a="1"/>
  <c r="S14" i="14" s="1"/>
  <c r="S3" i="14" a="1"/>
  <c r="S3" i="14" s="1"/>
  <c r="R4" i="14" a="1"/>
  <c r="R4" i="14" s="1"/>
  <c r="R5" i="14" a="1"/>
  <c r="R5" i="14" s="1"/>
  <c r="R6" i="14" a="1"/>
  <c r="R6" i="14" s="1"/>
  <c r="R7" i="14" a="1"/>
  <c r="R7" i="14" s="1"/>
  <c r="R8" i="14" a="1"/>
  <c r="R8" i="14" s="1"/>
  <c r="R9" i="14" a="1"/>
  <c r="R9" i="14" s="1"/>
  <c r="R10" i="14" a="1"/>
  <c r="R10" i="14" s="1"/>
  <c r="R11" i="14" a="1"/>
  <c r="R11" i="14" s="1"/>
  <c r="R12" i="14" a="1"/>
  <c r="R12" i="14" s="1"/>
  <c r="R13" i="14" a="1"/>
  <c r="R13" i="14" s="1"/>
  <c r="R14" i="14" a="1"/>
  <c r="R14" i="14" s="1"/>
  <c r="R3" i="14" a="1"/>
  <c r="R3" i="14" s="1"/>
  <c r="Q4" i="14" a="1"/>
  <c r="Q4" i="14" s="1"/>
  <c r="Q5" i="14" a="1"/>
  <c r="Q5" i="14" s="1"/>
  <c r="Q6" i="14" a="1"/>
  <c r="Q6" i="14" s="1"/>
  <c r="Q7" i="14" a="1"/>
  <c r="Q7" i="14" s="1"/>
  <c r="Q8" i="14" a="1"/>
  <c r="Q8" i="14" s="1"/>
  <c r="Q9" i="14" a="1"/>
  <c r="Q9" i="14" s="1"/>
  <c r="Q10" i="14" a="1"/>
  <c r="Q10" i="14" s="1"/>
  <c r="Q11" i="14" a="1"/>
  <c r="Q11" i="14" s="1"/>
  <c r="Q12" i="14" a="1"/>
  <c r="Q12" i="14" s="1"/>
  <c r="Q13" i="14" a="1"/>
  <c r="Q13" i="14" s="1"/>
  <c r="Q14" i="14" a="1"/>
  <c r="Q14" i="14" s="1"/>
  <c r="Q3" i="14" a="1"/>
  <c r="Q3" i="14" s="1"/>
  <c r="DB7" i="3"/>
  <c r="G15" i="14" l="1"/>
  <c r="G13" i="14"/>
  <c r="AA38" i="27" s="1" a="1"/>
  <c r="AA38" i="27" s="1"/>
  <c r="AA45" i="27" s="1"/>
  <c r="BI45" i="27" s="1"/>
  <c r="G174" i="14"/>
  <c r="AB353" i="27" s="1" a="1"/>
  <c r="AB353" i="27" s="1"/>
  <c r="BJ353" i="27" s="1"/>
  <c r="G114" i="14"/>
  <c r="AB218" i="27" s="1" a="1"/>
  <c r="AB218" i="27" s="1"/>
  <c r="BJ218" i="27" s="1"/>
  <c r="G194" i="14"/>
  <c r="AB398" i="27" s="1" a="1"/>
  <c r="AB398" i="27" s="1"/>
  <c r="BJ398" i="27" s="1"/>
  <c r="G54" i="14"/>
  <c r="AB83" i="27" s="1" a="1"/>
  <c r="AB83" i="27" s="1"/>
  <c r="BJ83" i="27" s="1"/>
  <c r="G18" i="14"/>
  <c r="AF38" i="27" s="1" a="1"/>
  <c r="AF38" i="27" s="1"/>
  <c r="BN38" i="27" s="1"/>
  <c r="G74" i="14"/>
  <c r="AB128" i="27" s="1" a="1"/>
  <c r="AB128" i="27" s="1"/>
  <c r="G154" i="14"/>
  <c r="AB308" i="27" s="1" a="1"/>
  <c r="AB308" i="27" s="1"/>
  <c r="BJ308" i="27" s="1"/>
  <c r="AC38" i="27" a="1"/>
  <c r="AC38" i="27" s="1"/>
  <c r="BK38" i="27" s="1"/>
  <c r="G16" i="14"/>
  <c r="AD38" i="27" s="1" a="1"/>
  <c r="AD38" i="27" s="1"/>
  <c r="BL38" i="27" s="1"/>
  <c r="G134" i="14"/>
  <c r="AB263" i="27" s="1" a="1"/>
  <c r="AB263" i="27" s="1"/>
  <c r="G94" i="14"/>
  <c r="AB173" i="27" s="1" a="1"/>
  <c r="AB173" i="27" s="1"/>
  <c r="BJ173" i="27" s="1"/>
  <c r="G14" i="14"/>
  <c r="AB38" i="27" s="1" a="1"/>
  <c r="AB38" i="27" s="1"/>
  <c r="G48" i="14"/>
  <c r="E92" i="14"/>
  <c r="G50" i="14"/>
  <c r="BF83" i="27" s="1"/>
  <c r="G11" i="14"/>
  <c r="Y38" i="27" s="1" a="1"/>
  <c r="Y38" i="27" s="1"/>
  <c r="BG38" i="27" s="1"/>
  <c r="Z15" i="11" a="1"/>
  <c r="Z15" i="11" s="1"/>
  <c r="BD83" i="27"/>
  <c r="BD38" i="27"/>
  <c r="AA15" i="14" a="1"/>
  <c r="AA15" i="14" s="1"/>
  <c r="BF87" i="27"/>
  <c r="BF84" i="27"/>
  <c r="BF85" i="27"/>
  <c r="BF86" i="27"/>
  <c r="BF90" i="27"/>
  <c r="BF88" i="27"/>
  <c r="BF89" i="27"/>
  <c r="HF47" i="22"/>
  <c r="AF43" i="27" l="1"/>
  <c r="BN43" i="27" s="1"/>
  <c r="AF39" i="27"/>
  <c r="BN39" i="27" s="1"/>
  <c r="AF41" i="27"/>
  <c r="BN41" i="27" s="1"/>
  <c r="AA39" i="27"/>
  <c r="BI39" i="27" s="1"/>
  <c r="AA44" i="27"/>
  <c r="BI44" i="27" s="1"/>
  <c r="AF45" i="27"/>
  <c r="BN45" i="27" s="1"/>
  <c r="AA40" i="27"/>
  <c r="BI40" i="27" s="1"/>
  <c r="AA43" i="27"/>
  <c r="BI43" i="27" s="1"/>
  <c r="BI38" i="27"/>
  <c r="AA41" i="27"/>
  <c r="BI41" i="27" s="1"/>
  <c r="AA42" i="27"/>
  <c r="BI42" i="27" s="1"/>
  <c r="AF44" i="27"/>
  <c r="BN44" i="27" s="1"/>
  <c r="AD39" i="27"/>
  <c r="BL39" i="27" s="1"/>
  <c r="AD44" i="27"/>
  <c r="BL44" i="27" s="1"/>
  <c r="AD43" i="27"/>
  <c r="BL43" i="27" s="1"/>
  <c r="AF40" i="27"/>
  <c r="BN40" i="27" s="1"/>
  <c r="AD45" i="27"/>
  <c r="BL45" i="27" s="1"/>
  <c r="AF42" i="27"/>
  <c r="BN42" i="27" s="1"/>
  <c r="AB221" i="27"/>
  <c r="BJ221" i="27" s="1"/>
  <c r="AD40" i="27"/>
  <c r="BL40" i="27" s="1"/>
  <c r="AB220" i="27"/>
  <c r="BJ220" i="27" s="1"/>
  <c r="AB401" i="27"/>
  <c r="BJ401" i="27" s="1"/>
  <c r="AB404" i="27"/>
  <c r="BJ404" i="27" s="1"/>
  <c r="AB400" i="27"/>
  <c r="BJ400" i="27" s="1"/>
  <c r="AB405" i="27"/>
  <c r="BJ405" i="27" s="1"/>
  <c r="AB403" i="27"/>
  <c r="BJ403" i="27" s="1"/>
  <c r="AB399" i="27"/>
  <c r="BJ399" i="27" s="1"/>
  <c r="BJ263" i="27"/>
  <c r="AB265" i="27"/>
  <c r="BJ265" i="27" s="1"/>
  <c r="AB266" i="27"/>
  <c r="BJ266" i="27" s="1"/>
  <c r="AB269" i="27"/>
  <c r="BJ269" i="27" s="1"/>
  <c r="AB354" i="27"/>
  <c r="BJ354" i="27" s="1"/>
  <c r="AC45" i="27"/>
  <c r="BK45" i="27" s="1"/>
  <c r="AB360" i="27"/>
  <c r="BJ360" i="27" s="1"/>
  <c r="AC39" i="27"/>
  <c r="BK39" i="27" s="1"/>
  <c r="AC43" i="27"/>
  <c r="BK43" i="27" s="1"/>
  <c r="AC44" i="27"/>
  <c r="BK44" i="27" s="1"/>
  <c r="AB176" i="27"/>
  <c r="BJ176" i="27" s="1"/>
  <c r="AC41" i="27"/>
  <c r="BK41" i="27" s="1"/>
  <c r="AB358" i="27"/>
  <c r="BJ358" i="27" s="1"/>
  <c r="AC40" i="27"/>
  <c r="BK40" i="27" s="1"/>
  <c r="AB357" i="27"/>
  <c r="BJ357" i="27" s="1"/>
  <c r="AC42" i="27"/>
  <c r="BK42" i="27" s="1"/>
  <c r="AB356" i="27"/>
  <c r="BJ356" i="27" s="1"/>
  <c r="AB359" i="27"/>
  <c r="BJ359" i="27" s="1"/>
  <c r="AB402" i="27"/>
  <c r="BJ402" i="27" s="1"/>
  <c r="BJ38" i="27"/>
  <c r="AB44" i="27"/>
  <c r="BJ44" i="27" s="1"/>
  <c r="AB43" i="27"/>
  <c r="BJ43" i="27" s="1"/>
  <c r="AB45" i="27"/>
  <c r="BJ45" i="27" s="1"/>
  <c r="AB39" i="27"/>
  <c r="BJ39" i="27" s="1"/>
  <c r="AB40" i="27"/>
  <c r="BJ40" i="27" s="1"/>
  <c r="AB42" i="27"/>
  <c r="BJ42" i="27" s="1"/>
  <c r="AB41" i="27"/>
  <c r="BJ41" i="27" s="1"/>
  <c r="BJ128" i="27"/>
  <c r="AB132" i="27"/>
  <c r="BJ132" i="27" s="1"/>
  <c r="AB131" i="27"/>
  <c r="BJ131" i="27" s="1"/>
  <c r="AB130" i="27"/>
  <c r="BJ130" i="27" s="1"/>
  <c r="AB129" i="27"/>
  <c r="BJ129" i="27" s="1"/>
  <c r="AB134" i="27"/>
  <c r="BJ134" i="27" s="1"/>
  <c r="AB135" i="27"/>
  <c r="BJ135" i="27" s="1"/>
  <c r="AB133" i="27"/>
  <c r="BJ133" i="27" s="1"/>
  <c r="AB85" i="27"/>
  <c r="BJ85" i="27" s="1"/>
  <c r="AB175" i="27"/>
  <c r="BJ175" i="27" s="1"/>
  <c r="AB219" i="27"/>
  <c r="BJ219" i="27" s="1"/>
  <c r="AB87" i="27"/>
  <c r="BJ87" i="27" s="1"/>
  <c r="AB180" i="27"/>
  <c r="BJ180" i="27" s="1"/>
  <c r="AB268" i="27"/>
  <c r="BJ268" i="27" s="1"/>
  <c r="AB355" i="27"/>
  <c r="BJ355" i="27" s="1"/>
  <c r="AB88" i="27"/>
  <c r="BJ88" i="27" s="1"/>
  <c r="AB310" i="27"/>
  <c r="BJ310" i="27" s="1"/>
  <c r="AB309" i="27"/>
  <c r="BJ309" i="27" s="1"/>
  <c r="AB311" i="27"/>
  <c r="BJ311" i="27" s="1"/>
  <c r="AB86" i="27"/>
  <c r="BJ86" i="27" s="1"/>
  <c r="AB84" i="27"/>
  <c r="BJ84" i="27" s="1"/>
  <c r="AB313" i="27"/>
  <c r="BJ313" i="27" s="1"/>
  <c r="AB270" i="27"/>
  <c r="BJ270" i="27" s="1"/>
  <c r="AB178" i="27"/>
  <c r="BJ178" i="27" s="1"/>
  <c r="AB312" i="27"/>
  <c r="BJ312" i="27" s="1"/>
  <c r="AB224" i="27"/>
  <c r="BJ224" i="27" s="1"/>
  <c r="AB267" i="27"/>
  <c r="BJ267" i="27" s="1"/>
  <c r="AD41" i="27"/>
  <c r="BL41" i="27" s="1"/>
  <c r="AB179" i="27"/>
  <c r="BJ179" i="27" s="1"/>
  <c r="AB223" i="27"/>
  <c r="BJ223" i="27" s="1"/>
  <c r="AB174" i="27"/>
  <c r="BJ174" i="27" s="1"/>
  <c r="AB314" i="27"/>
  <c r="BJ314" i="27" s="1"/>
  <c r="AB222" i="27"/>
  <c r="BJ222" i="27" s="1"/>
  <c r="AB264" i="27"/>
  <c r="BJ264" i="27" s="1"/>
  <c r="AB90" i="27"/>
  <c r="BJ90" i="27" s="1"/>
  <c r="AB177" i="27"/>
  <c r="BJ177" i="27" s="1"/>
  <c r="AB315" i="27"/>
  <c r="BJ315" i="27" s="1"/>
  <c r="AB225" i="27"/>
  <c r="BJ225" i="27" s="1"/>
  <c r="AB89" i="27"/>
  <c r="BJ89" i="27" s="1"/>
  <c r="AD42" i="27"/>
  <c r="BL42" i="27" s="1"/>
  <c r="Y43" i="27"/>
  <c r="BG43" i="27" s="1"/>
  <c r="Y42" i="27"/>
  <c r="BG42" i="27" s="1"/>
  <c r="Y39" i="27"/>
  <c r="BG39" i="27" s="1"/>
  <c r="Y40" i="27"/>
  <c r="BG40" i="27" s="1"/>
  <c r="Y41" i="27"/>
  <c r="BG41" i="27" s="1"/>
  <c r="Y45" i="27"/>
  <c r="BG45" i="27" s="1"/>
  <c r="Y44" i="27"/>
  <c r="BG44" i="27" s="1"/>
  <c r="T15" i="14" a="1"/>
  <c r="T15" i="14" s="1"/>
  <c r="S15" i="11" a="1"/>
  <c r="S15" i="11" s="1"/>
  <c r="R15" i="10" a="1"/>
  <c r="R15" i="10" s="1"/>
  <c r="R15" i="11" a="1"/>
  <c r="R15" i="11" s="1"/>
  <c r="S15" i="14" a="1"/>
  <c r="S15" i="14" s="1"/>
  <c r="Q15" i="10" a="1"/>
  <c r="Q15" i="10" s="1"/>
  <c r="U15" i="14" a="1"/>
  <c r="U15" i="14" s="1"/>
  <c r="T15" i="11" a="1"/>
  <c r="T15" i="11" s="1"/>
  <c r="S15" i="10" a="1"/>
  <c r="S15" i="10" s="1"/>
  <c r="X15" i="11" a="1"/>
  <c r="X15" i="11" s="1"/>
  <c r="Y15" i="14" a="1"/>
  <c r="Y15" i="14" s="1"/>
  <c r="W15" i="10" a="1"/>
  <c r="W15" i="10" s="1"/>
  <c r="W15" i="11" a="1"/>
  <c r="W15" i="11" s="1"/>
  <c r="X15" i="14" a="1"/>
  <c r="X15" i="14" s="1"/>
  <c r="V15" i="10" a="1"/>
  <c r="V15" i="10" s="1"/>
  <c r="BD42" i="27"/>
  <c r="BD44" i="27"/>
  <c r="BD45" i="27"/>
  <c r="BD40" i="27"/>
  <c r="BD39" i="27"/>
  <c r="BD43" i="27"/>
  <c r="BD41" i="27"/>
  <c r="P15" i="10" a="1"/>
  <c r="P15" i="10" s="1"/>
  <c r="R15" i="14" a="1"/>
  <c r="R15" i="14" s="1"/>
  <c r="Q15" i="11" a="1"/>
  <c r="Q15" i="11" s="1"/>
  <c r="BD90" i="27"/>
  <c r="BD84" i="27"/>
  <c r="BD89" i="27"/>
  <c r="BD86" i="27"/>
  <c r="BD87" i="27"/>
  <c r="BD88" i="27"/>
  <c r="BD85" i="27"/>
  <c r="X15" i="10" a="1"/>
  <c r="X15" i="10" s="1"/>
  <c r="Z15" i="14" a="1"/>
  <c r="Z15" i="14" s="1"/>
  <c r="Y15" i="11" a="1"/>
  <c r="Y15" i="11" s="1"/>
  <c r="W15" i="14" a="1"/>
  <c r="W15" i="14" s="1"/>
  <c r="V15" i="11" a="1"/>
  <c r="V15" i="11" s="1"/>
  <c r="U15" i="10" a="1"/>
  <c r="U15" i="10" s="1"/>
  <c r="V15" i="14" a="1"/>
  <c r="V15" i="14" s="1"/>
  <c r="U15" i="11" a="1"/>
  <c r="U15" i="11" s="1"/>
  <c r="T15" i="10" a="1"/>
  <c r="T15" i="10" s="1"/>
  <c r="O15" i="10" a="1"/>
  <c r="O15" i="10" s="1"/>
  <c r="P15" i="11" a="1"/>
  <c r="P15" i="11" s="1"/>
  <c r="Q15" i="14" a="1"/>
  <c r="Q15" i="14" s="1"/>
  <c r="C161" i="11"/>
  <c r="C146" i="11"/>
  <c r="HQ49" i="22" l="1"/>
  <c r="E129" i="21" a="1"/>
  <c r="E129" i="21" s="1"/>
  <c r="F129" i="21" a="1"/>
  <c r="F129" i="21" s="1"/>
  <c r="G129" i="21" a="1"/>
  <c r="G129" i="21" s="1"/>
  <c r="H129" i="21" a="1"/>
  <c r="H129" i="21" s="1"/>
  <c r="I129" i="21" a="1"/>
  <c r="I129" i="21" s="1"/>
  <c r="J129" i="21" a="1"/>
  <c r="J129" i="21" s="1"/>
  <c r="K129" i="21" a="1"/>
  <c r="K129" i="21" s="1"/>
  <c r="L129" i="21" a="1"/>
  <c r="L129" i="21" s="1"/>
  <c r="M129" i="21" a="1"/>
  <c r="M129" i="21" s="1"/>
  <c r="N129" i="21" a="1"/>
  <c r="N129" i="21" s="1"/>
  <c r="O129" i="21" a="1"/>
  <c r="O129" i="21" s="1"/>
  <c r="D129" i="21" a="1"/>
  <c r="D129" i="21" s="1"/>
  <c r="E115" i="21" a="1"/>
  <c r="E115" i="21" s="1"/>
  <c r="F115" i="21" a="1"/>
  <c r="F115" i="21" s="1"/>
  <c r="G115" i="21" a="1"/>
  <c r="G115" i="21" s="1"/>
  <c r="H115" i="21" a="1"/>
  <c r="H115" i="21" s="1"/>
  <c r="I115" i="21" a="1"/>
  <c r="I115" i="21" s="1"/>
  <c r="J115" i="21" a="1"/>
  <c r="J115" i="21" s="1"/>
  <c r="K115" i="21" a="1"/>
  <c r="K115" i="21" s="1"/>
  <c r="L115" i="21" a="1"/>
  <c r="L115" i="21" s="1"/>
  <c r="M115" i="21" a="1"/>
  <c r="M115" i="21" s="1"/>
  <c r="N115" i="21" a="1"/>
  <c r="N115" i="21" s="1"/>
  <c r="O115" i="21" a="1"/>
  <c r="O115" i="21" s="1"/>
  <c r="D115" i="21" a="1"/>
  <c r="D115" i="21" s="1"/>
  <c r="E101" i="21" a="1"/>
  <c r="E101" i="21" s="1"/>
  <c r="F101" i="21" a="1"/>
  <c r="F101" i="21" s="1"/>
  <c r="G101" i="21" a="1"/>
  <c r="G101" i="21" s="1"/>
  <c r="H101" i="21" a="1"/>
  <c r="H101" i="21" s="1"/>
  <c r="I101" i="21" a="1"/>
  <c r="I101" i="21" s="1"/>
  <c r="J101" i="21" a="1"/>
  <c r="J101" i="21" s="1"/>
  <c r="K101" i="21" a="1"/>
  <c r="K101" i="21" s="1"/>
  <c r="L101" i="21" a="1"/>
  <c r="L101" i="21" s="1"/>
  <c r="M101" i="21" a="1"/>
  <c r="M101" i="21" s="1"/>
  <c r="N101" i="21" a="1"/>
  <c r="N101" i="21" s="1"/>
  <c r="O101" i="21" a="1"/>
  <c r="O101" i="21" s="1"/>
  <c r="D101" i="21" a="1"/>
  <c r="D101" i="21" s="1"/>
  <c r="E87" i="21" a="1"/>
  <c r="E87" i="21" s="1"/>
  <c r="F87" i="21" a="1"/>
  <c r="F87" i="21" s="1"/>
  <c r="G87" i="21" a="1"/>
  <c r="G87" i="21" s="1"/>
  <c r="H87" i="21" a="1"/>
  <c r="H87" i="21" s="1"/>
  <c r="I87" i="21" a="1"/>
  <c r="I87" i="21" s="1"/>
  <c r="J87" i="21" a="1"/>
  <c r="J87" i="21" s="1"/>
  <c r="K87" i="21" a="1"/>
  <c r="K87" i="21" s="1"/>
  <c r="L87" i="21" a="1"/>
  <c r="L87" i="21" s="1"/>
  <c r="M87" i="21" a="1"/>
  <c r="M87" i="21" s="1"/>
  <c r="N87" i="21" a="1"/>
  <c r="N87" i="21" s="1"/>
  <c r="O87" i="21" a="1"/>
  <c r="O87" i="21" s="1"/>
  <c r="D87" i="21" a="1"/>
  <c r="D87" i="21" s="1"/>
  <c r="E73" i="21" a="1"/>
  <c r="E73" i="21" s="1"/>
  <c r="F73" i="21" a="1"/>
  <c r="F73" i="21" s="1"/>
  <c r="G73" i="21" a="1"/>
  <c r="G73" i="21" s="1"/>
  <c r="H73" i="21" a="1"/>
  <c r="H73" i="21" s="1"/>
  <c r="I73" i="21" a="1"/>
  <c r="I73" i="21" s="1"/>
  <c r="J73" i="21" a="1"/>
  <c r="J73" i="21" s="1"/>
  <c r="K73" i="21" a="1"/>
  <c r="K73" i="21" s="1"/>
  <c r="L73" i="21" a="1"/>
  <c r="L73" i="21" s="1"/>
  <c r="M73" i="21" a="1"/>
  <c r="M73" i="21" s="1"/>
  <c r="N73" i="21" a="1"/>
  <c r="N73" i="21" s="1"/>
  <c r="O73" i="21" a="1"/>
  <c r="O73" i="21" s="1"/>
  <c r="D73" i="21" a="1"/>
  <c r="D73" i="21" s="1"/>
  <c r="E59" i="21" a="1"/>
  <c r="E59" i="21" s="1"/>
  <c r="F59" i="21" a="1"/>
  <c r="F59" i="21" s="1"/>
  <c r="G59" i="21" a="1"/>
  <c r="G59" i="21" s="1"/>
  <c r="H59" i="21" a="1"/>
  <c r="H59" i="21" s="1"/>
  <c r="I59" i="21" a="1"/>
  <c r="I59" i="21" s="1"/>
  <c r="J59" i="21" a="1"/>
  <c r="J59" i="21" s="1"/>
  <c r="K59" i="21" a="1"/>
  <c r="K59" i="21" s="1"/>
  <c r="L59" i="21" a="1"/>
  <c r="L59" i="21" s="1"/>
  <c r="M59" i="21" a="1"/>
  <c r="M59" i="21" s="1"/>
  <c r="N59" i="21" a="1"/>
  <c r="N59" i="21" s="1"/>
  <c r="O59" i="21" a="1"/>
  <c r="O59" i="21" s="1"/>
  <c r="D59" i="21" a="1"/>
  <c r="D59" i="21" s="1"/>
  <c r="E45" i="21" a="1"/>
  <c r="E45" i="21" s="1"/>
  <c r="F45" i="21" a="1"/>
  <c r="F45" i="21" s="1"/>
  <c r="G45" i="21" a="1"/>
  <c r="G45" i="21" s="1"/>
  <c r="H45" i="21" a="1"/>
  <c r="H45" i="21" s="1"/>
  <c r="I45" i="21" a="1"/>
  <c r="I45" i="21" s="1"/>
  <c r="J45" i="21" a="1"/>
  <c r="J45" i="21" s="1"/>
  <c r="K45" i="21" a="1"/>
  <c r="K45" i="21" s="1"/>
  <c r="L45" i="21" a="1"/>
  <c r="L45" i="21" s="1"/>
  <c r="M45" i="21" a="1"/>
  <c r="M45" i="21" s="1"/>
  <c r="N45" i="21" a="1"/>
  <c r="N45" i="21" s="1"/>
  <c r="O45" i="21" a="1"/>
  <c r="O45" i="21" s="1"/>
  <c r="D45" i="21" a="1"/>
  <c r="D45" i="21" s="1"/>
  <c r="E31" i="21" a="1"/>
  <c r="E31" i="21" s="1"/>
  <c r="F31" i="21" a="1"/>
  <c r="F31" i="21" s="1"/>
  <c r="G31" i="21" a="1"/>
  <c r="G31" i="21" s="1"/>
  <c r="H31" i="21" a="1"/>
  <c r="H31" i="21" s="1"/>
  <c r="I31" i="21" a="1"/>
  <c r="I31" i="21" s="1"/>
  <c r="J31" i="21" a="1"/>
  <c r="J31" i="21" s="1"/>
  <c r="K31" i="21" a="1"/>
  <c r="K31" i="21" s="1"/>
  <c r="L31" i="21" a="1"/>
  <c r="L31" i="21" s="1"/>
  <c r="M31" i="21" a="1"/>
  <c r="M31" i="21" s="1"/>
  <c r="N31" i="21" a="1"/>
  <c r="N31" i="21" s="1"/>
  <c r="O31" i="21" a="1"/>
  <c r="O31" i="21" s="1"/>
  <c r="D31" i="21" a="1"/>
  <c r="D31" i="21" s="1"/>
  <c r="E17" i="21" a="1"/>
  <c r="E17" i="21" s="1"/>
  <c r="F17" i="21" a="1"/>
  <c r="F17" i="21" s="1"/>
  <c r="G17" i="21" a="1"/>
  <c r="G17" i="21" s="1"/>
  <c r="H17" i="21" a="1"/>
  <c r="H17" i="21" s="1"/>
  <c r="I17" i="21" a="1"/>
  <c r="I17" i="21" s="1"/>
  <c r="J17" i="21" a="1"/>
  <c r="J17" i="21" s="1"/>
  <c r="K17" i="21" a="1"/>
  <c r="K17" i="21" s="1"/>
  <c r="L17" i="21" a="1"/>
  <c r="L17" i="21" s="1"/>
  <c r="M17" i="21" a="1"/>
  <c r="M17" i="21" s="1"/>
  <c r="N17" i="21" a="1"/>
  <c r="N17" i="21" s="1"/>
  <c r="O17" i="21" a="1"/>
  <c r="O17" i="21" s="1"/>
  <c r="D17" i="21" a="1"/>
  <c r="D17" i="21" s="1"/>
  <c r="B30" i="16"/>
  <c r="C30" i="16" l="1"/>
  <c r="P129" i="21"/>
  <c r="P115" i="21"/>
  <c r="P101" i="21"/>
  <c r="P87" i="21"/>
  <c r="P73" i="21"/>
  <c r="P59" i="21"/>
  <c r="P45" i="21"/>
  <c r="P31" i="21"/>
  <c r="P17" i="21"/>
  <c r="C72" i="11"/>
  <c r="K30" i="16" l="1"/>
  <c r="C163" i="11"/>
  <c r="HY56" i="22"/>
  <c r="HX56" i="22"/>
  <c r="HW56" i="22"/>
  <c r="HV56" i="22"/>
  <c r="HU56" i="22"/>
  <c r="HT56" i="22"/>
  <c r="HS56" i="22"/>
  <c r="HR56" i="22"/>
  <c r="HQ56" i="22"/>
  <c r="HP56" i="22"/>
  <c r="HM56" i="22"/>
  <c r="HL56" i="22"/>
  <c r="HK56" i="22"/>
  <c r="HJ56" i="22"/>
  <c r="HI56" i="22"/>
  <c r="HH56" i="22"/>
  <c r="HG56" i="22"/>
  <c r="HF56" i="22"/>
  <c r="HE56" i="22"/>
  <c r="HD56" i="22"/>
  <c r="CW3" i="22"/>
  <c r="CV3" i="22"/>
  <c r="CU3" i="22"/>
  <c r="CT3" i="22"/>
  <c r="CS3" i="22"/>
  <c r="CR3" i="22"/>
  <c r="CQ3" i="22"/>
  <c r="CP4" i="22"/>
  <c r="CO4" i="22"/>
  <c r="CN3" i="22"/>
  <c r="X56" i="22"/>
  <c r="HY55" i="22"/>
  <c r="HX55" i="22"/>
  <c r="HW55" i="22"/>
  <c r="HV55" i="22"/>
  <c r="HU55" i="22"/>
  <c r="HT55" i="22"/>
  <c r="HS55" i="22"/>
  <c r="HR55" i="22"/>
  <c r="HQ55" i="22"/>
  <c r="HM55" i="22"/>
  <c r="HL55" i="22"/>
  <c r="HK55" i="22"/>
  <c r="HJ55" i="22"/>
  <c r="HI55" i="22"/>
  <c r="HH55" i="22"/>
  <c r="HG55" i="22"/>
  <c r="HF55" i="22"/>
  <c r="HE55" i="22"/>
  <c r="HD55" i="22"/>
  <c r="HP55" i="22"/>
  <c r="BK55" i="22"/>
  <c r="X55" i="22"/>
  <c r="HY54" i="22"/>
  <c r="HX54" i="22"/>
  <c r="HW54" i="22"/>
  <c r="HV54" i="22"/>
  <c r="HU54" i="22"/>
  <c r="HT54" i="22"/>
  <c r="HS54" i="22"/>
  <c r="HR54" i="22"/>
  <c r="HQ54" i="22"/>
  <c r="HM54" i="22"/>
  <c r="HL54" i="22"/>
  <c r="HK54" i="22"/>
  <c r="HJ54" i="22"/>
  <c r="HI54" i="22"/>
  <c r="HH54" i="22"/>
  <c r="HG54" i="22"/>
  <c r="HF54" i="22"/>
  <c r="HE54" i="22"/>
  <c r="HD54" i="22"/>
  <c r="HP54" i="22"/>
  <c r="BK54" i="22"/>
  <c r="X54" i="22"/>
  <c r="HY53" i="22"/>
  <c r="HX53" i="22"/>
  <c r="HW53" i="22"/>
  <c r="HV53" i="22"/>
  <c r="HU53" i="22"/>
  <c r="HT53" i="22"/>
  <c r="HS53" i="22"/>
  <c r="HR53" i="22"/>
  <c r="HQ53" i="22"/>
  <c r="HM53" i="22"/>
  <c r="HL53" i="22"/>
  <c r="HK53" i="22"/>
  <c r="HJ53" i="22"/>
  <c r="HI53" i="22"/>
  <c r="HH53" i="22"/>
  <c r="HG53" i="22"/>
  <c r="HF53" i="22"/>
  <c r="HE53" i="22"/>
  <c r="HD53" i="22"/>
  <c r="HP53" i="22"/>
  <c r="BK53" i="22"/>
  <c r="X53" i="22"/>
  <c r="HY52" i="22"/>
  <c r="HX52" i="22"/>
  <c r="HW52" i="22"/>
  <c r="HV52" i="22"/>
  <c r="HU52" i="22"/>
  <c r="HT52" i="22"/>
  <c r="HS52" i="22"/>
  <c r="HR52" i="22"/>
  <c r="HQ52" i="22"/>
  <c r="HM52" i="22"/>
  <c r="HL52" i="22"/>
  <c r="HK52" i="22"/>
  <c r="HJ52" i="22"/>
  <c r="HI52" i="22"/>
  <c r="HH52" i="22"/>
  <c r="HG52" i="22"/>
  <c r="HF52" i="22"/>
  <c r="HE52" i="22"/>
  <c r="HD52" i="22"/>
  <c r="HP52" i="22"/>
  <c r="BK52" i="22"/>
  <c r="HY51" i="22"/>
  <c r="HX51" i="22"/>
  <c r="HW51" i="22"/>
  <c r="HV51" i="22"/>
  <c r="HU51" i="22"/>
  <c r="HT51" i="22"/>
  <c r="HS51" i="22"/>
  <c r="HR51" i="22"/>
  <c r="HQ51" i="22"/>
  <c r="HM51" i="22"/>
  <c r="HL51" i="22"/>
  <c r="HK51" i="22"/>
  <c r="HJ51" i="22"/>
  <c r="HI51" i="22"/>
  <c r="HH51" i="22"/>
  <c r="HG51" i="22"/>
  <c r="HF51" i="22"/>
  <c r="HE51" i="22"/>
  <c r="HD51" i="22"/>
  <c r="HP51" i="22"/>
  <c r="BK51" i="22"/>
  <c r="X51" i="22"/>
  <c r="HY50" i="22"/>
  <c r="HX50" i="22"/>
  <c r="HW50" i="22"/>
  <c r="HV50" i="22"/>
  <c r="HU50" i="22"/>
  <c r="HT50" i="22"/>
  <c r="HS50" i="22"/>
  <c r="HR50" i="22"/>
  <c r="HQ50" i="22"/>
  <c r="HM50" i="22"/>
  <c r="HL50" i="22"/>
  <c r="HK50" i="22"/>
  <c r="HJ50" i="22"/>
  <c r="HI50" i="22"/>
  <c r="HH50" i="22"/>
  <c r="HG50" i="22"/>
  <c r="HF50" i="22"/>
  <c r="HE50" i="22"/>
  <c r="HP50" i="22"/>
  <c r="BK50" i="22"/>
  <c r="X50" i="22"/>
  <c r="HY49" i="22"/>
  <c r="HX49" i="22"/>
  <c r="HW49" i="22"/>
  <c r="HV49" i="22"/>
  <c r="HU49" i="22"/>
  <c r="HT49" i="22"/>
  <c r="HS49" i="22"/>
  <c r="HR49" i="22"/>
  <c r="HM49" i="22"/>
  <c r="HL49" i="22"/>
  <c r="HJ49" i="22"/>
  <c r="HI49" i="22"/>
  <c r="HH49" i="22"/>
  <c r="HG49" i="22"/>
  <c r="HF49" i="22"/>
  <c r="HE49" i="22"/>
  <c r="HD49" i="22"/>
  <c r="HP49" i="22"/>
  <c r="BK49" i="22"/>
  <c r="X49" i="22"/>
  <c r="HY48" i="22"/>
  <c r="HX48" i="22"/>
  <c r="HW48" i="22"/>
  <c r="HV48" i="22"/>
  <c r="HU48" i="22"/>
  <c r="HT48" i="22"/>
  <c r="HS48" i="22"/>
  <c r="HR48" i="22"/>
  <c r="HQ48" i="22"/>
  <c r="HM48" i="22"/>
  <c r="HL48" i="22"/>
  <c r="HK48" i="22"/>
  <c r="HJ48" i="22"/>
  <c r="HI48" i="22"/>
  <c r="HH48" i="22"/>
  <c r="HG48" i="22"/>
  <c r="HF48" i="22"/>
  <c r="HE48" i="22"/>
  <c r="HD48" i="22"/>
  <c r="HP48" i="22"/>
  <c r="BK48" i="22"/>
  <c r="X48" i="22"/>
  <c r="HY47" i="22"/>
  <c r="HX47" i="22"/>
  <c r="HW47" i="22"/>
  <c r="HV47" i="22"/>
  <c r="HU47" i="22"/>
  <c r="HT47" i="22"/>
  <c r="HS47" i="22"/>
  <c r="HR47" i="22"/>
  <c r="HQ47" i="22"/>
  <c r="HM47" i="22"/>
  <c r="HL47" i="22"/>
  <c r="HK47" i="22"/>
  <c r="HJ47" i="22"/>
  <c r="HI47" i="22"/>
  <c r="HH47" i="22"/>
  <c r="HG47" i="22"/>
  <c r="HE47" i="22"/>
  <c r="HD47" i="22"/>
  <c r="HP47" i="22"/>
  <c r="BK47" i="22"/>
  <c r="X47" i="22"/>
  <c r="HY46" i="22"/>
  <c r="HX46" i="22"/>
  <c r="HW46" i="22"/>
  <c r="HV46" i="22"/>
  <c r="HU46" i="22"/>
  <c r="HT46" i="22"/>
  <c r="HS46" i="22"/>
  <c r="HR46" i="22"/>
  <c r="HQ46" i="22"/>
  <c r="HM46" i="22"/>
  <c r="HL46" i="22"/>
  <c r="HK46" i="22"/>
  <c r="HJ46" i="22"/>
  <c r="HI46" i="22"/>
  <c r="HH46" i="22"/>
  <c r="HG46" i="22"/>
  <c r="HF46" i="22"/>
  <c r="HE46" i="22"/>
  <c r="HD46" i="22"/>
  <c r="HP46" i="22"/>
  <c r="BK46" i="22"/>
  <c r="AV46" i="22"/>
  <c r="X46" i="22"/>
  <c r="HY45" i="22"/>
  <c r="HX45" i="22"/>
  <c r="HW45" i="22"/>
  <c r="HV45" i="22"/>
  <c r="HU45" i="22"/>
  <c r="HT45" i="22"/>
  <c r="HS45" i="22"/>
  <c r="HR45" i="22"/>
  <c r="HQ45" i="22"/>
  <c r="HM45" i="22"/>
  <c r="HL45" i="22"/>
  <c r="HK45" i="22"/>
  <c r="HJ45" i="22"/>
  <c r="HI45" i="22"/>
  <c r="HH45" i="22"/>
  <c r="HG45" i="22"/>
  <c r="HF45" i="22"/>
  <c r="HE45" i="22"/>
  <c r="HA68" i="22"/>
  <c r="BK45" i="22"/>
  <c r="BH45" i="22"/>
  <c r="BH5" i="22" s="1"/>
  <c r="AV45" i="22"/>
  <c r="X45" i="22"/>
  <c r="HY44" i="22"/>
  <c r="HX44" i="22"/>
  <c r="HW44" i="22"/>
  <c r="HV44" i="22"/>
  <c r="HU44" i="22"/>
  <c r="HT44" i="22"/>
  <c r="HS44" i="22"/>
  <c r="HR44" i="22"/>
  <c r="HQ44" i="22"/>
  <c r="HP44" i="22"/>
  <c r="HM44" i="22"/>
  <c r="HL44" i="22"/>
  <c r="HK44" i="22"/>
  <c r="HJ44" i="22"/>
  <c r="HI44" i="22"/>
  <c r="HH44" i="22"/>
  <c r="HG44" i="22"/>
  <c r="HF44" i="22"/>
  <c r="HE44" i="22"/>
  <c r="HD44" i="22"/>
  <c r="BK44" i="22"/>
  <c r="BH44" i="22"/>
  <c r="AV44" i="22"/>
  <c r="X44" i="22"/>
  <c r="HY43" i="22"/>
  <c r="HX43" i="22"/>
  <c r="HW43" i="22"/>
  <c r="HV43" i="22"/>
  <c r="HU43" i="22"/>
  <c r="HT43" i="22"/>
  <c r="HS43" i="22"/>
  <c r="HR43" i="22"/>
  <c r="HQ43" i="22"/>
  <c r="HP43" i="22"/>
  <c r="HM43" i="22"/>
  <c r="HL43" i="22"/>
  <c r="HK43" i="22"/>
  <c r="HJ43" i="22"/>
  <c r="HI43" i="22"/>
  <c r="HH43" i="22"/>
  <c r="HG43" i="22"/>
  <c r="HF43" i="22"/>
  <c r="HE43" i="22"/>
  <c r="HD43" i="22"/>
  <c r="BK43" i="22"/>
  <c r="BH43" i="22"/>
  <c r="AV43" i="22"/>
  <c r="X43" i="22"/>
  <c r="HY42" i="22"/>
  <c r="HX42" i="22"/>
  <c r="HW42" i="22"/>
  <c r="HV42" i="22"/>
  <c r="HU42" i="22"/>
  <c r="HT42" i="22"/>
  <c r="HS42" i="22"/>
  <c r="HR42" i="22"/>
  <c r="HQ42" i="22"/>
  <c r="HP42" i="22"/>
  <c r="HM42" i="22"/>
  <c r="HL42" i="22"/>
  <c r="HK42" i="22"/>
  <c r="HJ42" i="22"/>
  <c r="HI42" i="22"/>
  <c r="HH42" i="22"/>
  <c r="HG42" i="22"/>
  <c r="HF42" i="22"/>
  <c r="HE42" i="22"/>
  <c r="HD42" i="22"/>
  <c r="BK42" i="22"/>
  <c r="BH42" i="22"/>
  <c r="AV42" i="22"/>
  <c r="X42" i="22"/>
  <c r="HY41" i="22"/>
  <c r="HX41" i="22"/>
  <c r="HW41" i="22"/>
  <c r="HV41" i="22"/>
  <c r="HU41" i="22"/>
  <c r="HT41" i="22"/>
  <c r="HS41" i="22"/>
  <c r="HR41" i="22"/>
  <c r="HQ41" i="22"/>
  <c r="HP41" i="22"/>
  <c r="HM41" i="22"/>
  <c r="HL41" i="22"/>
  <c r="HK41" i="22"/>
  <c r="HJ41" i="22"/>
  <c r="HI41" i="22"/>
  <c r="HH41" i="22"/>
  <c r="HG41" i="22"/>
  <c r="HF41" i="22"/>
  <c r="HE41" i="22"/>
  <c r="HD41" i="22"/>
  <c r="BK41" i="22"/>
  <c r="BH41" i="22"/>
  <c r="AV41" i="22"/>
  <c r="X41" i="22"/>
  <c r="HY40" i="22"/>
  <c r="HX40" i="22"/>
  <c r="HW40" i="22"/>
  <c r="HV40" i="22"/>
  <c r="HU40" i="22"/>
  <c r="HT40" i="22"/>
  <c r="HS40" i="22"/>
  <c r="HR40" i="22"/>
  <c r="HQ40" i="22"/>
  <c r="HP40" i="22"/>
  <c r="HM40" i="22"/>
  <c r="HL40" i="22"/>
  <c r="HK40" i="22"/>
  <c r="HJ40" i="22"/>
  <c r="HI40" i="22"/>
  <c r="HH40" i="22"/>
  <c r="HG40" i="22"/>
  <c r="HF40" i="22"/>
  <c r="HE40" i="22"/>
  <c r="HD40" i="22"/>
  <c r="BK40" i="22"/>
  <c r="BH40" i="22"/>
  <c r="AV40" i="22"/>
  <c r="X40" i="22"/>
  <c r="HY39" i="22"/>
  <c r="HX39" i="22"/>
  <c r="HW39" i="22"/>
  <c r="HV39" i="22"/>
  <c r="HU39" i="22"/>
  <c r="HT39" i="22"/>
  <c r="HS39" i="22"/>
  <c r="HR39" i="22"/>
  <c r="HQ39" i="22"/>
  <c r="HP39" i="22"/>
  <c r="HM39" i="22"/>
  <c r="HL39" i="22"/>
  <c r="HK39" i="22"/>
  <c r="HJ39" i="22"/>
  <c r="HI39" i="22"/>
  <c r="HH39" i="22"/>
  <c r="HG39" i="22"/>
  <c r="HF39" i="22"/>
  <c r="HE39" i="22"/>
  <c r="HD39" i="22"/>
  <c r="BK39" i="22"/>
  <c r="BH39" i="22"/>
  <c r="AV39" i="22"/>
  <c r="X39" i="22"/>
  <c r="HY38" i="22"/>
  <c r="HX38" i="22"/>
  <c r="HW38" i="22"/>
  <c r="HV38" i="22"/>
  <c r="HU38" i="22"/>
  <c r="HT38" i="22"/>
  <c r="HS38" i="22"/>
  <c r="HR38" i="22"/>
  <c r="HQ38" i="22"/>
  <c r="HP38" i="22"/>
  <c r="HM38" i="22"/>
  <c r="HL38" i="22"/>
  <c r="HK38" i="22"/>
  <c r="HJ38" i="22"/>
  <c r="HI38" i="22"/>
  <c r="HH38" i="22"/>
  <c r="HG38" i="22"/>
  <c r="HF38" i="22"/>
  <c r="HE38" i="22"/>
  <c r="HD38" i="22"/>
  <c r="BK38" i="22"/>
  <c r="BH38" i="22"/>
  <c r="AV38" i="22"/>
  <c r="X38" i="22"/>
  <c r="HY37" i="22"/>
  <c r="HX37" i="22"/>
  <c r="HW37" i="22"/>
  <c r="HV37" i="22"/>
  <c r="HU37" i="22"/>
  <c r="HT37" i="22"/>
  <c r="HS37" i="22"/>
  <c r="HR37" i="22"/>
  <c r="HQ37" i="22"/>
  <c r="HP37" i="22"/>
  <c r="HM37" i="22"/>
  <c r="HL37" i="22"/>
  <c r="HK37" i="22"/>
  <c r="HJ37" i="22"/>
  <c r="HI37" i="22"/>
  <c r="HH37" i="22"/>
  <c r="HG37" i="22"/>
  <c r="HF37" i="22"/>
  <c r="HE37" i="22"/>
  <c r="HD37" i="22"/>
  <c r="BK37" i="22"/>
  <c r="BH37" i="22"/>
  <c r="AV37" i="22"/>
  <c r="X37" i="22"/>
  <c r="HY36" i="22"/>
  <c r="HX36" i="22"/>
  <c r="HW36" i="22"/>
  <c r="HV36" i="22"/>
  <c r="HU36" i="22"/>
  <c r="HT36" i="22"/>
  <c r="HS36" i="22"/>
  <c r="HR36" i="22"/>
  <c r="HQ36" i="22"/>
  <c r="HP36" i="22"/>
  <c r="HM36" i="22"/>
  <c r="HL36" i="22"/>
  <c r="HK36" i="22"/>
  <c r="HJ36" i="22"/>
  <c r="HI36" i="22"/>
  <c r="HH36" i="22"/>
  <c r="HG36" i="22"/>
  <c r="HF36" i="22"/>
  <c r="HE36" i="22"/>
  <c r="HD36" i="22"/>
  <c r="BK36" i="22"/>
  <c r="BH36" i="22"/>
  <c r="AV36" i="22"/>
  <c r="X36" i="22"/>
  <c r="HY35" i="22"/>
  <c r="HX35" i="22"/>
  <c r="HW35" i="22"/>
  <c r="HV35" i="22"/>
  <c r="HU35" i="22"/>
  <c r="HT35" i="22"/>
  <c r="HS35" i="22"/>
  <c r="HR35" i="22"/>
  <c r="HQ35" i="22"/>
  <c r="HP35" i="22"/>
  <c r="HM35" i="22"/>
  <c r="HL35" i="22"/>
  <c r="HK35" i="22"/>
  <c r="HJ35" i="22"/>
  <c r="HI35" i="22"/>
  <c r="HH35" i="22"/>
  <c r="HG35" i="22"/>
  <c r="HF35" i="22"/>
  <c r="HE35" i="22"/>
  <c r="HD35" i="22"/>
  <c r="BK35" i="22"/>
  <c r="BH35" i="22"/>
  <c r="AV35" i="22"/>
  <c r="X35" i="22"/>
  <c r="HY34" i="22"/>
  <c r="HX34" i="22"/>
  <c r="HW34" i="22"/>
  <c r="HV34" i="22"/>
  <c r="HU34" i="22"/>
  <c r="HT34" i="22"/>
  <c r="HS34" i="22"/>
  <c r="HR34" i="22"/>
  <c r="HQ34" i="22"/>
  <c r="HP34" i="22"/>
  <c r="HM34" i="22"/>
  <c r="HL34" i="22"/>
  <c r="HK34" i="22"/>
  <c r="HJ34" i="22"/>
  <c r="HI34" i="22"/>
  <c r="HH34" i="22"/>
  <c r="HG34" i="22"/>
  <c r="HF34" i="22"/>
  <c r="HE34" i="22"/>
  <c r="HD34" i="22"/>
  <c r="BK34" i="22"/>
  <c r="BH34" i="22"/>
  <c r="AV34" i="22"/>
  <c r="X34" i="22"/>
  <c r="HY33" i="22"/>
  <c r="HX33" i="22"/>
  <c r="HW33" i="22"/>
  <c r="HV33" i="22"/>
  <c r="HU33" i="22"/>
  <c r="HT33" i="22"/>
  <c r="HS33" i="22"/>
  <c r="HR33" i="22"/>
  <c r="HQ33" i="22"/>
  <c r="HP33" i="22"/>
  <c r="HM33" i="22"/>
  <c r="HL33" i="22"/>
  <c r="HK33" i="22"/>
  <c r="HJ33" i="22"/>
  <c r="HI33" i="22"/>
  <c r="HH33" i="22"/>
  <c r="HG33" i="22"/>
  <c r="HF33" i="22"/>
  <c r="HE33" i="22"/>
  <c r="HD33" i="22"/>
  <c r="BK33" i="22"/>
  <c r="BH33" i="22"/>
  <c r="AV33" i="22"/>
  <c r="X33" i="22"/>
  <c r="HY32" i="22"/>
  <c r="HX32" i="22"/>
  <c r="HW32" i="22"/>
  <c r="HV32" i="22"/>
  <c r="HU32" i="22"/>
  <c r="HT32" i="22"/>
  <c r="HS32" i="22"/>
  <c r="HR32" i="22"/>
  <c r="HQ32" i="22"/>
  <c r="HP32" i="22"/>
  <c r="HM32" i="22"/>
  <c r="HL32" i="22"/>
  <c r="HK32" i="22"/>
  <c r="HJ32" i="22"/>
  <c r="HI32" i="22"/>
  <c r="HH32" i="22"/>
  <c r="HG32" i="22"/>
  <c r="HF32" i="22"/>
  <c r="HE32" i="22"/>
  <c r="HD32" i="22"/>
  <c r="BK32" i="22"/>
  <c r="BH32" i="22"/>
  <c r="AV32" i="22"/>
  <c r="X32" i="22"/>
  <c r="HY31" i="22"/>
  <c r="HX31" i="22"/>
  <c r="HW31" i="22"/>
  <c r="HV31" i="22"/>
  <c r="HU31" i="22"/>
  <c r="HT31" i="22"/>
  <c r="HS31" i="22"/>
  <c r="HR31" i="22"/>
  <c r="HQ31" i="22"/>
  <c r="HP31" i="22"/>
  <c r="HM31" i="22"/>
  <c r="HL31" i="22"/>
  <c r="HK31" i="22"/>
  <c r="HJ31" i="22"/>
  <c r="HI31" i="22"/>
  <c r="HH31" i="22"/>
  <c r="HG31" i="22"/>
  <c r="HF31" i="22"/>
  <c r="HE31" i="22"/>
  <c r="HD31" i="22"/>
  <c r="BK31" i="22"/>
  <c r="BH31" i="22"/>
  <c r="AV31" i="22"/>
  <c r="X31" i="22"/>
  <c r="HY30" i="22"/>
  <c r="HX30" i="22"/>
  <c r="HW30" i="22"/>
  <c r="HV30" i="22"/>
  <c r="HU30" i="22"/>
  <c r="HT30" i="22"/>
  <c r="HS30" i="22"/>
  <c r="HR30" i="22"/>
  <c r="HQ30" i="22"/>
  <c r="HP30" i="22"/>
  <c r="HM30" i="22"/>
  <c r="HL30" i="22"/>
  <c r="HK30" i="22"/>
  <c r="HJ30" i="22"/>
  <c r="HI30" i="22"/>
  <c r="HH30" i="22"/>
  <c r="HG30" i="22"/>
  <c r="HF30" i="22"/>
  <c r="HE30" i="22"/>
  <c r="HD30" i="22"/>
  <c r="BK30" i="22"/>
  <c r="BH30" i="22"/>
  <c r="AV30" i="22"/>
  <c r="X30" i="22"/>
  <c r="HY29" i="22"/>
  <c r="HX29" i="22"/>
  <c r="HW29" i="22"/>
  <c r="HV29" i="22"/>
  <c r="HU29" i="22"/>
  <c r="HT29" i="22"/>
  <c r="HS29" i="22"/>
  <c r="HR29" i="22"/>
  <c r="HQ29" i="22"/>
  <c r="HP29" i="22"/>
  <c r="HM29" i="22"/>
  <c r="HL29" i="22"/>
  <c r="HK29" i="22"/>
  <c r="HJ29" i="22"/>
  <c r="HI29" i="22"/>
  <c r="HH29" i="22"/>
  <c r="HG29" i="22"/>
  <c r="HF29" i="22"/>
  <c r="HE29" i="22"/>
  <c r="HD29" i="22"/>
  <c r="BK29" i="22"/>
  <c r="BH29" i="22"/>
  <c r="AV29" i="22"/>
  <c r="X29" i="22"/>
  <c r="HY28" i="22"/>
  <c r="HX28" i="22"/>
  <c r="HW28" i="22"/>
  <c r="HV28" i="22"/>
  <c r="HU28" i="22"/>
  <c r="HT28" i="22"/>
  <c r="HS28" i="22"/>
  <c r="HR28" i="22"/>
  <c r="HQ28" i="22"/>
  <c r="HP28" i="22"/>
  <c r="HM28" i="22"/>
  <c r="HL28" i="22"/>
  <c r="HK28" i="22"/>
  <c r="HJ28" i="22"/>
  <c r="HI28" i="22"/>
  <c r="HH28" i="22"/>
  <c r="HG28" i="22"/>
  <c r="HF28" i="22"/>
  <c r="HE28" i="22"/>
  <c r="HD28" i="22"/>
  <c r="BK28" i="22"/>
  <c r="BH28" i="22"/>
  <c r="AV28" i="22"/>
  <c r="X28" i="22"/>
  <c r="HY27" i="22"/>
  <c r="HX27" i="22"/>
  <c r="HW27" i="22"/>
  <c r="HV27" i="22"/>
  <c r="HU27" i="22"/>
  <c r="HT27" i="22"/>
  <c r="HS27" i="22"/>
  <c r="HR27" i="22"/>
  <c r="HQ27" i="22"/>
  <c r="HP27" i="22"/>
  <c r="HM27" i="22"/>
  <c r="HL27" i="22"/>
  <c r="HK27" i="22"/>
  <c r="HJ27" i="22"/>
  <c r="HI27" i="22"/>
  <c r="HH27" i="22"/>
  <c r="HG27" i="22"/>
  <c r="HF27" i="22"/>
  <c r="HE27" i="22"/>
  <c r="HD27" i="22"/>
  <c r="BK27" i="22"/>
  <c r="BH27" i="22"/>
  <c r="AV27" i="22"/>
  <c r="X27" i="22"/>
  <c r="HY26" i="22"/>
  <c r="HX26" i="22"/>
  <c r="HW26" i="22"/>
  <c r="HV26" i="22"/>
  <c r="HU26" i="22"/>
  <c r="HT26" i="22"/>
  <c r="HS26" i="22"/>
  <c r="HR26" i="22"/>
  <c r="HQ26" i="22"/>
  <c r="HP26" i="22"/>
  <c r="HM26" i="22"/>
  <c r="HL26" i="22"/>
  <c r="HK26" i="22"/>
  <c r="HJ26" i="22"/>
  <c r="HI26" i="22"/>
  <c r="HH26" i="22"/>
  <c r="HG26" i="22"/>
  <c r="HF26" i="22"/>
  <c r="HE26" i="22"/>
  <c r="HD26" i="22"/>
  <c r="BK26" i="22"/>
  <c r="BH26" i="22"/>
  <c r="AV26" i="22"/>
  <c r="X26" i="22"/>
  <c r="HY25" i="22"/>
  <c r="HX25" i="22"/>
  <c r="HW25" i="22"/>
  <c r="HV25" i="22"/>
  <c r="HU25" i="22"/>
  <c r="HT25" i="22"/>
  <c r="HS25" i="22"/>
  <c r="HR25" i="22"/>
  <c r="HQ25" i="22"/>
  <c r="HP25" i="22"/>
  <c r="HM25" i="22"/>
  <c r="HL25" i="22"/>
  <c r="HK25" i="22"/>
  <c r="HJ25" i="22"/>
  <c r="HI25" i="22"/>
  <c r="HH25" i="22"/>
  <c r="HG25" i="22"/>
  <c r="HF25" i="22"/>
  <c r="HE25" i="22"/>
  <c r="HD25" i="22"/>
  <c r="BK25" i="22"/>
  <c r="BH25" i="22"/>
  <c r="AV25" i="22"/>
  <c r="X25" i="22"/>
  <c r="HY24" i="22"/>
  <c r="HX24" i="22"/>
  <c r="HW24" i="22"/>
  <c r="HV24" i="22"/>
  <c r="HU24" i="22"/>
  <c r="HT24" i="22"/>
  <c r="HS24" i="22"/>
  <c r="HR24" i="22"/>
  <c r="HQ24" i="22"/>
  <c r="HP24" i="22"/>
  <c r="HM24" i="22"/>
  <c r="HL24" i="22"/>
  <c r="HK24" i="22"/>
  <c r="HJ24" i="22"/>
  <c r="HI24" i="22"/>
  <c r="HH24" i="22"/>
  <c r="HG24" i="22"/>
  <c r="HF24" i="22"/>
  <c r="HE24" i="22"/>
  <c r="HD24" i="22"/>
  <c r="BK24" i="22"/>
  <c r="BH24" i="22"/>
  <c r="AV24" i="22"/>
  <c r="X24" i="22"/>
  <c r="HY23" i="22"/>
  <c r="HX23" i="22"/>
  <c r="HW23" i="22"/>
  <c r="HV23" i="22"/>
  <c r="HU23" i="22"/>
  <c r="HT23" i="22"/>
  <c r="HS23" i="22"/>
  <c r="HR23" i="22"/>
  <c r="HQ23" i="22"/>
  <c r="HP23" i="22"/>
  <c r="HM23" i="22"/>
  <c r="HL23" i="22"/>
  <c r="HK23" i="22"/>
  <c r="HJ23" i="22"/>
  <c r="HI23" i="22"/>
  <c r="HH23" i="22"/>
  <c r="HG23" i="22"/>
  <c r="HF23" i="22"/>
  <c r="HE23" i="22"/>
  <c r="HD23" i="22"/>
  <c r="BK23" i="22"/>
  <c r="BH23" i="22"/>
  <c r="AV23" i="22"/>
  <c r="X23" i="22"/>
  <c r="HY22" i="22"/>
  <c r="HX22" i="22"/>
  <c r="HW22" i="22"/>
  <c r="HV22" i="22"/>
  <c r="HU22" i="22"/>
  <c r="HT22" i="22"/>
  <c r="HS22" i="22"/>
  <c r="HR22" i="22"/>
  <c r="HQ22" i="22"/>
  <c r="HP22" i="22"/>
  <c r="HM22" i="22"/>
  <c r="HL22" i="22"/>
  <c r="HK22" i="22"/>
  <c r="HJ22" i="22"/>
  <c r="HI22" i="22"/>
  <c r="HH22" i="22"/>
  <c r="HG22" i="22"/>
  <c r="HF22" i="22"/>
  <c r="HE22" i="22"/>
  <c r="HD22" i="22"/>
  <c r="BK22" i="22"/>
  <c r="BH22" i="22"/>
  <c r="AV22" i="22"/>
  <c r="X22" i="22"/>
  <c r="HY21" i="22"/>
  <c r="HX21" i="22"/>
  <c r="HW21" i="22"/>
  <c r="HV21" i="22"/>
  <c r="HU21" i="22"/>
  <c r="HT21" i="22"/>
  <c r="HS21" i="22"/>
  <c r="HR21" i="22"/>
  <c r="HQ21" i="22"/>
  <c r="HP21" i="22"/>
  <c r="HM21" i="22"/>
  <c r="HL21" i="22"/>
  <c r="HK21" i="22"/>
  <c r="HJ21" i="22"/>
  <c r="HI21" i="22"/>
  <c r="HH21" i="22"/>
  <c r="HG21" i="22"/>
  <c r="HF21" i="22"/>
  <c r="HE21" i="22"/>
  <c r="HD21" i="22"/>
  <c r="BK21" i="22"/>
  <c r="BH21" i="22"/>
  <c r="AV21" i="22"/>
  <c r="X21" i="22"/>
  <c r="HY20" i="22"/>
  <c r="HX20" i="22"/>
  <c r="HW20" i="22"/>
  <c r="HV20" i="22"/>
  <c r="HU20" i="22"/>
  <c r="HT20" i="22"/>
  <c r="HS20" i="22"/>
  <c r="HR20" i="22"/>
  <c r="HQ20" i="22"/>
  <c r="HP20" i="22"/>
  <c r="HM20" i="22"/>
  <c r="HL20" i="22"/>
  <c r="HK20" i="22"/>
  <c r="HJ20" i="22"/>
  <c r="HI20" i="22"/>
  <c r="HH20" i="22"/>
  <c r="HG20" i="22"/>
  <c r="HF20" i="22"/>
  <c r="HE20" i="22"/>
  <c r="HD20" i="22"/>
  <c r="BH20" i="22"/>
  <c r="AV20" i="22"/>
  <c r="X20" i="22"/>
  <c r="HY19" i="22"/>
  <c r="HX19" i="22"/>
  <c r="HW19" i="22"/>
  <c r="HV19" i="22"/>
  <c r="HU19" i="22"/>
  <c r="HT19" i="22"/>
  <c r="HS19" i="22"/>
  <c r="HR19" i="22"/>
  <c r="HQ19" i="22"/>
  <c r="HP19" i="22"/>
  <c r="HM19" i="22"/>
  <c r="HL19" i="22"/>
  <c r="HK19" i="22"/>
  <c r="HJ19" i="22"/>
  <c r="HI19" i="22"/>
  <c r="HH19" i="22"/>
  <c r="HG19" i="22"/>
  <c r="HF19" i="22"/>
  <c r="HE19" i="22"/>
  <c r="HD19" i="22"/>
  <c r="BH19" i="22"/>
  <c r="AV19" i="22"/>
  <c r="X19" i="22"/>
  <c r="HY18" i="22"/>
  <c r="HX18" i="22"/>
  <c r="HW18" i="22"/>
  <c r="HV18" i="22"/>
  <c r="HU18" i="22"/>
  <c r="HT18" i="22"/>
  <c r="HS18" i="22"/>
  <c r="HR18" i="22"/>
  <c r="HQ18" i="22"/>
  <c r="HP18" i="22"/>
  <c r="HM18" i="22"/>
  <c r="HL18" i="22"/>
  <c r="HK18" i="22"/>
  <c r="HJ18" i="22"/>
  <c r="HI18" i="22"/>
  <c r="HH18" i="22"/>
  <c r="HG18" i="22"/>
  <c r="HF18" i="22"/>
  <c r="HE18" i="22"/>
  <c r="HD18" i="22"/>
  <c r="BH18" i="22"/>
  <c r="AV18" i="22"/>
  <c r="X18" i="22"/>
  <c r="HY17" i="22"/>
  <c r="HX17" i="22"/>
  <c r="HW17" i="22"/>
  <c r="HV17" i="22"/>
  <c r="HU17" i="22"/>
  <c r="HT17" i="22"/>
  <c r="HS17" i="22"/>
  <c r="HR17" i="22"/>
  <c r="HQ17" i="22"/>
  <c r="HP17" i="22"/>
  <c r="HM17" i="22"/>
  <c r="HL17" i="22"/>
  <c r="HK17" i="22"/>
  <c r="HJ17" i="22"/>
  <c r="HI17" i="22"/>
  <c r="HH17" i="22"/>
  <c r="HG17" i="22"/>
  <c r="HF17" i="22"/>
  <c r="HE17" i="22"/>
  <c r="HD17" i="22"/>
  <c r="BH17" i="22"/>
  <c r="AV17" i="22"/>
  <c r="X17" i="22"/>
  <c r="HY16" i="22"/>
  <c r="HX16" i="22"/>
  <c r="HW16" i="22"/>
  <c r="HV16" i="22"/>
  <c r="HU16" i="22"/>
  <c r="HT16" i="22"/>
  <c r="HS16" i="22"/>
  <c r="HR16" i="22"/>
  <c r="HQ16" i="22"/>
  <c r="HP16" i="22"/>
  <c r="HM16" i="22"/>
  <c r="HL16" i="22"/>
  <c r="HK16" i="22"/>
  <c r="HJ16" i="22"/>
  <c r="HI16" i="22"/>
  <c r="HH16" i="22"/>
  <c r="HG16" i="22"/>
  <c r="HF16" i="22"/>
  <c r="HE16" i="22"/>
  <c r="HD16" i="22"/>
  <c r="BH16" i="22"/>
  <c r="AV16" i="22"/>
  <c r="X16" i="22"/>
  <c r="HY15" i="22"/>
  <c r="HX15" i="22"/>
  <c r="HW15" i="22"/>
  <c r="HV15" i="22"/>
  <c r="HU15" i="22"/>
  <c r="HT15" i="22"/>
  <c r="HS15" i="22"/>
  <c r="HR15" i="22"/>
  <c r="HQ15" i="22"/>
  <c r="HP15" i="22"/>
  <c r="HM15" i="22"/>
  <c r="HL15" i="22"/>
  <c r="HK15" i="22"/>
  <c r="HJ15" i="22"/>
  <c r="HI15" i="22"/>
  <c r="HH15" i="22"/>
  <c r="HG15" i="22"/>
  <c r="HF15" i="22"/>
  <c r="HE15" i="22"/>
  <c r="HD15" i="22"/>
  <c r="BH15" i="22"/>
  <c r="AV15" i="22"/>
  <c r="X15" i="22"/>
  <c r="HY14" i="22"/>
  <c r="HX14" i="22"/>
  <c r="HW14" i="22"/>
  <c r="HV14" i="22"/>
  <c r="HU14" i="22"/>
  <c r="HT14" i="22"/>
  <c r="HS14" i="22"/>
  <c r="HR14" i="22"/>
  <c r="HQ14" i="22"/>
  <c r="HP14" i="22"/>
  <c r="HM14" i="22"/>
  <c r="HL14" i="22"/>
  <c r="HK14" i="22"/>
  <c r="HJ14" i="22"/>
  <c r="HI14" i="22"/>
  <c r="HH14" i="22"/>
  <c r="HG14" i="22"/>
  <c r="HF14" i="22"/>
  <c r="HE14" i="22"/>
  <c r="HD14" i="22"/>
  <c r="BH14" i="22"/>
  <c r="AV14" i="22"/>
  <c r="X14" i="22"/>
  <c r="HY13" i="22"/>
  <c r="HX13" i="22"/>
  <c r="HW13" i="22"/>
  <c r="HV13" i="22"/>
  <c r="HU13" i="22"/>
  <c r="HT13" i="22"/>
  <c r="HS13" i="22"/>
  <c r="HR13" i="22"/>
  <c r="HQ13" i="22"/>
  <c r="HP13" i="22"/>
  <c r="HM13" i="22"/>
  <c r="HL13" i="22"/>
  <c r="HK13" i="22"/>
  <c r="HJ13" i="22"/>
  <c r="HI13" i="22"/>
  <c r="HH13" i="22"/>
  <c r="HG13" i="22"/>
  <c r="HF13" i="22"/>
  <c r="HE13" i="22"/>
  <c r="HD13" i="22"/>
  <c r="BH13" i="22"/>
  <c r="AV13" i="22"/>
  <c r="X13" i="22"/>
  <c r="HY12" i="22"/>
  <c r="HX12" i="22"/>
  <c r="HW12" i="22"/>
  <c r="HV12" i="22"/>
  <c r="HU12" i="22"/>
  <c r="HT12" i="22"/>
  <c r="HS12" i="22"/>
  <c r="HR12" i="22"/>
  <c r="HQ12" i="22"/>
  <c r="HP12" i="22"/>
  <c r="HM12" i="22"/>
  <c r="HL12" i="22"/>
  <c r="HK12" i="22"/>
  <c r="HJ12" i="22"/>
  <c r="HI12" i="22"/>
  <c r="HH12" i="22"/>
  <c r="HG12" i="22"/>
  <c r="HF12" i="22"/>
  <c r="HE12" i="22"/>
  <c r="HD12" i="22"/>
  <c r="BH12" i="22"/>
  <c r="AV12" i="22"/>
  <c r="X12" i="22"/>
  <c r="HY11" i="22"/>
  <c r="HX11" i="22"/>
  <c r="HW11" i="22"/>
  <c r="HV11" i="22"/>
  <c r="HU11" i="22"/>
  <c r="HT11" i="22"/>
  <c r="HS11" i="22"/>
  <c r="HR11" i="22"/>
  <c r="HQ11" i="22"/>
  <c r="HP11" i="22"/>
  <c r="HM11" i="22"/>
  <c r="HL11" i="22"/>
  <c r="HK11" i="22"/>
  <c r="HJ11" i="22"/>
  <c r="HI11" i="22"/>
  <c r="HH11" i="22"/>
  <c r="HG11" i="22"/>
  <c r="HF11" i="22"/>
  <c r="HE11" i="22"/>
  <c r="HD11" i="22"/>
  <c r="BH11" i="22"/>
  <c r="AV11" i="22"/>
  <c r="X11" i="22"/>
  <c r="HY10" i="22"/>
  <c r="HX10" i="22"/>
  <c r="HW10" i="22"/>
  <c r="HV10" i="22"/>
  <c r="HU10" i="22"/>
  <c r="HT10" i="22"/>
  <c r="HS10" i="22"/>
  <c r="HR10" i="22"/>
  <c r="HQ10" i="22"/>
  <c r="HP10" i="22"/>
  <c r="HM10" i="22"/>
  <c r="HL10" i="22"/>
  <c r="HK10" i="22"/>
  <c r="HJ10" i="22"/>
  <c r="HI10" i="22"/>
  <c r="HH10" i="22"/>
  <c r="HG10" i="22"/>
  <c r="HF10" i="22"/>
  <c r="HE10" i="22"/>
  <c r="HD10" i="22"/>
  <c r="BH10" i="22"/>
  <c r="AV10" i="22"/>
  <c r="X10" i="22"/>
  <c r="HY9" i="22"/>
  <c r="HX9" i="22"/>
  <c r="HW9" i="22"/>
  <c r="HV9" i="22"/>
  <c r="HU9" i="22"/>
  <c r="HT9" i="22"/>
  <c r="HS9" i="22"/>
  <c r="HR9" i="22"/>
  <c r="HQ9" i="22"/>
  <c r="HP9" i="22"/>
  <c r="HM9" i="22"/>
  <c r="HL9" i="22"/>
  <c r="HK9" i="22"/>
  <c r="HJ9" i="22"/>
  <c r="HI9" i="22"/>
  <c r="HH9" i="22"/>
  <c r="HG9" i="22"/>
  <c r="HF9" i="22"/>
  <c r="HE9" i="22"/>
  <c r="HD9" i="22"/>
  <c r="BH9" i="22"/>
  <c r="AV9" i="22"/>
  <c r="X9" i="22"/>
  <c r="GZ5" i="22"/>
  <c r="GY5" i="22"/>
  <c r="GX5" i="22"/>
  <c r="GW5" i="22"/>
  <c r="GV5" i="22"/>
  <c r="GU5" i="22"/>
  <c r="GT5" i="22"/>
  <c r="GS5" i="22"/>
  <c r="GR5" i="22"/>
  <c r="GO5" i="22"/>
  <c r="GN5" i="22"/>
  <c r="GM5" i="22"/>
  <c r="GL5" i="22"/>
  <c r="GK5" i="22"/>
  <c r="GJ5" i="22"/>
  <c r="GI5" i="22"/>
  <c r="GH5" i="22"/>
  <c r="GG5" i="22"/>
  <c r="GF5" i="22"/>
  <c r="GC5" i="22"/>
  <c r="GB5" i="22"/>
  <c r="GA5" i="22"/>
  <c r="FZ5" i="22"/>
  <c r="FY5" i="22"/>
  <c r="FX5" i="22"/>
  <c r="FW5" i="22"/>
  <c r="FV5" i="22"/>
  <c r="FU5" i="22"/>
  <c r="FT5" i="22"/>
  <c r="FQ5" i="22"/>
  <c r="FP5" i="22"/>
  <c r="FO5" i="22"/>
  <c r="FN5" i="22"/>
  <c r="FM5" i="22"/>
  <c r="FL5" i="22"/>
  <c r="FK5" i="22"/>
  <c r="FJ5" i="22"/>
  <c r="FI5" i="22"/>
  <c r="FH5" i="22"/>
  <c r="FE5" i="22"/>
  <c r="FD5" i="22"/>
  <c r="FC5" i="22"/>
  <c r="FB5" i="22"/>
  <c r="FA5" i="22"/>
  <c r="EZ5" i="22"/>
  <c r="EY5" i="22"/>
  <c r="EX5" i="22"/>
  <c r="EW5" i="22"/>
  <c r="EV5" i="22"/>
  <c r="ES5" i="22"/>
  <c r="ER5" i="22"/>
  <c r="EQ5" i="22"/>
  <c r="EP5" i="22"/>
  <c r="EO5" i="22"/>
  <c r="EN5" i="22"/>
  <c r="EM5" i="22"/>
  <c r="EL5" i="22"/>
  <c r="EK5" i="22"/>
  <c r="EJ5" i="22"/>
  <c r="EG5" i="22"/>
  <c r="EF5" i="22"/>
  <c r="EE5" i="22"/>
  <c r="ED5" i="22"/>
  <c r="EC5" i="22"/>
  <c r="EB5" i="22"/>
  <c r="EA5" i="22"/>
  <c r="DZ5" i="22"/>
  <c r="DY5" i="22"/>
  <c r="DX5" i="22"/>
  <c r="DU5" i="22"/>
  <c r="DT5" i="22"/>
  <c r="DS5" i="22"/>
  <c r="DR5" i="22"/>
  <c r="DQ5" i="22"/>
  <c r="DP5" i="22"/>
  <c r="DO5" i="22"/>
  <c r="DN5" i="22"/>
  <c r="DM5" i="22"/>
  <c r="DL5" i="22"/>
  <c r="DI5" i="22"/>
  <c r="DH5" i="22"/>
  <c r="DG5" i="22"/>
  <c r="DF5" i="22"/>
  <c r="DE5" i="22"/>
  <c r="DD5" i="22"/>
  <c r="DC5" i="22"/>
  <c r="DB5" i="22"/>
  <c r="DA5" i="22"/>
  <c r="CZ5" i="22"/>
  <c r="CW5" i="22"/>
  <c r="CV5" i="22"/>
  <c r="CU5" i="22"/>
  <c r="CT5" i="22"/>
  <c r="CS5" i="22"/>
  <c r="CR5" i="22"/>
  <c r="CQ5" i="22"/>
  <c r="CP5" i="22"/>
  <c r="CO5" i="22"/>
  <c r="CN5" i="22"/>
  <c r="BG5" i="22"/>
  <c r="BF5" i="22"/>
  <c r="BE5" i="22"/>
  <c r="BD5" i="22"/>
  <c r="BC5" i="22"/>
  <c r="BB5" i="22"/>
  <c r="BA5" i="22"/>
  <c r="AZ5" i="22"/>
  <c r="AY5" i="22"/>
  <c r="AU5" i="22"/>
  <c r="AT5" i="22"/>
  <c r="AS5" i="22"/>
  <c r="AR5" i="22"/>
  <c r="AQ5" i="22"/>
  <c r="AP5" i="22"/>
  <c r="AO5" i="22"/>
  <c r="AN5" i="22"/>
  <c r="AM5" i="22"/>
  <c r="AJ5" i="22"/>
  <c r="AI5" i="22"/>
  <c r="AH5" i="22"/>
  <c r="AG5" i="22"/>
  <c r="AF5" i="22"/>
  <c r="AE5" i="22"/>
  <c r="AD5" i="22"/>
  <c r="AC5" i="22"/>
  <c r="AB5" i="22"/>
  <c r="AA5" i="22"/>
  <c r="W5" i="22"/>
  <c r="V5" i="22"/>
  <c r="U5" i="22"/>
  <c r="T5" i="22"/>
  <c r="S5" i="22"/>
  <c r="R5" i="22"/>
  <c r="Q5" i="22"/>
  <c r="P5" i="22"/>
  <c r="O5" i="22"/>
  <c r="GZ4" i="22"/>
  <c r="GY4" i="22"/>
  <c r="GX4" i="22"/>
  <c r="GW4" i="22"/>
  <c r="GV4" i="22"/>
  <c r="GU4" i="22"/>
  <c r="GT4" i="22"/>
  <c r="GS4" i="22"/>
  <c r="GR4" i="22"/>
  <c r="GO4" i="22"/>
  <c r="GN4" i="22"/>
  <c r="GM4" i="22"/>
  <c r="GL4" i="22"/>
  <c r="GK4" i="22"/>
  <c r="GJ4" i="22"/>
  <c r="GI4" i="22"/>
  <c r="GH4" i="22"/>
  <c r="GG4" i="22"/>
  <c r="GF4" i="22"/>
  <c r="GC4" i="22"/>
  <c r="GB4" i="22"/>
  <c r="GA4" i="22"/>
  <c r="FZ4" i="22"/>
  <c r="FY4" i="22"/>
  <c r="FX4" i="22"/>
  <c r="FW4" i="22"/>
  <c r="FV4" i="22"/>
  <c r="FU4" i="22"/>
  <c r="FT4" i="22"/>
  <c r="FQ4" i="22"/>
  <c r="FP4" i="22"/>
  <c r="FO4" i="22"/>
  <c r="FN4" i="22"/>
  <c r="FM4" i="22"/>
  <c r="FL4" i="22"/>
  <c r="FK4" i="22"/>
  <c r="FJ4" i="22"/>
  <c r="FI4" i="22"/>
  <c r="FH4" i="22"/>
  <c r="FE4" i="22"/>
  <c r="FD4" i="22"/>
  <c r="FC4" i="22"/>
  <c r="FB4" i="22"/>
  <c r="FA4" i="22"/>
  <c r="EZ4" i="22"/>
  <c r="EY4" i="22"/>
  <c r="EX4" i="22"/>
  <c r="EW4" i="22"/>
  <c r="EV4" i="22"/>
  <c r="ES4" i="22"/>
  <c r="ER4" i="22"/>
  <c r="EQ4" i="22"/>
  <c r="EP4" i="22"/>
  <c r="EO4" i="22"/>
  <c r="EN4" i="22"/>
  <c r="EM4" i="22"/>
  <c r="EL4" i="22"/>
  <c r="EK4" i="22"/>
  <c r="EJ4" i="22"/>
  <c r="EG4" i="22"/>
  <c r="EF4" i="22"/>
  <c r="EE4" i="22"/>
  <c r="ED4" i="22"/>
  <c r="EC4" i="22"/>
  <c r="EB4" i="22"/>
  <c r="EA4" i="22"/>
  <c r="DZ4" i="22"/>
  <c r="DY4" i="22"/>
  <c r="DX4" i="22"/>
  <c r="DU4" i="22"/>
  <c r="DT4" i="22"/>
  <c r="DS4" i="22"/>
  <c r="DR4" i="22"/>
  <c r="DQ4" i="22"/>
  <c r="DP4" i="22"/>
  <c r="DO4" i="22"/>
  <c r="DN4" i="22"/>
  <c r="DM4" i="22"/>
  <c r="DL4" i="22"/>
  <c r="DI4" i="22"/>
  <c r="DH4" i="22"/>
  <c r="DG4" i="22"/>
  <c r="DF4" i="22"/>
  <c r="DE4" i="22"/>
  <c r="DD4" i="22"/>
  <c r="DC4" i="22"/>
  <c r="DB4" i="22"/>
  <c r="DA4" i="22"/>
  <c r="CZ4" i="22"/>
  <c r="CN4" i="22"/>
  <c r="BH4" i="22"/>
  <c r="BG4" i="22"/>
  <c r="BF4" i="22"/>
  <c r="BE4" i="22"/>
  <c r="BD4" i="22"/>
  <c r="BC4" i="22"/>
  <c r="BB4" i="22"/>
  <c r="BA4" i="22"/>
  <c r="AZ4" i="22"/>
  <c r="AY4" i="22"/>
  <c r="AV4" i="22"/>
  <c r="AU4" i="22"/>
  <c r="AT4" i="22"/>
  <c r="AS4" i="22"/>
  <c r="AR4" i="22"/>
  <c r="AQ4" i="22"/>
  <c r="AP4" i="22"/>
  <c r="AO4" i="22"/>
  <c r="AN4" i="22"/>
  <c r="AM4" i="22"/>
  <c r="AJ4" i="22"/>
  <c r="AI4" i="22"/>
  <c r="AH4" i="22"/>
  <c r="AG4" i="22"/>
  <c r="AF4" i="22"/>
  <c r="AE4" i="22"/>
  <c r="AD4" i="22"/>
  <c r="AC4" i="22"/>
  <c r="AB4" i="22"/>
  <c r="AA4" i="22"/>
  <c r="W4" i="22"/>
  <c r="V4" i="22"/>
  <c r="U4" i="22"/>
  <c r="T4" i="22"/>
  <c r="S4" i="22"/>
  <c r="R4" i="22"/>
  <c r="Q4" i="22"/>
  <c r="P4" i="22"/>
  <c r="O4" i="22"/>
  <c r="GZ3" i="22"/>
  <c r="GY3" i="22"/>
  <c r="GX3" i="22"/>
  <c r="GW3" i="22"/>
  <c r="GV3" i="22"/>
  <c r="GU3" i="22"/>
  <c r="GT3" i="22"/>
  <c r="GS3" i="22"/>
  <c r="GR3" i="22"/>
  <c r="GO3" i="22"/>
  <c r="GN3" i="22"/>
  <c r="GM3" i="22"/>
  <c r="GL3" i="22"/>
  <c r="GK3" i="22"/>
  <c r="GJ3" i="22"/>
  <c r="GI3" i="22"/>
  <c r="GH3" i="22"/>
  <c r="GG3" i="22"/>
  <c r="GF3" i="22"/>
  <c r="GC3" i="22"/>
  <c r="GB3" i="22"/>
  <c r="GA3" i="22"/>
  <c r="FZ3" i="22"/>
  <c r="FY3" i="22"/>
  <c r="FX3" i="22"/>
  <c r="FW3" i="22"/>
  <c r="FV3" i="22"/>
  <c r="FU3" i="22"/>
  <c r="FT3" i="22"/>
  <c r="FQ3" i="22"/>
  <c r="FP3" i="22"/>
  <c r="FO3" i="22"/>
  <c r="FN3" i="22"/>
  <c r="FM3" i="22"/>
  <c r="FL3" i="22"/>
  <c r="FK3" i="22"/>
  <c r="FJ3" i="22"/>
  <c r="FI3" i="22"/>
  <c r="FH3" i="22"/>
  <c r="FE3" i="22"/>
  <c r="FD3" i="22"/>
  <c r="FC3" i="22"/>
  <c r="FB3" i="22"/>
  <c r="FA3" i="22"/>
  <c r="EZ3" i="22"/>
  <c r="EY3" i="22"/>
  <c r="EX3" i="22"/>
  <c r="EW3" i="22"/>
  <c r="EV3" i="22"/>
  <c r="ES3" i="22"/>
  <c r="ER3" i="22"/>
  <c r="EQ3" i="22"/>
  <c r="EP3" i="22"/>
  <c r="EO3" i="22"/>
  <c r="EN3" i="22"/>
  <c r="EM3" i="22"/>
  <c r="EL3" i="22"/>
  <c r="EK3" i="22"/>
  <c r="EJ3" i="22"/>
  <c r="EG3" i="22"/>
  <c r="EF3" i="22"/>
  <c r="EE3" i="22"/>
  <c r="ED3" i="22"/>
  <c r="EC3" i="22"/>
  <c r="EB3" i="22"/>
  <c r="EA3" i="22"/>
  <c r="DZ3" i="22"/>
  <c r="DY3" i="22"/>
  <c r="DX3" i="22"/>
  <c r="DU3" i="22"/>
  <c r="DT3" i="22"/>
  <c r="DS3" i="22"/>
  <c r="DR3" i="22"/>
  <c r="DQ3" i="22"/>
  <c r="DP3" i="22"/>
  <c r="DO3" i="22"/>
  <c r="DN3" i="22"/>
  <c r="DM3" i="22"/>
  <c r="DL3" i="22"/>
  <c r="DI3" i="22"/>
  <c r="DH3" i="22"/>
  <c r="DG3" i="22"/>
  <c r="DF3" i="22"/>
  <c r="DE3" i="22"/>
  <c r="DD3" i="22"/>
  <c r="DC3" i="22"/>
  <c r="DB3" i="22"/>
  <c r="DA3" i="22"/>
  <c r="CZ3" i="22"/>
  <c r="CO3" i="22"/>
  <c r="BY3" i="22"/>
  <c r="BX3" i="22"/>
  <c r="BW3" i="22"/>
  <c r="BV3" i="22"/>
  <c r="BU3" i="22"/>
  <c r="BT3" i="22"/>
  <c r="BS3" i="22"/>
  <c r="BR3" i="22"/>
  <c r="BQ3" i="22"/>
  <c r="BP3" i="22"/>
  <c r="BG3" i="22"/>
  <c r="BF3" i="22"/>
  <c r="BE3" i="22"/>
  <c r="BD3" i="22"/>
  <c r="BC3" i="22"/>
  <c r="BB3" i="22"/>
  <c r="BA3" i="22"/>
  <c r="AZ3" i="22"/>
  <c r="AY3" i="22"/>
  <c r="AU3" i="22"/>
  <c r="AT3" i="22"/>
  <c r="AS3" i="22"/>
  <c r="AR3" i="22"/>
  <c r="AQ3" i="22"/>
  <c r="AP3" i="22"/>
  <c r="AO3" i="22"/>
  <c r="AN3" i="22"/>
  <c r="AM3" i="22"/>
  <c r="AJ3" i="22"/>
  <c r="AI3" i="22"/>
  <c r="AH3" i="22"/>
  <c r="AG3" i="22"/>
  <c r="AF3" i="22"/>
  <c r="AE3" i="22"/>
  <c r="AD3" i="22"/>
  <c r="AC3" i="22"/>
  <c r="AB3" i="22"/>
  <c r="AA3" i="22"/>
  <c r="W3" i="22"/>
  <c r="V3" i="22"/>
  <c r="U3" i="22"/>
  <c r="T3" i="22"/>
  <c r="S3" i="22"/>
  <c r="R3" i="22"/>
  <c r="Q3" i="22"/>
  <c r="P3" i="22"/>
  <c r="O3" i="22"/>
  <c r="HV4" i="22" l="1"/>
  <c r="HW3" i="22"/>
  <c r="X4" i="22"/>
  <c r="HT4" i="22"/>
  <c r="HU4" i="22"/>
  <c r="HA3" i="22"/>
  <c r="HQ5" i="22"/>
  <c r="HX3" i="22"/>
  <c r="HW4" i="22"/>
  <c r="BK5" i="22"/>
  <c r="HS5" i="22"/>
  <c r="BK56" i="22"/>
  <c r="BK3" i="22" s="1"/>
  <c r="BO4" i="22"/>
  <c r="BK4" i="22"/>
  <c r="CU4" i="22"/>
  <c r="CW4" i="22"/>
  <c r="HH5" i="22"/>
  <c r="HH4" i="22"/>
  <c r="CV4" i="22"/>
  <c r="CS4" i="22"/>
  <c r="HG4" i="22"/>
  <c r="HI4" i="22"/>
  <c r="HE4" i="22"/>
  <c r="HJ4" i="22"/>
  <c r="HL5" i="22"/>
  <c r="HY5" i="22"/>
  <c r="HA5" i="22"/>
  <c r="HM5" i="22"/>
  <c r="HR5" i="22"/>
  <c r="HG5" i="22"/>
  <c r="HT5" i="22"/>
  <c r="HK3" i="22"/>
  <c r="HX4" i="22"/>
  <c r="HE5" i="22"/>
  <c r="HL4" i="22"/>
  <c r="HY4" i="22"/>
  <c r="CR4" i="22"/>
  <c r="HF4" i="22"/>
  <c r="HS4" i="22"/>
  <c r="HD5" i="22"/>
  <c r="HY3" i="22"/>
  <c r="HK4" i="22"/>
  <c r="HT3" i="22"/>
  <c r="HD3" i="22"/>
  <c r="HF3" i="22"/>
  <c r="HU3" i="22"/>
  <c r="HQ3" i="22"/>
  <c r="X5" i="22"/>
  <c r="HR3" i="22"/>
  <c r="HL3" i="22"/>
  <c r="CT4" i="22"/>
  <c r="HF5" i="22"/>
  <c r="AV3" i="22"/>
  <c r="HJ5" i="22"/>
  <c r="HW5" i="22"/>
  <c r="HG3" i="22"/>
  <c r="HS3" i="22"/>
  <c r="HD4" i="22"/>
  <c r="HQ4" i="22"/>
  <c r="HH3" i="22"/>
  <c r="HE3" i="22"/>
  <c r="HI3" i="22"/>
  <c r="HV3" i="22"/>
  <c r="HM4" i="22"/>
  <c r="HM3" i="22"/>
  <c r="HK5" i="22"/>
  <c r="HX5" i="22"/>
  <c r="HR4" i="22"/>
  <c r="HP4" i="22"/>
  <c r="CP3" i="22"/>
  <c r="HA4" i="22"/>
  <c r="AV5" i="22"/>
  <c r="HV5" i="22"/>
  <c r="X3" i="22"/>
  <c r="BH3" i="22"/>
  <c r="HJ3" i="22"/>
  <c r="CQ4" i="22"/>
  <c r="HI5" i="22"/>
  <c r="HU5" i="22"/>
  <c r="HP45" i="22"/>
  <c r="HP3" i="22" l="1"/>
  <c r="HP5" i="22"/>
  <c r="GR5" i="3" l="1"/>
  <c r="D180" i="19"/>
  <c r="D162" i="19"/>
  <c r="D144" i="19"/>
  <c r="D126" i="19"/>
  <c r="D108" i="19"/>
  <c r="D90" i="19"/>
  <c r="D72" i="19"/>
  <c r="D54" i="19"/>
  <c r="E36" i="19"/>
  <c r="D36" i="19"/>
  <c r="I5" i="10" l="1"/>
  <c r="BK57" i="3"/>
  <c r="BK26" i="3"/>
  <c r="HI58" i="3"/>
  <c r="DX6" i="3"/>
  <c r="AJ6" i="3"/>
  <c r="AJ7" i="3"/>
  <c r="AJ5" i="3"/>
  <c r="AI7" i="3"/>
  <c r="AH7" i="3"/>
  <c r="AG7" i="3"/>
  <c r="AF7" i="3"/>
  <c r="AE7" i="3"/>
  <c r="AD7" i="3"/>
  <c r="AC7" i="3"/>
  <c r="AB7" i="3"/>
  <c r="AA7" i="3"/>
  <c r="AI6" i="3"/>
  <c r="AH6" i="3"/>
  <c r="AG6" i="3"/>
  <c r="AF6" i="3"/>
  <c r="AE6" i="3"/>
  <c r="AD6" i="3"/>
  <c r="AC6" i="3"/>
  <c r="AB6" i="3"/>
  <c r="AA6" i="3"/>
  <c r="AI5" i="3"/>
  <c r="AH5" i="3"/>
  <c r="AG5" i="3"/>
  <c r="AF5" i="3"/>
  <c r="AE5" i="3"/>
  <c r="AD5" i="3"/>
  <c r="AC5" i="3"/>
  <c r="AB5" i="3"/>
  <c r="AA5" i="3"/>
  <c r="ES7" i="3"/>
  <c r="ER7" i="3"/>
  <c r="EQ7" i="3"/>
  <c r="EP7" i="3"/>
  <c r="EO7" i="3"/>
  <c r="EN7" i="3"/>
  <c r="EM7" i="3"/>
  <c r="EL7" i="3"/>
  <c r="EK7" i="3"/>
  <c r="EJ7" i="3"/>
  <c r="ES6" i="3"/>
  <c r="ER6" i="3"/>
  <c r="EQ6" i="3"/>
  <c r="EP6" i="3"/>
  <c r="EO6" i="3"/>
  <c r="EN6" i="3"/>
  <c r="EM6" i="3"/>
  <c r="EL6" i="3"/>
  <c r="EK6" i="3"/>
  <c r="EJ6" i="3"/>
  <c r="ES5" i="3"/>
  <c r="ER5" i="3"/>
  <c r="EQ5" i="3"/>
  <c r="EP5" i="3"/>
  <c r="EO5" i="3"/>
  <c r="EN5" i="3"/>
  <c r="EM5" i="3"/>
  <c r="EL5" i="3"/>
  <c r="EK5" i="3"/>
  <c r="EJ5" i="3"/>
  <c r="C3" i="19" l="1"/>
  <c r="D5" i="10"/>
  <c r="CK7" i="3"/>
  <c r="G126" i="14" s="1"/>
  <c r="CJ7" i="3"/>
  <c r="G146" i="14" s="1"/>
  <c r="CI7" i="3"/>
  <c r="CH7" i="3"/>
  <c r="G186" i="14" s="1"/>
  <c r="CG7" i="3"/>
  <c r="G106" i="14" s="1"/>
  <c r="CF7" i="3"/>
  <c r="G166" i="14" s="1"/>
  <c r="CE7" i="3"/>
  <c r="G86" i="14" s="1"/>
  <c r="CD7" i="3"/>
  <c r="G46" i="14" s="1"/>
  <c r="CC7" i="3"/>
  <c r="G66" i="14" s="1"/>
  <c r="HP58" i="3"/>
  <c r="HQ58" i="3"/>
  <c r="HR58" i="3"/>
  <c r="HS58" i="3"/>
  <c r="HT58" i="3"/>
  <c r="HU58" i="3"/>
  <c r="HV58" i="3"/>
  <c r="HW58" i="3"/>
  <c r="HX58" i="3"/>
  <c r="HY58" i="3"/>
  <c r="HD58" i="3"/>
  <c r="HE58" i="3"/>
  <c r="HF58" i="3"/>
  <c r="HG58" i="3"/>
  <c r="HH58" i="3"/>
  <c r="HJ58" i="3"/>
  <c r="HK58" i="3"/>
  <c r="HL58" i="3"/>
  <c r="HM58" i="3"/>
  <c r="HD47" i="3"/>
  <c r="GZ7" i="3"/>
  <c r="GY7" i="3"/>
  <c r="GX7" i="3"/>
  <c r="GW7" i="3"/>
  <c r="GV7" i="3"/>
  <c r="GU7" i="3"/>
  <c r="GT7" i="3"/>
  <c r="GS7" i="3"/>
  <c r="GZ6" i="3"/>
  <c r="GY6" i="3"/>
  <c r="GX6" i="3"/>
  <c r="GW6" i="3"/>
  <c r="GV6" i="3"/>
  <c r="GU6" i="3"/>
  <c r="GT6" i="3"/>
  <c r="GS6" i="3"/>
  <c r="GZ5" i="3"/>
  <c r="GY5" i="3"/>
  <c r="GX5" i="3"/>
  <c r="GW5" i="3"/>
  <c r="GV5" i="3"/>
  <c r="GU5" i="3"/>
  <c r="GT5" i="3"/>
  <c r="GS5" i="3"/>
  <c r="GO7" i="3"/>
  <c r="GN7" i="3"/>
  <c r="GM7" i="3"/>
  <c r="GL7" i="3"/>
  <c r="GK7" i="3"/>
  <c r="GJ7" i="3"/>
  <c r="GI7" i="3"/>
  <c r="GH7" i="3"/>
  <c r="GG7" i="3"/>
  <c r="GF7" i="3"/>
  <c r="GO6" i="3"/>
  <c r="GN6" i="3"/>
  <c r="GM6" i="3"/>
  <c r="GL6" i="3"/>
  <c r="GK6" i="3"/>
  <c r="GJ6" i="3"/>
  <c r="GI6" i="3"/>
  <c r="GH6" i="3"/>
  <c r="GG6" i="3"/>
  <c r="GF6" i="3"/>
  <c r="GO5" i="3"/>
  <c r="GN5" i="3"/>
  <c r="GM5" i="3"/>
  <c r="GL5" i="3"/>
  <c r="GK5" i="3"/>
  <c r="GJ5" i="3"/>
  <c r="GI5" i="3"/>
  <c r="GH5" i="3"/>
  <c r="GG5" i="3"/>
  <c r="GF5" i="3"/>
  <c r="GC7" i="3"/>
  <c r="GB7" i="3"/>
  <c r="GA7" i="3"/>
  <c r="FZ7" i="3"/>
  <c r="FY7" i="3"/>
  <c r="FX7" i="3"/>
  <c r="FW7" i="3"/>
  <c r="FV7" i="3"/>
  <c r="FU7" i="3"/>
  <c r="FT7" i="3"/>
  <c r="GC6" i="3"/>
  <c r="GB6" i="3"/>
  <c r="GA6" i="3"/>
  <c r="FZ6" i="3"/>
  <c r="FY6" i="3"/>
  <c r="FX6" i="3"/>
  <c r="FW6" i="3"/>
  <c r="FV6" i="3"/>
  <c r="FU6" i="3"/>
  <c r="FT6" i="3"/>
  <c r="GC5" i="3"/>
  <c r="GB5" i="3"/>
  <c r="GA5" i="3"/>
  <c r="FZ5" i="3"/>
  <c r="FY5" i="3"/>
  <c r="FX5" i="3"/>
  <c r="FW5" i="3"/>
  <c r="FV5" i="3"/>
  <c r="FU5" i="3"/>
  <c r="FT5" i="3"/>
  <c r="FQ7" i="3"/>
  <c r="FP7" i="3"/>
  <c r="FO7" i="3"/>
  <c r="FN7" i="3"/>
  <c r="FM7" i="3"/>
  <c r="FL7" i="3"/>
  <c r="FK7" i="3"/>
  <c r="FJ7" i="3"/>
  <c r="FI7" i="3"/>
  <c r="FH7" i="3"/>
  <c r="FQ6" i="3"/>
  <c r="FP6" i="3"/>
  <c r="FO6" i="3"/>
  <c r="FN6" i="3"/>
  <c r="FM6" i="3"/>
  <c r="FL6" i="3"/>
  <c r="FK6" i="3"/>
  <c r="FJ6" i="3"/>
  <c r="FI6" i="3"/>
  <c r="FH6" i="3"/>
  <c r="FQ5" i="3"/>
  <c r="FP5" i="3"/>
  <c r="FO5" i="3"/>
  <c r="FN5" i="3"/>
  <c r="FM5" i="3"/>
  <c r="FL5" i="3"/>
  <c r="FK5" i="3"/>
  <c r="FJ5" i="3"/>
  <c r="FI5" i="3"/>
  <c r="FH5" i="3"/>
  <c r="FE7" i="3"/>
  <c r="FD7" i="3"/>
  <c r="FC7" i="3"/>
  <c r="FB7" i="3"/>
  <c r="FA7" i="3"/>
  <c r="EZ7" i="3"/>
  <c r="EY7" i="3"/>
  <c r="EX7" i="3"/>
  <c r="EW7" i="3"/>
  <c r="EV7" i="3"/>
  <c r="FE6" i="3"/>
  <c r="FD6" i="3"/>
  <c r="FC6" i="3"/>
  <c r="FB6" i="3"/>
  <c r="FA6" i="3"/>
  <c r="EZ6" i="3"/>
  <c r="EY6" i="3"/>
  <c r="EX6" i="3"/>
  <c r="EW6" i="3"/>
  <c r="EV6" i="3"/>
  <c r="FE5" i="3"/>
  <c r="FD5" i="3"/>
  <c r="FC5" i="3"/>
  <c r="FB5" i="3"/>
  <c r="FA5" i="3"/>
  <c r="EZ5" i="3"/>
  <c r="EY5" i="3"/>
  <c r="EX5" i="3"/>
  <c r="EW5" i="3"/>
  <c r="EV5" i="3"/>
  <c r="EG7" i="3"/>
  <c r="EF7" i="3"/>
  <c r="EE7" i="3"/>
  <c r="ED7" i="3"/>
  <c r="EC7" i="3"/>
  <c r="EB7" i="3"/>
  <c r="EA7" i="3"/>
  <c r="DZ7" i="3"/>
  <c r="DY7" i="3"/>
  <c r="DX7" i="3"/>
  <c r="E3" i="19" s="1"/>
  <c r="EG6" i="3"/>
  <c r="EF6" i="3"/>
  <c r="EE6" i="3"/>
  <c r="ED6" i="3"/>
  <c r="EC6" i="3"/>
  <c r="EB6" i="3"/>
  <c r="EA6" i="3"/>
  <c r="DZ6" i="3"/>
  <c r="DY6" i="3"/>
  <c r="EG5" i="3"/>
  <c r="EF5" i="3"/>
  <c r="EE5" i="3"/>
  <c r="ED5" i="3"/>
  <c r="EC5" i="3"/>
  <c r="EB5" i="3"/>
  <c r="EA5" i="3"/>
  <c r="DZ5" i="3"/>
  <c r="DY5" i="3"/>
  <c r="DX5" i="3"/>
  <c r="DT7" i="3"/>
  <c r="DS7" i="3"/>
  <c r="DR7" i="3"/>
  <c r="DQ7" i="3"/>
  <c r="DP7" i="3"/>
  <c r="DM7" i="3"/>
  <c r="DL7" i="3"/>
  <c r="DU6" i="3"/>
  <c r="DT6" i="3"/>
  <c r="DS6" i="3"/>
  <c r="DR6" i="3"/>
  <c r="DQ6" i="3"/>
  <c r="DP6" i="3"/>
  <c r="DO6" i="3"/>
  <c r="DM6" i="3"/>
  <c r="DL6" i="3"/>
  <c r="DU5" i="3"/>
  <c r="DT5" i="3"/>
  <c r="DS5" i="3"/>
  <c r="DR5" i="3"/>
  <c r="DQ5" i="3"/>
  <c r="DP5" i="3"/>
  <c r="DO5" i="3"/>
  <c r="DN5" i="3"/>
  <c r="DM5" i="3"/>
  <c r="DL5" i="3"/>
  <c r="DA5" i="3"/>
  <c r="DB5" i="3"/>
  <c r="DC5" i="3"/>
  <c r="DD5" i="3"/>
  <c r="DE5" i="3"/>
  <c r="DF5" i="3"/>
  <c r="DG5" i="3"/>
  <c r="DH5" i="3"/>
  <c r="DI5" i="3"/>
  <c r="DA6" i="3"/>
  <c r="DB6" i="3"/>
  <c r="DC6" i="3"/>
  <c r="DD6" i="3"/>
  <c r="DE6" i="3"/>
  <c r="DF6" i="3"/>
  <c r="DG6" i="3"/>
  <c r="DH6" i="3"/>
  <c r="DI6" i="3"/>
  <c r="DA7" i="3"/>
  <c r="DC7" i="3"/>
  <c r="DD7" i="3"/>
  <c r="DE7" i="3"/>
  <c r="DF7" i="3"/>
  <c r="DG7" i="3"/>
  <c r="DH7" i="3"/>
  <c r="DI7" i="3"/>
  <c r="CZ7" i="3"/>
  <c r="CZ6" i="3"/>
  <c r="CZ5" i="3"/>
  <c r="BP5" i="3"/>
  <c r="BQ5" i="3"/>
  <c r="BR5" i="3"/>
  <c r="BS5" i="3"/>
  <c r="BT5" i="3"/>
  <c r="BU5" i="3"/>
  <c r="BV5" i="3"/>
  <c r="BW5" i="3"/>
  <c r="BX5" i="3"/>
  <c r="BY5" i="3"/>
  <c r="BM5" i="3"/>
  <c r="BG7" i="3"/>
  <c r="BF7" i="3"/>
  <c r="BE7" i="3"/>
  <c r="BD7" i="3"/>
  <c r="BC7" i="3"/>
  <c r="BB7" i="3"/>
  <c r="BA7" i="3"/>
  <c r="AZ7" i="3"/>
  <c r="AY7" i="3"/>
  <c r="BH6" i="3"/>
  <c r="BG6" i="3"/>
  <c r="BF6" i="3"/>
  <c r="BE6" i="3"/>
  <c r="BD6" i="3"/>
  <c r="BC6" i="3"/>
  <c r="BB6" i="3"/>
  <c r="BA6" i="3"/>
  <c r="AZ6" i="3"/>
  <c r="AY6" i="3"/>
  <c r="BG5" i="3"/>
  <c r="BF5" i="3"/>
  <c r="BE5" i="3"/>
  <c r="BD5" i="3"/>
  <c r="BC5" i="3"/>
  <c r="BB5" i="3"/>
  <c r="BA5" i="3"/>
  <c r="AZ5" i="3"/>
  <c r="AY5" i="3"/>
  <c r="AU7" i="3"/>
  <c r="AT7" i="3"/>
  <c r="AS7" i="3"/>
  <c r="AR7" i="3"/>
  <c r="AQ7" i="3"/>
  <c r="AP7" i="3"/>
  <c r="AN7" i="3"/>
  <c r="AM7" i="3"/>
  <c r="AV6" i="3"/>
  <c r="C4" i="19" s="1"/>
  <c r="AU6" i="3"/>
  <c r="AT6" i="3"/>
  <c r="AS6" i="3"/>
  <c r="AR6" i="3"/>
  <c r="AQ6" i="3"/>
  <c r="AP6" i="3"/>
  <c r="AO6" i="3"/>
  <c r="AN6" i="3"/>
  <c r="AM6" i="3"/>
  <c r="AU5" i="3"/>
  <c r="AT5" i="3"/>
  <c r="AS5" i="3"/>
  <c r="AR5" i="3"/>
  <c r="AQ5" i="3"/>
  <c r="AP5" i="3"/>
  <c r="AO5" i="3"/>
  <c r="AN5" i="3"/>
  <c r="AM5" i="3"/>
  <c r="P5" i="3"/>
  <c r="Q5" i="3"/>
  <c r="R5" i="3"/>
  <c r="S5" i="3"/>
  <c r="T5" i="3"/>
  <c r="U5" i="3"/>
  <c r="V5" i="3"/>
  <c r="W5" i="3"/>
  <c r="P6" i="3"/>
  <c r="Q6" i="3"/>
  <c r="R6" i="3"/>
  <c r="S6" i="3"/>
  <c r="T6" i="3"/>
  <c r="U6" i="3"/>
  <c r="D83" i="14" s="1"/>
  <c r="V6" i="3"/>
  <c r="D44" i="14" s="1"/>
  <c r="P7" i="3"/>
  <c r="Q7" i="3"/>
  <c r="G124" i="14" s="1"/>
  <c r="R7" i="3"/>
  <c r="S7" i="3"/>
  <c r="T7" i="3"/>
  <c r="V7" i="3"/>
  <c r="D40" i="21" s="1" a="1"/>
  <c r="D40" i="21" s="1"/>
  <c r="O7" i="3"/>
  <c r="O6" i="3"/>
  <c r="O5" i="3"/>
  <c r="E55" i="14" l="1"/>
  <c r="E54" i="14"/>
  <c r="D95" i="14"/>
  <c r="D94" i="14"/>
  <c r="P96" i="16"/>
  <c r="E129" i="14"/>
  <c r="BE255" i="27" s="1"/>
  <c r="P21" i="16"/>
  <c r="C76" i="19"/>
  <c r="E76" i="19"/>
  <c r="C112" i="19"/>
  <c r="E112" i="19"/>
  <c r="C130" i="19"/>
  <c r="E130" i="19"/>
  <c r="D176" i="10"/>
  <c r="E58" i="19"/>
  <c r="C40" i="19"/>
  <c r="E40" i="19"/>
  <c r="C58" i="19"/>
  <c r="C94" i="19"/>
  <c r="E94" i="19"/>
  <c r="G119" i="10"/>
  <c r="G43" i="10"/>
  <c r="D43" i="10"/>
  <c r="G62" i="10"/>
  <c r="C148" i="19"/>
  <c r="E148" i="19"/>
  <c r="D62" i="10"/>
  <c r="C166" i="19"/>
  <c r="E166" i="19"/>
  <c r="D119" i="10"/>
  <c r="G100" i="10"/>
  <c r="G138" i="10"/>
  <c r="D100" i="10"/>
  <c r="D138" i="10"/>
  <c r="G176" i="10"/>
  <c r="D157" i="10"/>
  <c r="G157" i="10"/>
  <c r="G5" i="10"/>
  <c r="P30" i="16" s="1"/>
  <c r="G81" i="10"/>
  <c r="D81" i="10"/>
  <c r="G57" i="14"/>
  <c r="AE83" i="27" s="1" a="1"/>
  <c r="AE83" i="27" s="1"/>
  <c r="BM83" i="27" s="1"/>
  <c r="G51" i="14"/>
  <c r="Y83" i="27" s="1" a="1"/>
  <c r="Y83" i="27" s="1"/>
  <c r="BG83" i="27" s="1"/>
  <c r="X58" i="3"/>
  <c r="BE257" i="27" l="1"/>
  <c r="BE261" i="27"/>
  <c r="BE259" i="27"/>
  <c r="BE256" i="27"/>
  <c r="BE262" i="27"/>
  <c r="BE260" i="27"/>
  <c r="BE258" i="27"/>
  <c r="Y89" i="27"/>
  <c r="BG89" i="27" s="1"/>
  <c r="Y86" i="27"/>
  <c r="BG86" i="27" s="1"/>
  <c r="Y88" i="27"/>
  <c r="BG88" i="27" s="1"/>
  <c r="Y84" i="27"/>
  <c r="BG84" i="27" s="1"/>
  <c r="Y85" i="27"/>
  <c r="BG85" i="27" s="1"/>
  <c r="Y87" i="27"/>
  <c r="BG87" i="27" s="1"/>
  <c r="Y90" i="27"/>
  <c r="BG90" i="27" s="1"/>
  <c r="AE84" i="27"/>
  <c r="BM84" i="27" s="1"/>
  <c r="AE90" i="27"/>
  <c r="BM90" i="27" s="1"/>
  <c r="AE86" i="27"/>
  <c r="BM86" i="27" s="1"/>
  <c r="AE87" i="27"/>
  <c r="BM87" i="27" s="1"/>
  <c r="AE88" i="27"/>
  <c r="BM88" i="27" s="1"/>
  <c r="AE89" i="27"/>
  <c r="BM89" i="27" s="1"/>
  <c r="AE85" i="27"/>
  <c r="BM85" i="27" s="1"/>
  <c r="M40" i="21" a="1"/>
  <c r="M40" i="21" s="1"/>
  <c r="G40" i="21" a="1"/>
  <c r="G40" i="21" s="1"/>
  <c r="B22" i="16"/>
  <c r="Q27" i="16"/>
  <c r="B28" i="16" l="1"/>
  <c r="D29" i="16"/>
  <c r="I186" i="14"/>
  <c r="K185" i="14" s="1"/>
  <c r="HD49" i="3"/>
  <c r="O30" i="16" l="1"/>
  <c r="V27" i="16"/>
  <c r="X27" i="16" s="1"/>
  <c r="BU81" i="22"/>
  <c r="HJ81" i="22" s="1"/>
  <c r="BU80" i="22"/>
  <c r="D139" i="16"/>
  <c r="E139" i="16" s="1"/>
  <c r="C24" i="16"/>
  <c r="C23" i="16" s="1"/>
  <c r="B23" i="16"/>
  <c r="O21" i="16"/>
  <c r="S27" i="16"/>
  <c r="U27" i="16"/>
  <c r="C28" i="16"/>
  <c r="C139" i="16"/>
  <c r="E143" i="16"/>
  <c r="C143" i="16"/>
  <c r="C142" i="16"/>
  <c r="C138" i="16"/>
  <c r="E141" i="16"/>
  <c r="C141" i="16"/>
  <c r="C137" i="16"/>
  <c r="C135" i="16"/>
  <c r="C125" i="16"/>
  <c r="E129" i="16"/>
  <c r="C129" i="16"/>
  <c r="E127" i="16"/>
  <c r="C123" i="16"/>
  <c r="C128" i="16"/>
  <c r="C124" i="16"/>
  <c r="C127" i="16"/>
  <c r="C121" i="16"/>
  <c r="E115" i="16"/>
  <c r="C111" i="16"/>
  <c r="C115" i="16"/>
  <c r="E113" i="16"/>
  <c r="C114" i="16"/>
  <c r="C110" i="16"/>
  <c r="C113" i="16"/>
  <c r="C109" i="16"/>
  <c r="C107" i="16"/>
  <c r="C97" i="16"/>
  <c r="C93" i="16"/>
  <c r="C100" i="16"/>
  <c r="C96" i="16"/>
  <c r="E99" i="16"/>
  <c r="C99" i="16"/>
  <c r="C95" i="16"/>
  <c r="C87" i="16"/>
  <c r="C83" i="16"/>
  <c r="E87" i="16"/>
  <c r="C86" i="16"/>
  <c r="C81" i="16"/>
  <c r="C82" i="16"/>
  <c r="E85" i="16"/>
  <c r="C79" i="16"/>
  <c r="E59" i="16"/>
  <c r="C69" i="16"/>
  <c r="E73" i="16"/>
  <c r="C73" i="16"/>
  <c r="C67" i="16"/>
  <c r="C72" i="16"/>
  <c r="C68" i="16"/>
  <c r="E71" i="16"/>
  <c r="C65" i="16"/>
  <c r="C59" i="16"/>
  <c r="E45" i="16"/>
  <c r="C58" i="16"/>
  <c r="C54" i="16"/>
  <c r="C57" i="16"/>
  <c r="E57" i="16"/>
  <c r="C53" i="16"/>
  <c r="C51" i="16"/>
  <c r="C39" i="16"/>
  <c r="C44" i="16"/>
  <c r="C40" i="16"/>
  <c r="C43" i="16"/>
  <c r="E43" i="16"/>
  <c r="C37" i="16"/>
  <c r="K183" i="14"/>
  <c r="DF72" i="22" s="1"/>
  <c r="K184" i="14"/>
  <c r="DR77" i="22"/>
  <c r="DR78" i="22"/>
  <c r="DR79" i="22"/>
  <c r="DR70" i="22"/>
  <c r="DR68" i="22"/>
  <c r="DR71" i="22"/>
  <c r="DR72" i="22"/>
  <c r="DF70" i="22"/>
  <c r="BU78" i="22"/>
  <c r="BU69" i="22"/>
  <c r="BU79" i="22"/>
  <c r="BU70" i="22"/>
  <c r="BU68" i="22"/>
  <c r="BU71" i="22"/>
  <c r="BU72" i="22"/>
  <c r="BU73" i="22"/>
  <c r="BU74" i="22"/>
  <c r="BU75" i="22"/>
  <c r="BU76" i="22"/>
  <c r="BU77" i="22"/>
  <c r="C22" i="16"/>
  <c r="O22" i="16" s="1"/>
  <c r="K67" i="16" l="1"/>
  <c r="K24" i="16"/>
  <c r="O24" i="16"/>
  <c r="V21" i="16"/>
  <c r="X21" i="16" s="1"/>
  <c r="O26" i="16"/>
  <c r="V140" i="16"/>
  <c r="X140" i="16" s="1"/>
  <c r="DF76" i="22"/>
  <c r="DR80" i="22"/>
  <c r="D138" i="16"/>
  <c r="E138" i="16" s="1"/>
  <c r="DF80" i="22"/>
  <c r="D137" i="16"/>
  <c r="DF71" i="22"/>
  <c r="HJ71" i="22" s="1"/>
  <c r="DF68" i="22"/>
  <c r="DF69" i="22"/>
  <c r="DR69" i="22"/>
  <c r="DF79" i="22"/>
  <c r="HJ79" i="22" s="1"/>
  <c r="DF78" i="22"/>
  <c r="HJ78" i="22" s="1"/>
  <c r="DF75" i="22"/>
  <c r="DF77" i="22"/>
  <c r="HJ77" i="22" s="1"/>
  <c r="DF74" i="22"/>
  <c r="DR74" i="22"/>
  <c r="DR76" i="22"/>
  <c r="DF73" i="22"/>
  <c r="DR73" i="22"/>
  <c r="HJ73" i="22" s="1"/>
  <c r="DR75" i="22"/>
  <c r="Q37" i="16"/>
  <c r="U37" i="16" s="1"/>
  <c r="V70" i="16"/>
  <c r="X70" i="16" s="1"/>
  <c r="Q21" i="16"/>
  <c r="S21" i="16" s="1"/>
  <c r="V42" i="16"/>
  <c r="X42" i="16" s="1"/>
  <c r="Q65" i="16"/>
  <c r="Q121" i="16"/>
  <c r="S121" i="16" s="1"/>
  <c r="Q79" i="16"/>
  <c r="Q107" i="16"/>
  <c r="Q51" i="16"/>
  <c r="S51" i="16" s="1"/>
  <c r="Q93" i="16"/>
  <c r="V98" i="16"/>
  <c r="X98" i="16" s="1"/>
  <c r="Q135" i="16"/>
  <c r="V56" i="16"/>
  <c r="X56" i="16" s="1"/>
  <c r="V84" i="16"/>
  <c r="X84" i="16" s="1"/>
  <c r="V112" i="16"/>
  <c r="X112" i="16" s="1"/>
  <c r="V126" i="16"/>
  <c r="X126" i="16" s="1"/>
  <c r="O29" i="16"/>
  <c r="K115" i="16"/>
  <c r="M115" i="16"/>
  <c r="K142" i="16"/>
  <c r="M142" i="16"/>
  <c r="M72" i="16"/>
  <c r="K72" i="16"/>
  <c r="K95" i="16"/>
  <c r="M95" i="16"/>
  <c r="K37" i="16"/>
  <c r="M37" i="16"/>
  <c r="K57" i="16"/>
  <c r="M57" i="16"/>
  <c r="K79" i="16"/>
  <c r="M79" i="16"/>
  <c r="M97" i="16"/>
  <c r="K97" i="16"/>
  <c r="K138" i="16"/>
  <c r="M138" i="16"/>
  <c r="K129" i="16"/>
  <c r="M129" i="16"/>
  <c r="K109" i="16"/>
  <c r="M109" i="16"/>
  <c r="K125" i="16"/>
  <c r="M125" i="16"/>
  <c r="K85" i="16"/>
  <c r="M85" i="16"/>
  <c r="K113" i="16"/>
  <c r="M113" i="16"/>
  <c r="K96" i="16"/>
  <c r="M96" i="16"/>
  <c r="K127" i="16"/>
  <c r="M127" i="16"/>
  <c r="K139" i="16"/>
  <c r="M139" i="16"/>
  <c r="K100" i="16"/>
  <c r="M100" i="16"/>
  <c r="K124" i="16"/>
  <c r="M124" i="16"/>
  <c r="K58" i="16"/>
  <c r="M58" i="16"/>
  <c r="M86" i="16"/>
  <c r="K86" i="16"/>
  <c r="K128" i="16"/>
  <c r="M128" i="16"/>
  <c r="M65" i="16"/>
  <c r="K65" i="16"/>
  <c r="M83" i="16"/>
  <c r="K83" i="16"/>
  <c r="M51" i="16"/>
  <c r="K51" i="16"/>
  <c r="K111" i="16"/>
  <c r="M111" i="16"/>
  <c r="K107" i="16"/>
  <c r="M107" i="16"/>
  <c r="M99" i="16"/>
  <c r="K99" i="16"/>
  <c r="M143" i="16"/>
  <c r="K143" i="16"/>
  <c r="K121" i="16"/>
  <c r="M121" i="16"/>
  <c r="K135" i="16"/>
  <c r="M135" i="16"/>
  <c r="M43" i="16"/>
  <c r="K43" i="16"/>
  <c r="M110" i="16"/>
  <c r="K110" i="16"/>
  <c r="K137" i="16"/>
  <c r="M137" i="16"/>
  <c r="M71" i="16"/>
  <c r="K71" i="16"/>
  <c r="M69" i="16"/>
  <c r="K69" i="16"/>
  <c r="K114" i="16"/>
  <c r="M114" i="16"/>
  <c r="K141" i="16"/>
  <c r="M141" i="16"/>
  <c r="M44" i="16"/>
  <c r="K44" i="16"/>
  <c r="M93" i="16"/>
  <c r="K93" i="16"/>
  <c r="K123" i="16"/>
  <c r="M123" i="16"/>
  <c r="K59" i="16"/>
  <c r="M59" i="16"/>
  <c r="K73" i="16"/>
  <c r="M73" i="16"/>
  <c r="M87" i="16"/>
  <c r="K87" i="16"/>
  <c r="M68" i="16"/>
  <c r="K68" i="16"/>
  <c r="K82" i="16"/>
  <c r="M82" i="16"/>
  <c r="M54" i="16"/>
  <c r="K54" i="16"/>
  <c r="M40" i="16"/>
  <c r="K40" i="16"/>
  <c r="K39" i="16"/>
  <c r="M39" i="16"/>
  <c r="K53" i="16"/>
  <c r="M53" i="16"/>
  <c r="M67" i="16"/>
  <c r="M81" i="16"/>
  <c r="K81" i="16"/>
  <c r="M29" i="16"/>
  <c r="K22" i="16"/>
  <c r="M30" i="16"/>
  <c r="K29" i="16"/>
  <c r="M25" i="16"/>
  <c r="M24" i="16"/>
  <c r="M27" i="16"/>
  <c r="E140" i="16"/>
  <c r="C140" i="16"/>
  <c r="C136" i="16"/>
  <c r="C122" i="16"/>
  <c r="E126" i="16"/>
  <c r="C126" i="16"/>
  <c r="C112" i="16"/>
  <c r="E112" i="16"/>
  <c r="C108" i="16"/>
  <c r="E98" i="16"/>
  <c r="C94" i="16"/>
  <c r="C98" i="16"/>
  <c r="C80" i="16"/>
  <c r="C84" i="16"/>
  <c r="M84" i="16" s="1"/>
  <c r="E84" i="16"/>
  <c r="E70" i="16"/>
  <c r="C66" i="16"/>
  <c r="C70" i="16"/>
  <c r="C42" i="16"/>
  <c r="E42" i="16"/>
  <c r="C38" i="16"/>
  <c r="C52" i="16"/>
  <c r="E56" i="16"/>
  <c r="C56" i="16"/>
  <c r="HJ72" i="22"/>
  <c r="HJ68" i="22"/>
  <c r="HJ70" i="22"/>
  <c r="HJ80" i="22" l="1"/>
  <c r="HJ75" i="22"/>
  <c r="HJ74" i="22"/>
  <c r="HJ76" i="22"/>
  <c r="HJ69" i="22"/>
  <c r="S37" i="16"/>
  <c r="D136" i="16"/>
  <c r="E137" i="16"/>
  <c r="E136" i="16" s="1"/>
  <c r="U121" i="16"/>
  <c r="U21" i="16"/>
  <c r="S65" i="16"/>
  <c r="U65" i="16"/>
  <c r="S93" i="16"/>
  <c r="U93" i="16"/>
  <c r="U51" i="16"/>
  <c r="S107" i="16"/>
  <c r="U107" i="16"/>
  <c r="S135" i="16"/>
  <c r="U135" i="16"/>
  <c r="S79" i="16"/>
  <c r="U79" i="16"/>
  <c r="K98" i="16"/>
  <c r="M98" i="16"/>
  <c r="K136" i="16"/>
  <c r="M136" i="16"/>
  <c r="K140" i="16"/>
  <c r="M140" i="16"/>
  <c r="M122" i="16"/>
  <c r="K122" i="16"/>
  <c r="M94" i="16"/>
  <c r="K94" i="16"/>
  <c r="K108" i="16"/>
  <c r="M108" i="16"/>
  <c r="K112" i="16"/>
  <c r="M112" i="16"/>
  <c r="K126" i="16"/>
  <c r="M126" i="16"/>
  <c r="M56" i="16"/>
  <c r="K56" i="16"/>
  <c r="K42" i="16"/>
  <c r="M42" i="16"/>
  <c r="M70" i="16"/>
  <c r="K70" i="16"/>
  <c r="K84" i="16"/>
  <c r="K38" i="16"/>
  <c r="M38" i="16"/>
  <c r="M80" i="16"/>
  <c r="K80" i="16"/>
  <c r="K66" i="16"/>
  <c r="M66" i="16"/>
  <c r="K52" i="16"/>
  <c r="M52" i="16"/>
  <c r="K23" i="16"/>
  <c r="M23" i="16"/>
  <c r="K28" i="16"/>
  <c r="I176" i="10"/>
  <c r="K175" i="10"/>
  <c r="K174" i="10"/>
  <c r="I157" i="10"/>
  <c r="K155" i="10" s="1"/>
  <c r="I138" i="10"/>
  <c r="K137" i="10"/>
  <c r="K136" i="10"/>
  <c r="I119" i="10"/>
  <c r="K118" i="10" s="1"/>
  <c r="I100" i="10"/>
  <c r="K98" i="10" s="1"/>
  <c r="I81" i="10"/>
  <c r="K80" i="10" s="1"/>
  <c r="K79" i="10"/>
  <c r="I62" i="10"/>
  <c r="K60" i="10" s="1"/>
  <c r="I43" i="10"/>
  <c r="K42" i="10" s="1"/>
  <c r="E29" i="16"/>
  <c r="G175" i="10"/>
  <c r="F186" i="10" s="1"/>
  <c r="G174" i="10"/>
  <c r="D175" i="10"/>
  <c r="D174" i="10"/>
  <c r="D184" i="10" s="1"/>
  <c r="G156" i="10"/>
  <c r="G155" i="10"/>
  <c r="D156" i="10"/>
  <c r="F165" i="10" s="1"/>
  <c r="D155" i="10"/>
  <c r="G137" i="10"/>
  <c r="F144" i="10" s="1"/>
  <c r="G136" i="10"/>
  <c r="D143" i="10" s="1"/>
  <c r="Y275" i="27" s="1" a="1"/>
  <c r="Y275" i="27" s="1"/>
  <c r="BG275" i="27" s="1"/>
  <c r="D136" i="10"/>
  <c r="D137" i="10"/>
  <c r="F146" i="10" s="1"/>
  <c r="D150" i="10" l="1"/>
  <c r="AF275" i="27" s="1" a="1"/>
  <c r="AF275" i="27" s="1"/>
  <c r="BN275" i="27" s="1"/>
  <c r="D146" i="10"/>
  <c r="D169" i="10"/>
  <c r="AF320" i="27" s="1" a="1"/>
  <c r="AF320" i="27" s="1"/>
  <c r="BN320" i="27" s="1"/>
  <c r="D165" i="10"/>
  <c r="AB320" i="27" a="1"/>
  <c r="AB320" i="27" s="1"/>
  <c r="BJ320" i="27" s="1"/>
  <c r="F189" i="10"/>
  <c r="AG373" i="27" s="1" a="1"/>
  <c r="AG373" i="27" s="1"/>
  <c r="BO373" i="27" s="1"/>
  <c r="F184" i="10"/>
  <c r="E174" i="19"/>
  <c r="J130" i="21" s="1" a="1"/>
  <c r="J130" i="21" s="1"/>
  <c r="E184" i="10"/>
  <c r="J134" i="21" s="1" a="1"/>
  <c r="J134" i="21" s="1"/>
  <c r="AB365" i="27" a="1"/>
  <c r="AB365" i="27" s="1"/>
  <c r="BJ365" i="27" s="1"/>
  <c r="AD373" i="27" a="1"/>
  <c r="AD373" i="27" s="1"/>
  <c r="BL373" i="27" s="1"/>
  <c r="Z283" i="27" a="1"/>
  <c r="Z283" i="27" s="1"/>
  <c r="BH283" i="27" s="1"/>
  <c r="BD328" i="27"/>
  <c r="Y280" i="27"/>
  <c r="BG280" i="27" s="1"/>
  <c r="Y277" i="27"/>
  <c r="BG277" i="27" s="1"/>
  <c r="Y278" i="27"/>
  <c r="BG278" i="27" s="1"/>
  <c r="Y281" i="27"/>
  <c r="BG281" i="27" s="1"/>
  <c r="Y279" i="27"/>
  <c r="BG279" i="27" s="1"/>
  <c r="Y276" i="27"/>
  <c r="BG276" i="27" s="1"/>
  <c r="Y282" i="27"/>
  <c r="BG282" i="27" s="1"/>
  <c r="BD334" i="27"/>
  <c r="BD335" i="27"/>
  <c r="BD330" i="27"/>
  <c r="BD331" i="27"/>
  <c r="BD333" i="27"/>
  <c r="BD329" i="27"/>
  <c r="BD332" i="27"/>
  <c r="D119" i="21" a="1"/>
  <c r="D119" i="21" s="1"/>
  <c r="O133" i="21" a="1"/>
  <c r="O133" i="21" s="1"/>
  <c r="H105" i="21" a="1"/>
  <c r="H105" i="21" s="1"/>
  <c r="EF74" i="22"/>
  <c r="EF75" i="22"/>
  <c r="EF76" i="22"/>
  <c r="EF77" i="22"/>
  <c r="EF78" i="22"/>
  <c r="EF69" i="22"/>
  <c r="HX69" i="22" s="1"/>
  <c r="EF79" i="22"/>
  <c r="HX79" i="22" s="1"/>
  <c r="EF70" i="22"/>
  <c r="EF68" i="22"/>
  <c r="EF71" i="22"/>
  <c r="EF72" i="22"/>
  <c r="EF73" i="22"/>
  <c r="GW78" i="22"/>
  <c r="GW69" i="22"/>
  <c r="GW79" i="22"/>
  <c r="GW70" i="22"/>
  <c r="GW68" i="22"/>
  <c r="GW71" i="22"/>
  <c r="GW72" i="22"/>
  <c r="GW73" i="22"/>
  <c r="GW74" i="22"/>
  <c r="HX74" i="22" s="1"/>
  <c r="GW75" i="22"/>
  <c r="GW76" i="22"/>
  <c r="GW77" i="22"/>
  <c r="D28" i="16"/>
  <c r="DX70" i="22"/>
  <c r="DX71" i="22"/>
  <c r="DX72" i="22"/>
  <c r="DX73" i="22"/>
  <c r="DX74" i="22"/>
  <c r="DX75" i="22"/>
  <c r="DX76" i="22"/>
  <c r="DX68" i="22"/>
  <c r="HP68" i="22" s="1"/>
  <c r="DX77" i="22"/>
  <c r="DX78" i="22"/>
  <c r="DX69" i="22"/>
  <c r="GY71" i="22"/>
  <c r="GY72" i="22"/>
  <c r="GY73" i="22"/>
  <c r="GY74" i="22"/>
  <c r="GY75" i="22"/>
  <c r="GY76" i="22"/>
  <c r="GY77" i="22"/>
  <c r="GY79" i="22"/>
  <c r="GY78" i="22"/>
  <c r="GY69" i="22"/>
  <c r="GY68" i="22"/>
  <c r="GY70" i="22"/>
  <c r="EC70" i="22"/>
  <c r="EC68" i="22"/>
  <c r="EC71" i="22"/>
  <c r="EC72" i="22"/>
  <c r="EC73" i="22"/>
  <c r="EC74" i="22"/>
  <c r="EC75" i="22"/>
  <c r="EC76" i="22"/>
  <c r="EC77" i="22"/>
  <c r="EC78" i="22"/>
  <c r="EC69" i="22"/>
  <c r="EC79" i="22"/>
  <c r="GT72" i="22"/>
  <c r="GT73" i="22"/>
  <c r="GT74" i="22"/>
  <c r="GT75" i="22"/>
  <c r="GT76" i="22"/>
  <c r="GT77" i="22"/>
  <c r="GT78" i="22"/>
  <c r="GT69" i="22"/>
  <c r="GT79" i="22"/>
  <c r="GT70" i="22"/>
  <c r="GT68" i="22"/>
  <c r="GT71" i="22"/>
  <c r="EB71" i="22"/>
  <c r="EB72" i="22"/>
  <c r="EB73" i="22"/>
  <c r="EB74" i="22"/>
  <c r="EB75" i="22"/>
  <c r="EB76" i="22"/>
  <c r="EB77" i="22"/>
  <c r="EB78" i="22"/>
  <c r="EB69" i="22"/>
  <c r="EB79" i="22"/>
  <c r="EB70" i="22"/>
  <c r="EB68" i="22"/>
  <c r="DY75" i="22"/>
  <c r="DY76" i="22"/>
  <c r="DY77" i="22"/>
  <c r="DY78" i="22"/>
  <c r="DY69" i="22"/>
  <c r="DY79" i="22"/>
  <c r="DY70" i="22"/>
  <c r="DY68" i="22"/>
  <c r="DY71" i="22"/>
  <c r="DY72" i="22"/>
  <c r="DY73" i="22"/>
  <c r="DY74" i="22"/>
  <c r="K176" i="10"/>
  <c r="ED72" i="22"/>
  <c r="ED73" i="22"/>
  <c r="ED74" i="22"/>
  <c r="ED75" i="22"/>
  <c r="ED76" i="22"/>
  <c r="ED77" i="22"/>
  <c r="ED78" i="22"/>
  <c r="ED69" i="22"/>
  <c r="ED79" i="22"/>
  <c r="ED70" i="22"/>
  <c r="ED68" i="22"/>
  <c r="ED71" i="22"/>
  <c r="K81" i="10"/>
  <c r="EA69" i="22"/>
  <c r="EA79" i="22"/>
  <c r="EA70" i="22"/>
  <c r="EA68" i="22"/>
  <c r="EA71" i="22"/>
  <c r="EA72" i="22"/>
  <c r="EA73" i="22"/>
  <c r="EA74" i="22"/>
  <c r="EA75" i="22"/>
  <c r="EA76" i="22"/>
  <c r="EA77" i="22"/>
  <c r="EA78" i="22"/>
  <c r="GV76" i="22"/>
  <c r="GV77" i="22"/>
  <c r="GV78" i="22"/>
  <c r="GV69" i="22"/>
  <c r="GV79" i="22"/>
  <c r="GV70" i="22"/>
  <c r="GV68" i="22"/>
  <c r="GV71" i="22"/>
  <c r="GV72" i="22"/>
  <c r="GV73" i="22"/>
  <c r="GV74" i="22"/>
  <c r="GV75" i="22"/>
  <c r="GX70" i="22"/>
  <c r="GX68" i="22"/>
  <c r="GX71" i="22"/>
  <c r="GX72" i="22"/>
  <c r="GX73" i="22"/>
  <c r="GX74" i="22"/>
  <c r="GX75" i="22"/>
  <c r="GX76" i="22"/>
  <c r="GX77" i="22"/>
  <c r="GX78" i="22"/>
  <c r="GX69" i="22"/>
  <c r="GX79" i="22"/>
  <c r="K99" i="10"/>
  <c r="K100" i="10" s="1"/>
  <c r="J132" i="21" a="1"/>
  <c r="J132" i="21" s="1"/>
  <c r="E160" i="19"/>
  <c r="N116" i="21" s="1" a="1"/>
  <c r="N116" i="21" s="1"/>
  <c r="J118" i="21" a="1"/>
  <c r="J118" i="21" s="1"/>
  <c r="K186" i="10"/>
  <c r="L133" i="21" a="1"/>
  <c r="L133" i="21" s="1"/>
  <c r="G104" i="21" a="1"/>
  <c r="G104" i="21" s="1"/>
  <c r="E135" i="19"/>
  <c r="G102" i="21" s="1" a="1"/>
  <c r="G102" i="21" s="1"/>
  <c r="E143" i="10"/>
  <c r="G106" i="21" s="1" a="1"/>
  <c r="G106" i="21" s="1"/>
  <c r="F143" i="10"/>
  <c r="K138" i="10"/>
  <c r="K156" i="10"/>
  <c r="K159" i="10" s="1"/>
  <c r="J165" i="10"/>
  <c r="J184" i="10"/>
  <c r="E28" i="16"/>
  <c r="K61" i="10"/>
  <c r="K144" i="10"/>
  <c r="J143" i="10"/>
  <c r="K117" i="10"/>
  <c r="D187" i="10"/>
  <c r="AE365" i="27" s="1" a="1"/>
  <c r="AE365" i="27" s="1"/>
  <c r="BM365" i="27" s="1"/>
  <c r="F181" i="10"/>
  <c r="F183" i="10"/>
  <c r="F187" i="10"/>
  <c r="F182" i="10"/>
  <c r="F148" i="10"/>
  <c r="F149" i="10"/>
  <c r="D160" i="10"/>
  <c r="D163" i="10"/>
  <c r="Z320" i="27" s="1" a="1"/>
  <c r="Z320" i="27" s="1"/>
  <c r="BH320" i="27" s="1"/>
  <c r="D167" i="10"/>
  <c r="AD320" i="27" s="1" a="1"/>
  <c r="AD320" i="27" s="1"/>
  <c r="BL320" i="27" s="1"/>
  <c r="D164" i="10"/>
  <c r="AA320" i="27" s="1" a="1"/>
  <c r="AA320" i="27" s="1"/>
  <c r="BI320" i="27" s="1"/>
  <c r="F168" i="10"/>
  <c r="F162" i="10"/>
  <c r="F167" i="10"/>
  <c r="D145" i="10"/>
  <c r="AA275" i="27" s="1" a="1"/>
  <c r="AA275" i="27" s="1"/>
  <c r="BI275" i="27" s="1"/>
  <c r="F164" i="10"/>
  <c r="D149" i="10"/>
  <c r="AE275" i="27" s="1" a="1"/>
  <c r="AE275" i="27" s="1"/>
  <c r="BM275" i="27" s="1"/>
  <c r="D186" i="10"/>
  <c r="AD365" i="27" s="1" a="1"/>
  <c r="AD365" i="27" s="1"/>
  <c r="BL365" i="27" s="1"/>
  <c r="D179" i="10"/>
  <c r="D183" i="10"/>
  <c r="AA365" i="27" s="1" a="1"/>
  <c r="AA365" i="27" s="1"/>
  <c r="BI365" i="27" s="1"/>
  <c r="D182" i="10"/>
  <c r="Z365" i="27" s="1" a="1"/>
  <c r="Z365" i="27" s="1"/>
  <c r="BH365" i="27" s="1"/>
  <c r="D178" i="10"/>
  <c r="BD365" i="27" s="1"/>
  <c r="D181" i="10"/>
  <c r="Y365" i="27" s="1" a="1"/>
  <c r="Y365" i="27" s="1"/>
  <c r="BG365" i="27" s="1"/>
  <c r="D148" i="10"/>
  <c r="AD275" i="27" s="1" a="1"/>
  <c r="AD275" i="27" s="1"/>
  <c r="BL275" i="27" s="1"/>
  <c r="D141" i="10"/>
  <c r="AB275" i="27" a="1"/>
  <c r="AB275" i="27" s="1"/>
  <c r="BJ275" i="27" s="1"/>
  <c r="D140" i="10"/>
  <c r="BD275" i="27" s="1"/>
  <c r="F163" i="10"/>
  <c r="D144" i="10"/>
  <c r="Z275" i="27" s="1" a="1"/>
  <c r="Z275" i="27" s="1"/>
  <c r="BH275" i="27" s="1"/>
  <c r="D162" i="10"/>
  <c r="Y320" i="27" s="1" a="1"/>
  <c r="Y320" i="27" s="1"/>
  <c r="BG320" i="27" s="1"/>
  <c r="D168" i="10"/>
  <c r="AE320" i="27" s="1" a="1"/>
  <c r="AE320" i="27" s="1"/>
  <c r="BM320" i="27" s="1"/>
  <c r="F145" i="10"/>
  <c r="D159" i="10"/>
  <c r="BD320" i="27" s="1"/>
  <c r="K41" i="10"/>
  <c r="HF23" i="3"/>
  <c r="G118" i="10"/>
  <c r="G117" i="10"/>
  <c r="D117" i="10"/>
  <c r="D118" i="10"/>
  <c r="F127" i="10" s="1"/>
  <c r="G99" i="10"/>
  <c r="G98" i="10"/>
  <c r="D99" i="10"/>
  <c r="F108" i="10" s="1"/>
  <c r="D98" i="10"/>
  <c r="D108" i="10" s="1"/>
  <c r="K189" i="10" l="1"/>
  <c r="AB324" i="27"/>
  <c r="BJ324" i="27" s="1"/>
  <c r="AF281" i="27"/>
  <c r="BN281" i="27" s="1"/>
  <c r="AF276" i="27"/>
  <c r="BN276" i="27" s="1"/>
  <c r="AF278" i="27"/>
  <c r="BN278" i="27" s="1"/>
  <c r="E150" i="10"/>
  <c r="N106" i="21" s="1" a="1"/>
  <c r="N106" i="21" s="1"/>
  <c r="AF279" i="27"/>
  <c r="BN279" i="27" s="1"/>
  <c r="N104" i="21" a="1"/>
  <c r="N104" i="21" s="1"/>
  <c r="AB369" i="27"/>
  <c r="BJ369" i="27" s="1"/>
  <c r="AF282" i="27"/>
  <c r="BN282" i="27" s="1"/>
  <c r="J150" i="10"/>
  <c r="E142" i="19"/>
  <c r="N102" i="21" s="1" a="1"/>
  <c r="N102" i="21" s="1"/>
  <c r="J169" i="10"/>
  <c r="E169" i="10"/>
  <c r="N120" i="21" s="1" a="1"/>
  <c r="N120" i="21" s="1"/>
  <c r="AF280" i="27"/>
  <c r="BN280" i="27" s="1"/>
  <c r="N118" i="21" a="1"/>
  <c r="N118" i="21" s="1"/>
  <c r="AF277" i="27"/>
  <c r="BN277" i="27" s="1"/>
  <c r="Z284" i="27"/>
  <c r="BH284" i="27" s="1"/>
  <c r="AF324" i="27"/>
  <c r="BN324" i="27" s="1"/>
  <c r="AB372" i="27"/>
  <c r="BJ372" i="27" s="1"/>
  <c r="AB367" i="27"/>
  <c r="BJ367" i="27" s="1"/>
  <c r="AB368" i="27"/>
  <c r="BJ368" i="27" s="1"/>
  <c r="AB370" i="27"/>
  <c r="BJ370" i="27" s="1"/>
  <c r="AB366" i="27"/>
  <c r="BJ366" i="27" s="1"/>
  <c r="HS78" i="22"/>
  <c r="AB371" i="27"/>
  <c r="BJ371" i="27" s="1"/>
  <c r="AF323" i="27"/>
  <c r="BN323" i="27" s="1"/>
  <c r="E108" i="10"/>
  <c r="E102" i="19"/>
  <c r="AB322" i="27"/>
  <c r="BJ322" i="27" s="1"/>
  <c r="AF322" i="27"/>
  <c r="BN322" i="27" s="1"/>
  <c r="AB323" i="27"/>
  <c r="BJ323" i="27" s="1"/>
  <c r="AB327" i="27"/>
  <c r="BJ327" i="27" s="1"/>
  <c r="AB321" i="27"/>
  <c r="BJ321" i="27" s="1"/>
  <c r="AF325" i="27"/>
  <c r="BN325" i="27" s="1"/>
  <c r="E156" i="19"/>
  <c r="J116" i="21" s="1" a="1"/>
  <c r="J116" i="21" s="1"/>
  <c r="E165" i="10"/>
  <c r="J120" i="21" s="1" a="1"/>
  <c r="J120" i="21" s="1"/>
  <c r="D131" i="10"/>
  <c r="AF230" i="27" s="1" a="1"/>
  <c r="AF230" i="27" s="1"/>
  <c r="BN230" i="27" s="1"/>
  <c r="D127" i="10"/>
  <c r="AB230" i="27" s="1" a="1"/>
  <c r="AB230" i="27" s="1"/>
  <c r="BJ230" i="27" s="1"/>
  <c r="AB326" i="27"/>
  <c r="BJ326" i="27" s="1"/>
  <c r="AB325" i="27"/>
  <c r="BJ325" i="27" s="1"/>
  <c r="AF327" i="27"/>
  <c r="BN327" i="27" s="1"/>
  <c r="AF326" i="27"/>
  <c r="BN326" i="27" s="1"/>
  <c r="E146" i="10"/>
  <c r="J106" i="21" s="1" a="1"/>
  <c r="J106" i="21" s="1"/>
  <c r="E138" i="19"/>
  <c r="J102" i="21" s="1" a="1"/>
  <c r="J102" i="21" s="1"/>
  <c r="AF321" i="27"/>
  <c r="BN321" i="27" s="1"/>
  <c r="Z285" i="27"/>
  <c r="BH285" i="27" s="1"/>
  <c r="Z289" i="27"/>
  <c r="BH289" i="27" s="1"/>
  <c r="HV73" i="22"/>
  <c r="Z290" i="27"/>
  <c r="BH290" i="27" s="1"/>
  <c r="Z288" i="27"/>
  <c r="BH288" i="27" s="1"/>
  <c r="AD378" i="27"/>
  <c r="BL378" i="27" s="1"/>
  <c r="AD379" i="27"/>
  <c r="BL379" i="27" s="1"/>
  <c r="AD375" i="27"/>
  <c r="BL375" i="27" s="1"/>
  <c r="AD374" i="27"/>
  <c r="BL374" i="27" s="1"/>
  <c r="AD377" i="27"/>
  <c r="BL377" i="27" s="1"/>
  <c r="AD376" i="27"/>
  <c r="BL376" i="27" s="1"/>
  <c r="AD380" i="27"/>
  <c r="BL380" i="27" s="1"/>
  <c r="Z286" i="27"/>
  <c r="BH286" i="27" s="1"/>
  <c r="Z287" i="27"/>
  <c r="BH287" i="27" s="1"/>
  <c r="AB328" i="27" a="1"/>
  <c r="AB328" i="27" s="1"/>
  <c r="BJ328" i="27" s="1"/>
  <c r="AA328" i="27" a="1"/>
  <c r="AA328" i="27" s="1"/>
  <c r="BI328" i="27" s="1"/>
  <c r="AD283" i="27" a="1"/>
  <c r="AD283" i="27" s="1"/>
  <c r="BL283" i="27" s="1"/>
  <c r="Z328" i="27" a="1"/>
  <c r="Z328" i="27" s="1"/>
  <c r="BH328" i="27" s="1"/>
  <c r="Y373" i="27" a="1"/>
  <c r="Y373" i="27" s="1"/>
  <c r="BG373" i="27" s="1"/>
  <c r="BD373" i="27"/>
  <c r="AA283" i="27" a="1"/>
  <c r="AA283" i="27" s="1"/>
  <c r="BI283" i="27" s="1"/>
  <c r="Y283" i="27" a="1"/>
  <c r="Y283" i="27" s="1"/>
  <c r="BG283" i="27" s="1"/>
  <c r="AE283" i="27" a="1"/>
  <c r="AE283" i="27" s="1"/>
  <c r="BM283" i="27" s="1"/>
  <c r="AD328" i="27" a="1"/>
  <c r="AD328" i="27" s="1"/>
  <c r="BL328" i="27" s="1"/>
  <c r="Z373" i="27" a="1"/>
  <c r="Z373" i="27" s="1"/>
  <c r="BH373" i="27" s="1"/>
  <c r="AB283" i="27" a="1"/>
  <c r="AB283" i="27" s="1"/>
  <c r="BJ283" i="27" s="1"/>
  <c r="Y328" i="27" a="1"/>
  <c r="Y328" i="27" s="1"/>
  <c r="BG328" i="27" s="1"/>
  <c r="AE373" i="27" a="1"/>
  <c r="AE373" i="27" s="1"/>
  <c r="BM373" i="27" s="1"/>
  <c r="BD283" i="27"/>
  <c r="AE328" i="27" a="1"/>
  <c r="AE328" i="27" s="1"/>
  <c r="BM328" i="27" s="1"/>
  <c r="AB373" i="27" a="1"/>
  <c r="AB373" i="27" s="1"/>
  <c r="BJ373" i="27" s="1"/>
  <c r="AA373" i="27" a="1"/>
  <c r="AA373" i="27" s="1"/>
  <c r="BI373" i="27" s="1"/>
  <c r="HS75" i="22"/>
  <c r="BD285" i="27"/>
  <c r="BD288" i="27"/>
  <c r="AA370" i="27"/>
  <c r="BI370" i="27" s="1"/>
  <c r="AA369" i="27"/>
  <c r="BI369" i="27" s="1"/>
  <c r="AA368" i="27"/>
  <c r="BI368" i="27" s="1"/>
  <c r="AA367" i="27"/>
  <c r="BI367" i="27" s="1"/>
  <c r="AA372" i="27"/>
  <c r="BI372" i="27" s="1"/>
  <c r="AA366" i="27"/>
  <c r="BI366" i="27" s="1"/>
  <c r="AA371" i="27"/>
  <c r="BI371" i="27" s="1"/>
  <c r="Z277" i="27"/>
  <c r="BH277" i="27" s="1"/>
  <c r="Z282" i="27"/>
  <c r="BH282" i="27" s="1"/>
  <c r="Z280" i="27"/>
  <c r="BH280" i="27" s="1"/>
  <c r="Z278" i="27"/>
  <c r="BH278" i="27" s="1"/>
  <c r="Z276" i="27"/>
  <c r="BH276" i="27" s="1"/>
  <c r="Z281" i="27"/>
  <c r="BH281" i="27" s="1"/>
  <c r="Z279" i="27"/>
  <c r="BH279" i="27" s="1"/>
  <c r="AD366" i="27"/>
  <c r="BL366" i="27" s="1"/>
  <c r="AD367" i="27"/>
  <c r="BL367" i="27" s="1"/>
  <c r="AD368" i="27"/>
  <c r="BL368" i="27" s="1"/>
  <c r="AD372" i="27"/>
  <c r="BL372" i="27" s="1"/>
  <c r="AD370" i="27"/>
  <c r="BL370" i="27" s="1"/>
  <c r="AD371" i="27"/>
  <c r="BL371" i="27" s="1"/>
  <c r="AD369" i="27"/>
  <c r="BL369" i="27" s="1"/>
  <c r="AE278" i="27"/>
  <c r="BM278" i="27" s="1"/>
  <c r="AE282" i="27"/>
  <c r="BM282" i="27" s="1"/>
  <c r="AE280" i="27"/>
  <c r="BM280" i="27" s="1"/>
  <c r="AE277" i="27"/>
  <c r="BM277" i="27" s="1"/>
  <c r="AE279" i="27"/>
  <c r="BM279" i="27" s="1"/>
  <c r="AE276" i="27"/>
  <c r="BM276" i="27" s="1"/>
  <c r="AE281" i="27"/>
  <c r="BM281" i="27" s="1"/>
  <c r="BE373" i="27"/>
  <c r="BE320" i="27"/>
  <c r="AD277" i="27"/>
  <c r="BL277" i="27" s="1"/>
  <c r="AD280" i="27"/>
  <c r="BL280" i="27" s="1"/>
  <c r="AD282" i="27"/>
  <c r="BL282" i="27" s="1"/>
  <c r="AD278" i="27"/>
  <c r="BL278" i="27" s="1"/>
  <c r="AD276" i="27"/>
  <c r="BL276" i="27" s="1"/>
  <c r="AD281" i="27"/>
  <c r="BL281" i="27" s="1"/>
  <c r="AD279" i="27"/>
  <c r="BL279" i="27" s="1"/>
  <c r="Y321" i="27"/>
  <c r="BG321" i="27" s="1"/>
  <c r="Y322" i="27"/>
  <c r="BG322" i="27" s="1"/>
  <c r="Y326" i="27"/>
  <c r="BG326" i="27" s="1"/>
  <c r="Y327" i="27"/>
  <c r="BG327" i="27" s="1"/>
  <c r="Y324" i="27"/>
  <c r="BG324" i="27" s="1"/>
  <c r="Y325" i="27"/>
  <c r="BG325" i="27" s="1"/>
  <c r="Y323" i="27"/>
  <c r="BG323" i="27" s="1"/>
  <c r="BD367" i="27"/>
  <c r="BD368" i="27"/>
  <c r="BD366" i="27"/>
  <c r="BD372" i="27"/>
  <c r="BD369" i="27"/>
  <c r="BD370" i="27"/>
  <c r="BD371" i="27"/>
  <c r="BD282" i="27"/>
  <c r="BD276" i="27"/>
  <c r="BD279" i="27"/>
  <c r="BD281" i="27"/>
  <c r="BD278" i="27"/>
  <c r="BD277" i="27"/>
  <c r="BD280" i="27"/>
  <c r="AB276" i="27"/>
  <c r="BJ276" i="27" s="1"/>
  <c r="AB277" i="27"/>
  <c r="BJ277" i="27" s="1"/>
  <c r="AB278" i="27"/>
  <c r="BJ278" i="27" s="1"/>
  <c r="AB280" i="27"/>
  <c r="BJ280" i="27" s="1"/>
  <c r="AB281" i="27"/>
  <c r="BJ281" i="27" s="1"/>
  <c r="AB279" i="27"/>
  <c r="BJ279" i="27" s="1"/>
  <c r="AB282" i="27"/>
  <c r="BJ282" i="27" s="1"/>
  <c r="AE368" i="27"/>
  <c r="BM368" i="27" s="1"/>
  <c r="AE366" i="27"/>
  <c r="BM366" i="27" s="1"/>
  <c r="AE369" i="27"/>
  <c r="BM369" i="27" s="1"/>
  <c r="AE367" i="27"/>
  <c r="BM367" i="27" s="1"/>
  <c r="AE372" i="27"/>
  <c r="BM372" i="27" s="1"/>
  <c r="AE370" i="27"/>
  <c r="BM370" i="27" s="1"/>
  <c r="AE371" i="27"/>
  <c r="BM371" i="27" s="1"/>
  <c r="BD324" i="27"/>
  <c r="BD321" i="27"/>
  <c r="BD323" i="27"/>
  <c r="BD325" i="27"/>
  <c r="BD326" i="27"/>
  <c r="BD327" i="27"/>
  <c r="BD322" i="27"/>
  <c r="BE275" i="27"/>
  <c r="BE283" i="27"/>
  <c r="AE321" i="27"/>
  <c r="BM321" i="27" s="1"/>
  <c r="AE322" i="27"/>
  <c r="BM322" i="27" s="1"/>
  <c r="AE324" i="27"/>
  <c r="BM324" i="27" s="1"/>
  <c r="AE326" i="27"/>
  <c r="BM326" i="27" s="1"/>
  <c r="AE323" i="27"/>
  <c r="BM323" i="27" s="1"/>
  <c r="AE327" i="27"/>
  <c r="BM327" i="27" s="1"/>
  <c r="AE325" i="27"/>
  <c r="BM325" i="27" s="1"/>
  <c r="Y369" i="27"/>
  <c r="BG369" i="27" s="1"/>
  <c r="Y371" i="27"/>
  <c r="BG371" i="27" s="1"/>
  <c r="Y366" i="27"/>
  <c r="BG366" i="27" s="1"/>
  <c r="Y372" i="27"/>
  <c r="BG372" i="27" s="1"/>
  <c r="Y368" i="27"/>
  <c r="BG368" i="27" s="1"/>
  <c r="Y370" i="27"/>
  <c r="BG370" i="27" s="1"/>
  <c r="Y367" i="27"/>
  <c r="BG367" i="27" s="1"/>
  <c r="BE328" i="27"/>
  <c r="BE365" i="27"/>
  <c r="AA327" i="27"/>
  <c r="BI327" i="27" s="1"/>
  <c r="AA321" i="27"/>
  <c r="BI321" i="27" s="1"/>
  <c r="AA322" i="27"/>
  <c r="BI322" i="27" s="1"/>
  <c r="AA323" i="27"/>
  <c r="BI323" i="27" s="1"/>
  <c r="AA326" i="27"/>
  <c r="BI326" i="27" s="1"/>
  <c r="AA325" i="27"/>
  <c r="BI325" i="27" s="1"/>
  <c r="AA324" i="27"/>
  <c r="BI324" i="27" s="1"/>
  <c r="AA281" i="27"/>
  <c r="BI281" i="27" s="1"/>
  <c r="AA282" i="27"/>
  <c r="BI282" i="27" s="1"/>
  <c r="AA276" i="27"/>
  <c r="BI276" i="27" s="1"/>
  <c r="AA280" i="27"/>
  <c r="BI280" i="27" s="1"/>
  <c r="AA277" i="27"/>
  <c r="BI277" i="27" s="1"/>
  <c r="AA278" i="27"/>
  <c r="BI278" i="27" s="1"/>
  <c r="AA279" i="27"/>
  <c r="BI279" i="27" s="1"/>
  <c r="Z366" i="27"/>
  <c r="BH366" i="27" s="1"/>
  <c r="Z370" i="27"/>
  <c r="BH370" i="27" s="1"/>
  <c r="Z368" i="27"/>
  <c r="BH368" i="27" s="1"/>
  <c r="Z372" i="27"/>
  <c r="BH372" i="27" s="1"/>
  <c r="Z369" i="27"/>
  <c r="BH369" i="27" s="1"/>
  <c r="Z371" i="27"/>
  <c r="BH371" i="27" s="1"/>
  <c r="Z367" i="27"/>
  <c r="BH367" i="27" s="1"/>
  <c r="AD325" i="27"/>
  <c r="BL325" i="27" s="1"/>
  <c r="AD321" i="27"/>
  <c r="BL321" i="27" s="1"/>
  <c r="AD322" i="27"/>
  <c r="BL322" i="27" s="1"/>
  <c r="AD327" i="27"/>
  <c r="BL327" i="27" s="1"/>
  <c r="AD324" i="27"/>
  <c r="BL324" i="27" s="1"/>
  <c r="AD323" i="27"/>
  <c r="BL323" i="27" s="1"/>
  <c r="AD326" i="27"/>
  <c r="BL326" i="27" s="1"/>
  <c r="Z326" i="27"/>
  <c r="BH326" i="27" s="1"/>
  <c r="Z327" i="27"/>
  <c r="BH327" i="27" s="1"/>
  <c r="Z325" i="27"/>
  <c r="BH325" i="27" s="1"/>
  <c r="Z321" i="27"/>
  <c r="BH321" i="27" s="1"/>
  <c r="Z323" i="27"/>
  <c r="BH323" i="27" s="1"/>
  <c r="Z324" i="27"/>
  <c r="BH324" i="27" s="1"/>
  <c r="Z322" i="27"/>
  <c r="BH322" i="27" s="1"/>
  <c r="AG378" i="27"/>
  <c r="BO378" i="27" s="1"/>
  <c r="AG374" i="27"/>
  <c r="BO374" i="27" s="1"/>
  <c r="AG379" i="27"/>
  <c r="BO379" i="27" s="1"/>
  <c r="AG376" i="27"/>
  <c r="BO376" i="27" s="1"/>
  <c r="AG375" i="27"/>
  <c r="BO375" i="27" s="1"/>
  <c r="AG377" i="27"/>
  <c r="BO377" i="27" s="1"/>
  <c r="AG380" i="27"/>
  <c r="BO380" i="27" s="1"/>
  <c r="G165" i="10"/>
  <c r="G143" i="10"/>
  <c r="E119" i="21" a="1"/>
  <c r="E119" i="21" s="1"/>
  <c r="L119" i="21" a="1"/>
  <c r="L119" i="21" s="1"/>
  <c r="G119" i="21" a="1"/>
  <c r="G119" i="21" s="1"/>
  <c r="M119" i="21" a="1"/>
  <c r="M119" i="21" s="1"/>
  <c r="G184" i="10"/>
  <c r="HS73" i="22"/>
  <c r="HV74" i="22"/>
  <c r="HV71" i="22"/>
  <c r="HV70" i="22"/>
  <c r="HV78" i="22"/>
  <c r="HV69" i="22"/>
  <c r="HS76" i="22"/>
  <c r="HS72" i="22"/>
  <c r="HV68" i="22"/>
  <c r="HX68" i="22"/>
  <c r="HX71" i="22"/>
  <c r="HX70" i="22"/>
  <c r="GS70" i="22"/>
  <c r="HU70" i="22" s="1"/>
  <c r="GS68" i="22"/>
  <c r="HU68" i="22" s="1"/>
  <c r="GS71" i="22"/>
  <c r="HU71" i="22" s="1"/>
  <c r="GS72" i="22"/>
  <c r="HU72" i="22" s="1"/>
  <c r="GS73" i="22"/>
  <c r="HU73" i="22" s="1"/>
  <c r="GS74" i="22"/>
  <c r="HU74" i="22" s="1"/>
  <c r="GS75" i="22"/>
  <c r="HU75" i="22" s="1"/>
  <c r="GS76" i="22"/>
  <c r="HU76" i="22" s="1"/>
  <c r="GS77" i="22"/>
  <c r="HU77" i="22" s="1"/>
  <c r="GS78" i="22"/>
  <c r="HU78" i="22" s="1"/>
  <c r="GS69" i="22"/>
  <c r="HU69" i="22" s="1"/>
  <c r="GS79" i="22"/>
  <c r="HU79" i="22" s="1"/>
  <c r="K62" i="10"/>
  <c r="GZ74" i="22"/>
  <c r="HQ74" i="22" s="1"/>
  <c r="GZ75" i="22"/>
  <c r="HQ75" i="22" s="1"/>
  <c r="GZ76" i="22"/>
  <c r="HQ76" i="22" s="1"/>
  <c r="GZ77" i="22"/>
  <c r="HQ77" i="22" s="1"/>
  <c r="GZ78" i="22"/>
  <c r="HQ78" i="22" s="1"/>
  <c r="GZ69" i="22"/>
  <c r="HQ69" i="22" s="1"/>
  <c r="GZ79" i="22"/>
  <c r="HQ79" i="22" s="1"/>
  <c r="GZ70" i="22"/>
  <c r="HQ70" i="22" s="1"/>
  <c r="GZ68" i="22"/>
  <c r="HQ68" i="22" s="1"/>
  <c r="GZ71" i="22"/>
  <c r="HQ71" i="22" s="1"/>
  <c r="GZ72" i="22"/>
  <c r="HQ72" i="22" s="1"/>
  <c r="GZ73" i="22"/>
  <c r="HQ73" i="22" s="1"/>
  <c r="HV79" i="22"/>
  <c r="HS71" i="22"/>
  <c r="HS68" i="22"/>
  <c r="HS70" i="22"/>
  <c r="HV77" i="22"/>
  <c r="HX77" i="22"/>
  <c r="HS79" i="22"/>
  <c r="HV76" i="22"/>
  <c r="HX78" i="22"/>
  <c r="HX76" i="22"/>
  <c r="HV72" i="22"/>
  <c r="HS77" i="22"/>
  <c r="HS69" i="22"/>
  <c r="HV75" i="22"/>
  <c r="HX73" i="22"/>
  <c r="HX75" i="22"/>
  <c r="DZ76" i="22"/>
  <c r="HR76" i="22" s="1"/>
  <c r="DZ78" i="22"/>
  <c r="HR78" i="22" s="1"/>
  <c r="DZ77" i="22"/>
  <c r="HR77" i="22" s="1"/>
  <c r="DZ79" i="22"/>
  <c r="HR79" i="22" s="1"/>
  <c r="DZ69" i="22"/>
  <c r="HR69" i="22" s="1"/>
  <c r="DZ68" i="22"/>
  <c r="DZ70" i="22"/>
  <c r="HR70" i="22" s="1"/>
  <c r="DZ71" i="22"/>
  <c r="HR71" i="22" s="1"/>
  <c r="DZ72" i="22"/>
  <c r="HR72" i="22" s="1"/>
  <c r="DZ73" i="22"/>
  <c r="HR73" i="22" s="1"/>
  <c r="DZ74" i="22"/>
  <c r="HR74" i="22" s="1"/>
  <c r="DZ75" i="22"/>
  <c r="HR75" i="22" s="1"/>
  <c r="K119" i="10"/>
  <c r="EG76" i="22"/>
  <c r="HY76" i="22" s="1"/>
  <c r="EG77" i="22"/>
  <c r="HY77" i="22" s="1"/>
  <c r="EG78" i="22"/>
  <c r="HY78" i="22" s="1"/>
  <c r="EG69" i="22"/>
  <c r="HY69" i="22" s="1"/>
  <c r="EG79" i="22"/>
  <c r="HY79" i="22" s="1"/>
  <c r="EG70" i="22"/>
  <c r="HY70" i="22" s="1"/>
  <c r="EG68" i="22"/>
  <c r="HY68" i="22" s="1"/>
  <c r="EG71" i="22"/>
  <c r="EG72" i="22"/>
  <c r="HY72" i="22" s="1"/>
  <c r="EG73" i="22"/>
  <c r="HY73" i="22" s="1"/>
  <c r="EG74" i="22"/>
  <c r="HY74" i="22" s="1"/>
  <c r="EG75" i="22"/>
  <c r="HY75" i="22" s="1"/>
  <c r="K157" i="10"/>
  <c r="GU74" i="22"/>
  <c r="HT74" i="22" s="1"/>
  <c r="GU75" i="22"/>
  <c r="GU76" i="22"/>
  <c r="HT76" i="22" s="1"/>
  <c r="GU77" i="22"/>
  <c r="HT77" i="22" s="1"/>
  <c r="GU78" i="22"/>
  <c r="HT78" i="22" s="1"/>
  <c r="GU69" i="22"/>
  <c r="HT69" i="22" s="1"/>
  <c r="GU79" i="22"/>
  <c r="HT79" i="22" s="1"/>
  <c r="GU70" i="22"/>
  <c r="HT70" i="22" s="1"/>
  <c r="GU68" i="22"/>
  <c r="HT68" i="22" s="1"/>
  <c r="GU71" i="22"/>
  <c r="HT71" i="22" s="1"/>
  <c r="GU72" i="22"/>
  <c r="HT72" i="22" s="1"/>
  <c r="GU73" i="22"/>
  <c r="HT73" i="22" s="1"/>
  <c r="HS74" i="22"/>
  <c r="HX72" i="22"/>
  <c r="K140" i="10"/>
  <c r="D105" i="21" a="1"/>
  <c r="D105" i="21" s="1"/>
  <c r="J183" i="10"/>
  <c r="I132" i="21" a="1"/>
  <c r="I132" i="21" s="1"/>
  <c r="E183" i="10"/>
  <c r="I134" i="21" s="1" a="1"/>
  <c r="I134" i="21" s="1"/>
  <c r="G183" i="10"/>
  <c r="E173" i="19"/>
  <c r="I130" i="21" s="1" a="1"/>
  <c r="I130" i="21" s="1"/>
  <c r="K163" i="10"/>
  <c r="H119" i="21" a="1"/>
  <c r="H119" i="21" s="1"/>
  <c r="J186" i="10"/>
  <c r="L132" i="21" a="1"/>
  <c r="L132" i="21" s="1"/>
  <c r="E186" i="10"/>
  <c r="L134" i="21" s="1" a="1"/>
  <c r="L134" i="21" s="1"/>
  <c r="E176" i="19"/>
  <c r="L130" i="21" s="1" a="1"/>
  <c r="L130" i="21" s="1"/>
  <c r="G186" i="10"/>
  <c r="J167" i="10"/>
  <c r="L118" i="21" a="1"/>
  <c r="L118" i="21" s="1"/>
  <c r="E158" i="19"/>
  <c r="L116" i="21" s="1" a="1"/>
  <c r="L116" i="21" s="1"/>
  <c r="G167" i="10"/>
  <c r="E167" i="10"/>
  <c r="L120" i="21" s="1" a="1"/>
  <c r="L120" i="21" s="1"/>
  <c r="K181" i="10"/>
  <c r="G133" i="21" a="1"/>
  <c r="G133" i="21" s="1"/>
  <c r="K179" i="10"/>
  <c r="E133" i="21" a="1"/>
  <c r="E133" i="21" s="1"/>
  <c r="J146" i="10"/>
  <c r="J104" i="21" a="1"/>
  <c r="J104" i="21" s="1"/>
  <c r="G146" i="10"/>
  <c r="K165" i="10"/>
  <c r="J119" i="21" a="1"/>
  <c r="J119" i="21" s="1"/>
  <c r="J160" i="10"/>
  <c r="E118" i="21" a="1"/>
  <c r="E118" i="21" s="1"/>
  <c r="E151" i="19"/>
  <c r="E160" i="10"/>
  <c r="G160" i="10"/>
  <c r="J187" i="10"/>
  <c r="M132" i="21" a="1"/>
  <c r="M132" i="21" s="1"/>
  <c r="G187" i="10"/>
  <c r="E187" i="10"/>
  <c r="M134" i="21" s="1" a="1"/>
  <c r="M134" i="21" s="1"/>
  <c r="E177" i="19"/>
  <c r="M130" i="21" s="1" a="1"/>
  <c r="M130" i="21" s="1"/>
  <c r="K145" i="10"/>
  <c r="I105" i="21" a="1"/>
  <c r="I105" i="21" s="1"/>
  <c r="J148" i="10"/>
  <c r="L104" i="21" a="1"/>
  <c r="L104" i="21" s="1"/>
  <c r="E148" i="10"/>
  <c r="L106" i="21" s="1" a="1"/>
  <c r="L106" i="21" s="1"/>
  <c r="G148" i="10"/>
  <c r="E140" i="19"/>
  <c r="L102" i="21" s="1" a="1"/>
  <c r="L102" i="21" s="1"/>
  <c r="J145" i="10"/>
  <c r="I104" i="21" a="1"/>
  <c r="I104" i="21" s="1"/>
  <c r="E145" i="10"/>
  <c r="I106" i="21" s="1" a="1"/>
  <c r="I106" i="21" s="1"/>
  <c r="E137" i="19"/>
  <c r="I102" i="21" s="1" a="1"/>
  <c r="I102" i="21" s="1"/>
  <c r="G145" i="10"/>
  <c r="J178" i="10"/>
  <c r="D132" i="21" a="1"/>
  <c r="D132" i="21" s="1"/>
  <c r="E168" i="19"/>
  <c r="G178" i="10"/>
  <c r="E178" i="10"/>
  <c r="K182" i="10"/>
  <c r="H133" i="21" a="1"/>
  <c r="H133" i="21" s="1"/>
  <c r="J140" i="10"/>
  <c r="D104" i="21" a="1"/>
  <c r="D104" i="21" s="1"/>
  <c r="G140" i="10"/>
  <c r="E132" i="19"/>
  <c r="E140" i="10"/>
  <c r="J149" i="10"/>
  <c r="M104" i="21" a="1"/>
  <c r="M104" i="21" s="1"/>
  <c r="E149" i="10"/>
  <c r="M106" i="21" s="1" a="1"/>
  <c r="M106" i="21" s="1"/>
  <c r="E141" i="19"/>
  <c r="M102" i="21" s="1" a="1"/>
  <c r="M102" i="21" s="1"/>
  <c r="G149" i="10"/>
  <c r="J163" i="10"/>
  <c r="H118" i="21" a="1"/>
  <c r="H118" i="21" s="1"/>
  <c r="G163" i="10"/>
  <c r="E154" i="19"/>
  <c r="H116" i="21" s="1" a="1"/>
  <c r="H116" i="21" s="1"/>
  <c r="E163" i="10"/>
  <c r="H120" i="21" s="1" a="1"/>
  <c r="H120" i="21" s="1"/>
  <c r="K178" i="10"/>
  <c r="D133" i="21" a="1"/>
  <c r="D133" i="21" s="1"/>
  <c r="J159" i="10"/>
  <c r="D118" i="21" a="1"/>
  <c r="D118" i="21" s="1"/>
  <c r="E159" i="10"/>
  <c r="G159" i="10"/>
  <c r="E150" i="19"/>
  <c r="J141" i="10"/>
  <c r="E104" i="21" a="1"/>
  <c r="E104" i="21" s="1"/>
  <c r="G141" i="10"/>
  <c r="E141" i="10"/>
  <c r="E133" i="19"/>
  <c r="K164" i="10"/>
  <c r="I119" i="21" a="1"/>
  <c r="I119" i="21" s="1"/>
  <c r="K141" i="10"/>
  <c r="E105" i="21" a="1"/>
  <c r="E105" i="21" s="1"/>
  <c r="K149" i="10"/>
  <c r="M105" i="21" a="1"/>
  <c r="M105" i="21" s="1"/>
  <c r="J168" i="10"/>
  <c r="M118" i="21" a="1"/>
  <c r="M118" i="21" s="1"/>
  <c r="E168" i="10"/>
  <c r="M120" i="21" s="1" a="1"/>
  <c r="M120" i="21" s="1"/>
  <c r="G168" i="10"/>
  <c r="E159" i="19"/>
  <c r="M116" i="21" s="1" a="1"/>
  <c r="M116" i="21" s="1"/>
  <c r="J181" i="10"/>
  <c r="G132" i="21" a="1"/>
  <c r="G132" i="21" s="1"/>
  <c r="G181" i="10"/>
  <c r="E171" i="19"/>
  <c r="G130" i="21" s="1" a="1"/>
  <c r="G130" i="21" s="1"/>
  <c r="E181" i="10"/>
  <c r="K148" i="10"/>
  <c r="L105" i="21" a="1"/>
  <c r="L105" i="21" s="1"/>
  <c r="J162" i="10"/>
  <c r="G118" i="21" a="1"/>
  <c r="G118" i="21" s="1"/>
  <c r="G162" i="10"/>
  <c r="E153" i="19"/>
  <c r="G116" i="21" s="1" a="1"/>
  <c r="G116" i="21" s="1"/>
  <c r="E162" i="10"/>
  <c r="G120" i="21" s="1" a="1"/>
  <c r="G120" i="21" s="1"/>
  <c r="K143" i="10"/>
  <c r="G105" i="21" a="1"/>
  <c r="G105" i="21" s="1"/>
  <c r="E124" i="19"/>
  <c r="N88" i="21" s="1" a="1"/>
  <c r="N88" i="21" s="1"/>
  <c r="K146" i="10"/>
  <c r="J105" i="21" a="1"/>
  <c r="J105" i="21" s="1"/>
  <c r="J182" i="10"/>
  <c r="H132" i="21" a="1"/>
  <c r="H132" i="21" s="1"/>
  <c r="G182" i="10"/>
  <c r="E172" i="19"/>
  <c r="H130" i="21" s="1" a="1"/>
  <c r="H130" i="21" s="1"/>
  <c r="E182" i="10"/>
  <c r="H134" i="21" s="1" a="1"/>
  <c r="H134" i="21" s="1"/>
  <c r="K187" i="10"/>
  <c r="M133" i="21" a="1"/>
  <c r="M133" i="21" s="1"/>
  <c r="K184" i="10"/>
  <c r="J133" i="21" a="1"/>
  <c r="J133" i="21" s="1"/>
  <c r="J144" i="10"/>
  <c r="H104" i="21" a="1"/>
  <c r="H104" i="21" s="1"/>
  <c r="E136" i="19"/>
  <c r="H102" i="21" s="1" a="1"/>
  <c r="H102" i="21" s="1"/>
  <c r="G144" i="10"/>
  <c r="E144" i="10"/>
  <c r="H106" i="21" s="1" a="1"/>
  <c r="H106" i="21" s="1"/>
  <c r="J179" i="10"/>
  <c r="E132" i="21" a="1"/>
  <c r="E132" i="21" s="1"/>
  <c r="E169" i="19"/>
  <c r="G179" i="10"/>
  <c r="E179" i="10"/>
  <c r="J164" i="10"/>
  <c r="I118" i="21" a="1"/>
  <c r="I118" i="21" s="1"/>
  <c r="G164" i="10"/>
  <c r="E155" i="19"/>
  <c r="I116" i="21" s="1" a="1"/>
  <c r="I116" i="21" s="1"/>
  <c r="E164" i="10"/>
  <c r="I120" i="21" s="1" a="1"/>
  <c r="I120" i="21" s="1"/>
  <c r="K183" i="10"/>
  <c r="I133" i="21" a="1"/>
  <c r="I133" i="21" s="1"/>
  <c r="K160" i="10"/>
  <c r="K168" i="10"/>
  <c r="K167" i="10"/>
  <c r="K162" i="10"/>
  <c r="F107" i="10"/>
  <c r="F106" i="10"/>
  <c r="F110" i="10"/>
  <c r="F111" i="10"/>
  <c r="F105" i="10"/>
  <c r="AB185" i="27" a="1"/>
  <c r="AB185" i="27" s="1"/>
  <c r="BJ185" i="27" s="1"/>
  <c r="D107" i="10"/>
  <c r="AA185" i="27" s="1" a="1"/>
  <c r="AA185" i="27" s="1"/>
  <c r="BI185" i="27" s="1"/>
  <c r="D103" i="10"/>
  <c r="D111" i="10"/>
  <c r="AE185" i="27" s="1" a="1"/>
  <c r="AE185" i="27" s="1"/>
  <c r="BM185" i="27" s="1"/>
  <c r="D102" i="10"/>
  <c r="BD185" i="27" s="1"/>
  <c r="D110" i="10"/>
  <c r="AD185" i="27" s="1" a="1"/>
  <c r="AD185" i="27" s="1"/>
  <c r="BL185" i="27" s="1"/>
  <c r="D106" i="10"/>
  <c r="Z185" i="27" s="1" a="1"/>
  <c r="Z185" i="27" s="1"/>
  <c r="BH185" i="27" s="1"/>
  <c r="D105" i="10"/>
  <c r="Y185" i="27" s="1" a="1"/>
  <c r="Y185" i="27" s="1"/>
  <c r="BG185" i="27" s="1"/>
  <c r="D130" i="10"/>
  <c r="AE230" i="27" s="1" a="1"/>
  <c r="AE230" i="27" s="1"/>
  <c r="BM230" i="27" s="1"/>
  <c r="D124" i="10"/>
  <c r="Y230" i="27" s="1" a="1"/>
  <c r="Y230" i="27" s="1"/>
  <c r="BG230" i="27" s="1"/>
  <c r="D125" i="10"/>
  <c r="Z230" i="27" s="1" a="1"/>
  <c r="Z230" i="27" s="1"/>
  <c r="BH230" i="27" s="1"/>
  <c r="D126" i="10"/>
  <c r="AA230" i="27" s="1" a="1"/>
  <c r="AA230" i="27" s="1"/>
  <c r="BI230" i="27" s="1"/>
  <c r="D122" i="10"/>
  <c r="D121" i="10"/>
  <c r="D129" i="10"/>
  <c r="AD230" i="27" s="1" a="1"/>
  <c r="AD230" i="27" s="1"/>
  <c r="BL230" i="27" s="1"/>
  <c r="F126" i="10"/>
  <c r="F125" i="10"/>
  <c r="F130" i="10"/>
  <c r="F129" i="10"/>
  <c r="F124" i="10"/>
  <c r="G80" i="10"/>
  <c r="G79" i="10"/>
  <c r="D87" i="10" s="1"/>
  <c r="D80" i="10"/>
  <c r="F89" i="10" s="1"/>
  <c r="D79" i="10"/>
  <c r="D89" i="10" s="1"/>
  <c r="G61" i="10"/>
  <c r="G60" i="10"/>
  <c r="D61" i="10"/>
  <c r="D60" i="10"/>
  <c r="D70" i="10" s="1"/>
  <c r="G42" i="10"/>
  <c r="F49" i="10" s="1"/>
  <c r="G41" i="10"/>
  <c r="D42" i="10"/>
  <c r="D41" i="10"/>
  <c r="J131" i="10" l="1"/>
  <c r="E131" i="10"/>
  <c r="N92" i="21" s="1" a="1"/>
  <c r="N92" i="21" s="1"/>
  <c r="N90" i="21" a="1"/>
  <c r="N90" i="21" s="1"/>
  <c r="AF231" i="27"/>
  <c r="BN231" i="27" s="1"/>
  <c r="AF237" i="27"/>
  <c r="BN237" i="27" s="1"/>
  <c r="AF234" i="27"/>
  <c r="BN234" i="27" s="1"/>
  <c r="AF232" i="27"/>
  <c r="BN232" i="27" s="1"/>
  <c r="AF233" i="27"/>
  <c r="BN233" i="27" s="1"/>
  <c r="E84" i="19"/>
  <c r="E89" i="10"/>
  <c r="D47" i="10"/>
  <c r="BF50" i="27" s="1"/>
  <c r="D52" i="10"/>
  <c r="D51" i="10"/>
  <c r="AB50" i="27" s="1" a="1"/>
  <c r="AB50" i="27" s="1"/>
  <c r="BJ50" i="27" s="1"/>
  <c r="E66" i="19"/>
  <c r="E70" i="10"/>
  <c r="F52" i="10"/>
  <c r="F51" i="10"/>
  <c r="AF236" i="27"/>
  <c r="BN236" i="27" s="1"/>
  <c r="E120" i="19"/>
  <c r="J88" i="21" s="1" a="1"/>
  <c r="J88" i="21" s="1"/>
  <c r="E127" i="10"/>
  <c r="J92" i="21" s="1" a="1"/>
  <c r="J92" i="21" s="1"/>
  <c r="F74" i="10"/>
  <c r="AF103" i="27" s="1" a="1"/>
  <c r="AF103" i="27" s="1"/>
  <c r="BN103" i="27" s="1"/>
  <c r="F70" i="10"/>
  <c r="AF235" i="27"/>
  <c r="BN235" i="27" s="1"/>
  <c r="AB332" i="27"/>
  <c r="BJ332" i="27" s="1"/>
  <c r="AD334" i="27"/>
  <c r="BL334" i="27" s="1"/>
  <c r="AB333" i="27"/>
  <c r="BJ333" i="27" s="1"/>
  <c r="AB331" i="27"/>
  <c r="BJ331" i="27" s="1"/>
  <c r="AD290" i="27"/>
  <c r="BL290" i="27" s="1"/>
  <c r="AB329" i="27"/>
  <c r="BJ329" i="27" s="1"/>
  <c r="AB334" i="27"/>
  <c r="BJ334" i="27" s="1"/>
  <c r="AA334" i="27"/>
  <c r="BI334" i="27" s="1"/>
  <c r="AB284" i="27"/>
  <c r="BJ284" i="27" s="1"/>
  <c r="Y333" i="27"/>
  <c r="BG333" i="27" s="1"/>
  <c r="Y330" i="27"/>
  <c r="BG330" i="27" s="1"/>
  <c r="Y332" i="27"/>
  <c r="BG332" i="27" s="1"/>
  <c r="Y329" i="27"/>
  <c r="BG329" i="27" s="1"/>
  <c r="AA332" i="27"/>
  <c r="BI332" i="27" s="1"/>
  <c r="AA331" i="27"/>
  <c r="BI331" i="27" s="1"/>
  <c r="Y335" i="27"/>
  <c r="BG335" i="27" s="1"/>
  <c r="AA330" i="27"/>
  <c r="BI330" i="27" s="1"/>
  <c r="AD286" i="27"/>
  <c r="BL286" i="27" s="1"/>
  <c r="AD287" i="27"/>
  <c r="BL287" i="27" s="1"/>
  <c r="Y286" i="27"/>
  <c r="BG286" i="27" s="1"/>
  <c r="Y284" i="27"/>
  <c r="BG284" i="27" s="1"/>
  <c r="Y289" i="27"/>
  <c r="BG289" i="27" s="1"/>
  <c r="AE289" i="27"/>
  <c r="BM289" i="27" s="1"/>
  <c r="Y374" i="27"/>
  <c r="BG374" i="27" s="1"/>
  <c r="AA378" i="27"/>
  <c r="BI378" i="27" s="1"/>
  <c r="AE378" i="27"/>
  <c r="BM378" i="27" s="1"/>
  <c r="AD284" i="27"/>
  <c r="BL284" i="27" s="1"/>
  <c r="Y288" i="27"/>
  <c r="BG288" i="27" s="1"/>
  <c r="AA329" i="27"/>
  <c r="BI329" i="27" s="1"/>
  <c r="AE290" i="27"/>
  <c r="BM290" i="27" s="1"/>
  <c r="AE375" i="27"/>
  <c r="BM375" i="27" s="1"/>
  <c r="AD288" i="27"/>
  <c r="BL288" i="27" s="1"/>
  <c r="Y287" i="27"/>
  <c r="BG287" i="27" s="1"/>
  <c r="AA333" i="27"/>
  <c r="BI333" i="27" s="1"/>
  <c r="AE288" i="27"/>
  <c r="BM288" i="27" s="1"/>
  <c r="AE376" i="27"/>
  <c r="BM376" i="27" s="1"/>
  <c r="Y331" i="27"/>
  <c r="BG331" i="27" s="1"/>
  <c r="AD285" i="27"/>
  <c r="BL285" i="27" s="1"/>
  <c r="Y285" i="27"/>
  <c r="BG285" i="27" s="1"/>
  <c r="Z374" i="27"/>
  <c r="BH374" i="27" s="1"/>
  <c r="AB330" i="27"/>
  <c r="BJ330" i="27" s="1"/>
  <c r="Y334" i="27"/>
  <c r="BG334" i="27" s="1"/>
  <c r="Y290" i="27"/>
  <c r="BG290" i="27" s="1"/>
  <c r="AD331" i="27"/>
  <c r="BL331" i="27" s="1"/>
  <c r="AB335" i="27"/>
  <c r="BJ335" i="27" s="1"/>
  <c r="Z331" i="27"/>
  <c r="BH331" i="27" s="1"/>
  <c r="Y379" i="27"/>
  <c r="BG379" i="27" s="1"/>
  <c r="Z329" i="27"/>
  <c r="BH329" i="27" s="1"/>
  <c r="Z333" i="27"/>
  <c r="BH333" i="27" s="1"/>
  <c r="Z332" i="27"/>
  <c r="BH332" i="27" s="1"/>
  <c r="AE287" i="27"/>
  <c r="BM287" i="27" s="1"/>
  <c r="Z334" i="27"/>
  <c r="BH334" i="27" s="1"/>
  <c r="AE330" i="27"/>
  <c r="BM330" i="27" s="1"/>
  <c r="AE379" i="27"/>
  <c r="BM379" i="27" s="1"/>
  <c r="AD289" i="27"/>
  <c r="BL289" i="27" s="1"/>
  <c r="AA335" i="27"/>
  <c r="BI335" i="27" s="1"/>
  <c r="AE285" i="27"/>
  <c r="BM285" i="27" s="1"/>
  <c r="Z335" i="27"/>
  <c r="BH335" i="27" s="1"/>
  <c r="AE377" i="27"/>
  <c r="BM377" i="27" s="1"/>
  <c r="Z375" i="27"/>
  <c r="BH375" i="27" s="1"/>
  <c r="AE284" i="27"/>
  <c r="BM284" i="27" s="1"/>
  <c r="Z330" i="27"/>
  <c r="BH330" i="27" s="1"/>
  <c r="AE374" i="27"/>
  <c r="BM374" i="27" s="1"/>
  <c r="Z238" i="27" a="1"/>
  <c r="Z238" i="27" s="1"/>
  <c r="BH238" i="27" s="1"/>
  <c r="AE193" i="27" a="1"/>
  <c r="AE193" i="27" s="1"/>
  <c r="BM193" i="27" s="1"/>
  <c r="Z319" i="27" a="1"/>
  <c r="Z319" i="27" s="1"/>
  <c r="BH319" i="27" s="1"/>
  <c r="BD274" i="27"/>
  <c r="AA274" i="27" a="1"/>
  <c r="AA274" i="27" s="1"/>
  <c r="BI274" i="27" s="1"/>
  <c r="AD193" i="27" a="1"/>
  <c r="AD193" i="27" s="1"/>
  <c r="BL193" i="27" s="1"/>
  <c r="Y238" i="27" a="1"/>
  <c r="Y238" i="27" s="1"/>
  <c r="BG238" i="27" s="1"/>
  <c r="AA193" i="27" a="1"/>
  <c r="AA193" i="27" s="1"/>
  <c r="BI193" i="27" s="1"/>
  <c r="Z274" i="27" a="1"/>
  <c r="Z274" i="27" s="1"/>
  <c r="BH274" i="27" s="1"/>
  <c r="Z364" i="27" a="1"/>
  <c r="Z364" i="27" s="1"/>
  <c r="BH364" i="27" s="1"/>
  <c r="AE274" i="27" a="1"/>
  <c r="AE274" i="27" s="1"/>
  <c r="BM274" i="27" s="1"/>
  <c r="AB319" i="27" a="1"/>
  <c r="AB319" i="27" s="1"/>
  <c r="BJ319" i="27" s="1"/>
  <c r="BD379" i="27"/>
  <c r="Y375" i="27"/>
  <c r="BG375" i="27" s="1"/>
  <c r="AA374" i="27"/>
  <c r="BI374" i="27" s="1"/>
  <c r="AB375" i="27"/>
  <c r="BJ375" i="27" s="1"/>
  <c r="AA287" i="27"/>
  <c r="BI287" i="27" s="1"/>
  <c r="AB285" i="27"/>
  <c r="BJ285" i="27" s="1"/>
  <c r="Z380" i="27"/>
  <c r="BH380" i="27" s="1"/>
  <c r="AE332" i="27"/>
  <c r="BM332" i="27" s="1"/>
  <c r="BD287" i="27"/>
  <c r="AE364" i="27" a="1"/>
  <c r="AE364" i="27" s="1"/>
  <c r="BM364" i="27" s="1"/>
  <c r="AD238" i="27" a="1"/>
  <c r="AD238" i="27" s="1"/>
  <c r="BL238" i="27" s="1"/>
  <c r="AE238" i="27" a="1"/>
  <c r="AE238" i="27" s="1"/>
  <c r="BM238" i="27" s="1"/>
  <c r="BE319" i="27"/>
  <c r="AB364" i="27" a="1"/>
  <c r="AB364" i="27" s="1"/>
  <c r="BJ364" i="27" s="1"/>
  <c r="BD376" i="27"/>
  <c r="Y377" i="27"/>
  <c r="BG377" i="27" s="1"/>
  <c r="AA376" i="27"/>
  <c r="BI376" i="27" s="1"/>
  <c r="AB377" i="27"/>
  <c r="BJ377" i="27" s="1"/>
  <c r="AB287" i="27"/>
  <c r="BJ287" i="27" s="1"/>
  <c r="AD329" i="27"/>
  <c r="BL329" i="27" s="1"/>
  <c r="BD289" i="27"/>
  <c r="AD319" i="27" a="1"/>
  <c r="AD319" i="27" s="1"/>
  <c r="BL319" i="27" s="1"/>
  <c r="AB378" i="27"/>
  <c r="BJ378" i="27" s="1"/>
  <c r="BD286" i="27"/>
  <c r="BD193" i="27"/>
  <c r="AA375" i="27"/>
  <c r="BI375" i="27" s="1"/>
  <c r="AA289" i="27"/>
  <c r="BI289" i="27" s="1"/>
  <c r="Z378" i="27"/>
  <c r="BH378" i="27" s="1"/>
  <c r="AD332" i="27"/>
  <c r="BL332" i="27" s="1"/>
  <c r="AE331" i="27"/>
  <c r="BM331" i="27" s="1"/>
  <c r="AB238" i="27" a="1"/>
  <c r="AB238" i="27" s="1"/>
  <c r="BJ238" i="27" s="1"/>
  <c r="AB193" i="27" a="1"/>
  <c r="AB193" i="27" s="1"/>
  <c r="BJ193" i="27" s="1"/>
  <c r="AA319" i="27" a="1"/>
  <c r="AA319" i="27" s="1"/>
  <c r="BI319" i="27" s="1"/>
  <c r="BD378" i="27"/>
  <c r="AA290" i="27"/>
  <c r="BI290" i="27" s="1"/>
  <c r="Y319" i="27" a="1"/>
  <c r="Y319" i="27" s="1"/>
  <c r="BG319" i="27" s="1"/>
  <c r="BD284" i="27"/>
  <c r="AE319" i="27" a="1"/>
  <c r="AE319" i="27" s="1"/>
  <c r="BM319" i="27" s="1"/>
  <c r="BD364" i="27"/>
  <c r="AD274" i="27" a="1"/>
  <c r="AD274" i="27" s="1"/>
  <c r="BL274" i="27" s="1"/>
  <c r="AA364" i="27" a="1"/>
  <c r="AA364" i="27" s="1"/>
  <c r="BI364" i="27" s="1"/>
  <c r="BD377" i="27"/>
  <c r="Y378" i="27"/>
  <c r="BG378" i="27" s="1"/>
  <c r="AB379" i="27"/>
  <c r="BJ379" i="27" s="1"/>
  <c r="AB288" i="27"/>
  <c r="BJ288" i="27" s="1"/>
  <c r="AA238" i="27" a="1"/>
  <c r="AA238" i="27" s="1"/>
  <c r="BI238" i="27" s="1"/>
  <c r="AA380" i="27"/>
  <c r="BI380" i="27" s="1"/>
  <c r="AA286" i="27"/>
  <c r="BI286" i="27" s="1"/>
  <c r="Z376" i="27"/>
  <c r="BH376" i="27" s="1"/>
  <c r="AD333" i="27"/>
  <c r="BL333" i="27" s="1"/>
  <c r="AE334" i="27"/>
  <c r="BM334" i="27" s="1"/>
  <c r="BD375" i="27"/>
  <c r="AA288" i="27"/>
  <c r="BI288" i="27" s="1"/>
  <c r="AB290" i="27"/>
  <c r="BJ290" i="27" s="1"/>
  <c r="Y193" i="27" a="1"/>
  <c r="Y193" i="27" s="1"/>
  <c r="BG193" i="27" s="1"/>
  <c r="BD374" i="27"/>
  <c r="AA379" i="27"/>
  <c r="BI379" i="27" s="1"/>
  <c r="AA285" i="27"/>
  <c r="BI285" i="27" s="1"/>
  <c r="Z377" i="27"/>
  <c r="BH377" i="27" s="1"/>
  <c r="AD330" i="27"/>
  <c r="BL330" i="27" s="1"/>
  <c r="AE335" i="27"/>
  <c r="BM335" i="27" s="1"/>
  <c r="AB274" i="27" a="1"/>
  <c r="AB274" i="27" s="1"/>
  <c r="BJ274" i="27" s="1"/>
  <c r="AB374" i="27"/>
  <c r="BJ374" i="27" s="1"/>
  <c r="BE364" i="27"/>
  <c r="BE274" i="27"/>
  <c r="AD364" i="27" a="1"/>
  <c r="AD364" i="27" s="1"/>
  <c r="BL364" i="27" s="1"/>
  <c r="Y380" i="27"/>
  <c r="BG380" i="27" s="1"/>
  <c r="AB380" i="27"/>
  <c r="BJ380" i="27" s="1"/>
  <c r="AB289" i="27"/>
  <c r="BJ289" i="27" s="1"/>
  <c r="AE333" i="27"/>
  <c r="BM333" i="27" s="1"/>
  <c r="Z193" i="27" a="1"/>
  <c r="Z193" i="27" s="1"/>
  <c r="BH193" i="27" s="1"/>
  <c r="Y364" i="27" a="1"/>
  <c r="Y364" i="27" s="1"/>
  <c r="BG364" i="27" s="1"/>
  <c r="BD319" i="27"/>
  <c r="Y274" i="27" a="1"/>
  <c r="Y274" i="27" s="1"/>
  <c r="BG274" i="27" s="1"/>
  <c r="BD380" i="27"/>
  <c r="Y376" i="27"/>
  <c r="BG376" i="27" s="1"/>
  <c r="AA377" i="27"/>
  <c r="BI377" i="27" s="1"/>
  <c r="AB376" i="27"/>
  <c r="BJ376" i="27" s="1"/>
  <c r="AA284" i="27"/>
  <c r="BI284" i="27" s="1"/>
  <c r="AB286" i="27"/>
  <c r="BJ286" i="27" s="1"/>
  <c r="Z379" i="27"/>
  <c r="BH379" i="27" s="1"/>
  <c r="AD335" i="27"/>
  <c r="BL335" i="27" s="1"/>
  <c r="AE286" i="27"/>
  <c r="BM286" i="27" s="1"/>
  <c r="AE329" i="27"/>
  <c r="BM329" i="27" s="1"/>
  <c r="BD290" i="27"/>
  <c r="AE380" i="27"/>
  <c r="BM380" i="27" s="1"/>
  <c r="BE58" i="27"/>
  <c r="BF57" i="27"/>
  <c r="BF54" i="27"/>
  <c r="BF55" i="27"/>
  <c r="BF52" i="27"/>
  <c r="BF53" i="27"/>
  <c r="BF51" i="27"/>
  <c r="BF56" i="27"/>
  <c r="AB234" i="27"/>
  <c r="BJ234" i="27" s="1"/>
  <c r="AB233" i="27"/>
  <c r="BJ233" i="27" s="1"/>
  <c r="AB232" i="27"/>
  <c r="BJ232" i="27" s="1"/>
  <c r="AB235" i="27"/>
  <c r="BJ235" i="27" s="1"/>
  <c r="AB237" i="27"/>
  <c r="BJ237" i="27" s="1"/>
  <c r="AB231" i="27"/>
  <c r="BJ231" i="27" s="1"/>
  <c r="AB236" i="27"/>
  <c r="BJ236" i="27" s="1"/>
  <c r="AD191" i="27"/>
  <c r="BL191" i="27" s="1"/>
  <c r="AD188" i="27"/>
  <c r="BL188" i="27" s="1"/>
  <c r="AD190" i="27"/>
  <c r="BL190" i="27" s="1"/>
  <c r="AD189" i="27"/>
  <c r="BL189" i="27" s="1"/>
  <c r="AD187" i="27"/>
  <c r="BL187" i="27" s="1"/>
  <c r="AD192" i="27"/>
  <c r="BL192" i="27" s="1"/>
  <c r="AD186" i="27"/>
  <c r="BL186" i="27" s="1"/>
  <c r="BE369" i="27"/>
  <c r="BE372" i="27"/>
  <c r="BE366" i="27"/>
  <c r="BE367" i="27"/>
  <c r="BE368" i="27"/>
  <c r="BE371" i="27"/>
  <c r="BE370" i="27"/>
  <c r="BE334" i="27"/>
  <c r="BE335" i="27"/>
  <c r="BE332" i="27"/>
  <c r="BE333" i="27"/>
  <c r="BE331" i="27"/>
  <c r="BE330" i="27"/>
  <c r="BE329" i="27"/>
  <c r="AD237" i="27"/>
  <c r="BL237" i="27" s="1"/>
  <c r="AD231" i="27"/>
  <c r="BL231" i="27" s="1"/>
  <c r="AD232" i="27"/>
  <c r="BL232" i="27" s="1"/>
  <c r="AD235" i="27"/>
  <c r="BL235" i="27" s="1"/>
  <c r="AD234" i="27"/>
  <c r="BL234" i="27" s="1"/>
  <c r="AD236" i="27"/>
  <c r="BL236" i="27" s="1"/>
  <c r="AD233" i="27"/>
  <c r="BL233" i="27" s="1"/>
  <c r="BD192" i="27"/>
  <c r="BD190" i="27"/>
  <c r="BD187" i="27"/>
  <c r="BD188" i="27"/>
  <c r="BD189" i="27"/>
  <c r="BD186" i="27"/>
  <c r="BD191" i="27"/>
  <c r="BE379" i="27"/>
  <c r="BE375" i="27"/>
  <c r="BE376" i="27"/>
  <c r="BE380" i="27"/>
  <c r="BE374" i="27"/>
  <c r="BE377" i="27"/>
  <c r="BE378" i="27"/>
  <c r="BE322" i="27"/>
  <c r="BE321" i="27"/>
  <c r="BE323" i="27"/>
  <c r="BE324" i="27"/>
  <c r="BE327" i="27"/>
  <c r="BE325" i="27"/>
  <c r="BE326" i="27"/>
  <c r="BE280" i="27"/>
  <c r="BE279" i="27"/>
  <c r="BE278" i="27"/>
  <c r="BE277" i="27"/>
  <c r="BE281" i="27"/>
  <c r="BE276" i="27"/>
  <c r="BE282" i="27"/>
  <c r="BE230" i="27"/>
  <c r="Z237" i="27"/>
  <c r="BH237" i="27" s="1"/>
  <c r="Z235" i="27"/>
  <c r="BH235" i="27" s="1"/>
  <c r="Z231" i="27"/>
  <c r="BH231" i="27" s="1"/>
  <c r="Z234" i="27"/>
  <c r="BH234" i="27" s="1"/>
  <c r="Z232" i="27"/>
  <c r="BH232" i="27" s="1"/>
  <c r="Z233" i="27"/>
  <c r="BH233" i="27" s="1"/>
  <c r="Z236" i="27"/>
  <c r="BH236" i="27" s="1"/>
  <c r="AB190" i="27"/>
  <c r="BJ190" i="27" s="1"/>
  <c r="AB192" i="27"/>
  <c r="BJ192" i="27" s="1"/>
  <c r="AB187" i="27"/>
  <c r="BJ187" i="27" s="1"/>
  <c r="AB189" i="27"/>
  <c r="BJ189" i="27" s="1"/>
  <c r="AB188" i="27"/>
  <c r="BJ188" i="27" s="1"/>
  <c r="AB186" i="27"/>
  <c r="BJ186" i="27" s="1"/>
  <c r="AB191" i="27"/>
  <c r="BJ191" i="27" s="1"/>
  <c r="Y237" i="27"/>
  <c r="BG237" i="27" s="1"/>
  <c r="Y235" i="27"/>
  <c r="BG235" i="27" s="1"/>
  <c r="Y232" i="27"/>
  <c r="BG232" i="27" s="1"/>
  <c r="Y231" i="27"/>
  <c r="BG231" i="27" s="1"/>
  <c r="Y236" i="27"/>
  <c r="BG236" i="27" s="1"/>
  <c r="Y233" i="27"/>
  <c r="BG233" i="27" s="1"/>
  <c r="Y234" i="27"/>
  <c r="BG234" i="27" s="1"/>
  <c r="BE193" i="27"/>
  <c r="E134" i="21" a="1"/>
  <c r="E134" i="21" s="1"/>
  <c r="E106" i="21" a="1"/>
  <c r="E106" i="21" s="1"/>
  <c r="BE286" i="27"/>
  <c r="BE287" i="27"/>
  <c r="BE288" i="27"/>
  <c r="BE289" i="27"/>
  <c r="BE290" i="27"/>
  <c r="BE285" i="27"/>
  <c r="BE284" i="27"/>
  <c r="AE189" i="27"/>
  <c r="BM189" i="27" s="1"/>
  <c r="AE187" i="27"/>
  <c r="BM187" i="27" s="1"/>
  <c r="AE192" i="27"/>
  <c r="BM192" i="27" s="1"/>
  <c r="AE186" i="27"/>
  <c r="BM186" i="27" s="1"/>
  <c r="AE188" i="27"/>
  <c r="BM188" i="27" s="1"/>
  <c r="AE190" i="27"/>
  <c r="BM190" i="27" s="1"/>
  <c r="AE191" i="27"/>
  <c r="BM191" i="27" s="1"/>
  <c r="BE185" i="27"/>
  <c r="AA231" i="27"/>
  <c r="BI231" i="27" s="1"/>
  <c r="AA232" i="27"/>
  <c r="BI232" i="27" s="1"/>
  <c r="AA233" i="27"/>
  <c r="BI233" i="27" s="1"/>
  <c r="AA236" i="27"/>
  <c r="BI236" i="27" s="1"/>
  <c r="AA237" i="27"/>
  <c r="BI237" i="27" s="1"/>
  <c r="AA235" i="27"/>
  <c r="BI235" i="27" s="1"/>
  <c r="AA234" i="27"/>
  <c r="BI234" i="27" s="1"/>
  <c r="BD238" i="27"/>
  <c r="BE238" i="27"/>
  <c r="AE232" i="27"/>
  <c r="BM232" i="27" s="1"/>
  <c r="AE231" i="27"/>
  <c r="BM231" i="27" s="1"/>
  <c r="AE233" i="27"/>
  <c r="BM233" i="27" s="1"/>
  <c r="AE235" i="27"/>
  <c r="BM235" i="27" s="1"/>
  <c r="AE234" i="27"/>
  <c r="BM234" i="27" s="1"/>
  <c r="AE237" i="27"/>
  <c r="BM237" i="27" s="1"/>
  <c r="AE236" i="27"/>
  <c r="BM236" i="27" s="1"/>
  <c r="E120" i="21" a="1"/>
  <c r="E120" i="21" s="1"/>
  <c r="BD230" i="27"/>
  <c r="AA187" i="27"/>
  <c r="BI187" i="27" s="1"/>
  <c r="AA192" i="27"/>
  <c r="BI192" i="27" s="1"/>
  <c r="AA186" i="27"/>
  <c r="BI186" i="27" s="1"/>
  <c r="AA188" i="27"/>
  <c r="BI188" i="27" s="1"/>
  <c r="AA190" i="27"/>
  <c r="BI190" i="27" s="1"/>
  <c r="AA189" i="27"/>
  <c r="BI189" i="27" s="1"/>
  <c r="AA191" i="27"/>
  <c r="BI191" i="27" s="1"/>
  <c r="E102" i="21" a="1"/>
  <c r="E102" i="21" s="1"/>
  <c r="BD200" i="27"/>
  <c r="BD195" i="27"/>
  <c r="BD199" i="27"/>
  <c r="BD194" i="27"/>
  <c r="BD198" i="27"/>
  <c r="BD196" i="27"/>
  <c r="E130" i="21" a="1"/>
  <c r="E130" i="21" s="1"/>
  <c r="E116" i="21" a="1"/>
  <c r="E116" i="21" s="1"/>
  <c r="D102" i="21" a="1"/>
  <c r="D102" i="21" s="1"/>
  <c r="E131" i="21" a="1"/>
  <c r="E131" i="21" s="1"/>
  <c r="L131" i="21" a="1"/>
  <c r="L131" i="21" s="1"/>
  <c r="H117" i="21" a="1"/>
  <c r="H117" i="21" s="1"/>
  <c r="D103" i="21" a="1"/>
  <c r="D103" i="21" s="1"/>
  <c r="I103" i="21" a="1"/>
  <c r="I103" i="21" s="1"/>
  <c r="G103" i="21" a="1"/>
  <c r="G103" i="21" s="1"/>
  <c r="E103" i="21" a="1"/>
  <c r="E103" i="21" s="1"/>
  <c r="D116" i="21" a="1"/>
  <c r="D116" i="21" s="1"/>
  <c r="G131" i="21" a="1"/>
  <c r="G131" i="21" s="1"/>
  <c r="D117" i="21" a="1"/>
  <c r="D117" i="21" s="1"/>
  <c r="H103" i="21" a="1"/>
  <c r="H103" i="21" s="1"/>
  <c r="H131" i="21" a="1"/>
  <c r="H131" i="21" s="1"/>
  <c r="D120" i="21" a="1"/>
  <c r="D120" i="21" s="1"/>
  <c r="M103" i="21" a="1"/>
  <c r="M103" i="21" s="1"/>
  <c r="J131" i="21" a="1"/>
  <c r="J131" i="21" s="1"/>
  <c r="I117" i="21" a="1"/>
  <c r="I117" i="21" s="1"/>
  <c r="M131" i="21" a="1"/>
  <c r="M131" i="21" s="1"/>
  <c r="J103" i="21" a="1"/>
  <c r="J103" i="21" s="1"/>
  <c r="L117" i="21" a="1"/>
  <c r="L117" i="21" s="1"/>
  <c r="G117" i="21" a="1"/>
  <c r="G117" i="21" s="1"/>
  <c r="N49" i="21" a="1"/>
  <c r="N49" i="21" s="1"/>
  <c r="M117" i="21" a="1"/>
  <c r="M117" i="21" s="1"/>
  <c r="D131" i="21" a="1"/>
  <c r="D131" i="21" s="1"/>
  <c r="L103" i="21" a="1"/>
  <c r="L103" i="21" s="1"/>
  <c r="I131" i="21" a="1"/>
  <c r="I131" i="21" s="1"/>
  <c r="D130" i="21" a="1"/>
  <c r="D130" i="21" s="1"/>
  <c r="E117" i="21" a="1"/>
  <c r="E117" i="21" s="1"/>
  <c r="J117" i="21" a="1"/>
  <c r="J117" i="21" s="1"/>
  <c r="HY71" i="22"/>
  <c r="HR68" i="22"/>
  <c r="HT75" i="22"/>
  <c r="K124" i="10"/>
  <c r="G91" i="21" a="1"/>
  <c r="G91" i="21" s="1"/>
  <c r="J121" i="10"/>
  <c r="D90" i="21" a="1"/>
  <c r="D90" i="21" s="1"/>
  <c r="E121" i="10"/>
  <c r="E114" i="19"/>
  <c r="G121" i="10"/>
  <c r="J111" i="10"/>
  <c r="M76" i="21" a="1"/>
  <c r="M76" i="21" s="1"/>
  <c r="E105" i="19"/>
  <c r="M74" i="21" s="1" a="1"/>
  <c r="M74" i="21" s="1"/>
  <c r="G111" i="10"/>
  <c r="E111" i="10"/>
  <c r="M78" i="21" s="1" a="1"/>
  <c r="M78" i="21" s="1"/>
  <c r="K107" i="10"/>
  <c r="I77" i="21" a="1"/>
  <c r="I77" i="21" s="1"/>
  <c r="J126" i="10"/>
  <c r="I90" i="21" a="1"/>
  <c r="I90" i="21" s="1"/>
  <c r="E119" i="19"/>
  <c r="I88" i="21" s="1" a="1"/>
  <c r="I88" i="21" s="1"/>
  <c r="E126" i="10"/>
  <c r="I92" i="21" s="1" a="1"/>
  <c r="I92" i="21" s="1"/>
  <c r="G126" i="10"/>
  <c r="K127" i="10"/>
  <c r="J91" i="21" a="1"/>
  <c r="J91" i="21" s="1"/>
  <c r="J122" i="10"/>
  <c r="E90" i="21" a="1"/>
  <c r="E90" i="21" s="1"/>
  <c r="E122" i="10"/>
  <c r="E115" i="19"/>
  <c r="G122" i="10"/>
  <c r="E76" i="21" a="1"/>
  <c r="E76" i="21" s="1"/>
  <c r="J103" i="10"/>
  <c r="G103" i="10"/>
  <c r="E97" i="19"/>
  <c r="E103" i="10"/>
  <c r="K108" i="10"/>
  <c r="J77" i="21" a="1"/>
  <c r="J77" i="21" s="1"/>
  <c r="D134" i="21" a="1"/>
  <c r="D134" i="21" s="1"/>
  <c r="K129" i="10"/>
  <c r="L91" i="21" a="1"/>
  <c r="L91" i="21" s="1"/>
  <c r="J107" i="10"/>
  <c r="I76" i="21" a="1"/>
  <c r="I76" i="21" s="1"/>
  <c r="G107" i="10"/>
  <c r="E107" i="10"/>
  <c r="I78" i="21" s="1" a="1"/>
  <c r="I78" i="21" s="1"/>
  <c r="E101" i="19"/>
  <c r="I74" i="21" s="1" a="1"/>
  <c r="I74" i="21" s="1"/>
  <c r="K121" i="10"/>
  <c r="D91" i="21" a="1"/>
  <c r="D91" i="21" s="1"/>
  <c r="J125" i="10"/>
  <c r="H90" i="21" a="1"/>
  <c r="H90" i="21" s="1"/>
  <c r="E125" i="10"/>
  <c r="H92" i="21" s="1" a="1"/>
  <c r="H92" i="21" s="1"/>
  <c r="G125" i="10"/>
  <c r="E118" i="19"/>
  <c r="H88" i="21" s="1" a="1"/>
  <c r="H88" i="21" s="1"/>
  <c r="J108" i="10"/>
  <c r="J76" i="21" a="1"/>
  <c r="J76" i="21" s="1"/>
  <c r="G108" i="10"/>
  <c r="J78" i="21" a="1"/>
  <c r="J78" i="21" s="1"/>
  <c r="J74" i="21" a="1"/>
  <c r="J74" i="21" s="1"/>
  <c r="K122" i="10"/>
  <c r="E91" i="21" a="1"/>
  <c r="E91" i="21" s="1"/>
  <c r="J130" i="10"/>
  <c r="M90" i="21" a="1"/>
  <c r="M90" i="21" s="1"/>
  <c r="G130" i="10"/>
  <c r="E130" i="10"/>
  <c r="M92" i="21" s="1" a="1"/>
  <c r="M92" i="21" s="1"/>
  <c r="E123" i="19"/>
  <c r="M88" i="21" s="1" a="1"/>
  <c r="M88" i="21" s="1"/>
  <c r="K105" i="10"/>
  <c r="G77" i="21" a="1"/>
  <c r="G77" i="21" s="1"/>
  <c r="D106" i="21" a="1"/>
  <c r="D106" i="21" s="1"/>
  <c r="K130" i="10"/>
  <c r="M91" i="21" a="1"/>
  <c r="M91" i="21" s="1"/>
  <c r="J124" i="10"/>
  <c r="G90" i="21" a="1"/>
  <c r="G90" i="21" s="1"/>
  <c r="G124" i="10"/>
  <c r="E124" i="10"/>
  <c r="G92" i="21" s="1" a="1"/>
  <c r="G92" i="21" s="1"/>
  <c r="E117" i="19"/>
  <c r="G88" i="21" s="1" a="1"/>
  <c r="G88" i="21" s="1"/>
  <c r="E77" i="21" a="1"/>
  <c r="E77" i="21" s="1"/>
  <c r="K103" i="10"/>
  <c r="K125" i="10"/>
  <c r="H91" i="21" a="1"/>
  <c r="H91" i="21" s="1"/>
  <c r="J105" i="10"/>
  <c r="G76" i="21" a="1"/>
  <c r="G76" i="21" s="1"/>
  <c r="E105" i="10"/>
  <c r="G78" i="21" s="1" a="1"/>
  <c r="G78" i="21" s="1"/>
  <c r="E99" i="19"/>
  <c r="G74" i="21" s="1" a="1"/>
  <c r="G74" i="21" s="1"/>
  <c r="G105" i="10"/>
  <c r="K102" i="10"/>
  <c r="D77" i="21" a="1"/>
  <c r="D77" i="21" s="1"/>
  <c r="K126" i="10"/>
  <c r="I91" i="21" a="1"/>
  <c r="I91" i="21" s="1"/>
  <c r="J106" i="10"/>
  <c r="H76" i="21" a="1"/>
  <c r="H76" i="21" s="1"/>
  <c r="E106" i="10"/>
  <c r="H78" i="21" s="1" a="1"/>
  <c r="H78" i="21" s="1"/>
  <c r="G106" i="10"/>
  <c r="E100" i="19"/>
  <c r="H74" i="21" s="1" a="1"/>
  <c r="H74" i="21" s="1"/>
  <c r="K111" i="10"/>
  <c r="M77" i="21" a="1"/>
  <c r="M77" i="21" s="1"/>
  <c r="G134" i="21" a="1"/>
  <c r="G134" i="21" s="1"/>
  <c r="E44" i="19"/>
  <c r="F32" i="21" s="1" a="1"/>
  <c r="F32" i="21" s="1"/>
  <c r="J127" i="10"/>
  <c r="J90" i="21" a="1"/>
  <c r="J90" i="21" s="1"/>
  <c r="G127" i="10"/>
  <c r="J110" i="10"/>
  <c r="L76" i="21" a="1"/>
  <c r="L76" i="21" s="1"/>
  <c r="E104" i="19"/>
  <c r="L74" i="21" s="1" a="1"/>
  <c r="L74" i="21" s="1"/>
  <c r="E110" i="10"/>
  <c r="L78" i="21" s="1" a="1"/>
  <c r="L78" i="21" s="1"/>
  <c r="G110" i="10"/>
  <c r="K110" i="10"/>
  <c r="L77" i="21" a="1"/>
  <c r="L77" i="21" s="1"/>
  <c r="J129" i="10"/>
  <c r="L90" i="21" a="1"/>
  <c r="L90" i="21" s="1"/>
  <c r="E122" i="19"/>
  <c r="L88" i="21" s="1" a="1"/>
  <c r="L88" i="21" s="1"/>
  <c r="G129" i="10"/>
  <c r="E129" i="10"/>
  <c r="L92" i="21" s="1" a="1"/>
  <c r="L92" i="21" s="1"/>
  <c r="J102" i="10"/>
  <c r="D76" i="21" a="1"/>
  <c r="D76" i="21" s="1"/>
  <c r="E96" i="19"/>
  <c r="E102" i="10"/>
  <c r="G102" i="10"/>
  <c r="K106" i="10"/>
  <c r="H77" i="21" a="1"/>
  <c r="H77" i="21" s="1"/>
  <c r="D73" i="10"/>
  <c r="AE95" i="27" s="1" a="1"/>
  <c r="AE95" i="27" s="1"/>
  <c r="BM95" i="27" s="1"/>
  <c r="D67" i="10"/>
  <c r="Y95" i="27" s="1" a="1"/>
  <c r="Y95" i="27" s="1"/>
  <c r="BG95" i="27" s="1"/>
  <c r="D72" i="10"/>
  <c r="AD95" i="27" s="1" a="1"/>
  <c r="AD95" i="27" s="1"/>
  <c r="BL95" i="27" s="1"/>
  <c r="D65" i="10"/>
  <c r="D69" i="10"/>
  <c r="D64" i="10"/>
  <c r="BD95" i="27" s="1"/>
  <c r="D68" i="10"/>
  <c r="Z95" i="27" s="1" a="1"/>
  <c r="Z95" i="27" s="1"/>
  <c r="BH95" i="27" s="1"/>
  <c r="AB95" i="27" a="1"/>
  <c r="AB95" i="27" s="1"/>
  <c r="BJ95" i="27" s="1"/>
  <c r="D92" i="10"/>
  <c r="AE140" i="27" s="1" a="1"/>
  <c r="AE140" i="27" s="1"/>
  <c r="BM140" i="27" s="1"/>
  <c r="D84" i="10"/>
  <c r="D91" i="10"/>
  <c r="AD140" i="27" s="1" a="1"/>
  <c r="AD140" i="27" s="1"/>
  <c r="BL140" i="27" s="1"/>
  <c r="D86" i="10"/>
  <c r="Y140" i="27" s="1" a="1"/>
  <c r="Y140" i="27" s="1"/>
  <c r="BG140" i="27" s="1"/>
  <c r="Z140" i="27" a="1"/>
  <c r="Z140" i="27" s="1"/>
  <c r="BH140" i="27" s="1"/>
  <c r="AB140" i="27" a="1"/>
  <c r="AB140" i="27" s="1"/>
  <c r="BJ140" i="27" s="1"/>
  <c r="D88" i="10"/>
  <c r="D83" i="10"/>
  <c r="BD140" i="27" s="1"/>
  <c r="F69" i="10"/>
  <c r="F72" i="10"/>
  <c r="F68" i="10"/>
  <c r="F67" i="10"/>
  <c r="F73" i="10"/>
  <c r="D49" i="10"/>
  <c r="Z50" i="27" s="1" a="1"/>
  <c r="Z50" i="27" s="1"/>
  <c r="BH50" i="27" s="1"/>
  <c r="D46" i="10"/>
  <c r="D45" i="10"/>
  <c r="BD50" i="27" s="1"/>
  <c r="D50" i="10"/>
  <c r="AA50" i="27" s="1" a="1"/>
  <c r="AA50" i="27" s="1"/>
  <c r="BI50" i="27" s="1"/>
  <c r="D48" i="10"/>
  <c r="Y50" i="27" s="1" a="1"/>
  <c r="Y50" i="27" s="1"/>
  <c r="D54" i="10"/>
  <c r="AE50" i="27" s="1" a="1"/>
  <c r="AE50" i="27" s="1"/>
  <c r="BM50" i="27" s="1"/>
  <c r="D53" i="10"/>
  <c r="AD50" i="27" s="1" a="1"/>
  <c r="AD50" i="27" s="1"/>
  <c r="BL50" i="27" s="1"/>
  <c r="F56" i="10"/>
  <c r="F88" i="10"/>
  <c r="F87" i="10"/>
  <c r="F86" i="10"/>
  <c r="F91" i="10"/>
  <c r="F92" i="10"/>
  <c r="F48" i="10"/>
  <c r="F50" i="10"/>
  <c r="F54" i="10"/>
  <c r="F53" i="10"/>
  <c r="E47" i="10" l="1"/>
  <c r="K74" i="10"/>
  <c r="F34" i="21" a="1"/>
  <c r="F34" i="21" s="1"/>
  <c r="E52" i="10"/>
  <c r="E49" i="19"/>
  <c r="E48" i="19"/>
  <c r="E12" i="19" s="1"/>
  <c r="E51" i="10"/>
  <c r="F13" i="10"/>
  <c r="AA140" i="27" a="1"/>
  <c r="AA140" i="27" s="1"/>
  <c r="BI140" i="27" s="1"/>
  <c r="E83" i="19"/>
  <c r="I60" i="21" s="1" a="1"/>
  <c r="I60" i="21" s="1"/>
  <c r="AA95" i="27" a="1"/>
  <c r="AA95" i="27" s="1"/>
  <c r="BI95" i="27" s="1"/>
  <c r="AA197" i="27"/>
  <c r="BI197" i="27" s="1"/>
  <c r="AA200" i="27"/>
  <c r="BI200" i="27" s="1"/>
  <c r="AD199" i="27"/>
  <c r="BL199" i="27" s="1"/>
  <c r="Y242" i="27"/>
  <c r="BG242" i="27" s="1"/>
  <c r="AD244" i="27"/>
  <c r="BL244" i="27" s="1"/>
  <c r="AE239" i="27"/>
  <c r="BM239" i="27" s="1"/>
  <c r="AE241" i="27"/>
  <c r="BM241" i="27" s="1"/>
  <c r="AA240" i="27"/>
  <c r="BI240" i="27" s="1"/>
  <c r="AB242" i="27"/>
  <c r="BJ242" i="27" s="1"/>
  <c r="AA242" i="27"/>
  <c r="BI242" i="27" s="1"/>
  <c r="AA245" i="27"/>
  <c r="BI245" i="27" s="1"/>
  <c r="AD242" i="27"/>
  <c r="BL242" i="27" s="1"/>
  <c r="Z242" i="27"/>
  <c r="BH242" i="27" s="1"/>
  <c r="AA239" i="27"/>
  <c r="BI239" i="27" s="1"/>
  <c r="AA199" i="27"/>
  <c r="BI199" i="27" s="1"/>
  <c r="AA194" i="27"/>
  <c r="BI194" i="27" s="1"/>
  <c r="AA196" i="27"/>
  <c r="BI196" i="27" s="1"/>
  <c r="BG50" i="27"/>
  <c r="Y54" i="27"/>
  <c r="BG54" i="27" s="1"/>
  <c r="Y51" i="27"/>
  <c r="BG51" i="27" s="1"/>
  <c r="AA243" i="27"/>
  <c r="BI243" i="27" s="1"/>
  <c r="Y245" i="27"/>
  <c r="BG245" i="27" s="1"/>
  <c r="AA244" i="27"/>
  <c r="BI244" i="27" s="1"/>
  <c r="Y241" i="27"/>
  <c r="BG241" i="27" s="1"/>
  <c r="AA241" i="27"/>
  <c r="BI241" i="27" s="1"/>
  <c r="Y243" i="27"/>
  <c r="BG243" i="27" s="1"/>
  <c r="Z243" i="27"/>
  <c r="BH243" i="27" s="1"/>
  <c r="Z244" i="27"/>
  <c r="BH244" i="27" s="1"/>
  <c r="AB239" i="27"/>
  <c r="BJ239" i="27" s="1"/>
  <c r="AD241" i="27"/>
  <c r="BL241" i="27" s="1"/>
  <c r="AE244" i="27"/>
  <c r="BM244" i="27" s="1"/>
  <c r="AE195" i="27"/>
  <c r="BM195" i="27" s="1"/>
  <c r="AE200" i="27"/>
  <c r="BM200" i="27" s="1"/>
  <c r="AD197" i="27"/>
  <c r="BL197" i="27" s="1"/>
  <c r="AE197" i="27"/>
  <c r="BM197" i="27" s="1"/>
  <c r="AB240" i="27"/>
  <c r="BJ240" i="27" s="1"/>
  <c r="AE196" i="27"/>
  <c r="BM196" i="27" s="1"/>
  <c r="AE194" i="27"/>
  <c r="BM194" i="27" s="1"/>
  <c r="AB244" i="27"/>
  <c r="BJ244" i="27" s="1"/>
  <c r="AE198" i="27"/>
  <c r="BM198" i="27" s="1"/>
  <c r="AB243" i="27"/>
  <c r="BJ243" i="27" s="1"/>
  <c r="AB198" i="27"/>
  <c r="BJ198" i="27" s="1"/>
  <c r="AE199" i="27"/>
  <c r="BM199" i="27" s="1"/>
  <c r="AB245" i="27"/>
  <c r="BJ245" i="27" s="1"/>
  <c r="AE243" i="27"/>
  <c r="BM243" i="27" s="1"/>
  <c r="Y239" i="27"/>
  <c r="BG239" i="27" s="1"/>
  <c r="AA198" i="27"/>
  <c r="BI198" i="27" s="1"/>
  <c r="AE242" i="27"/>
  <c r="BM242" i="27" s="1"/>
  <c r="AA195" i="27"/>
  <c r="BI195" i="27" s="1"/>
  <c r="AE245" i="27"/>
  <c r="BM245" i="27" s="1"/>
  <c r="Y240" i="27"/>
  <c r="BG240" i="27" s="1"/>
  <c r="AE240" i="27"/>
  <c r="BM240" i="27" s="1"/>
  <c r="Y244" i="27"/>
  <c r="BG244" i="27" s="1"/>
  <c r="AB199" i="27"/>
  <c r="BJ199" i="27" s="1"/>
  <c r="Z240" i="27"/>
  <c r="BH240" i="27" s="1"/>
  <c r="AD195" i="27"/>
  <c r="BL195" i="27" s="1"/>
  <c r="AD243" i="27"/>
  <c r="BL243" i="27" s="1"/>
  <c r="AD200" i="27"/>
  <c r="BL200" i="27" s="1"/>
  <c r="AD239" i="27"/>
  <c r="BL239" i="27" s="1"/>
  <c r="Z241" i="27"/>
  <c r="BH241" i="27" s="1"/>
  <c r="Z239" i="27"/>
  <c r="BH239" i="27" s="1"/>
  <c r="AB200" i="27"/>
  <c r="BJ200" i="27" s="1"/>
  <c r="AF108" i="27"/>
  <c r="BN108" i="27" s="1"/>
  <c r="AD198" i="27"/>
  <c r="BL198" i="27" s="1"/>
  <c r="AD240" i="27"/>
  <c r="BL240" i="27" s="1"/>
  <c r="AD245" i="27"/>
  <c r="BL245" i="27" s="1"/>
  <c r="Z245" i="27"/>
  <c r="BH245" i="27" s="1"/>
  <c r="AB195" i="27"/>
  <c r="BJ195" i="27" s="1"/>
  <c r="AF107" i="27"/>
  <c r="BN107" i="27" s="1"/>
  <c r="AD194" i="27"/>
  <c r="BL194" i="27" s="1"/>
  <c r="AB197" i="27"/>
  <c r="BJ197" i="27" s="1"/>
  <c r="AD196" i="27"/>
  <c r="BL196" i="27" s="1"/>
  <c r="AB196" i="27"/>
  <c r="BJ196" i="27" s="1"/>
  <c r="AA229" i="27" a="1"/>
  <c r="AA229" i="27" s="1"/>
  <c r="BI229" i="27" s="1"/>
  <c r="Z58" i="27" a="1"/>
  <c r="Z58" i="27" s="1"/>
  <c r="BH58" i="27" s="1"/>
  <c r="AB148" i="27" a="1"/>
  <c r="AB148" i="27" s="1"/>
  <c r="BJ148" i="27" s="1"/>
  <c r="BD103" i="27"/>
  <c r="Y229" i="27" a="1"/>
  <c r="Y229" i="27" s="1"/>
  <c r="BG229" i="27" s="1"/>
  <c r="AE229" i="27" a="1"/>
  <c r="AE229" i="27" s="1"/>
  <c r="BM229" i="27" s="1"/>
  <c r="AF110" i="27"/>
  <c r="BN110" i="27" s="1"/>
  <c r="AD58" i="27" a="1"/>
  <c r="AD58" i="27" s="1"/>
  <c r="BL58" i="27" s="1"/>
  <c r="AD148" i="27" a="1"/>
  <c r="AD148" i="27" s="1"/>
  <c r="BL148" i="27" s="1"/>
  <c r="AB103" i="27" a="1"/>
  <c r="AB103" i="27" s="1"/>
  <c r="BJ103" i="27" s="1"/>
  <c r="Z184" i="27" a="1"/>
  <c r="Z184" i="27" s="1"/>
  <c r="BH184" i="27" s="1"/>
  <c r="Z229" i="27" a="1"/>
  <c r="Z229" i="27" s="1"/>
  <c r="BH229" i="27" s="1"/>
  <c r="BD229" i="27"/>
  <c r="AF104" i="27"/>
  <c r="BN104" i="27" s="1"/>
  <c r="Y148" i="27" a="1"/>
  <c r="Y148" i="27" s="1"/>
  <c r="BG148" i="27" s="1"/>
  <c r="AA103" i="27" a="1"/>
  <c r="AA103" i="27" s="1"/>
  <c r="BI103" i="27" s="1"/>
  <c r="BD184" i="27"/>
  <c r="BE229" i="27"/>
  <c r="BD148" i="27"/>
  <c r="AD229" i="27" a="1"/>
  <c r="AD229" i="27" s="1"/>
  <c r="BL229" i="27" s="1"/>
  <c r="AE58" i="27" a="1"/>
  <c r="AE58" i="27" s="1"/>
  <c r="BM58" i="27" s="1"/>
  <c r="BD58" i="27"/>
  <c r="Z148" i="27" a="1"/>
  <c r="Z148" i="27" s="1"/>
  <c r="BH148" i="27" s="1"/>
  <c r="AA58" i="27" a="1"/>
  <c r="AA58" i="27" s="1"/>
  <c r="BI58" i="27" s="1"/>
  <c r="AA148" i="27" a="1"/>
  <c r="AA148" i="27" s="1"/>
  <c r="BI148" i="27" s="1"/>
  <c r="AD184" i="27" a="1"/>
  <c r="AD184" i="27" s="1"/>
  <c r="BL184" i="27" s="1"/>
  <c r="AB241" i="27"/>
  <c r="BJ241" i="27" s="1"/>
  <c r="AB58" i="27" a="1"/>
  <c r="AB58" i="27" s="1"/>
  <c r="BJ58" i="27" s="1"/>
  <c r="AE103" i="27" a="1"/>
  <c r="AE103" i="27" s="1"/>
  <c r="BM103" i="27" s="1"/>
  <c r="BF58" i="27"/>
  <c r="AF109" i="27"/>
  <c r="BN109" i="27" s="1"/>
  <c r="AG58" i="27" a="1"/>
  <c r="AG58" i="27" s="1"/>
  <c r="BO58" i="27" s="1"/>
  <c r="Y103" i="27" a="1"/>
  <c r="Y103" i="27" s="1"/>
  <c r="BG103" i="27" s="1"/>
  <c r="BD197" i="27"/>
  <c r="AB194" i="27"/>
  <c r="BJ194" i="27" s="1"/>
  <c r="AF105" i="27"/>
  <c r="BN105" i="27" s="1"/>
  <c r="AD103" i="27" a="1"/>
  <c r="AD103" i="27" s="1"/>
  <c r="BL103" i="27" s="1"/>
  <c r="AB229" i="27" a="1"/>
  <c r="AB229" i="27" s="1"/>
  <c r="BJ229" i="27" s="1"/>
  <c r="Y184" i="27" a="1"/>
  <c r="Y184" i="27" s="1"/>
  <c r="BG184" i="27" s="1"/>
  <c r="AA184" i="27" a="1"/>
  <c r="AA184" i="27" s="1"/>
  <c r="BI184" i="27" s="1"/>
  <c r="AE148" i="27" a="1"/>
  <c r="AE148" i="27" s="1"/>
  <c r="BM148" i="27" s="1"/>
  <c r="Z103" i="27" a="1"/>
  <c r="Z103" i="27" s="1"/>
  <c r="BH103" i="27" s="1"/>
  <c r="AB184" i="27" a="1"/>
  <c r="AB184" i="27" s="1"/>
  <c r="BJ184" i="27" s="1"/>
  <c r="AE184" i="27" a="1"/>
  <c r="AE184" i="27" s="1"/>
  <c r="BM184" i="27" s="1"/>
  <c r="AF106" i="27"/>
  <c r="BN106" i="27" s="1"/>
  <c r="BE184" i="27"/>
  <c r="Y58" i="27" a="1"/>
  <c r="Y58" i="27" s="1"/>
  <c r="BG58" i="27" s="1"/>
  <c r="F10" i="10"/>
  <c r="K10" i="10" s="1"/>
  <c r="BE59" i="27"/>
  <c r="BE62" i="27"/>
  <c r="BE61" i="27"/>
  <c r="BE60" i="27"/>
  <c r="BE63" i="27"/>
  <c r="BE65" i="27"/>
  <c r="BE64" i="27"/>
  <c r="BD64" i="27"/>
  <c r="BD62" i="27"/>
  <c r="BE50" i="27"/>
  <c r="BD143" i="27"/>
  <c r="BD146" i="27"/>
  <c r="BD145" i="27"/>
  <c r="BD147" i="27"/>
  <c r="BD144" i="27"/>
  <c r="BD141" i="27"/>
  <c r="BD142" i="27"/>
  <c r="BD101" i="27"/>
  <c r="BD96" i="27"/>
  <c r="BD102" i="27"/>
  <c r="BD100" i="27"/>
  <c r="BD99" i="27"/>
  <c r="BD97" i="27"/>
  <c r="BD98" i="27"/>
  <c r="E88" i="21" a="1"/>
  <c r="E88" i="21" s="1"/>
  <c r="Z56" i="27"/>
  <c r="BH56" i="27" s="1"/>
  <c r="Z55" i="27"/>
  <c r="BH55" i="27" s="1"/>
  <c r="Z51" i="27"/>
  <c r="BH51" i="27" s="1"/>
  <c r="Z52" i="27"/>
  <c r="BH52" i="27" s="1"/>
  <c r="Z53" i="27"/>
  <c r="BH53" i="27" s="1"/>
  <c r="Z54" i="27"/>
  <c r="BH54" i="27" s="1"/>
  <c r="Z57" i="27"/>
  <c r="BH57" i="27" s="1"/>
  <c r="E92" i="21" a="1"/>
  <c r="E92" i="21" s="1"/>
  <c r="BD235" i="27"/>
  <c r="BD232" i="27"/>
  <c r="BD231" i="27"/>
  <c r="BD233" i="27"/>
  <c r="BD234" i="27"/>
  <c r="BD236" i="27"/>
  <c r="BD237" i="27"/>
  <c r="BF64" i="27"/>
  <c r="BF65" i="27"/>
  <c r="BF62" i="27"/>
  <c r="BF63" i="27"/>
  <c r="BF60" i="27"/>
  <c r="BF59" i="27"/>
  <c r="BF61" i="27"/>
  <c r="AB142" i="27"/>
  <c r="BJ142" i="27" s="1"/>
  <c r="AB143" i="27"/>
  <c r="BJ143" i="27" s="1"/>
  <c r="AB141" i="27"/>
  <c r="BJ141" i="27" s="1"/>
  <c r="AB145" i="27"/>
  <c r="BJ145" i="27" s="1"/>
  <c r="AB146" i="27"/>
  <c r="BJ146" i="27" s="1"/>
  <c r="AB144" i="27"/>
  <c r="BJ144" i="27" s="1"/>
  <c r="AB147" i="27"/>
  <c r="BJ147" i="27" s="1"/>
  <c r="BE95" i="27"/>
  <c r="Z144" i="27"/>
  <c r="BH144" i="27" s="1"/>
  <c r="Z145" i="27"/>
  <c r="BH145" i="27" s="1"/>
  <c r="Z142" i="27"/>
  <c r="BH142" i="27" s="1"/>
  <c r="Z147" i="27"/>
  <c r="BH147" i="27" s="1"/>
  <c r="Z143" i="27"/>
  <c r="BH143" i="27" s="1"/>
  <c r="Z141" i="27"/>
  <c r="BH141" i="27" s="1"/>
  <c r="Z146" i="27"/>
  <c r="BH146" i="27" s="1"/>
  <c r="AD100" i="27"/>
  <c r="BL100" i="27" s="1"/>
  <c r="AD101" i="27"/>
  <c r="BL101" i="27" s="1"/>
  <c r="AD102" i="27"/>
  <c r="BL102" i="27" s="1"/>
  <c r="AD97" i="27"/>
  <c r="BL97" i="27" s="1"/>
  <c r="AD98" i="27"/>
  <c r="BL98" i="27" s="1"/>
  <c r="AD96" i="27"/>
  <c r="BL96" i="27" s="1"/>
  <c r="AD99" i="27"/>
  <c r="BL99" i="27" s="1"/>
  <c r="AB53" i="27"/>
  <c r="BJ53" i="27" s="1"/>
  <c r="AB55" i="27"/>
  <c r="BJ55" i="27" s="1"/>
  <c r="AB52" i="27"/>
  <c r="BJ52" i="27" s="1"/>
  <c r="AB56" i="27"/>
  <c r="BJ56" i="27" s="1"/>
  <c r="AB51" i="27"/>
  <c r="BJ51" i="27" s="1"/>
  <c r="AB57" i="27"/>
  <c r="BJ57" i="27" s="1"/>
  <c r="AB54" i="27"/>
  <c r="BJ54" i="27" s="1"/>
  <c r="BD109" i="27"/>
  <c r="BD104" i="27"/>
  <c r="BD110" i="27"/>
  <c r="BD106" i="27"/>
  <c r="BD107" i="27"/>
  <c r="BD108" i="27"/>
  <c r="BD105" i="27"/>
  <c r="AE145" i="27"/>
  <c r="BM145" i="27" s="1"/>
  <c r="AE146" i="27"/>
  <c r="BM146" i="27" s="1"/>
  <c r="AE141" i="27"/>
  <c r="BM141" i="27" s="1"/>
  <c r="AE142" i="27"/>
  <c r="BM142" i="27" s="1"/>
  <c r="AE143" i="27"/>
  <c r="BM143" i="27" s="1"/>
  <c r="AE144" i="27"/>
  <c r="BM144" i="27" s="1"/>
  <c r="AE147" i="27"/>
  <c r="BM147" i="27" s="1"/>
  <c r="AA55" i="27"/>
  <c r="BI55" i="27" s="1"/>
  <c r="AA56" i="27"/>
  <c r="BI56" i="27" s="1"/>
  <c r="AA53" i="27"/>
  <c r="BI53" i="27" s="1"/>
  <c r="AA52" i="27"/>
  <c r="BI52" i="27" s="1"/>
  <c r="AA54" i="27"/>
  <c r="BI54" i="27" s="1"/>
  <c r="AA51" i="27"/>
  <c r="BI51" i="27" s="1"/>
  <c r="AA57" i="27"/>
  <c r="BI57" i="27" s="1"/>
  <c r="AB96" i="27"/>
  <c r="BJ96" i="27" s="1"/>
  <c r="AB97" i="27"/>
  <c r="BJ97" i="27" s="1"/>
  <c r="AB99" i="27"/>
  <c r="BJ99" i="27" s="1"/>
  <c r="AB101" i="27"/>
  <c r="BJ101" i="27" s="1"/>
  <c r="AB102" i="27"/>
  <c r="BJ102" i="27" s="1"/>
  <c r="AB100" i="27"/>
  <c r="BJ100" i="27" s="1"/>
  <c r="AB98" i="27"/>
  <c r="BJ98" i="27" s="1"/>
  <c r="BE233" i="27"/>
  <c r="BE234" i="27"/>
  <c r="BE232" i="27"/>
  <c r="BE235" i="27"/>
  <c r="BE237" i="27"/>
  <c r="BE236" i="27"/>
  <c r="BE231" i="27"/>
  <c r="BD54" i="27"/>
  <c r="BD55" i="27"/>
  <c r="BD52" i="27"/>
  <c r="BD56" i="27"/>
  <c r="BD57" i="27"/>
  <c r="BD53" i="27"/>
  <c r="BD51" i="27"/>
  <c r="Z99" i="27"/>
  <c r="BH99" i="27" s="1"/>
  <c r="Z100" i="27"/>
  <c r="BH100" i="27" s="1"/>
  <c r="Z101" i="27"/>
  <c r="BH101" i="27" s="1"/>
  <c r="Z98" i="27"/>
  <c r="BH98" i="27" s="1"/>
  <c r="Z96" i="27"/>
  <c r="BH96" i="27" s="1"/>
  <c r="Z102" i="27"/>
  <c r="BH102" i="27" s="1"/>
  <c r="Z97" i="27"/>
  <c r="BH97" i="27" s="1"/>
  <c r="BD243" i="27"/>
  <c r="BD242" i="27"/>
  <c r="BD244" i="27"/>
  <c r="BD245" i="27"/>
  <c r="BD241" i="27"/>
  <c r="BD240" i="27"/>
  <c r="BD239" i="27"/>
  <c r="BE186" i="27"/>
  <c r="BE191" i="27"/>
  <c r="BE188" i="27"/>
  <c r="BE189" i="27"/>
  <c r="BE187" i="27"/>
  <c r="BE192" i="27"/>
  <c r="BE190" i="27"/>
  <c r="BE196" i="27"/>
  <c r="BE194" i="27"/>
  <c r="BE200" i="27"/>
  <c r="BE197" i="27"/>
  <c r="BE195" i="27"/>
  <c r="BE198" i="27"/>
  <c r="BE199" i="27"/>
  <c r="BE244" i="27"/>
  <c r="BE243" i="27"/>
  <c r="BE241" i="27"/>
  <c r="BE240" i="27"/>
  <c r="BE242" i="27"/>
  <c r="BE239" i="27"/>
  <c r="BE245" i="27"/>
  <c r="AD53" i="27"/>
  <c r="BL53" i="27" s="1"/>
  <c r="AD54" i="27"/>
  <c r="BL54" i="27" s="1"/>
  <c r="AD57" i="27"/>
  <c r="BL57" i="27" s="1"/>
  <c r="AD56" i="27"/>
  <c r="BL56" i="27" s="1"/>
  <c r="AD52" i="27"/>
  <c r="BL52" i="27" s="1"/>
  <c r="AD55" i="27"/>
  <c r="BL55" i="27" s="1"/>
  <c r="AD51" i="27"/>
  <c r="BL51" i="27" s="1"/>
  <c r="Y146" i="27"/>
  <c r="BG146" i="27" s="1"/>
  <c r="Y144" i="27"/>
  <c r="BG144" i="27" s="1"/>
  <c r="Y145" i="27"/>
  <c r="BG145" i="27" s="1"/>
  <c r="Y142" i="27"/>
  <c r="BG142" i="27" s="1"/>
  <c r="Y147" i="27"/>
  <c r="BG147" i="27" s="1"/>
  <c r="Y141" i="27"/>
  <c r="BG141" i="27" s="1"/>
  <c r="Y143" i="27"/>
  <c r="BG143" i="27" s="1"/>
  <c r="Y100" i="27"/>
  <c r="BG100" i="27" s="1"/>
  <c r="Y98" i="27"/>
  <c r="BG98" i="27" s="1"/>
  <c r="Y96" i="27"/>
  <c r="BG96" i="27" s="1"/>
  <c r="Y97" i="27"/>
  <c r="BG97" i="27" s="1"/>
  <c r="Y102" i="27"/>
  <c r="BG102" i="27" s="1"/>
  <c r="Y101" i="27"/>
  <c r="BG101" i="27" s="1"/>
  <c r="Y99" i="27"/>
  <c r="BG99" i="27" s="1"/>
  <c r="E78" i="21" a="1"/>
  <c r="E78" i="21" s="1"/>
  <c r="BD150" i="27"/>
  <c r="BD151" i="27"/>
  <c r="BD153" i="27"/>
  <c r="BD154" i="27"/>
  <c r="BD152" i="27"/>
  <c r="BD155" i="27"/>
  <c r="AE54" i="27"/>
  <c r="BM54" i="27" s="1"/>
  <c r="AE55" i="27"/>
  <c r="BM55" i="27" s="1"/>
  <c r="AE56" i="27"/>
  <c r="BM56" i="27" s="1"/>
  <c r="AE57" i="27"/>
  <c r="BM57" i="27" s="1"/>
  <c r="AE52" i="27"/>
  <c r="BM52" i="27" s="1"/>
  <c r="AE51" i="27"/>
  <c r="BM51" i="27" s="1"/>
  <c r="AE53" i="27"/>
  <c r="BM53" i="27" s="1"/>
  <c r="BE103" i="27"/>
  <c r="AD143" i="27"/>
  <c r="BL143" i="27" s="1"/>
  <c r="AD144" i="27"/>
  <c r="BL144" i="27" s="1"/>
  <c r="AD145" i="27"/>
  <c r="BL145" i="27" s="1"/>
  <c r="AD146" i="27"/>
  <c r="BL146" i="27" s="1"/>
  <c r="AD142" i="27"/>
  <c r="BL142" i="27" s="1"/>
  <c r="AD141" i="27"/>
  <c r="BL141" i="27" s="1"/>
  <c r="AD147" i="27"/>
  <c r="BL147" i="27" s="1"/>
  <c r="AE101" i="27"/>
  <c r="BM101" i="27" s="1"/>
  <c r="AE99" i="27"/>
  <c r="BM99" i="27" s="1"/>
  <c r="AE100" i="27"/>
  <c r="BM100" i="27" s="1"/>
  <c r="AE98" i="27"/>
  <c r="BM98" i="27" s="1"/>
  <c r="AE97" i="27"/>
  <c r="BM97" i="27" s="1"/>
  <c r="AE102" i="27"/>
  <c r="BM102" i="27" s="1"/>
  <c r="AE96" i="27"/>
  <c r="BM96" i="27" s="1"/>
  <c r="E74" i="21" a="1"/>
  <c r="E74" i="21" s="1"/>
  <c r="BE148" i="27"/>
  <c r="Y55" i="27"/>
  <c r="BG55" i="27" s="1"/>
  <c r="Y57" i="27"/>
  <c r="BG57" i="27" s="1"/>
  <c r="Y56" i="27"/>
  <c r="BG56" i="27" s="1"/>
  <c r="Y52" i="27"/>
  <c r="BG52" i="27" s="1"/>
  <c r="Y53" i="27"/>
  <c r="BG53" i="27" s="1"/>
  <c r="BE140" i="27"/>
  <c r="G75" i="21" a="1"/>
  <c r="G75" i="21" s="1"/>
  <c r="I75" i="21" a="1"/>
  <c r="I75" i="21" s="1"/>
  <c r="E75" i="21" a="1"/>
  <c r="E75" i="21" s="1"/>
  <c r="H75" i="21" a="1"/>
  <c r="H75" i="21" s="1"/>
  <c r="E42" i="19"/>
  <c r="D75" i="21" a="1"/>
  <c r="D75" i="21" s="1"/>
  <c r="E43" i="19"/>
  <c r="D74" i="21" a="1"/>
  <c r="D74" i="21" s="1"/>
  <c r="L75" i="21" a="1"/>
  <c r="L75" i="21" s="1"/>
  <c r="J75" i="21" a="1"/>
  <c r="J75" i="21" s="1"/>
  <c r="M75" i="21" a="1"/>
  <c r="M75" i="21" s="1"/>
  <c r="L89" i="21" a="1"/>
  <c r="L89" i="21" s="1"/>
  <c r="G89" i="21" a="1"/>
  <c r="G89" i="21" s="1"/>
  <c r="H89" i="21" a="1"/>
  <c r="H89" i="21" s="1"/>
  <c r="J89" i="21" a="1"/>
  <c r="J89" i="21" s="1"/>
  <c r="I89" i="21" a="1"/>
  <c r="I89" i="21" s="1"/>
  <c r="M89" i="21" a="1"/>
  <c r="M89" i="21" s="1"/>
  <c r="D89" i="21" a="1"/>
  <c r="D89" i="21" s="1"/>
  <c r="E89" i="21" a="1"/>
  <c r="E89" i="21" s="1"/>
  <c r="D88" i="21" a="1"/>
  <c r="D88" i="21" s="1"/>
  <c r="F12" i="10"/>
  <c r="F7" i="10"/>
  <c r="J35" i="21" a="1"/>
  <c r="J35" i="21" s="1"/>
  <c r="G35" i="21" a="1"/>
  <c r="G35" i="21" s="1"/>
  <c r="M35" i="21" a="1"/>
  <c r="M35" i="21" s="1"/>
  <c r="F16" i="10"/>
  <c r="H35" i="21" a="1"/>
  <c r="H35" i="21" s="1"/>
  <c r="F11" i="10"/>
  <c r="L35" i="21" a="1"/>
  <c r="L35" i="21" s="1"/>
  <c r="F15" i="10"/>
  <c r="E35" i="21" a="1"/>
  <c r="E35" i="21" s="1"/>
  <c r="F8" i="10"/>
  <c r="K92" i="10"/>
  <c r="M63" i="21" a="1"/>
  <c r="M63" i="21" s="1"/>
  <c r="K68" i="10"/>
  <c r="H49" i="21" a="1"/>
  <c r="H49" i="21" s="1"/>
  <c r="J86" i="10"/>
  <c r="G62" i="21" a="1"/>
  <c r="G62" i="21" s="1"/>
  <c r="G86" i="10"/>
  <c r="E86" i="10"/>
  <c r="G64" i="21" s="1" a="1"/>
  <c r="G64" i="21" s="1"/>
  <c r="E81" i="19"/>
  <c r="G60" i="21" s="1" a="1"/>
  <c r="G60" i="21" s="1"/>
  <c r="J67" i="10"/>
  <c r="G48" i="21" a="1"/>
  <c r="G48" i="21" s="1"/>
  <c r="E63" i="19"/>
  <c r="G46" i="21" s="1" a="1"/>
  <c r="G46" i="21" s="1"/>
  <c r="G67" i="10"/>
  <c r="E67" i="10"/>
  <c r="G50" i="21" s="1" a="1"/>
  <c r="G50" i="21" s="1"/>
  <c r="K91" i="10"/>
  <c r="L63" i="21" a="1"/>
  <c r="L63" i="21" s="1"/>
  <c r="I34" i="21" a="1"/>
  <c r="I34" i="21" s="1"/>
  <c r="E50" i="10"/>
  <c r="E47" i="19"/>
  <c r="G50" i="10"/>
  <c r="K70" i="10"/>
  <c r="J49" i="21" a="1"/>
  <c r="J49" i="21" s="1"/>
  <c r="J70" i="10"/>
  <c r="J48" i="21" a="1"/>
  <c r="J48" i="21" s="1"/>
  <c r="G70" i="10"/>
  <c r="J50" i="21" a="1"/>
  <c r="J50" i="21" s="1"/>
  <c r="J46" i="21" a="1"/>
  <c r="J46" i="21" s="1"/>
  <c r="K50" i="10"/>
  <c r="I35" i="21" a="1"/>
  <c r="I35" i="21" s="1"/>
  <c r="K88" i="10"/>
  <c r="I63" i="21" a="1"/>
  <c r="I63" i="21" s="1"/>
  <c r="J49" i="10"/>
  <c r="H34" i="21" a="1"/>
  <c r="H34" i="21" s="1"/>
  <c r="G49" i="10"/>
  <c r="E46" i="19"/>
  <c r="E49" i="10"/>
  <c r="J88" i="10"/>
  <c r="I62" i="21" a="1"/>
  <c r="I62" i="21" s="1"/>
  <c r="G88" i="10"/>
  <c r="E88" i="10"/>
  <c r="I64" i="21" s="1" a="1"/>
  <c r="I64" i="21" s="1"/>
  <c r="J69" i="10"/>
  <c r="I48" i="21" a="1"/>
  <c r="I48" i="21" s="1"/>
  <c r="G69" i="10"/>
  <c r="E65" i="19"/>
  <c r="I46" i="21" s="1" a="1"/>
  <c r="I46" i="21" s="1"/>
  <c r="E69" i="10"/>
  <c r="I50" i="21" s="1" a="1"/>
  <c r="I50" i="21" s="1"/>
  <c r="G47" i="10"/>
  <c r="F35" i="21" a="1"/>
  <c r="F35" i="21" s="1"/>
  <c r="K73" i="10"/>
  <c r="M49" i="21" a="1"/>
  <c r="M49" i="21" s="1"/>
  <c r="J89" i="10"/>
  <c r="J62" i="21" a="1"/>
  <c r="J62" i="21" s="1"/>
  <c r="J60" i="21" a="1"/>
  <c r="J60" i="21" s="1"/>
  <c r="G89" i="10"/>
  <c r="J64" i="21" a="1"/>
  <c r="J64" i="21" s="1"/>
  <c r="J65" i="10"/>
  <c r="E48" i="21" a="1"/>
  <c r="E48" i="21" s="1"/>
  <c r="E65" i="10"/>
  <c r="G65" i="10"/>
  <c r="E61" i="19"/>
  <c r="D78" i="21" a="1"/>
  <c r="D78" i="21" s="1"/>
  <c r="O35" i="21" a="1"/>
  <c r="O35" i="21" s="1"/>
  <c r="K67" i="10"/>
  <c r="G49" i="21" a="1"/>
  <c r="G49" i="21" s="1"/>
  <c r="J87" i="10"/>
  <c r="H62" i="21" a="1"/>
  <c r="H62" i="21" s="1"/>
  <c r="G87" i="10"/>
  <c r="E87" i="10"/>
  <c r="H64" i="21" s="1" a="1"/>
  <c r="H64" i="21" s="1"/>
  <c r="E82" i="19"/>
  <c r="H60" i="21" s="1" a="1"/>
  <c r="H60" i="21" s="1"/>
  <c r="J72" i="10"/>
  <c r="L48" i="21" a="1"/>
  <c r="L48" i="21" s="1"/>
  <c r="E72" i="10"/>
  <c r="L50" i="21" s="1" a="1"/>
  <c r="L50" i="21" s="1"/>
  <c r="E68" i="19"/>
  <c r="L46" i="21" s="1" a="1"/>
  <c r="L46" i="21" s="1"/>
  <c r="G72" i="10"/>
  <c r="F36" i="21" a="1"/>
  <c r="F36" i="21" s="1"/>
  <c r="K83" i="10"/>
  <c r="D63" i="21" a="1"/>
  <c r="D63" i="21" s="1"/>
  <c r="M34" i="21" a="1"/>
  <c r="M34" i="21" s="1"/>
  <c r="E54" i="10"/>
  <c r="G54" i="10"/>
  <c r="E51" i="19"/>
  <c r="K65" i="10"/>
  <c r="E49" i="21" a="1"/>
  <c r="E49" i="21" s="1"/>
  <c r="J91" i="10"/>
  <c r="L62" i="21" a="1"/>
  <c r="L62" i="21" s="1"/>
  <c r="G91" i="10"/>
  <c r="E86" i="19"/>
  <c r="L60" i="21" s="1" a="1"/>
  <c r="L60" i="21" s="1"/>
  <c r="E91" i="10"/>
  <c r="L64" i="21" s="1" a="1"/>
  <c r="L64" i="21" s="1"/>
  <c r="J73" i="10"/>
  <c r="M48" i="21" a="1"/>
  <c r="M48" i="21" s="1"/>
  <c r="E73" i="10"/>
  <c r="M50" i="21" s="1" a="1"/>
  <c r="M50" i="21" s="1"/>
  <c r="E69" i="19"/>
  <c r="M46" i="21" s="1" a="1"/>
  <c r="M46" i="21" s="1"/>
  <c r="G73" i="10"/>
  <c r="D92" i="21" a="1"/>
  <c r="D92" i="21" s="1"/>
  <c r="K84" i="10"/>
  <c r="E63" i="21" a="1"/>
  <c r="E63" i="21" s="1"/>
  <c r="G34" i="21" a="1"/>
  <c r="G34" i="21" s="1"/>
  <c r="E48" i="10"/>
  <c r="E45" i="19"/>
  <c r="G48" i="10"/>
  <c r="K72" i="10"/>
  <c r="L49" i="21" a="1"/>
  <c r="L49" i="21" s="1"/>
  <c r="J84" i="10"/>
  <c r="E62" i="21" a="1"/>
  <c r="E62" i="21" s="1"/>
  <c r="E84" i="10"/>
  <c r="G84" i="10"/>
  <c r="E79" i="19"/>
  <c r="K89" i="10"/>
  <c r="J63" i="21" a="1"/>
  <c r="J63" i="21" s="1"/>
  <c r="J34" i="21" a="1"/>
  <c r="J34" i="21" s="1"/>
  <c r="G51" i="10"/>
  <c r="K64" i="10"/>
  <c r="D49" i="21" a="1"/>
  <c r="D49" i="21" s="1"/>
  <c r="J92" i="10"/>
  <c r="M62" i="21" a="1"/>
  <c r="M62" i="21" s="1"/>
  <c r="G92" i="10"/>
  <c r="E92" i="10"/>
  <c r="M64" i="21" s="1" a="1"/>
  <c r="M64" i="21" s="1"/>
  <c r="E87" i="19"/>
  <c r="M60" i="21" s="1" a="1"/>
  <c r="M60" i="21" s="1"/>
  <c r="L34" i="21" a="1"/>
  <c r="L34" i="21" s="1"/>
  <c r="E50" i="19"/>
  <c r="E53" i="10"/>
  <c r="G53" i="10"/>
  <c r="K86" i="10"/>
  <c r="G63" i="21" a="1"/>
  <c r="G63" i="21" s="1"/>
  <c r="J45" i="10"/>
  <c r="D34" i="21" a="1"/>
  <c r="D34" i="21" s="1"/>
  <c r="G45" i="10"/>
  <c r="E45" i="10"/>
  <c r="K69" i="10"/>
  <c r="I49" i="21" a="1"/>
  <c r="I49" i="21" s="1"/>
  <c r="J68" i="10"/>
  <c r="H48" i="21" a="1"/>
  <c r="H48" i="21" s="1"/>
  <c r="G68" i="10"/>
  <c r="E64" i="19"/>
  <c r="H46" i="21" s="1" a="1"/>
  <c r="H46" i="21" s="1"/>
  <c r="E68" i="10"/>
  <c r="H50" i="21" s="1" a="1"/>
  <c r="H50" i="21" s="1"/>
  <c r="K45" i="10"/>
  <c r="D35" i="21" a="1"/>
  <c r="D35" i="21" s="1"/>
  <c r="K87" i="10"/>
  <c r="H63" i="21" a="1"/>
  <c r="H63" i="21" s="1"/>
  <c r="J46" i="10"/>
  <c r="E34" i="21" a="1"/>
  <c r="E34" i="21" s="1"/>
  <c r="G46" i="10"/>
  <c r="E46" i="10"/>
  <c r="J83" i="10"/>
  <c r="D62" i="21" a="1"/>
  <c r="D62" i="21" s="1"/>
  <c r="E78" i="19"/>
  <c r="E83" i="10"/>
  <c r="G83" i="10"/>
  <c r="J64" i="10"/>
  <c r="D48" i="21" a="1"/>
  <c r="D48" i="21" s="1"/>
  <c r="E64" i="10"/>
  <c r="G64" i="10"/>
  <c r="E60" i="19"/>
  <c r="D103" i="14"/>
  <c r="D114" i="14" s="1"/>
  <c r="G79" i="14"/>
  <c r="HP12" i="3"/>
  <c r="HQ12" i="3"/>
  <c r="HR12" i="3"/>
  <c r="HS12" i="3"/>
  <c r="HT12" i="3"/>
  <c r="HU12" i="3"/>
  <c r="HV12" i="3"/>
  <c r="HW12" i="3"/>
  <c r="HX12" i="3"/>
  <c r="HY12" i="3"/>
  <c r="HP13" i="3"/>
  <c r="HQ13" i="3"/>
  <c r="HR13" i="3"/>
  <c r="HS13" i="3"/>
  <c r="HT13" i="3"/>
  <c r="HU13" i="3"/>
  <c r="HV13" i="3"/>
  <c r="HW13" i="3"/>
  <c r="HX13" i="3"/>
  <c r="HY13" i="3"/>
  <c r="HP14" i="3"/>
  <c r="HQ14" i="3"/>
  <c r="HR14" i="3"/>
  <c r="HS14" i="3"/>
  <c r="HT14" i="3"/>
  <c r="HU14" i="3"/>
  <c r="HV14" i="3"/>
  <c r="HW14" i="3"/>
  <c r="HX14" i="3"/>
  <c r="HY14" i="3"/>
  <c r="HP15" i="3"/>
  <c r="HQ15" i="3"/>
  <c r="HR15" i="3"/>
  <c r="HS15" i="3"/>
  <c r="HT15" i="3"/>
  <c r="HU15" i="3"/>
  <c r="HV15" i="3"/>
  <c r="HW15" i="3"/>
  <c r="HX15" i="3"/>
  <c r="HY15" i="3"/>
  <c r="HP16" i="3"/>
  <c r="HQ16" i="3"/>
  <c r="HR16" i="3"/>
  <c r="HS16" i="3"/>
  <c r="HT16" i="3"/>
  <c r="HU16" i="3"/>
  <c r="HV16" i="3"/>
  <c r="HW16" i="3"/>
  <c r="HX16" i="3"/>
  <c r="HY16" i="3"/>
  <c r="HP17" i="3"/>
  <c r="HQ17" i="3"/>
  <c r="HR17" i="3"/>
  <c r="HS17" i="3"/>
  <c r="HT17" i="3"/>
  <c r="HU17" i="3"/>
  <c r="HV17" i="3"/>
  <c r="HW17" i="3"/>
  <c r="HX17" i="3"/>
  <c r="HY17" i="3"/>
  <c r="HP18" i="3"/>
  <c r="HQ18" i="3"/>
  <c r="HR18" i="3"/>
  <c r="HS18" i="3"/>
  <c r="HT18" i="3"/>
  <c r="HU18" i="3"/>
  <c r="HV18" i="3"/>
  <c r="HW18" i="3"/>
  <c r="HX18" i="3"/>
  <c r="HY18" i="3"/>
  <c r="HP19" i="3"/>
  <c r="HQ19" i="3"/>
  <c r="HR19" i="3"/>
  <c r="HS19" i="3"/>
  <c r="HT19" i="3"/>
  <c r="HU19" i="3"/>
  <c r="HV19" i="3"/>
  <c r="HW19" i="3"/>
  <c r="HX19" i="3"/>
  <c r="HY19" i="3"/>
  <c r="HP20" i="3"/>
  <c r="HQ20" i="3"/>
  <c r="HR20" i="3"/>
  <c r="HS20" i="3"/>
  <c r="HT20" i="3"/>
  <c r="HU20" i="3"/>
  <c r="HV20" i="3"/>
  <c r="HW20" i="3"/>
  <c r="HX20" i="3"/>
  <c r="HY20" i="3"/>
  <c r="HP21" i="3"/>
  <c r="HQ21" i="3"/>
  <c r="HR21" i="3"/>
  <c r="HS21" i="3"/>
  <c r="HT21" i="3"/>
  <c r="HU21" i="3"/>
  <c r="HV21" i="3"/>
  <c r="HW21" i="3"/>
  <c r="HX21" i="3"/>
  <c r="HY21" i="3"/>
  <c r="HP22" i="3"/>
  <c r="HQ22" i="3"/>
  <c r="HR22" i="3"/>
  <c r="HS22" i="3"/>
  <c r="HT22" i="3"/>
  <c r="HU22" i="3"/>
  <c r="HV22" i="3"/>
  <c r="HW22" i="3"/>
  <c r="HX22" i="3"/>
  <c r="HY22" i="3"/>
  <c r="HP23" i="3"/>
  <c r="HQ23" i="3"/>
  <c r="HR23" i="3"/>
  <c r="HS23" i="3"/>
  <c r="HT23" i="3"/>
  <c r="HU23" i="3"/>
  <c r="HV23" i="3"/>
  <c r="HW23" i="3"/>
  <c r="HX23" i="3"/>
  <c r="HY23" i="3"/>
  <c r="HP24" i="3"/>
  <c r="HQ24" i="3"/>
  <c r="HR24" i="3"/>
  <c r="HS24" i="3"/>
  <c r="HT24" i="3"/>
  <c r="HU24" i="3"/>
  <c r="HV24" i="3"/>
  <c r="HW24" i="3"/>
  <c r="HX24" i="3"/>
  <c r="HY24" i="3"/>
  <c r="HP25" i="3"/>
  <c r="HQ25" i="3"/>
  <c r="HR25" i="3"/>
  <c r="HS25" i="3"/>
  <c r="HT25" i="3"/>
  <c r="HU25" i="3"/>
  <c r="HV25" i="3"/>
  <c r="HW25" i="3"/>
  <c r="HX25" i="3"/>
  <c r="HY25" i="3"/>
  <c r="HP26" i="3"/>
  <c r="HQ26" i="3"/>
  <c r="HR26" i="3"/>
  <c r="HS26" i="3"/>
  <c r="HT26" i="3"/>
  <c r="HU26" i="3"/>
  <c r="HV26" i="3"/>
  <c r="HW26" i="3"/>
  <c r="HX26" i="3"/>
  <c r="HY26" i="3"/>
  <c r="HP27" i="3"/>
  <c r="HQ27" i="3"/>
  <c r="HR27" i="3"/>
  <c r="HS27" i="3"/>
  <c r="HT27" i="3"/>
  <c r="HU27" i="3"/>
  <c r="HV27" i="3"/>
  <c r="HW27" i="3"/>
  <c r="HX27" i="3"/>
  <c r="HY27" i="3"/>
  <c r="HP28" i="3"/>
  <c r="HQ28" i="3"/>
  <c r="HR28" i="3"/>
  <c r="HS28" i="3"/>
  <c r="HT28" i="3"/>
  <c r="HU28" i="3"/>
  <c r="HV28" i="3"/>
  <c r="HW28" i="3"/>
  <c r="HX28" i="3"/>
  <c r="HY28" i="3"/>
  <c r="HP29" i="3"/>
  <c r="HQ29" i="3"/>
  <c r="HR29" i="3"/>
  <c r="HS29" i="3"/>
  <c r="HT29" i="3"/>
  <c r="HU29" i="3"/>
  <c r="HV29" i="3"/>
  <c r="HW29" i="3"/>
  <c r="HX29" i="3"/>
  <c r="HY29" i="3"/>
  <c r="HP30" i="3"/>
  <c r="HQ30" i="3"/>
  <c r="HR30" i="3"/>
  <c r="HS30" i="3"/>
  <c r="HT30" i="3"/>
  <c r="HU30" i="3"/>
  <c r="HV30" i="3"/>
  <c r="HW30" i="3"/>
  <c r="HX30" i="3"/>
  <c r="HY30" i="3"/>
  <c r="HP31" i="3"/>
  <c r="HQ31" i="3"/>
  <c r="HR31" i="3"/>
  <c r="HS31" i="3"/>
  <c r="HT31" i="3"/>
  <c r="HU31" i="3"/>
  <c r="HV31" i="3"/>
  <c r="HW31" i="3"/>
  <c r="HX31" i="3"/>
  <c r="HY31" i="3"/>
  <c r="HP32" i="3"/>
  <c r="HQ32" i="3"/>
  <c r="HR32" i="3"/>
  <c r="HS32" i="3"/>
  <c r="HT32" i="3"/>
  <c r="HU32" i="3"/>
  <c r="HV32" i="3"/>
  <c r="HW32" i="3"/>
  <c r="HX32" i="3"/>
  <c r="HY32" i="3"/>
  <c r="HP33" i="3"/>
  <c r="HQ33" i="3"/>
  <c r="HR33" i="3"/>
  <c r="HS33" i="3"/>
  <c r="HT33" i="3"/>
  <c r="HU33" i="3"/>
  <c r="HV33" i="3"/>
  <c r="HW33" i="3"/>
  <c r="HX33" i="3"/>
  <c r="HY33" i="3"/>
  <c r="HP34" i="3"/>
  <c r="HQ34" i="3"/>
  <c r="HR34" i="3"/>
  <c r="HS34" i="3"/>
  <c r="HT34" i="3"/>
  <c r="HU34" i="3"/>
  <c r="HV34" i="3"/>
  <c r="HW34" i="3"/>
  <c r="HX34" i="3"/>
  <c r="HY34" i="3"/>
  <c r="HP35" i="3"/>
  <c r="HQ35" i="3"/>
  <c r="HR35" i="3"/>
  <c r="HS35" i="3"/>
  <c r="HT35" i="3"/>
  <c r="HU35" i="3"/>
  <c r="HV35" i="3"/>
  <c r="HW35" i="3"/>
  <c r="HX35" i="3"/>
  <c r="HY35" i="3"/>
  <c r="HP36" i="3"/>
  <c r="HQ36" i="3"/>
  <c r="HR36" i="3"/>
  <c r="HS36" i="3"/>
  <c r="HT36" i="3"/>
  <c r="HU36" i="3"/>
  <c r="HV36" i="3"/>
  <c r="HW36" i="3"/>
  <c r="HX36" i="3"/>
  <c r="HY36" i="3"/>
  <c r="HP37" i="3"/>
  <c r="HQ37" i="3"/>
  <c r="HR37" i="3"/>
  <c r="HS37" i="3"/>
  <c r="HT37" i="3"/>
  <c r="HU37" i="3"/>
  <c r="HV37" i="3"/>
  <c r="HW37" i="3"/>
  <c r="HX37" i="3"/>
  <c r="HY37" i="3"/>
  <c r="HP38" i="3"/>
  <c r="HQ38" i="3"/>
  <c r="HR38" i="3"/>
  <c r="HS38" i="3"/>
  <c r="HT38" i="3"/>
  <c r="HU38" i="3"/>
  <c r="HV38" i="3"/>
  <c r="HW38" i="3"/>
  <c r="HX38" i="3"/>
  <c r="HY38" i="3"/>
  <c r="HP39" i="3"/>
  <c r="HQ39" i="3"/>
  <c r="HR39" i="3"/>
  <c r="HS39" i="3"/>
  <c r="HT39" i="3"/>
  <c r="HU39" i="3"/>
  <c r="HV39" i="3"/>
  <c r="HW39" i="3"/>
  <c r="HX39" i="3"/>
  <c r="HY39" i="3"/>
  <c r="HP40" i="3"/>
  <c r="HQ40" i="3"/>
  <c r="HR40" i="3"/>
  <c r="HS40" i="3"/>
  <c r="HT40" i="3"/>
  <c r="HU40" i="3"/>
  <c r="HV40" i="3"/>
  <c r="HW40" i="3"/>
  <c r="HX40" i="3"/>
  <c r="HY40" i="3"/>
  <c r="HP41" i="3"/>
  <c r="HQ41" i="3"/>
  <c r="HR41" i="3"/>
  <c r="HS41" i="3"/>
  <c r="HT41" i="3"/>
  <c r="HU41" i="3"/>
  <c r="HV41" i="3"/>
  <c r="HW41" i="3"/>
  <c r="HX41" i="3"/>
  <c r="HY41" i="3"/>
  <c r="HP42" i="3"/>
  <c r="HQ42" i="3"/>
  <c r="HR42" i="3"/>
  <c r="HS42" i="3"/>
  <c r="HT42" i="3"/>
  <c r="HU42" i="3"/>
  <c r="HV42" i="3"/>
  <c r="HW42" i="3"/>
  <c r="HX42" i="3"/>
  <c r="HY42" i="3"/>
  <c r="HP43" i="3"/>
  <c r="HQ43" i="3"/>
  <c r="HR43" i="3"/>
  <c r="HS43" i="3"/>
  <c r="HT43" i="3"/>
  <c r="HU43" i="3"/>
  <c r="HV43" i="3"/>
  <c r="HW43" i="3"/>
  <c r="HX43" i="3"/>
  <c r="HY43" i="3"/>
  <c r="HP44" i="3"/>
  <c r="HQ44" i="3"/>
  <c r="HR44" i="3"/>
  <c r="HS44" i="3"/>
  <c r="HT44" i="3"/>
  <c r="HU44" i="3"/>
  <c r="HV44" i="3"/>
  <c r="HW44" i="3"/>
  <c r="HX44" i="3"/>
  <c r="HY44" i="3"/>
  <c r="HP45" i="3"/>
  <c r="HQ45" i="3"/>
  <c r="HR45" i="3"/>
  <c r="HS45" i="3"/>
  <c r="HT45" i="3"/>
  <c r="HU45" i="3"/>
  <c r="HV45" i="3"/>
  <c r="HW45" i="3"/>
  <c r="HX45" i="3"/>
  <c r="HY45" i="3"/>
  <c r="HP46" i="3"/>
  <c r="HQ46" i="3"/>
  <c r="HR46" i="3"/>
  <c r="HS46" i="3"/>
  <c r="HT46" i="3"/>
  <c r="HU46" i="3"/>
  <c r="HV46" i="3"/>
  <c r="HW46" i="3"/>
  <c r="HX46" i="3"/>
  <c r="HY46" i="3"/>
  <c r="HQ47" i="3"/>
  <c r="HR47" i="3"/>
  <c r="HS47" i="3"/>
  <c r="HT47" i="3"/>
  <c r="HU47" i="3"/>
  <c r="HV47" i="3"/>
  <c r="HW47" i="3"/>
  <c r="HX47" i="3"/>
  <c r="HY47" i="3"/>
  <c r="HQ48" i="3"/>
  <c r="HR48" i="3"/>
  <c r="HS48" i="3"/>
  <c r="HT48" i="3"/>
  <c r="HU48" i="3"/>
  <c r="HV48" i="3"/>
  <c r="HW48" i="3"/>
  <c r="HX48" i="3"/>
  <c r="HY48" i="3"/>
  <c r="HQ49" i="3"/>
  <c r="HR49" i="3"/>
  <c r="HS49" i="3"/>
  <c r="HT49" i="3"/>
  <c r="HU49" i="3"/>
  <c r="HV49" i="3"/>
  <c r="HW49" i="3"/>
  <c r="HX49" i="3"/>
  <c r="HY49" i="3"/>
  <c r="HQ50" i="3"/>
  <c r="HR50" i="3"/>
  <c r="HS50" i="3"/>
  <c r="HT50" i="3"/>
  <c r="HU50" i="3"/>
  <c r="HV50" i="3"/>
  <c r="HW50" i="3"/>
  <c r="HX50" i="3"/>
  <c r="HY50" i="3"/>
  <c r="HQ51" i="3"/>
  <c r="HR51" i="3"/>
  <c r="HS51" i="3"/>
  <c r="HT51" i="3"/>
  <c r="HU51" i="3"/>
  <c r="HV51" i="3"/>
  <c r="HW51" i="3"/>
  <c r="HX51" i="3"/>
  <c r="HY51" i="3"/>
  <c r="HQ52" i="3"/>
  <c r="HR52" i="3"/>
  <c r="HS52" i="3"/>
  <c r="HT52" i="3"/>
  <c r="HU52" i="3"/>
  <c r="HV52" i="3"/>
  <c r="HW52" i="3"/>
  <c r="HX52" i="3"/>
  <c r="HY52" i="3"/>
  <c r="HQ53" i="3"/>
  <c r="HR53" i="3"/>
  <c r="HS53" i="3"/>
  <c r="HT53" i="3"/>
  <c r="HU53" i="3"/>
  <c r="HV53" i="3"/>
  <c r="HW53" i="3"/>
  <c r="HX53" i="3"/>
  <c r="HY53" i="3"/>
  <c r="HQ54" i="3"/>
  <c r="HR54" i="3"/>
  <c r="HS54" i="3"/>
  <c r="HT54" i="3"/>
  <c r="HU54" i="3"/>
  <c r="HV54" i="3"/>
  <c r="HW54" i="3"/>
  <c r="HX54" i="3"/>
  <c r="HY54" i="3"/>
  <c r="HQ55" i="3"/>
  <c r="HR55" i="3"/>
  <c r="HS55" i="3"/>
  <c r="HT55" i="3"/>
  <c r="HU55" i="3"/>
  <c r="HV55" i="3"/>
  <c r="HW55" i="3"/>
  <c r="HX55" i="3"/>
  <c r="HY55" i="3"/>
  <c r="HQ56" i="3"/>
  <c r="HR56" i="3"/>
  <c r="HS56" i="3"/>
  <c r="HT56" i="3"/>
  <c r="HU56" i="3"/>
  <c r="HV56" i="3"/>
  <c r="HW56" i="3"/>
  <c r="HX56" i="3"/>
  <c r="HY56" i="3"/>
  <c r="HQ57" i="3"/>
  <c r="HR57" i="3"/>
  <c r="HS57" i="3"/>
  <c r="HT57" i="3"/>
  <c r="HU57" i="3"/>
  <c r="HV57" i="3"/>
  <c r="HW57" i="3"/>
  <c r="HX57" i="3"/>
  <c r="HY57" i="3"/>
  <c r="HY11" i="3"/>
  <c r="HX11" i="3"/>
  <c r="HW11" i="3"/>
  <c r="HV11" i="3"/>
  <c r="HU11" i="3"/>
  <c r="HT11" i="3"/>
  <c r="HS11" i="3"/>
  <c r="HR11" i="3"/>
  <c r="HQ11" i="3"/>
  <c r="HP11" i="3"/>
  <c r="HF43" i="3"/>
  <c r="HD12" i="3"/>
  <c r="HE12" i="3"/>
  <c r="HF12" i="3"/>
  <c r="HG12" i="3"/>
  <c r="HH12" i="3"/>
  <c r="HI12" i="3"/>
  <c r="HJ12" i="3"/>
  <c r="HK12" i="3"/>
  <c r="HL12" i="3"/>
  <c r="HM12" i="3"/>
  <c r="HD13" i="3"/>
  <c r="HE13" i="3"/>
  <c r="HF13" i="3"/>
  <c r="HG13" i="3"/>
  <c r="HH13" i="3"/>
  <c r="HI13" i="3"/>
  <c r="HJ13" i="3"/>
  <c r="HK13" i="3"/>
  <c r="HL13" i="3"/>
  <c r="HM13" i="3"/>
  <c r="HD14" i="3"/>
  <c r="HE14" i="3"/>
  <c r="HF14" i="3"/>
  <c r="HG14" i="3"/>
  <c r="HH14" i="3"/>
  <c r="HI14" i="3"/>
  <c r="HJ14" i="3"/>
  <c r="HK14" i="3"/>
  <c r="HL14" i="3"/>
  <c r="HM14" i="3"/>
  <c r="HD15" i="3"/>
  <c r="HE15" i="3"/>
  <c r="HF15" i="3"/>
  <c r="HG15" i="3"/>
  <c r="HH15" i="3"/>
  <c r="HI15" i="3"/>
  <c r="HJ15" i="3"/>
  <c r="HK15" i="3"/>
  <c r="HL15" i="3"/>
  <c r="HM15" i="3"/>
  <c r="HD16" i="3"/>
  <c r="HE16" i="3"/>
  <c r="HF16" i="3"/>
  <c r="HG16" i="3"/>
  <c r="HH16" i="3"/>
  <c r="HI16" i="3"/>
  <c r="HJ16" i="3"/>
  <c r="HK16" i="3"/>
  <c r="HL16" i="3"/>
  <c r="HM16" i="3"/>
  <c r="HD17" i="3"/>
  <c r="HE17" i="3"/>
  <c r="HF17" i="3"/>
  <c r="HG17" i="3"/>
  <c r="HH17" i="3"/>
  <c r="HI17" i="3"/>
  <c r="HJ17" i="3"/>
  <c r="HK17" i="3"/>
  <c r="HL17" i="3"/>
  <c r="HM17" i="3"/>
  <c r="HD18" i="3"/>
  <c r="HE18" i="3"/>
  <c r="HF18" i="3"/>
  <c r="HG18" i="3"/>
  <c r="HH18" i="3"/>
  <c r="HI18" i="3"/>
  <c r="HJ18" i="3"/>
  <c r="HK18" i="3"/>
  <c r="HL18" i="3"/>
  <c r="HM18" i="3"/>
  <c r="HD19" i="3"/>
  <c r="HE19" i="3"/>
  <c r="HF19" i="3"/>
  <c r="HG19" i="3"/>
  <c r="HH19" i="3"/>
  <c r="HI19" i="3"/>
  <c r="HJ19" i="3"/>
  <c r="HK19" i="3"/>
  <c r="HL19" i="3"/>
  <c r="HM19" i="3"/>
  <c r="HD20" i="3"/>
  <c r="HE20" i="3"/>
  <c r="HF20" i="3"/>
  <c r="HG20" i="3"/>
  <c r="HH20" i="3"/>
  <c r="HI20" i="3"/>
  <c r="HJ20" i="3"/>
  <c r="HK20" i="3"/>
  <c r="HL20" i="3"/>
  <c r="HM20" i="3"/>
  <c r="HD21" i="3"/>
  <c r="HE21" i="3"/>
  <c r="HF21" i="3"/>
  <c r="HG21" i="3"/>
  <c r="HH21" i="3"/>
  <c r="HI21" i="3"/>
  <c r="HJ21" i="3"/>
  <c r="HK21" i="3"/>
  <c r="HL21" i="3"/>
  <c r="HM21" i="3"/>
  <c r="HD22" i="3"/>
  <c r="HE22" i="3"/>
  <c r="HF22" i="3"/>
  <c r="HG22" i="3"/>
  <c r="HH22" i="3"/>
  <c r="HI22" i="3"/>
  <c r="HJ22" i="3"/>
  <c r="HK22" i="3"/>
  <c r="HL22" i="3"/>
  <c r="HM22" i="3"/>
  <c r="HD23" i="3"/>
  <c r="HE23" i="3"/>
  <c r="HG23" i="3"/>
  <c r="HH23" i="3"/>
  <c r="HI23" i="3"/>
  <c r="HJ23" i="3"/>
  <c r="HK23" i="3"/>
  <c r="HL23" i="3"/>
  <c r="HM23" i="3"/>
  <c r="HD24" i="3"/>
  <c r="HE24" i="3"/>
  <c r="HF24" i="3"/>
  <c r="HG24" i="3"/>
  <c r="HH24" i="3"/>
  <c r="HI24" i="3"/>
  <c r="HJ24" i="3"/>
  <c r="HK24" i="3"/>
  <c r="HL24" i="3"/>
  <c r="HM24" i="3"/>
  <c r="HD25" i="3"/>
  <c r="HE25" i="3"/>
  <c r="HF25" i="3"/>
  <c r="HG25" i="3"/>
  <c r="HH25" i="3"/>
  <c r="HI25" i="3"/>
  <c r="HJ25" i="3"/>
  <c r="HK25" i="3"/>
  <c r="HL25" i="3"/>
  <c r="HM25" i="3"/>
  <c r="HD26" i="3"/>
  <c r="HE26" i="3"/>
  <c r="HF26" i="3"/>
  <c r="HG26" i="3"/>
  <c r="HH26" i="3"/>
  <c r="HI26" i="3"/>
  <c r="HJ26" i="3"/>
  <c r="HK26" i="3"/>
  <c r="HL26" i="3"/>
  <c r="HM26" i="3"/>
  <c r="HD27" i="3"/>
  <c r="HE27" i="3"/>
  <c r="HF27" i="3"/>
  <c r="HG27" i="3"/>
  <c r="HH27" i="3"/>
  <c r="HI27" i="3"/>
  <c r="HJ27" i="3"/>
  <c r="HK27" i="3"/>
  <c r="HL27" i="3"/>
  <c r="HM27" i="3"/>
  <c r="HD28" i="3"/>
  <c r="HE28" i="3"/>
  <c r="HF28" i="3"/>
  <c r="HG28" i="3"/>
  <c r="HH28" i="3"/>
  <c r="HI28" i="3"/>
  <c r="HJ28" i="3"/>
  <c r="HK28" i="3"/>
  <c r="HL28" i="3"/>
  <c r="HM28" i="3"/>
  <c r="HD29" i="3"/>
  <c r="HE29" i="3"/>
  <c r="HF29" i="3"/>
  <c r="HG29" i="3"/>
  <c r="HH29" i="3"/>
  <c r="HI29" i="3"/>
  <c r="HJ29" i="3"/>
  <c r="HK29" i="3"/>
  <c r="HL29" i="3"/>
  <c r="HM29" i="3"/>
  <c r="HD30" i="3"/>
  <c r="HE30" i="3"/>
  <c r="HF30" i="3"/>
  <c r="HG30" i="3"/>
  <c r="HH30" i="3"/>
  <c r="HI30" i="3"/>
  <c r="HJ30" i="3"/>
  <c r="HK30" i="3"/>
  <c r="HL30" i="3"/>
  <c r="HM30" i="3"/>
  <c r="HD31" i="3"/>
  <c r="HE31" i="3"/>
  <c r="HF31" i="3"/>
  <c r="HG31" i="3"/>
  <c r="HH31" i="3"/>
  <c r="HI31" i="3"/>
  <c r="HJ31" i="3"/>
  <c r="HK31" i="3"/>
  <c r="HL31" i="3"/>
  <c r="HM31" i="3"/>
  <c r="HD32" i="3"/>
  <c r="HE32" i="3"/>
  <c r="HF32" i="3"/>
  <c r="HG32" i="3"/>
  <c r="HH32" i="3"/>
  <c r="HI32" i="3"/>
  <c r="HJ32" i="3"/>
  <c r="HK32" i="3"/>
  <c r="HL32" i="3"/>
  <c r="HM32" i="3"/>
  <c r="HD33" i="3"/>
  <c r="HE33" i="3"/>
  <c r="HF33" i="3"/>
  <c r="HG33" i="3"/>
  <c r="HH33" i="3"/>
  <c r="HI33" i="3"/>
  <c r="HJ33" i="3"/>
  <c r="HK33" i="3"/>
  <c r="HL33" i="3"/>
  <c r="HM33" i="3"/>
  <c r="HD34" i="3"/>
  <c r="HE34" i="3"/>
  <c r="HF34" i="3"/>
  <c r="HG34" i="3"/>
  <c r="HH34" i="3"/>
  <c r="HI34" i="3"/>
  <c r="HJ34" i="3"/>
  <c r="HK34" i="3"/>
  <c r="HL34" i="3"/>
  <c r="HM34" i="3"/>
  <c r="HE35" i="3"/>
  <c r="HF35" i="3"/>
  <c r="HG35" i="3"/>
  <c r="HH35" i="3"/>
  <c r="HI35" i="3"/>
  <c r="HJ35" i="3"/>
  <c r="HK35" i="3"/>
  <c r="HL35" i="3"/>
  <c r="HM35" i="3"/>
  <c r="HD36" i="3"/>
  <c r="HE36" i="3"/>
  <c r="HF36" i="3"/>
  <c r="HG36" i="3"/>
  <c r="HH36" i="3"/>
  <c r="HI36" i="3"/>
  <c r="HJ36" i="3"/>
  <c r="HK36" i="3"/>
  <c r="HL36" i="3"/>
  <c r="HM36" i="3"/>
  <c r="HD37" i="3"/>
  <c r="HE37" i="3"/>
  <c r="HF37" i="3"/>
  <c r="HG37" i="3"/>
  <c r="HH37" i="3"/>
  <c r="HI37" i="3"/>
  <c r="HJ37" i="3"/>
  <c r="HK37" i="3"/>
  <c r="HL37" i="3"/>
  <c r="HM37" i="3"/>
  <c r="HD38" i="3"/>
  <c r="HE38" i="3"/>
  <c r="HF38" i="3"/>
  <c r="HG38" i="3"/>
  <c r="HH38" i="3"/>
  <c r="HI38" i="3"/>
  <c r="HJ38" i="3"/>
  <c r="HK38" i="3"/>
  <c r="HL38" i="3"/>
  <c r="HM38" i="3"/>
  <c r="HD39" i="3"/>
  <c r="HE39" i="3"/>
  <c r="HF39" i="3"/>
  <c r="HG39" i="3"/>
  <c r="HH39" i="3"/>
  <c r="HI39" i="3"/>
  <c r="HJ39" i="3"/>
  <c r="HK39" i="3"/>
  <c r="HL39" i="3"/>
  <c r="HM39" i="3"/>
  <c r="HD40" i="3"/>
  <c r="HE40" i="3"/>
  <c r="HF40" i="3"/>
  <c r="HG40" i="3"/>
  <c r="HH40" i="3"/>
  <c r="HI40" i="3"/>
  <c r="HJ40" i="3"/>
  <c r="HK40" i="3"/>
  <c r="HL40" i="3"/>
  <c r="HM40" i="3"/>
  <c r="HD41" i="3"/>
  <c r="HE41" i="3"/>
  <c r="HF41" i="3"/>
  <c r="HG41" i="3"/>
  <c r="HH41" i="3"/>
  <c r="HI41" i="3"/>
  <c r="HJ41" i="3"/>
  <c r="HK41" i="3"/>
  <c r="HL41" i="3"/>
  <c r="HM41" i="3"/>
  <c r="HD42" i="3"/>
  <c r="HE42" i="3"/>
  <c r="HF42" i="3"/>
  <c r="HG42" i="3"/>
  <c r="HH42" i="3"/>
  <c r="HI42" i="3"/>
  <c r="HJ42" i="3"/>
  <c r="HK42" i="3"/>
  <c r="HL42" i="3"/>
  <c r="HM42" i="3"/>
  <c r="HD43" i="3"/>
  <c r="HE43" i="3"/>
  <c r="HG43" i="3"/>
  <c r="HH43" i="3"/>
  <c r="HI43" i="3"/>
  <c r="HJ43" i="3"/>
  <c r="HK43" i="3"/>
  <c r="HL43" i="3"/>
  <c r="HM43" i="3"/>
  <c r="HD44" i="3"/>
  <c r="HE44" i="3"/>
  <c r="HF44" i="3"/>
  <c r="HG44" i="3"/>
  <c r="HH44" i="3"/>
  <c r="HI44" i="3"/>
  <c r="HJ44" i="3"/>
  <c r="HK44" i="3"/>
  <c r="HL44" i="3"/>
  <c r="HM44" i="3"/>
  <c r="HD45" i="3"/>
  <c r="HE45" i="3"/>
  <c r="HF45" i="3"/>
  <c r="HG45" i="3"/>
  <c r="HH45" i="3"/>
  <c r="HI45" i="3"/>
  <c r="HJ45" i="3"/>
  <c r="HK45" i="3"/>
  <c r="HL45" i="3"/>
  <c r="HM45" i="3"/>
  <c r="HD46" i="3"/>
  <c r="HE46" i="3"/>
  <c r="HF46" i="3"/>
  <c r="HG46" i="3"/>
  <c r="HH46" i="3"/>
  <c r="HI46" i="3"/>
  <c r="HJ46" i="3"/>
  <c r="HK46" i="3"/>
  <c r="HL46" i="3"/>
  <c r="HM46" i="3"/>
  <c r="HE47" i="3"/>
  <c r="HF47" i="3"/>
  <c r="HG47" i="3"/>
  <c r="HH47" i="3"/>
  <c r="HI47" i="3"/>
  <c r="HJ47" i="3"/>
  <c r="HK47" i="3"/>
  <c r="HL47" i="3"/>
  <c r="HM47" i="3"/>
  <c r="HD48" i="3"/>
  <c r="HE48" i="3"/>
  <c r="HF48" i="3"/>
  <c r="HG48" i="3"/>
  <c r="HH48" i="3"/>
  <c r="HI48" i="3"/>
  <c r="HJ48" i="3"/>
  <c r="HK48" i="3"/>
  <c r="HL48" i="3"/>
  <c r="HM48" i="3"/>
  <c r="HE49" i="3"/>
  <c r="HF49" i="3"/>
  <c r="HG49" i="3"/>
  <c r="HH49" i="3"/>
  <c r="HI49" i="3"/>
  <c r="HJ49" i="3"/>
  <c r="HK49" i="3"/>
  <c r="HL49" i="3"/>
  <c r="HM49" i="3"/>
  <c r="HD50" i="3"/>
  <c r="HE50" i="3"/>
  <c r="HF50" i="3"/>
  <c r="HG50" i="3"/>
  <c r="HH50" i="3"/>
  <c r="HI50" i="3"/>
  <c r="HJ50" i="3"/>
  <c r="HK50" i="3"/>
  <c r="HL50" i="3"/>
  <c r="HM50" i="3"/>
  <c r="HD51" i="3"/>
  <c r="HE51" i="3"/>
  <c r="HF51" i="3"/>
  <c r="HG51" i="3"/>
  <c r="HH51" i="3"/>
  <c r="HI51" i="3"/>
  <c r="HJ51" i="3"/>
  <c r="HK51" i="3"/>
  <c r="HL51" i="3"/>
  <c r="HM51" i="3"/>
  <c r="HD52" i="3"/>
  <c r="HE52" i="3"/>
  <c r="HF52" i="3"/>
  <c r="HG52" i="3"/>
  <c r="HH52" i="3"/>
  <c r="HI52" i="3"/>
  <c r="HJ52" i="3"/>
  <c r="HK52" i="3"/>
  <c r="HL52" i="3"/>
  <c r="HM52" i="3"/>
  <c r="HD53" i="3"/>
  <c r="HE53" i="3"/>
  <c r="HF53" i="3"/>
  <c r="HG53" i="3"/>
  <c r="HH53" i="3"/>
  <c r="HI53" i="3"/>
  <c r="HJ53" i="3"/>
  <c r="HK53" i="3"/>
  <c r="HL53" i="3"/>
  <c r="HM53" i="3"/>
  <c r="HD54" i="3"/>
  <c r="HE54" i="3"/>
  <c r="HF54" i="3"/>
  <c r="HG54" i="3"/>
  <c r="HH54" i="3"/>
  <c r="HI54" i="3"/>
  <c r="HJ54" i="3"/>
  <c r="HK54" i="3"/>
  <c r="HL54" i="3"/>
  <c r="HM54" i="3"/>
  <c r="HD55" i="3"/>
  <c r="HE55" i="3"/>
  <c r="HF55" i="3"/>
  <c r="HG55" i="3"/>
  <c r="HH55" i="3"/>
  <c r="HI55" i="3"/>
  <c r="HJ55" i="3"/>
  <c r="HK55" i="3"/>
  <c r="HL55" i="3"/>
  <c r="HM55" i="3"/>
  <c r="HD56" i="3"/>
  <c r="HE56" i="3"/>
  <c r="HF56" i="3"/>
  <c r="HG56" i="3"/>
  <c r="HH56" i="3"/>
  <c r="HI56" i="3"/>
  <c r="HJ56" i="3"/>
  <c r="HK56" i="3"/>
  <c r="HL56" i="3"/>
  <c r="HM56" i="3"/>
  <c r="HD57" i="3"/>
  <c r="HF57" i="3"/>
  <c r="HG57" i="3"/>
  <c r="HH57" i="3"/>
  <c r="HI57" i="3"/>
  <c r="HJ57" i="3"/>
  <c r="HK57" i="3"/>
  <c r="HL57" i="3"/>
  <c r="HM57" i="3"/>
  <c r="HM11" i="3"/>
  <c r="HL11" i="3"/>
  <c r="HK11" i="3"/>
  <c r="HJ11" i="3"/>
  <c r="HI11" i="3"/>
  <c r="HH11" i="3"/>
  <c r="HG11" i="3"/>
  <c r="HF11" i="3"/>
  <c r="HE11" i="3"/>
  <c r="HD11" i="3"/>
  <c r="G119" i="14"/>
  <c r="G139" i="14"/>
  <c r="D163" i="14"/>
  <c r="D174" i="14" s="1"/>
  <c r="G159" i="14"/>
  <c r="G99" i="14"/>
  <c r="D43" i="14"/>
  <c r="D63" i="14"/>
  <c r="G108" i="14"/>
  <c r="BD218" i="27" s="1"/>
  <c r="G184" i="14"/>
  <c r="G153" i="14"/>
  <c r="AA308" i="27" s="1" a="1"/>
  <c r="AA308" i="27" s="1"/>
  <c r="BI308" i="27" s="1"/>
  <c r="E97" i="14"/>
  <c r="AE165" i="27" s="1" a="1"/>
  <c r="AE165" i="27" s="1"/>
  <c r="BM165" i="27" s="1"/>
  <c r="D50" i="14" l="1"/>
  <c r="D55" i="14"/>
  <c r="D54" i="14"/>
  <c r="D75" i="14"/>
  <c r="K52" i="21" s="1" a="1"/>
  <c r="K52" i="21" s="1"/>
  <c r="D74" i="14"/>
  <c r="AA98" i="27"/>
  <c r="BI98" i="27" s="1"/>
  <c r="AA99" i="27"/>
  <c r="BI99" i="27" s="1"/>
  <c r="AA143" i="27"/>
  <c r="BI143" i="27" s="1"/>
  <c r="AA144" i="27"/>
  <c r="BI144" i="27" s="1"/>
  <c r="AA141" i="27"/>
  <c r="BI141" i="27" s="1"/>
  <c r="AA101" i="27"/>
  <c r="BI101" i="27" s="1"/>
  <c r="AA142" i="27"/>
  <c r="BI142" i="27" s="1"/>
  <c r="AA147" i="27"/>
  <c r="BI147" i="27" s="1"/>
  <c r="AA96" i="27"/>
  <c r="BI96" i="27" s="1"/>
  <c r="AA146" i="27"/>
  <c r="BI146" i="27" s="1"/>
  <c r="AA97" i="27"/>
  <c r="BI97" i="27" s="1"/>
  <c r="AA102" i="27"/>
  <c r="BI102" i="27" s="1"/>
  <c r="AA145" i="27"/>
  <c r="BI145" i="27" s="1"/>
  <c r="AA100" i="27"/>
  <c r="BI100" i="27" s="1"/>
  <c r="AA151" i="27"/>
  <c r="BI151" i="27" s="1"/>
  <c r="Y104" i="27"/>
  <c r="BG104" i="27" s="1"/>
  <c r="Y109" i="27"/>
  <c r="BG109" i="27" s="1"/>
  <c r="Y106" i="27"/>
  <c r="BG106" i="27" s="1"/>
  <c r="Z110" i="27"/>
  <c r="BH110" i="27" s="1"/>
  <c r="AD109" i="27"/>
  <c r="BL109" i="27" s="1"/>
  <c r="Y108" i="27"/>
  <c r="BG108" i="27" s="1"/>
  <c r="Z151" i="27"/>
  <c r="BH151" i="27" s="1"/>
  <c r="Z150" i="27"/>
  <c r="BH150" i="27" s="1"/>
  <c r="AD151" i="27"/>
  <c r="BL151" i="27" s="1"/>
  <c r="Z153" i="27"/>
  <c r="BH153" i="27" s="1"/>
  <c r="Z149" i="27"/>
  <c r="BH149" i="27" s="1"/>
  <c r="AB149" i="27"/>
  <c r="BJ149" i="27" s="1"/>
  <c r="Z155" i="27"/>
  <c r="BH155" i="27" s="1"/>
  <c r="Z152" i="27"/>
  <c r="BH152" i="27" s="1"/>
  <c r="AB152" i="27"/>
  <c r="BJ152" i="27" s="1"/>
  <c r="AB151" i="27"/>
  <c r="BJ151" i="27" s="1"/>
  <c r="AB155" i="27"/>
  <c r="BJ155" i="27" s="1"/>
  <c r="AB154" i="27"/>
  <c r="BJ154" i="27" s="1"/>
  <c r="AB153" i="27"/>
  <c r="BJ153" i="27" s="1"/>
  <c r="AB150" i="27"/>
  <c r="BJ150" i="27" s="1"/>
  <c r="Z62" i="27"/>
  <c r="BH62" i="27" s="1"/>
  <c r="Z61" i="27"/>
  <c r="BH61" i="27" s="1"/>
  <c r="Z60" i="27"/>
  <c r="BH60" i="27" s="1"/>
  <c r="Z63" i="27"/>
  <c r="BH63" i="27" s="1"/>
  <c r="AA62" i="27"/>
  <c r="BI62" i="27" s="1"/>
  <c r="AE59" i="27"/>
  <c r="BM59" i="27" s="1"/>
  <c r="Y65" i="27"/>
  <c r="BG65" i="27" s="1"/>
  <c r="AD63" i="27"/>
  <c r="BL63" i="27" s="1"/>
  <c r="AD62" i="27"/>
  <c r="BL62" i="27" s="1"/>
  <c r="AD149" i="27"/>
  <c r="BL149" i="27" s="1"/>
  <c r="AA60" i="27"/>
  <c r="BI60" i="27" s="1"/>
  <c r="AD59" i="27"/>
  <c r="BL59" i="27" s="1"/>
  <c r="AA59" i="27"/>
  <c r="BI59" i="27" s="1"/>
  <c r="AD155" i="27"/>
  <c r="BL155" i="27" s="1"/>
  <c r="AA108" i="27"/>
  <c r="BI108" i="27" s="1"/>
  <c r="Y150" i="27"/>
  <c r="BG150" i="27" s="1"/>
  <c r="AD61" i="27"/>
  <c r="BL61" i="27" s="1"/>
  <c r="AA63" i="27"/>
  <c r="BI63" i="27" s="1"/>
  <c r="Y154" i="27"/>
  <c r="BG154" i="27" s="1"/>
  <c r="AA104" i="27"/>
  <c r="BI104" i="27" s="1"/>
  <c r="Y152" i="27"/>
  <c r="BG152" i="27" s="1"/>
  <c r="Y62" i="27"/>
  <c r="BG62" i="27" s="1"/>
  <c r="AA65" i="27"/>
  <c r="BI65" i="27" s="1"/>
  <c r="AA149" i="27"/>
  <c r="BI149" i="27" s="1"/>
  <c r="Y155" i="27"/>
  <c r="BG155" i="27" s="1"/>
  <c r="AD150" i="27"/>
  <c r="BL150" i="27" s="1"/>
  <c r="Z65" i="27"/>
  <c r="BH65" i="27" s="1"/>
  <c r="Y110" i="27"/>
  <c r="BG110" i="27" s="1"/>
  <c r="AA61" i="27"/>
  <c r="BI61" i="27" s="1"/>
  <c r="AD108" i="27"/>
  <c r="BL108" i="27" s="1"/>
  <c r="AE152" i="27"/>
  <c r="BM152" i="27" s="1"/>
  <c r="Y107" i="27"/>
  <c r="BG107" i="27" s="1"/>
  <c r="AE154" i="27"/>
  <c r="BM154" i="27" s="1"/>
  <c r="AE155" i="27"/>
  <c r="BM155" i="27" s="1"/>
  <c r="Z108" i="27"/>
  <c r="BH108" i="27" s="1"/>
  <c r="AA109" i="27"/>
  <c r="BI109" i="27" s="1"/>
  <c r="Y153" i="27"/>
  <c r="BG153" i="27" s="1"/>
  <c r="AD154" i="27"/>
  <c r="BL154" i="27" s="1"/>
  <c r="AD60" i="27"/>
  <c r="BL60" i="27" s="1"/>
  <c r="Z59" i="27"/>
  <c r="BH59" i="27" s="1"/>
  <c r="Y64" i="27"/>
  <c r="BG64" i="27" s="1"/>
  <c r="AE105" i="27"/>
  <c r="BM105" i="27" s="1"/>
  <c r="AB61" i="27"/>
  <c r="BJ61" i="27" s="1"/>
  <c r="AA64" i="27"/>
  <c r="BI64" i="27" s="1"/>
  <c r="AE149" i="27"/>
  <c r="BM149" i="27" s="1"/>
  <c r="AD153" i="27"/>
  <c r="BL153" i="27" s="1"/>
  <c r="AB65" i="27"/>
  <c r="BJ65" i="27" s="1"/>
  <c r="Z107" i="27"/>
  <c r="BH107" i="27" s="1"/>
  <c r="AA107" i="27"/>
  <c r="BI107" i="27" s="1"/>
  <c r="Y149" i="27"/>
  <c r="BG149" i="27" s="1"/>
  <c r="AB109" i="27"/>
  <c r="BJ109" i="27" s="1"/>
  <c r="AD152" i="27"/>
  <c r="BL152" i="27" s="1"/>
  <c r="AD64" i="27"/>
  <c r="BL64" i="27" s="1"/>
  <c r="Z64" i="27"/>
  <c r="BH64" i="27" s="1"/>
  <c r="Y105" i="27"/>
  <c r="BG105" i="27" s="1"/>
  <c r="Y59" i="27"/>
  <c r="BG59" i="27" s="1"/>
  <c r="AE106" i="27"/>
  <c r="BM106" i="27" s="1"/>
  <c r="AB63" i="27"/>
  <c r="BJ63" i="27" s="1"/>
  <c r="AA155" i="27"/>
  <c r="BI155" i="27" s="1"/>
  <c r="AG63" i="27"/>
  <c r="BO63" i="27" s="1"/>
  <c r="AD104" i="27"/>
  <c r="BL104" i="27" s="1"/>
  <c r="AE110" i="27"/>
  <c r="BM110" i="27" s="1"/>
  <c r="AG64" i="27"/>
  <c r="BO64" i="27" s="1"/>
  <c r="AD107" i="27"/>
  <c r="BL107" i="27" s="1"/>
  <c r="AB105" i="27"/>
  <c r="BJ105" i="27" s="1"/>
  <c r="AE108" i="27"/>
  <c r="BM108" i="27" s="1"/>
  <c r="AG59" i="27"/>
  <c r="BO59" i="27" s="1"/>
  <c r="AD106" i="27"/>
  <c r="BL106" i="27" s="1"/>
  <c r="AB104" i="27"/>
  <c r="BJ104" i="27" s="1"/>
  <c r="AE107" i="27"/>
  <c r="BM107" i="27" s="1"/>
  <c r="AB62" i="27"/>
  <c r="BJ62" i="27" s="1"/>
  <c r="AG62" i="27"/>
  <c r="BO62" i="27" s="1"/>
  <c r="AE65" i="27"/>
  <c r="BM65" i="27" s="1"/>
  <c r="AB106" i="27"/>
  <c r="BJ106" i="27" s="1"/>
  <c r="Y61" i="27"/>
  <c r="BG61" i="27" s="1"/>
  <c r="AB60" i="27"/>
  <c r="BJ60" i="27" s="1"/>
  <c r="AG65" i="27"/>
  <c r="BO65" i="27" s="1"/>
  <c r="Z106" i="27"/>
  <c r="BH106" i="27" s="1"/>
  <c r="AE60" i="27"/>
  <c r="BM60" i="27" s="1"/>
  <c r="AB110" i="27"/>
  <c r="BJ110" i="27" s="1"/>
  <c r="Y60" i="27"/>
  <c r="BG60" i="27" s="1"/>
  <c r="AA153" i="27"/>
  <c r="BI153" i="27" s="1"/>
  <c r="AG60" i="27"/>
  <c r="BO60" i="27" s="1"/>
  <c r="Z109" i="27"/>
  <c r="BH109" i="27" s="1"/>
  <c r="AE64" i="27"/>
  <c r="BM64" i="27" s="1"/>
  <c r="AB108" i="27"/>
  <c r="BJ108" i="27" s="1"/>
  <c r="Y63" i="27"/>
  <c r="BG63" i="27" s="1"/>
  <c r="AA152" i="27"/>
  <c r="BI152" i="27" s="1"/>
  <c r="AE13" i="27" a="1"/>
  <c r="AE13" i="27" s="1"/>
  <c r="BM13" i="27" s="1"/>
  <c r="Z94" i="27" a="1"/>
  <c r="Z94" i="27" s="1"/>
  <c r="BH94" i="27" s="1"/>
  <c r="AB94" i="27" a="1"/>
  <c r="AB94" i="27" s="1"/>
  <c r="BJ94" i="27" s="1"/>
  <c r="BD94" i="27"/>
  <c r="BE49" i="27"/>
  <c r="AD49" i="27" a="1"/>
  <c r="AD49" i="27" s="1"/>
  <c r="BL49" i="27" s="1"/>
  <c r="AD94" i="27" a="1"/>
  <c r="AD94" i="27" s="1"/>
  <c r="BL94" i="27" s="1"/>
  <c r="AB139" i="27" a="1"/>
  <c r="AB139" i="27" s="1"/>
  <c r="BJ139" i="27" s="1"/>
  <c r="AA94" i="27" a="1"/>
  <c r="AA94" i="27" s="1"/>
  <c r="BI94" i="27" s="1"/>
  <c r="Z49" i="27" a="1"/>
  <c r="Z49" i="27" s="1"/>
  <c r="BH49" i="27" s="1"/>
  <c r="AE94" i="27" a="1"/>
  <c r="AE94" i="27" s="1"/>
  <c r="BM94" i="27" s="1"/>
  <c r="AB49" i="27" a="1"/>
  <c r="AB49" i="27" s="1"/>
  <c r="BJ49" i="27" s="1"/>
  <c r="Y94" i="27" a="1"/>
  <c r="Y94" i="27" s="1"/>
  <c r="BG94" i="27" s="1"/>
  <c r="Y13" i="27" a="1"/>
  <c r="Y13" i="27" s="1"/>
  <c r="BG13" i="27" s="1"/>
  <c r="AD105" i="27"/>
  <c r="BL105" i="27" s="1"/>
  <c r="Z104" i="27"/>
  <c r="BH104" i="27" s="1"/>
  <c r="AB59" i="27"/>
  <c r="BJ59" i="27" s="1"/>
  <c r="BD59" i="27"/>
  <c r="BD139" i="27"/>
  <c r="Y49" i="27" a="1"/>
  <c r="Y49" i="27" s="1"/>
  <c r="BG49" i="27" s="1"/>
  <c r="AE49" i="27" a="1"/>
  <c r="AE49" i="27" s="1"/>
  <c r="BM49" i="27" s="1"/>
  <c r="AA49" i="27" a="1"/>
  <c r="AA49" i="27" s="1"/>
  <c r="BI49" i="27" s="1"/>
  <c r="AG61" i="27"/>
  <c r="BO61" i="27" s="1"/>
  <c r="AE153" i="27"/>
  <c r="BM153" i="27" s="1"/>
  <c r="Z105" i="27"/>
  <c r="BH105" i="27" s="1"/>
  <c r="AA106" i="27"/>
  <c r="BI106" i="27" s="1"/>
  <c r="AE62" i="27"/>
  <c r="BM62" i="27" s="1"/>
  <c r="AE104" i="27"/>
  <c r="BM104" i="27" s="1"/>
  <c r="AB64" i="27"/>
  <c r="BJ64" i="27" s="1"/>
  <c r="AA150" i="27"/>
  <c r="BI150" i="27" s="1"/>
  <c r="BD60" i="27"/>
  <c r="BD49" i="27"/>
  <c r="BE94" i="27"/>
  <c r="AA139" i="27" a="1"/>
  <c r="AA139" i="27" s="1"/>
  <c r="BI139" i="27" s="1"/>
  <c r="D7" i="21" a="1"/>
  <c r="D7" i="21" s="1"/>
  <c r="AB13" i="27" a="1"/>
  <c r="AB13" i="27" s="1"/>
  <c r="BJ13" i="27" s="1"/>
  <c r="BD61" i="27"/>
  <c r="AA13" i="27" a="1"/>
  <c r="AA13" i="27" s="1"/>
  <c r="BI13" i="27" s="1"/>
  <c r="AE151" i="27"/>
  <c r="BM151" i="27" s="1"/>
  <c r="AA110" i="27"/>
  <c r="BI110" i="27" s="1"/>
  <c r="AE63" i="27"/>
  <c r="BM63" i="27" s="1"/>
  <c r="BD63" i="27"/>
  <c r="AE139" i="27" a="1"/>
  <c r="AE139" i="27" s="1"/>
  <c r="BM139" i="27" s="1"/>
  <c r="AD13" i="27" a="1"/>
  <c r="AD13" i="27" s="1"/>
  <c r="BL13" i="27" s="1"/>
  <c r="Z139" i="27" a="1"/>
  <c r="Z139" i="27" s="1"/>
  <c r="BH139" i="27" s="1"/>
  <c r="BF49" i="27"/>
  <c r="Y139" i="27" a="1"/>
  <c r="Y139" i="27" s="1"/>
  <c r="BG139" i="27" s="1"/>
  <c r="AD110" i="27"/>
  <c r="BL110" i="27" s="1"/>
  <c r="BD149" i="27"/>
  <c r="AE150" i="27"/>
  <c r="BM150" i="27" s="1"/>
  <c r="AA105" i="27"/>
  <c r="BI105" i="27" s="1"/>
  <c r="Y151" i="27"/>
  <c r="BG151" i="27" s="1"/>
  <c r="AE61" i="27"/>
  <c r="BM61" i="27" s="1"/>
  <c r="AB107" i="27"/>
  <c r="BJ107" i="27" s="1"/>
  <c r="AD65" i="27"/>
  <c r="BL65" i="27" s="1"/>
  <c r="AE109" i="27"/>
  <c r="BM109" i="27" s="1"/>
  <c r="AA154" i="27"/>
  <c r="BI154" i="27" s="1"/>
  <c r="Z154" i="27"/>
  <c r="BH154" i="27" s="1"/>
  <c r="BD65" i="27"/>
  <c r="BE139" i="27"/>
  <c r="AD139" i="27" a="1"/>
  <c r="AD139" i="27" s="1"/>
  <c r="BL139" i="27" s="1"/>
  <c r="Z13" i="27" a="1"/>
  <c r="Z13" i="27" s="1"/>
  <c r="BH13" i="27" s="1"/>
  <c r="BD13" i="27"/>
  <c r="AC112" i="27" a="1"/>
  <c r="AC112" i="27" s="1"/>
  <c r="BK112" i="27" s="1"/>
  <c r="E64" i="21" a="1"/>
  <c r="E64" i="21" s="1"/>
  <c r="BE96" i="27"/>
  <c r="BE97" i="27"/>
  <c r="BE98" i="27"/>
  <c r="BE101" i="27"/>
  <c r="BE102" i="27"/>
  <c r="BE99" i="27"/>
  <c r="BE100" i="27"/>
  <c r="BE52" i="27"/>
  <c r="BE57" i="27"/>
  <c r="BE51" i="27"/>
  <c r="BE53" i="27"/>
  <c r="BE54" i="27"/>
  <c r="BE55" i="27"/>
  <c r="BE56" i="27"/>
  <c r="AE171" i="27"/>
  <c r="BM171" i="27" s="1"/>
  <c r="AE169" i="27"/>
  <c r="BM169" i="27" s="1"/>
  <c r="AE172" i="27"/>
  <c r="BM172" i="27" s="1"/>
  <c r="AE170" i="27"/>
  <c r="BM170" i="27" s="1"/>
  <c r="AE166" i="27"/>
  <c r="BM166" i="27" s="1"/>
  <c r="AE167" i="27"/>
  <c r="BM167" i="27" s="1"/>
  <c r="AE168" i="27"/>
  <c r="BM168" i="27" s="1"/>
  <c r="BE147" i="27"/>
  <c r="BE144" i="27"/>
  <c r="BE145" i="27"/>
  <c r="BE143" i="27"/>
  <c r="BE146" i="27"/>
  <c r="BE141" i="27"/>
  <c r="BE142" i="27"/>
  <c r="AA315" i="27"/>
  <c r="BI315" i="27" s="1"/>
  <c r="AA309" i="27"/>
  <c r="BI309" i="27" s="1"/>
  <c r="AA313" i="27"/>
  <c r="BI313" i="27" s="1"/>
  <c r="AA310" i="27"/>
  <c r="BI310" i="27" s="1"/>
  <c r="AA311" i="27"/>
  <c r="BI311" i="27" s="1"/>
  <c r="AA312" i="27"/>
  <c r="BI312" i="27" s="1"/>
  <c r="AA314" i="27"/>
  <c r="BI314" i="27" s="1"/>
  <c r="E50" i="21" a="1"/>
  <c r="E50" i="21" s="1"/>
  <c r="E60" i="21" a="1"/>
  <c r="E60" i="21" s="1"/>
  <c r="BE154" i="27"/>
  <c r="BE149" i="27"/>
  <c r="BE150" i="27"/>
  <c r="BE151" i="27"/>
  <c r="BE152" i="27"/>
  <c r="BE155" i="27"/>
  <c r="BE153" i="27"/>
  <c r="BD222" i="27"/>
  <c r="BD223" i="27"/>
  <c r="BD225" i="27"/>
  <c r="BD219" i="27"/>
  <c r="BD224" i="27"/>
  <c r="BD220" i="27"/>
  <c r="BD221" i="27"/>
  <c r="E46" i="21" a="1"/>
  <c r="E46" i="21" s="1"/>
  <c r="BE13" i="27"/>
  <c r="BD17" i="27"/>
  <c r="BD19" i="27"/>
  <c r="BD18" i="27"/>
  <c r="BD14" i="27"/>
  <c r="BD15" i="27"/>
  <c r="BD20" i="27"/>
  <c r="BD16" i="27"/>
  <c r="BE109" i="27"/>
  <c r="BE110" i="27"/>
  <c r="BE106" i="27"/>
  <c r="BE107" i="27"/>
  <c r="BE108" i="27"/>
  <c r="BE104" i="27"/>
  <c r="BE105" i="27"/>
  <c r="E137" i="14"/>
  <c r="AE255" i="27" s="1" a="1"/>
  <c r="AE255" i="27" s="1"/>
  <c r="BM255" i="27" s="1"/>
  <c r="E128" i="14"/>
  <c r="BD255" i="27" s="1"/>
  <c r="D61" i="21" a="1"/>
  <c r="D61" i="21" s="1"/>
  <c r="G33" i="21" a="1"/>
  <c r="G33" i="21" s="1"/>
  <c r="M33" i="21" a="1"/>
  <c r="M33" i="21" s="1"/>
  <c r="I33" i="21" a="1"/>
  <c r="I33" i="21" s="1"/>
  <c r="I110" i="21" a="1"/>
  <c r="I110" i="21" s="1"/>
  <c r="M47" i="21" a="1"/>
  <c r="M47" i="21" s="1"/>
  <c r="I61" i="21" a="1"/>
  <c r="I61" i="21" s="1"/>
  <c r="D33" i="21" a="1"/>
  <c r="D33" i="21" s="1"/>
  <c r="O68" i="21" a="1"/>
  <c r="O68" i="21" s="1"/>
  <c r="AG173" i="27" a="1"/>
  <c r="AG173" i="27" s="1"/>
  <c r="BO173" i="27" s="1"/>
  <c r="O54" i="21" a="1"/>
  <c r="O54" i="21" s="1"/>
  <c r="AG128" i="27" a="1"/>
  <c r="AG128" i="27" s="1"/>
  <c r="BO128" i="27" s="1"/>
  <c r="D60" i="21" a="1"/>
  <c r="D60" i="21" s="1"/>
  <c r="M61" i="21" a="1"/>
  <c r="M61" i="21" s="1"/>
  <c r="J33" i="21" a="1"/>
  <c r="J33" i="21" s="1"/>
  <c r="E47" i="21" a="1"/>
  <c r="E47" i="21" s="1"/>
  <c r="O110" i="21" a="1"/>
  <c r="O110" i="21" s="1"/>
  <c r="AG308" i="27" a="1"/>
  <c r="AG308" i="27" s="1"/>
  <c r="BO308" i="27" s="1"/>
  <c r="H61" i="21" a="1"/>
  <c r="H61" i="21" s="1"/>
  <c r="F33" i="21" a="1"/>
  <c r="F33" i="21" s="1"/>
  <c r="G61" i="21" a="1"/>
  <c r="G61" i="21" s="1"/>
  <c r="E61" i="21" a="1"/>
  <c r="E61" i="21" s="1"/>
  <c r="L61" i="21" a="1"/>
  <c r="L61" i="21" s="1"/>
  <c r="D46" i="21" a="1"/>
  <c r="D46" i="21" s="1"/>
  <c r="H47" i="21" a="1"/>
  <c r="H47" i="21" s="1"/>
  <c r="J47" i="21" a="1"/>
  <c r="J47" i="21" s="1"/>
  <c r="M67" i="21" a="1"/>
  <c r="M67" i="21" s="1"/>
  <c r="O82" i="21" a="1"/>
  <c r="O82" i="21" s="1"/>
  <c r="AG218" i="27" a="1"/>
  <c r="AG218" i="27" s="1"/>
  <c r="BO218" i="27" s="1"/>
  <c r="D47" i="21" a="1"/>
  <c r="D47" i="21" s="1"/>
  <c r="E33" i="21" a="1"/>
  <c r="E33" i="21" s="1"/>
  <c r="L33" i="21" a="1"/>
  <c r="L33" i="21" s="1"/>
  <c r="L47" i="21" a="1"/>
  <c r="L47" i="21" s="1"/>
  <c r="J61" i="21" a="1"/>
  <c r="J61" i="21" s="1"/>
  <c r="I47" i="21" a="1"/>
  <c r="I47" i="21" s="1"/>
  <c r="H33" i="21" a="1"/>
  <c r="H33" i="21" s="1"/>
  <c r="G47" i="21" a="1"/>
  <c r="G47" i="21" s="1"/>
  <c r="M7" i="21" a="1"/>
  <c r="M7" i="21" s="1"/>
  <c r="O96" i="21" a="1"/>
  <c r="O96" i="21" s="1"/>
  <c r="AG263" i="27" a="1"/>
  <c r="AG263" i="27" s="1"/>
  <c r="BO263" i="27" s="1"/>
  <c r="HX6" i="3"/>
  <c r="L36" i="21" a="1"/>
  <c r="L36" i="21" s="1"/>
  <c r="E34" i="10"/>
  <c r="L22" i="21" s="1" a="1"/>
  <c r="L22" i="21" s="1"/>
  <c r="E32" i="21" a="1"/>
  <c r="E32" i="21" s="1"/>
  <c r="E7" i="19"/>
  <c r="G36" i="21" a="1"/>
  <c r="G36" i="21" s="1"/>
  <c r="E29" i="10"/>
  <c r="G22" i="21" s="1" a="1"/>
  <c r="G22" i="21" s="1"/>
  <c r="I32" i="21" a="1"/>
  <c r="I32" i="21" s="1"/>
  <c r="E11" i="19"/>
  <c r="E36" i="21" a="1"/>
  <c r="E36" i="21" s="1"/>
  <c r="E27" i="10"/>
  <c r="E22" i="21" s="1" a="1"/>
  <c r="E22" i="21" s="1"/>
  <c r="I36" i="21" a="1"/>
  <c r="I36" i="21" s="1"/>
  <c r="E31" i="10"/>
  <c r="I22" i="21" s="1" a="1"/>
  <c r="I22" i="21" s="1"/>
  <c r="M32" i="21" a="1"/>
  <c r="M32" i="21" s="1"/>
  <c r="E15" i="19"/>
  <c r="D50" i="21" a="1"/>
  <c r="D50" i="21" s="1"/>
  <c r="H36" i="21" a="1"/>
  <c r="H36" i="21" s="1"/>
  <c r="E30" i="10"/>
  <c r="H22" i="21" s="1" a="1"/>
  <c r="H22" i="21" s="1"/>
  <c r="H32" i="21" a="1"/>
  <c r="H32" i="21" s="1"/>
  <c r="E10" i="19"/>
  <c r="L32" i="21" a="1"/>
  <c r="L32" i="21" s="1"/>
  <c r="E14" i="19"/>
  <c r="D64" i="21" a="1"/>
  <c r="D64" i="21" s="1"/>
  <c r="D36" i="21" a="1"/>
  <c r="D36" i="21" s="1"/>
  <c r="E26" i="10"/>
  <c r="J32" i="21" a="1"/>
  <c r="J32" i="21" s="1"/>
  <c r="D32" i="21" a="1"/>
  <c r="D32" i="21" s="1"/>
  <c r="E6" i="19"/>
  <c r="J36" i="21" a="1"/>
  <c r="J36" i="21" s="1"/>
  <c r="E32" i="10"/>
  <c r="J22" i="21" s="1" a="1"/>
  <c r="J22" i="21" s="1"/>
  <c r="M36" i="21" a="1"/>
  <c r="M36" i="21" s="1"/>
  <c r="E35" i="10"/>
  <c r="M22" i="21" s="1" a="1"/>
  <c r="M22" i="21" s="1"/>
  <c r="G32" i="21" a="1"/>
  <c r="G32" i="21" s="1"/>
  <c r="E9" i="19"/>
  <c r="G199" i="14"/>
  <c r="G190" i="14"/>
  <c r="BF398" i="27" s="1"/>
  <c r="HY6" i="3"/>
  <c r="HK6" i="3"/>
  <c r="HJ7" i="3"/>
  <c r="HJ5" i="3"/>
  <c r="HJ6" i="3"/>
  <c r="HI7" i="3"/>
  <c r="HI5" i="3"/>
  <c r="HU6" i="3"/>
  <c r="HS7" i="3"/>
  <c r="HS5" i="3"/>
  <c r="HT6" i="3"/>
  <c r="HR7" i="3"/>
  <c r="HR5" i="3"/>
  <c r="HD6" i="3"/>
  <c r="HI6" i="3"/>
  <c r="HH6" i="3"/>
  <c r="HG7" i="3"/>
  <c r="HG5" i="3"/>
  <c r="HS6" i="3"/>
  <c r="HQ7" i="3"/>
  <c r="HQ5" i="3"/>
  <c r="HM7" i="3"/>
  <c r="HM5" i="3"/>
  <c r="HG6" i="3"/>
  <c r="HF5" i="3"/>
  <c r="HF7" i="3"/>
  <c r="HR6" i="3"/>
  <c r="HH7" i="3"/>
  <c r="HH5" i="3"/>
  <c r="HF6" i="3"/>
  <c r="HE5" i="3"/>
  <c r="HE7" i="3"/>
  <c r="HQ6" i="3"/>
  <c r="HY7" i="3"/>
  <c r="HY5" i="3"/>
  <c r="HE6" i="3"/>
  <c r="HD7" i="3"/>
  <c r="HD5" i="3"/>
  <c r="HX7" i="3"/>
  <c r="HX5" i="3"/>
  <c r="HW7" i="3"/>
  <c r="HW5" i="3"/>
  <c r="HM6" i="3"/>
  <c r="HV7" i="3"/>
  <c r="HV5" i="3"/>
  <c r="HL6" i="3"/>
  <c r="HK7" i="3"/>
  <c r="HK5" i="3"/>
  <c r="HW6" i="3"/>
  <c r="HU7" i="3"/>
  <c r="HU5" i="3"/>
  <c r="HL7" i="3"/>
  <c r="HL5" i="3"/>
  <c r="HV6" i="3"/>
  <c r="HT7" i="3"/>
  <c r="HT5" i="3"/>
  <c r="J82" i="21" a="1"/>
  <c r="J82" i="21" s="1"/>
  <c r="G117" i="14"/>
  <c r="AE218" i="27" s="1" a="1"/>
  <c r="AE218" i="27" s="1"/>
  <c r="BM218" i="27" s="1"/>
  <c r="G109" i="14"/>
  <c r="G116" i="14"/>
  <c r="AD218" i="27" s="1" a="1"/>
  <c r="AD218" i="27" s="1"/>
  <c r="BL218" i="27" s="1"/>
  <c r="D82" i="21" a="1"/>
  <c r="D82" i="21" s="1"/>
  <c r="G113" i="14"/>
  <c r="AA218" i="27" s="1" a="1"/>
  <c r="AA218" i="27" s="1"/>
  <c r="BI218" i="27" s="1"/>
  <c r="G112" i="14"/>
  <c r="Z218" i="27" s="1" a="1"/>
  <c r="Z218" i="27" s="1"/>
  <c r="BH218" i="27" s="1"/>
  <c r="G111" i="14"/>
  <c r="Y218" i="27" s="1" a="1"/>
  <c r="Y218" i="27" s="1"/>
  <c r="BG218" i="27" s="1"/>
  <c r="D59" i="14"/>
  <c r="G172" i="14"/>
  <c r="Z353" i="27" s="1" a="1"/>
  <c r="Z353" i="27" s="1"/>
  <c r="BH353" i="27" s="1"/>
  <c r="G173" i="14"/>
  <c r="AA353" i="27" s="1" a="1"/>
  <c r="AA353" i="27" s="1"/>
  <c r="BI353" i="27" s="1"/>
  <c r="G168" i="14"/>
  <c r="BD353" i="27" s="1"/>
  <c r="G177" i="14"/>
  <c r="AE353" i="27" s="1" a="1"/>
  <c r="AE353" i="27" s="1"/>
  <c r="BM353" i="27" s="1"/>
  <c r="G128" i="14"/>
  <c r="G137" i="14"/>
  <c r="AE263" i="27" s="1" a="1"/>
  <c r="AE263" i="27" s="1"/>
  <c r="BM263" i="27" s="1"/>
  <c r="G136" i="14"/>
  <c r="AD263" i="27" s="1" a="1"/>
  <c r="AD263" i="27" s="1"/>
  <c r="BL263" i="27" s="1"/>
  <c r="G133" i="14"/>
  <c r="AA263" i="27" s="1" a="1"/>
  <c r="AA263" i="27" s="1"/>
  <c r="BI263" i="27" s="1"/>
  <c r="G131" i="14"/>
  <c r="Y263" i="27" s="1" a="1"/>
  <c r="Y263" i="27" s="1"/>
  <c r="BG263" i="27" s="1"/>
  <c r="G129" i="14"/>
  <c r="M129" i="14" s="1"/>
  <c r="G72" i="14"/>
  <c r="Z128" i="27" s="1" a="1"/>
  <c r="Z128" i="27" s="1"/>
  <c r="BH128" i="27" s="1"/>
  <c r="G77" i="14"/>
  <c r="AE128" i="27" s="1" a="1"/>
  <c r="AE128" i="27" s="1"/>
  <c r="BM128" i="27" s="1"/>
  <c r="G69" i="14"/>
  <c r="J54" i="21" a="1"/>
  <c r="J54" i="21" s="1"/>
  <c r="G73" i="14"/>
  <c r="AA128" i="27" s="1" a="1"/>
  <c r="AA128" i="27" s="1"/>
  <c r="BI128" i="27" s="1"/>
  <c r="D64" i="14"/>
  <c r="E74" i="14" s="1"/>
  <c r="G123" i="14"/>
  <c r="D137" i="14" s="1"/>
  <c r="D164" i="14"/>
  <c r="E174" i="14" s="1"/>
  <c r="G189" i="14"/>
  <c r="G63" i="14"/>
  <c r="D71" i="14" s="1"/>
  <c r="D104" i="14"/>
  <c r="E114" i="14" s="1"/>
  <c r="G163" i="14"/>
  <c r="D171" i="14" s="1"/>
  <c r="G179" i="14"/>
  <c r="E50" i="14"/>
  <c r="BF75" i="27" s="1"/>
  <c r="G64" i="14"/>
  <c r="D143" i="14"/>
  <c r="G164" i="14"/>
  <c r="E169" i="14" s="1"/>
  <c r="G103" i="14"/>
  <c r="D144" i="14"/>
  <c r="E154" i="14" s="1"/>
  <c r="E133" i="14"/>
  <c r="AA255" i="27" s="1" a="1"/>
  <c r="AA255" i="27" s="1"/>
  <c r="BI255" i="27" s="1"/>
  <c r="D90" i="14"/>
  <c r="G104" i="14"/>
  <c r="D183" i="14"/>
  <c r="D194" i="14" s="1"/>
  <c r="G43" i="14"/>
  <c r="D84" i="14"/>
  <c r="G143" i="14"/>
  <c r="D184" i="14"/>
  <c r="E194" i="14" s="1"/>
  <c r="AB390" i="27" s="1" a="1"/>
  <c r="AB390" i="27" s="1"/>
  <c r="E136" i="14"/>
  <c r="AD255" i="27" s="1" a="1"/>
  <c r="AD255" i="27" s="1"/>
  <c r="BL255" i="27" s="1"/>
  <c r="G44" i="14"/>
  <c r="E48" i="14" s="1"/>
  <c r="D123" i="14"/>
  <c r="G144" i="14"/>
  <c r="E149" i="14" s="1"/>
  <c r="BE300" i="27" s="1"/>
  <c r="G83" i="14"/>
  <c r="D92" i="14" s="1"/>
  <c r="D124" i="14"/>
  <c r="G183" i="14"/>
  <c r="D191" i="14" s="1"/>
  <c r="E89" i="14"/>
  <c r="AA165" i="27" a="1"/>
  <c r="AA165" i="27" s="1"/>
  <c r="BI165" i="27" s="1"/>
  <c r="J110" i="21" a="1"/>
  <c r="J110" i="21" s="1"/>
  <c r="E191" i="14"/>
  <c r="Y390" i="27" s="1" a="1"/>
  <c r="Y390" i="27" s="1"/>
  <c r="BG390" i="27" s="1"/>
  <c r="G151" i="14"/>
  <c r="Y308" i="27" s="1" a="1"/>
  <c r="Y308" i="27" s="1"/>
  <c r="BG308" i="27" s="1"/>
  <c r="D78" i="14"/>
  <c r="E196" i="14"/>
  <c r="AD390" i="27" s="1" a="1"/>
  <c r="AD390" i="27" s="1"/>
  <c r="BL390" i="27" s="1"/>
  <c r="G52" i="14"/>
  <c r="Z83" i="27" s="1" a="1"/>
  <c r="Z83" i="27" s="1"/>
  <c r="BH83" i="27" s="1"/>
  <c r="D70" i="14"/>
  <c r="D79" i="14"/>
  <c r="G156" i="14"/>
  <c r="AD308" i="27" s="1" a="1"/>
  <c r="AD308" i="27" s="1"/>
  <c r="BL308" i="27" s="1"/>
  <c r="G169" i="14"/>
  <c r="E192" i="14"/>
  <c r="Z390" i="27" s="1" a="1"/>
  <c r="Z390" i="27" s="1"/>
  <c r="BH390" i="27" s="1"/>
  <c r="G49" i="14"/>
  <c r="G76" i="14"/>
  <c r="AD128" i="27" s="1" a="1"/>
  <c r="AD128" i="27" s="1"/>
  <c r="BL128" i="27" s="1"/>
  <c r="E91" i="14"/>
  <c r="Y165" i="27" s="1" a="1"/>
  <c r="Y165" i="27" s="1"/>
  <c r="BG165" i="27" s="1"/>
  <c r="E131" i="14"/>
  <c r="Y255" i="27" s="1" a="1"/>
  <c r="Y255" i="27" s="1"/>
  <c r="BG255" i="27" s="1"/>
  <c r="J96" i="21" a="1"/>
  <c r="J96" i="21" s="1"/>
  <c r="G148" i="14"/>
  <c r="BD308" i="27" s="1"/>
  <c r="G152" i="14"/>
  <c r="Z308" i="27" s="1" a="1"/>
  <c r="Z308" i="27" s="1"/>
  <c r="BH308" i="27" s="1"/>
  <c r="E188" i="14"/>
  <c r="BD390" i="27" s="1"/>
  <c r="G56" i="14"/>
  <c r="AD83" i="27" s="1" a="1"/>
  <c r="AD83" i="27" s="1"/>
  <c r="BL83" i="27" s="1"/>
  <c r="G53" i="14"/>
  <c r="AA83" i="27" s="1" a="1"/>
  <c r="AA83" i="27" s="1"/>
  <c r="BI83" i="27" s="1"/>
  <c r="J124" i="21" a="1"/>
  <c r="J124" i="21" s="1"/>
  <c r="E197" i="14"/>
  <c r="AE390" i="27" s="1" a="1"/>
  <c r="AE390" i="27" s="1"/>
  <c r="BM390" i="27" s="1"/>
  <c r="G157" i="14"/>
  <c r="AE308" i="27" s="1" a="1"/>
  <c r="AE308" i="27" s="1"/>
  <c r="BM308" i="27" s="1"/>
  <c r="E193" i="14"/>
  <c r="AA390" i="27" s="1" a="1"/>
  <c r="AA390" i="27" s="1"/>
  <c r="BI390" i="27" s="1"/>
  <c r="E88" i="14"/>
  <c r="BD165" i="27" s="1"/>
  <c r="Z165" i="27" a="1"/>
  <c r="Z165" i="27" s="1"/>
  <c r="BH165" i="27" s="1"/>
  <c r="E132" i="14"/>
  <c r="Z255" i="27" s="1" a="1"/>
  <c r="Z255" i="27" s="1"/>
  <c r="BH255" i="27" s="1"/>
  <c r="G149" i="14"/>
  <c r="E189" i="14"/>
  <c r="J40" i="21" a="1"/>
  <c r="J40" i="21" s="1"/>
  <c r="G132" i="14"/>
  <c r="Z263" i="27" s="1" a="1"/>
  <c r="Z263" i="27" s="1"/>
  <c r="BH263" i="27" s="1"/>
  <c r="G176" i="14"/>
  <c r="AD353" i="27" s="1" a="1"/>
  <c r="AD353" i="27" s="1"/>
  <c r="BL353" i="27" s="1"/>
  <c r="G71" i="14"/>
  <c r="Y128" i="27" s="1" a="1"/>
  <c r="Y128" i="27" s="1"/>
  <c r="BG128" i="27" s="1"/>
  <c r="E96" i="14"/>
  <c r="AD165" i="27" s="1" a="1"/>
  <c r="AD165" i="27" s="1"/>
  <c r="BL165" i="27" s="1"/>
  <c r="G171" i="14"/>
  <c r="Y353" i="27" s="1" a="1"/>
  <c r="Y353" i="27" s="1"/>
  <c r="BG353" i="27" s="1"/>
  <c r="G68" i="14"/>
  <c r="BD128" i="27" s="1"/>
  <c r="BJ390" i="27" l="1"/>
  <c r="AB392" i="27"/>
  <c r="BJ392" i="27" s="1"/>
  <c r="AB397" i="27"/>
  <c r="BJ397" i="27" s="1"/>
  <c r="AB393" i="27"/>
  <c r="BJ393" i="27" s="1"/>
  <c r="AB391" i="27"/>
  <c r="BJ391" i="27" s="1"/>
  <c r="AB395" i="27"/>
  <c r="BJ395" i="27" s="1"/>
  <c r="AB396" i="27"/>
  <c r="BJ396" i="27" s="1"/>
  <c r="AB394" i="27"/>
  <c r="BJ394" i="27" s="1"/>
  <c r="J137" i="21" a="1"/>
  <c r="J137" i="21" s="1"/>
  <c r="E130" i="14"/>
  <c r="BF255" i="27" s="1"/>
  <c r="E134" i="14"/>
  <c r="AB255" i="27" s="1" a="1"/>
  <c r="AB255" i="27" s="1"/>
  <c r="BJ255" i="27" s="1"/>
  <c r="AB210" i="27" a="1"/>
  <c r="AB210" i="27" s="1"/>
  <c r="BJ210" i="27" s="1"/>
  <c r="D130" i="14"/>
  <c r="D134" i="14"/>
  <c r="H54" i="14"/>
  <c r="D150" i="14"/>
  <c r="F108" i="21" s="1" a="1"/>
  <c r="F108" i="21" s="1"/>
  <c r="D155" i="14"/>
  <c r="D154" i="14"/>
  <c r="AB292" i="27" s="1" a="1"/>
  <c r="AB292" i="27" s="1"/>
  <c r="BJ292" i="27" s="1"/>
  <c r="E90" i="14"/>
  <c r="E94" i="14"/>
  <c r="J67" i="21" s="1" a="1"/>
  <c r="J67" i="21" s="1"/>
  <c r="AB120" i="27" a="1"/>
  <c r="AB120" i="27" s="1"/>
  <c r="BJ120" i="27" s="1"/>
  <c r="D52" i="14"/>
  <c r="D51" i="14"/>
  <c r="D93" i="14"/>
  <c r="AA157" i="27" s="1" a="1"/>
  <c r="AA157" i="27" s="1"/>
  <c r="BI157" i="27" s="1"/>
  <c r="F92" i="14"/>
  <c r="E49" i="14"/>
  <c r="BE75" i="27" s="1"/>
  <c r="E51" i="14"/>
  <c r="Y75" i="27" s="1" a="1"/>
  <c r="Y75" i="27" s="1"/>
  <c r="BG75" i="27" s="1"/>
  <c r="AC113" i="27"/>
  <c r="BK113" i="27" s="1"/>
  <c r="AC117" i="27"/>
  <c r="BK117" i="27" s="1"/>
  <c r="AA20" i="27"/>
  <c r="BI20" i="27" s="1"/>
  <c r="AD20" i="27"/>
  <c r="BL20" i="27" s="1"/>
  <c r="AD16" i="27"/>
  <c r="BL16" i="27" s="1"/>
  <c r="AD14" i="27"/>
  <c r="BL14" i="27" s="1"/>
  <c r="AB14" i="27"/>
  <c r="BJ14" i="27" s="1"/>
  <c r="AA17" i="27"/>
  <c r="BI17" i="27" s="1"/>
  <c r="AE16" i="27"/>
  <c r="BM16" i="27" s="1"/>
  <c r="AE15" i="27"/>
  <c r="BM15" i="27" s="1"/>
  <c r="AD15" i="27"/>
  <c r="BL15" i="27" s="1"/>
  <c r="AE14" i="27"/>
  <c r="BM14" i="27" s="1"/>
  <c r="AE17" i="27"/>
  <c r="BM17" i="27" s="1"/>
  <c r="AE18" i="27"/>
  <c r="BM18" i="27" s="1"/>
  <c r="AE20" i="27"/>
  <c r="BM20" i="27" s="1"/>
  <c r="AB15" i="27"/>
  <c r="BJ15" i="27" s="1"/>
  <c r="Z20" i="27"/>
  <c r="BH20" i="27" s="1"/>
  <c r="AA19" i="27"/>
  <c r="BI19" i="27" s="1"/>
  <c r="Y14" i="27"/>
  <c r="BG14" i="27" s="1"/>
  <c r="Y17" i="27"/>
  <c r="BG17" i="27" s="1"/>
  <c r="Y15" i="27"/>
  <c r="BG15" i="27" s="1"/>
  <c r="Y20" i="27"/>
  <c r="BG20" i="27" s="1"/>
  <c r="AC118" i="27"/>
  <c r="BK118" i="27" s="1"/>
  <c r="Y19" i="27"/>
  <c r="BG19" i="27" s="1"/>
  <c r="Y18" i="27"/>
  <c r="BG18" i="27" s="1"/>
  <c r="AD19" i="27"/>
  <c r="BL19" i="27" s="1"/>
  <c r="AC114" i="27"/>
  <c r="BK114" i="27" s="1"/>
  <c r="AD17" i="27"/>
  <c r="BL17" i="27" s="1"/>
  <c r="AB19" i="27"/>
  <c r="BJ19" i="27" s="1"/>
  <c r="AB16" i="27"/>
  <c r="BJ16" i="27" s="1"/>
  <c r="Z14" i="27"/>
  <c r="BH14" i="27" s="1"/>
  <c r="Z18" i="27"/>
  <c r="BH18" i="27" s="1"/>
  <c r="AE19" i="27"/>
  <c r="BM19" i="27" s="1"/>
  <c r="Z15" i="27"/>
  <c r="BH15" i="27" s="1"/>
  <c r="AA15" i="27"/>
  <c r="BI15" i="27" s="1"/>
  <c r="AD18" i="27"/>
  <c r="BL18" i="27" s="1"/>
  <c r="AB18" i="27"/>
  <c r="BJ18" i="27" s="1"/>
  <c r="Y16" i="27"/>
  <c r="BG16" i="27" s="1"/>
  <c r="AA18" i="27"/>
  <c r="BI18" i="27" s="1"/>
  <c r="Z19" i="27"/>
  <c r="BH19" i="27" s="1"/>
  <c r="AA16" i="27"/>
  <c r="BI16" i="27" s="1"/>
  <c r="AB17" i="27"/>
  <c r="BJ17" i="27" s="1"/>
  <c r="Z16" i="27"/>
  <c r="BH16" i="27" s="1"/>
  <c r="AA14" i="27"/>
  <c r="BI14" i="27" s="1"/>
  <c r="Z17" i="27"/>
  <c r="BH17" i="27" s="1"/>
  <c r="AB20" i="27"/>
  <c r="BJ20" i="27" s="1"/>
  <c r="AC119" i="27"/>
  <c r="BK119" i="27" s="1"/>
  <c r="AC116" i="27"/>
  <c r="BK116" i="27" s="1"/>
  <c r="AC115" i="27"/>
  <c r="BK115" i="27" s="1"/>
  <c r="Y382" i="27" a="1"/>
  <c r="Y382" i="27" s="1"/>
  <c r="BG382" i="27" s="1"/>
  <c r="F191" i="14"/>
  <c r="AF112" i="27" a="1"/>
  <c r="AF112" i="27" s="1"/>
  <c r="BN112" i="27" s="1"/>
  <c r="BF112" i="27"/>
  <c r="BF247" i="27"/>
  <c r="Y112" i="27" a="1"/>
  <c r="Y112" i="27" s="1"/>
  <c r="BG112" i="27" s="1"/>
  <c r="BF67" i="27"/>
  <c r="H50" i="14"/>
  <c r="BF292" i="27"/>
  <c r="Y337" i="27" a="1"/>
  <c r="Y337" i="27" s="1"/>
  <c r="BG337" i="27" s="1"/>
  <c r="BF157" i="27"/>
  <c r="AB202" i="27" a="1"/>
  <c r="AB202" i="27" s="1"/>
  <c r="BJ202" i="27" s="1"/>
  <c r="H114" i="14"/>
  <c r="AE247" i="27" a="1"/>
  <c r="AE247" i="27" s="1"/>
  <c r="BM247" i="27" s="1"/>
  <c r="H137" i="14"/>
  <c r="F137" i="14"/>
  <c r="BE78" i="27"/>
  <c r="BE82" i="27"/>
  <c r="BE77" i="27"/>
  <c r="BE76" i="27"/>
  <c r="BE79" i="27"/>
  <c r="BE80" i="27"/>
  <c r="BE81" i="27"/>
  <c r="BE306" i="27"/>
  <c r="BE302" i="27"/>
  <c r="BE303" i="27"/>
  <c r="BE301" i="27"/>
  <c r="BE305" i="27"/>
  <c r="BE307" i="27"/>
  <c r="BE304" i="27"/>
  <c r="AA85" i="27"/>
  <c r="BI85" i="27" s="1"/>
  <c r="AA90" i="27"/>
  <c r="BI90" i="27" s="1"/>
  <c r="AA84" i="27"/>
  <c r="BI84" i="27" s="1"/>
  <c r="AA88" i="27"/>
  <c r="BI88" i="27" s="1"/>
  <c r="AA86" i="27"/>
  <c r="BI86" i="27" s="1"/>
  <c r="AA87" i="27"/>
  <c r="BI87" i="27" s="1"/>
  <c r="AA89" i="27"/>
  <c r="BI89" i="27" s="1"/>
  <c r="BE398" i="27"/>
  <c r="BE353" i="27"/>
  <c r="AA265" i="27"/>
  <c r="BI265" i="27" s="1"/>
  <c r="AA269" i="27"/>
  <c r="BI269" i="27" s="1"/>
  <c r="AA264" i="27"/>
  <c r="BI264" i="27" s="1"/>
  <c r="AA268" i="27"/>
  <c r="BI268" i="27" s="1"/>
  <c r="AA270" i="27"/>
  <c r="BI270" i="27" s="1"/>
  <c r="AA266" i="27"/>
  <c r="BI266" i="27" s="1"/>
  <c r="AA267" i="27"/>
  <c r="BI267" i="27" s="1"/>
  <c r="AD359" i="27"/>
  <c r="BL359" i="27" s="1"/>
  <c r="AD355" i="27"/>
  <c r="BL355" i="27" s="1"/>
  <c r="AD354" i="27"/>
  <c r="BL354" i="27" s="1"/>
  <c r="AD356" i="27"/>
  <c r="BL356" i="27" s="1"/>
  <c r="AD358" i="27"/>
  <c r="BL358" i="27" s="1"/>
  <c r="AD360" i="27"/>
  <c r="BL360" i="27" s="1"/>
  <c r="AD357" i="27"/>
  <c r="BL357" i="27" s="1"/>
  <c r="Y170" i="27"/>
  <c r="BG170" i="27" s="1"/>
  <c r="Y169" i="27"/>
  <c r="BG169" i="27" s="1"/>
  <c r="Y168" i="27"/>
  <c r="BG168" i="27" s="1"/>
  <c r="Y171" i="27"/>
  <c r="BG171" i="27" s="1"/>
  <c r="Y172" i="27"/>
  <c r="BG172" i="27" s="1"/>
  <c r="Y166" i="27"/>
  <c r="BG166" i="27" s="1"/>
  <c r="Y167" i="27"/>
  <c r="BG167" i="27" s="1"/>
  <c r="Z88" i="27"/>
  <c r="BH88" i="27" s="1"/>
  <c r="Z85" i="27"/>
  <c r="BH85" i="27" s="1"/>
  <c r="Z89" i="27"/>
  <c r="BH89" i="27" s="1"/>
  <c r="Z86" i="27"/>
  <c r="BH86" i="27" s="1"/>
  <c r="Z84" i="27"/>
  <c r="BH84" i="27" s="1"/>
  <c r="Z87" i="27"/>
  <c r="BH87" i="27" s="1"/>
  <c r="Z90" i="27"/>
  <c r="BH90" i="27" s="1"/>
  <c r="AB215" i="27"/>
  <c r="BJ215" i="27" s="1"/>
  <c r="AB211" i="27"/>
  <c r="BJ211" i="27" s="1"/>
  <c r="AB216" i="27"/>
  <c r="BJ216" i="27" s="1"/>
  <c r="AB217" i="27"/>
  <c r="BJ217" i="27" s="1"/>
  <c r="AB212" i="27"/>
  <c r="BJ212" i="27" s="1"/>
  <c r="AB213" i="27"/>
  <c r="BJ213" i="27" s="1"/>
  <c r="AB214" i="27"/>
  <c r="BJ214" i="27" s="1"/>
  <c r="AE129" i="27"/>
  <c r="BM129" i="27" s="1"/>
  <c r="AE134" i="27"/>
  <c r="BM134" i="27" s="1"/>
  <c r="AE130" i="27"/>
  <c r="BM130" i="27" s="1"/>
  <c r="AE131" i="27"/>
  <c r="BM131" i="27" s="1"/>
  <c r="AE132" i="27"/>
  <c r="BM132" i="27" s="1"/>
  <c r="AE133" i="27"/>
  <c r="BM133" i="27" s="1"/>
  <c r="AE135" i="27"/>
  <c r="BM135" i="27" s="1"/>
  <c r="AA359" i="27"/>
  <c r="BI359" i="27" s="1"/>
  <c r="AA357" i="27"/>
  <c r="BI357" i="27" s="1"/>
  <c r="AA355" i="27"/>
  <c r="BI355" i="27" s="1"/>
  <c r="AA354" i="27"/>
  <c r="BI354" i="27" s="1"/>
  <c r="AA356" i="27"/>
  <c r="BI356" i="27" s="1"/>
  <c r="AA358" i="27"/>
  <c r="BI358" i="27" s="1"/>
  <c r="AA360" i="27"/>
  <c r="BI360" i="27" s="1"/>
  <c r="AE223" i="27"/>
  <c r="BM223" i="27" s="1"/>
  <c r="AE221" i="27"/>
  <c r="BM221" i="27" s="1"/>
  <c r="AE220" i="27"/>
  <c r="BM220" i="27" s="1"/>
  <c r="AE225" i="27"/>
  <c r="BM225" i="27" s="1"/>
  <c r="AE222" i="27"/>
  <c r="BM222" i="27" s="1"/>
  <c r="AE219" i="27"/>
  <c r="BM219" i="27" s="1"/>
  <c r="AE224" i="27"/>
  <c r="BM224" i="27" s="1"/>
  <c r="Z269" i="27"/>
  <c r="BH269" i="27" s="1"/>
  <c r="Z264" i="27"/>
  <c r="BH264" i="27" s="1"/>
  <c r="Z266" i="27"/>
  <c r="BH266" i="27" s="1"/>
  <c r="Z265" i="27"/>
  <c r="BH265" i="27" s="1"/>
  <c r="Z270" i="27"/>
  <c r="BH270" i="27" s="1"/>
  <c r="Z267" i="27"/>
  <c r="BH267" i="27" s="1"/>
  <c r="Z268" i="27"/>
  <c r="BH268" i="27" s="1"/>
  <c r="AE393" i="27"/>
  <c r="BM393" i="27" s="1"/>
  <c r="AE395" i="27"/>
  <c r="BM395" i="27" s="1"/>
  <c r="AE392" i="27"/>
  <c r="BM392" i="27" s="1"/>
  <c r="AE391" i="27"/>
  <c r="BM391" i="27" s="1"/>
  <c r="AE396" i="27"/>
  <c r="BM396" i="27" s="1"/>
  <c r="AE397" i="27"/>
  <c r="BM397" i="27" s="1"/>
  <c r="AE394" i="27"/>
  <c r="BM394" i="27" s="1"/>
  <c r="AD129" i="27"/>
  <c r="BL129" i="27" s="1"/>
  <c r="AD130" i="27"/>
  <c r="BL130" i="27" s="1"/>
  <c r="AD134" i="27"/>
  <c r="BL134" i="27" s="1"/>
  <c r="AD131" i="27"/>
  <c r="BL131" i="27" s="1"/>
  <c r="AD135" i="27"/>
  <c r="BL135" i="27" s="1"/>
  <c r="AD132" i="27"/>
  <c r="BL132" i="27" s="1"/>
  <c r="AD133" i="27"/>
  <c r="BL133" i="27" s="1"/>
  <c r="AD394" i="27"/>
  <c r="BL394" i="27" s="1"/>
  <c r="AD395" i="27"/>
  <c r="BL395" i="27" s="1"/>
  <c r="AD391" i="27"/>
  <c r="BL391" i="27" s="1"/>
  <c r="AD397" i="27"/>
  <c r="BL397" i="27" s="1"/>
  <c r="AD396" i="27"/>
  <c r="BL396" i="27" s="1"/>
  <c r="AD392" i="27"/>
  <c r="BL392" i="27" s="1"/>
  <c r="AD393" i="27"/>
  <c r="BL393" i="27" s="1"/>
  <c r="Z130" i="27"/>
  <c r="BH130" i="27" s="1"/>
  <c r="Z131" i="27"/>
  <c r="BH131" i="27" s="1"/>
  <c r="Z129" i="27"/>
  <c r="BH129" i="27" s="1"/>
  <c r="Z134" i="27"/>
  <c r="BH134" i="27" s="1"/>
  <c r="Z132" i="27"/>
  <c r="BH132" i="27" s="1"/>
  <c r="Z135" i="27"/>
  <c r="BH135" i="27" s="1"/>
  <c r="Z133" i="27"/>
  <c r="BH133" i="27" s="1"/>
  <c r="Z357" i="27"/>
  <c r="BH357" i="27" s="1"/>
  <c r="Z358" i="27"/>
  <c r="BH358" i="27" s="1"/>
  <c r="Z354" i="27"/>
  <c r="BH354" i="27" s="1"/>
  <c r="Z360" i="27"/>
  <c r="BH360" i="27" s="1"/>
  <c r="Z356" i="27"/>
  <c r="BH356" i="27" s="1"/>
  <c r="Z355" i="27"/>
  <c r="BH355" i="27" s="1"/>
  <c r="Z359" i="27"/>
  <c r="BH359" i="27" s="1"/>
  <c r="Y314" i="27"/>
  <c r="BG314" i="27" s="1"/>
  <c r="Y315" i="27"/>
  <c r="BG315" i="27" s="1"/>
  <c r="Y312" i="27"/>
  <c r="BG312" i="27" s="1"/>
  <c r="Y313" i="27"/>
  <c r="BG313" i="27" s="1"/>
  <c r="Y311" i="27"/>
  <c r="BG311" i="27" s="1"/>
  <c r="Y310" i="27"/>
  <c r="BG310" i="27" s="1"/>
  <c r="Y309" i="27"/>
  <c r="BG309" i="27" s="1"/>
  <c r="Y270" i="27"/>
  <c r="BG270" i="27" s="1"/>
  <c r="Y268" i="27"/>
  <c r="BG268" i="27" s="1"/>
  <c r="Y269" i="27"/>
  <c r="BG269" i="27" s="1"/>
  <c r="Y267" i="27"/>
  <c r="BG267" i="27" s="1"/>
  <c r="Y266" i="27"/>
  <c r="BG266" i="27" s="1"/>
  <c r="Y265" i="27"/>
  <c r="BG265" i="27" s="1"/>
  <c r="Y264" i="27"/>
  <c r="BG264" i="27" s="1"/>
  <c r="Y396" i="27"/>
  <c r="BG396" i="27" s="1"/>
  <c r="Y395" i="27"/>
  <c r="BG395" i="27" s="1"/>
  <c r="Y391" i="27"/>
  <c r="BG391" i="27" s="1"/>
  <c r="Y392" i="27"/>
  <c r="BG392" i="27" s="1"/>
  <c r="Y393" i="27"/>
  <c r="BG393" i="27" s="1"/>
  <c r="Y397" i="27"/>
  <c r="BG397" i="27" s="1"/>
  <c r="Y394" i="27"/>
  <c r="BG394" i="27" s="1"/>
  <c r="AE259" i="27"/>
  <c r="BM259" i="27" s="1"/>
  <c r="AE257" i="27"/>
  <c r="BM257" i="27" s="1"/>
  <c r="AE260" i="27"/>
  <c r="BM260" i="27" s="1"/>
  <c r="AE258" i="27"/>
  <c r="BM258" i="27" s="1"/>
  <c r="AE256" i="27"/>
  <c r="BM256" i="27" s="1"/>
  <c r="AE261" i="27"/>
  <c r="BM261" i="27" s="1"/>
  <c r="AE262" i="27"/>
  <c r="BM262" i="27" s="1"/>
  <c r="BD397" i="27"/>
  <c r="BD391" i="27"/>
  <c r="BD395" i="27"/>
  <c r="BD396" i="27"/>
  <c r="BD394" i="27"/>
  <c r="BD393" i="27"/>
  <c r="BD392" i="27"/>
  <c r="AE312" i="27"/>
  <c r="BM312" i="27" s="1"/>
  <c r="AE313" i="27"/>
  <c r="BM313" i="27" s="1"/>
  <c r="AE311" i="27"/>
  <c r="BM311" i="27" s="1"/>
  <c r="AE310" i="27"/>
  <c r="BM310" i="27" s="1"/>
  <c r="AE309" i="27"/>
  <c r="BM309" i="27" s="1"/>
  <c r="AE315" i="27"/>
  <c r="BM315" i="27" s="1"/>
  <c r="AE314" i="27"/>
  <c r="BM314" i="27" s="1"/>
  <c r="BE83" i="27"/>
  <c r="AA259" i="27"/>
  <c r="BI259" i="27" s="1"/>
  <c r="AA257" i="27"/>
  <c r="BI257" i="27" s="1"/>
  <c r="AA260" i="27"/>
  <c r="BI260" i="27" s="1"/>
  <c r="AA261" i="27"/>
  <c r="BI261" i="27" s="1"/>
  <c r="AA262" i="27"/>
  <c r="BI262" i="27" s="1"/>
  <c r="AA256" i="27"/>
  <c r="BI256" i="27" s="1"/>
  <c r="AA258" i="27"/>
  <c r="BI258" i="27" s="1"/>
  <c r="BE263" i="27"/>
  <c r="BD259" i="27"/>
  <c r="BD262" i="27"/>
  <c r="BD260" i="27"/>
  <c r="BD256" i="27"/>
  <c r="BD261" i="27"/>
  <c r="BD258" i="27"/>
  <c r="BD257" i="27"/>
  <c r="Z396" i="27"/>
  <c r="BH396" i="27" s="1"/>
  <c r="Z395" i="27"/>
  <c r="BH395" i="27" s="1"/>
  <c r="Z394" i="27"/>
  <c r="BH394" i="27" s="1"/>
  <c r="Z393" i="27"/>
  <c r="BH393" i="27" s="1"/>
  <c r="Z391" i="27"/>
  <c r="BH391" i="27" s="1"/>
  <c r="Z392" i="27"/>
  <c r="BH392" i="27" s="1"/>
  <c r="Z397" i="27"/>
  <c r="BH397" i="27" s="1"/>
  <c r="BE390" i="27"/>
  <c r="AD265" i="27"/>
  <c r="BL265" i="27" s="1"/>
  <c r="AD264" i="27"/>
  <c r="BL264" i="27" s="1"/>
  <c r="AD270" i="27"/>
  <c r="BL270" i="27" s="1"/>
  <c r="AD269" i="27"/>
  <c r="BL269" i="27" s="1"/>
  <c r="AD268" i="27"/>
  <c r="BL268" i="27" s="1"/>
  <c r="AD267" i="27"/>
  <c r="BL267" i="27" s="1"/>
  <c r="AD266" i="27"/>
  <c r="BL266" i="27" s="1"/>
  <c r="BD135" i="27"/>
  <c r="BD134" i="27"/>
  <c r="BD130" i="27"/>
  <c r="BD133" i="27"/>
  <c r="BD131" i="27"/>
  <c r="BD132" i="27"/>
  <c r="BD129" i="27"/>
  <c r="Z259" i="27"/>
  <c r="BH259" i="27" s="1"/>
  <c r="Z262" i="27"/>
  <c r="BH262" i="27" s="1"/>
  <c r="Z257" i="27"/>
  <c r="BH257" i="27" s="1"/>
  <c r="Z260" i="27"/>
  <c r="BH260" i="27" s="1"/>
  <c r="Z258" i="27"/>
  <c r="BH258" i="27" s="1"/>
  <c r="Z256" i="27"/>
  <c r="BH256" i="27" s="1"/>
  <c r="Z261" i="27"/>
  <c r="BH261" i="27" s="1"/>
  <c r="Z315" i="27"/>
  <c r="BH315" i="27" s="1"/>
  <c r="Z310" i="27"/>
  <c r="BH310" i="27" s="1"/>
  <c r="Z309" i="27"/>
  <c r="BH309" i="27" s="1"/>
  <c r="Z314" i="27"/>
  <c r="BH314" i="27" s="1"/>
  <c r="Z311" i="27"/>
  <c r="BH311" i="27" s="1"/>
  <c r="Z312" i="27"/>
  <c r="BH312" i="27" s="1"/>
  <c r="Z313" i="27"/>
  <c r="BH313" i="27" s="1"/>
  <c r="AB261" i="27"/>
  <c r="BJ261" i="27" s="1"/>
  <c r="AB258" i="27"/>
  <c r="BJ258" i="27" s="1"/>
  <c r="AB259" i="27"/>
  <c r="BJ259" i="27" s="1"/>
  <c r="AA170" i="27"/>
  <c r="BI170" i="27" s="1"/>
  <c r="AA171" i="27"/>
  <c r="BI171" i="27" s="1"/>
  <c r="AA168" i="27"/>
  <c r="BI168" i="27" s="1"/>
  <c r="AA172" i="27"/>
  <c r="BI172" i="27" s="1"/>
  <c r="AA167" i="27"/>
  <c r="BI167" i="27" s="1"/>
  <c r="AA169" i="27"/>
  <c r="BI169" i="27" s="1"/>
  <c r="AA166" i="27"/>
  <c r="BI166" i="27" s="1"/>
  <c r="BF298" i="27"/>
  <c r="AE265" i="27"/>
  <c r="BM265" i="27" s="1"/>
  <c r="AE264" i="27"/>
  <c r="BM264" i="27" s="1"/>
  <c r="AE269" i="27"/>
  <c r="BM269" i="27" s="1"/>
  <c r="AE267" i="27"/>
  <c r="BM267" i="27" s="1"/>
  <c r="AE268" i="27"/>
  <c r="BM268" i="27" s="1"/>
  <c r="AE266" i="27"/>
  <c r="BM266" i="27" s="1"/>
  <c r="AE270" i="27"/>
  <c r="BM270" i="27" s="1"/>
  <c r="AA225" i="27"/>
  <c r="BI225" i="27" s="1"/>
  <c r="AA224" i="27"/>
  <c r="BI224" i="27" s="1"/>
  <c r="AA220" i="27"/>
  <c r="BI220" i="27" s="1"/>
  <c r="AA219" i="27"/>
  <c r="BI219" i="27" s="1"/>
  <c r="AA223" i="27"/>
  <c r="BI223" i="27" s="1"/>
  <c r="AA222" i="27"/>
  <c r="BI222" i="27" s="1"/>
  <c r="AA221" i="27"/>
  <c r="BI221" i="27" s="1"/>
  <c r="BE14" i="27"/>
  <c r="BE16" i="27"/>
  <c r="BE20" i="27"/>
  <c r="BE17" i="27"/>
  <c r="BE15" i="27"/>
  <c r="BE19" i="27"/>
  <c r="BE18" i="27"/>
  <c r="AD87" i="27"/>
  <c r="BL87" i="27" s="1"/>
  <c r="AD88" i="27"/>
  <c r="BL88" i="27" s="1"/>
  <c r="AD86" i="27"/>
  <c r="BL86" i="27" s="1"/>
  <c r="AD90" i="27"/>
  <c r="BL90" i="27" s="1"/>
  <c r="AD85" i="27"/>
  <c r="BL85" i="27" s="1"/>
  <c r="AD84" i="27"/>
  <c r="BL84" i="27" s="1"/>
  <c r="AD89" i="27"/>
  <c r="BL89" i="27" s="1"/>
  <c r="AD261" i="27"/>
  <c r="BL261" i="27" s="1"/>
  <c r="AD260" i="27"/>
  <c r="BL260" i="27" s="1"/>
  <c r="AD258" i="27"/>
  <c r="BL258" i="27" s="1"/>
  <c r="AD259" i="27"/>
  <c r="BL259" i="27" s="1"/>
  <c r="AD257" i="27"/>
  <c r="BL257" i="27" s="1"/>
  <c r="AD256" i="27"/>
  <c r="BL256" i="27" s="1"/>
  <c r="AD262" i="27"/>
  <c r="BL262" i="27" s="1"/>
  <c r="BE308" i="27"/>
  <c r="AD310" i="27"/>
  <c r="BL310" i="27" s="1"/>
  <c r="AD315" i="27"/>
  <c r="BL315" i="27" s="1"/>
  <c r="AD309" i="27"/>
  <c r="BL309" i="27" s="1"/>
  <c r="AD312" i="27"/>
  <c r="BL312" i="27" s="1"/>
  <c r="AD311" i="27"/>
  <c r="BL311" i="27" s="1"/>
  <c r="AD313" i="27"/>
  <c r="BL313" i="27" s="1"/>
  <c r="AD314" i="27"/>
  <c r="BL314" i="27" s="1"/>
  <c r="BE345" i="27"/>
  <c r="Y357" i="27"/>
  <c r="BG357" i="27" s="1"/>
  <c r="Y360" i="27"/>
  <c r="BG360" i="27" s="1"/>
  <c r="Y359" i="27"/>
  <c r="BG359" i="27" s="1"/>
  <c r="Y356" i="27"/>
  <c r="BG356" i="27" s="1"/>
  <c r="Y358" i="27"/>
  <c r="BG358" i="27" s="1"/>
  <c r="Y354" i="27"/>
  <c r="BG354" i="27" s="1"/>
  <c r="Y355" i="27"/>
  <c r="BG355" i="27" s="1"/>
  <c r="Z168" i="27"/>
  <c r="BH168" i="27" s="1"/>
  <c r="Z170" i="27"/>
  <c r="BH170" i="27" s="1"/>
  <c r="Z171" i="27"/>
  <c r="BH171" i="27" s="1"/>
  <c r="Z172" i="27"/>
  <c r="BH172" i="27" s="1"/>
  <c r="Z166" i="27"/>
  <c r="BH166" i="27" s="1"/>
  <c r="Z167" i="27"/>
  <c r="BH167" i="27" s="1"/>
  <c r="Z169" i="27"/>
  <c r="BH169" i="27" s="1"/>
  <c r="BD312" i="27"/>
  <c r="BD314" i="27"/>
  <c r="BD311" i="27"/>
  <c r="BD313" i="27"/>
  <c r="BD309" i="27"/>
  <c r="BD315" i="27"/>
  <c r="BD310" i="27"/>
  <c r="BE165" i="27"/>
  <c r="AB124" i="27"/>
  <c r="BJ124" i="27" s="1"/>
  <c r="AB121" i="27"/>
  <c r="BJ121" i="27" s="1"/>
  <c r="AB122" i="27"/>
  <c r="BJ122" i="27" s="1"/>
  <c r="AB125" i="27"/>
  <c r="BJ125" i="27" s="1"/>
  <c r="AA131" i="27"/>
  <c r="BI131" i="27" s="1"/>
  <c r="AA129" i="27"/>
  <c r="BI129" i="27" s="1"/>
  <c r="AA130" i="27"/>
  <c r="BI130" i="27" s="1"/>
  <c r="AA133" i="27"/>
  <c r="BI133" i="27" s="1"/>
  <c r="AA132" i="27"/>
  <c r="BI132" i="27" s="1"/>
  <c r="AA134" i="27"/>
  <c r="BI134" i="27" s="1"/>
  <c r="AA135" i="27"/>
  <c r="BI135" i="27" s="1"/>
  <c r="BD263" i="27"/>
  <c r="M95" i="21" a="1"/>
  <c r="M95" i="21" s="1"/>
  <c r="AD166" i="27"/>
  <c r="BL166" i="27" s="1"/>
  <c r="AD169" i="27"/>
  <c r="BL169" i="27" s="1"/>
  <c r="AD170" i="27"/>
  <c r="BL170" i="27" s="1"/>
  <c r="AD167" i="27"/>
  <c r="BL167" i="27" s="1"/>
  <c r="AD168" i="27"/>
  <c r="BL168" i="27" s="1"/>
  <c r="AD171" i="27"/>
  <c r="BL171" i="27" s="1"/>
  <c r="AD172" i="27"/>
  <c r="BL172" i="27" s="1"/>
  <c r="BD168" i="27"/>
  <c r="BD167" i="27"/>
  <c r="BD171" i="27"/>
  <c r="BD172" i="27"/>
  <c r="BD169" i="27"/>
  <c r="BD170" i="27"/>
  <c r="BD166" i="27"/>
  <c r="BF77" i="27"/>
  <c r="BF81" i="27"/>
  <c r="BF79" i="27"/>
  <c r="BF80" i="27"/>
  <c r="BF76" i="27"/>
  <c r="BF78" i="27"/>
  <c r="BF82" i="27"/>
  <c r="AE356" i="27"/>
  <c r="BM356" i="27" s="1"/>
  <c r="AE357" i="27"/>
  <c r="BM357" i="27" s="1"/>
  <c r="AE359" i="27"/>
  <c r="BM359" i="27" s="1"/>
  <c r="AE358" i="27"/>
  <c r="BM358" i="27" s="1"/>
  <c r="AE355" i="27"/>
  <c r="BM355" i="27" s="1"/>
  <c r="AE360" i="27"/>
  <c r="BM360" i="27" s="1"/>
  <c r="AE354" i="27"/>
  <c r="BM354" i="27" s="1"/>
  <c r="AD220" i="27"/>
  <c r="BL220" i="27" s="1"/>
  <c r="AD222" i="27"/>
  <c r="BL222" i="27" s="1"/>
  <c r="AD223" i="27"/>
  <c r="BL223" i="27" s="1"/>
  <c r="AD225" i="27"/>
  <c r="BL225" i="27" s="1"/>
  <c r="AD221" i="27"/>
  <c r="BL221" i="27" s="1"/>
  <c r="AD219" i="27"/>
  <c r="BL219" i="27" s="1"/>
  <c r="AD224" i="27"/>
  <c r="BL224" i="27" s="1"/>
  <c r="BF402" i="27"/>
  <c r="BF404" i="27"/>
  <c r="BF401" i="27"/>
  <c r="BF405" i="27"/>
  <c r="BF400" i="27"/>
  <c r="BF403" i="27"/>
  <c r="BF399" i="27"/>
  <c r="Y135" i="27"/>
  <c r="BG135" i="27" s="1"/>
  <c r="Y133" i="27"/>
  <c r="BG133" i="27" s="1"/>
  <c r="Y130" i="27"/>
  <c r="BG130" i="27" s="1"/>
  <c r="Y131" i="27"/>
  <c r="BG131" i="27" s="1"/>
  <c r="Y129" i="27"/>
  <c r="BG129" i="27" s="1"/>
  <c r="Y134" i="27"/>
  <c r="BG134" i="27" s="1"/>
  <c r="Y132" i="27"/>
  <c r="BG132" i="27" s="1"/>
  <c r="AA395" i="27"/>
  <c r="BI395" i="27" s="1"/>
  <c r="AA394" i="27"/>
  <c r="BI394" i="27" s="1"/>
  <c r="AA393" i="27"/>
  <c r="BI393" i="27" s="1"/>
  <c r="AA396" i="27"/>
  <c r="BI396" i="27" s="1"/>
  <c r="AA391" i="27"/>
  <c r="BI391" i="27" s="1"/>
  <c r="AA392" i="27"/>
  <c r="BI392" i="27" s="1"/>
  <c r="AA397" i="27"/>
  <c r="BI397" i="27" s="1"/>
  <c r="Y259" i="27"/>
  <c r="BG259" i="27" s="1"/>
  <c r="Y262" i="27"/>
  <c r="BG262" i="27" s="1"/>
  <c r="Y260" i="27"/>
  <c r="BG260" i="27" s="1"/>
  <c r="Y257" i="27"/>
  <c r="BG257" i="27" s="1"/>
  <c r="Y256" i="27"/>
  <c r="BG256" i="27" s="1"/>
  <c r="Y261" i="27"/>
  <c r="BG261" i="27" s="1"/>
  <c r="Y258" i="27"/>
  <c r="BG258" i="27" s="1"/>
  <c r="BF114" i="27"/>
  <c r="BF118" i="27"/>
  <c r="BF113" i="27"/>
  <c r="BF119" i="27"/>
  <c r="BF117" i="27"/>
  <c r="BF115" i="27"/>
  <c r="BF116" i="27"/>
  <c r="BF257" i="27"/>
  <c r="BF258" i="27"/>
  <c r="BF260" i="27"/>
  <c r="BF259" i="27"/>
  <c r="BF261" i="27"/>
  <c r="BF256" i="27"/>
  <c r="BF262" i="27"/>
  <c r="BE128" i="27"/>
  <c r="BD354" i="27"/>
  <c r="BD355" i="27"/>
  <c r="BD360" i="27"/>
  <c r="BD358" i="27"/>
  <c r="BD359" i="27"/>
  <c r="BD357" i="27"/>
  <c r="BD356" i="27"/>
  <c r="BE218" i="27"/>
  <c r="D48" i="14"/>
  <c r="J38" i="21" a="1"/>
  <c r="J38" i="21" s="1"/>
  <c r="I54" i="21" a="1"/>
  <c r="I54" i="21" s="1"/>
  <c r="O52" i="21" a="1"/>
  <c r="O52" i="21" s="1"/>
  <c r="AG112" i="27" a="1"/>
  <c r="AG112" i="27" s="1"/>
  <c r="BO112" i="27" s="1"/>
  <c r="G54" i="21" a="1"/>
  <c r="G54" i="21" s="1"/>
  <c r="I137" i="21" a="1"/>
  <c r="I137" i="21" s="1"/>
  <c r="F52" i="21" a="1"/>
  <c r="F52" i="21" s="1"/>
  <c r="L82" i="21" a="1"/>
  <c r="L82" i="21" s="1"/>
  <c r="L67" i="21" a="1"/>
  <c r="L67" i="21" s="1"/>
  <c r="D67" i="21" a="1"/>
  <c r="D67" i="21" s="1"/>
  <c r="G136" i="21" a="1"/>
  <c r="G136" i="21" s="1"/>
  <c r="M124" i="21" a="1"/>
  <c r="M124" i="21" s="1"/>
  <c r="F138" i="21" a="1"/>
  <c r="F138" i="21" s="1"/>
  <c r="M110" i="21" a="1"/>
  <c r="M110" i="21" s="1"/>
  <c r="G67" i="21" a="1"/>
  <c r="G67" i="21" s="1"/>
  <c r="H40" i="21" a="1"/>
  <c r="H40" i="21" s="1"/>
  <c r="I66" i="21" a="1"/>
  <c r="I66" i="21" s="1"/>
  <c r="J81" i="21" a="1"/>
  <c r="J81" i="21" s="1"/>
  <c r="O124" i="21" a="1"/>
  <c r="O124" i="21" s="1"/>
  <c r="AG353" i="27" a="1"/>
  <c r="AG353" i="27" s="1"/>
  <c r="BO353" i="27" s="1"/>
  <c r="E54" i="21" a="1"/>
  <c r="E54" i="21" s="1"/>
  <c r="D124" i="21" a="1"/>
  <c r="D124" i="21" s="1"/>
  <c r="E82" i="21" a="1"/>
  <c r="E82" i="21" s="1"/>
  <c r="O138" i="21" a="1"/>
  <c r="O138" i="21" s="1"/>
  <c r="AG398" i="27" a="1"/>
  <c r="AG398" i="27" s="1"/>
  <c r="BO398" i="27" s="1"/>
  <c r="M137" i="21" a="1"/>
  <c r="M137" i="21" s="1"/>
  <c r="L54" i="21" a="1"/>
  <c r="L54" i="21" s="1"/>
  <c r="L137" i="21" a="1"/>
  <c r="L137" i="21" s="1"/>
  <c r="F66" i="21" a="1"/>
  <c r="F66" i="21" s="1"/>
  <c r="G122" i="21" a="1"/>
  <c r="G122" i="21" s="1"/>
  <c r="M54" i="21" a="1"/>
  <c r="M54" i="21" s="1"/>
  <c r="I124" i="21" a="1"/>
  <c r="I124" i="21" s="1"/>
  <c r="M82" i="21" a="1"/>
  <c r="M82" i="21" s="1"/>
  <c r="AG133" i="27"/>
  <c r="BO133" i="27" s="1"/>
  <c r="AG134" i="27"/>
  <c r="BO134" i="27" s="1"/>
  <c r="AG130" i="27"/>
  <c r="BO130" i="27" s="1"/>
  <c r="AG129" i="27"/>
  <c r="BO129" i="27" s="1"/>
  <c r="AG135" i="27"/>
  <c r="BO135" i="27" s="1"/>
  <c r="AG131" i="27"/>
  <c r="BO131" i="27" s="1"/>
  <c r="AG132" i="27"/>
  <c r="BO132" i="27" s="1"/>
  <c r="D110" i="21" a="1"/>
  <c r="D110" i="21" s="1"/>
  <c r="E40" i="21" a="1"/>
  <c r="E40" i="21" s="1"/>
  <c r="N52" i="21" a="1"/>
  <c r="N52" i="21" s="1"/>
  <c r="H54" i="21" a="1"/>
  <c r="H54" i="21" s="1"/>
  <c r="H124" i="21" a="1"/>
  <c r="H124" i="21" s="1"/>
  <c r="AG180" i="27"/>
  <c r="BO180" i="27" s="1"/>
  <c r="AG176" i="27"/>
  <c r="BO176" i="27" s="1"/>
  <c r="AG174" i="27"/>
  <c r="BO174" i="27" s="1"/>
  <c r="AG177" i="27"/>
  <c r="BO177" i="27" s="1"/>
  <c r="AG178" i="27"/>
  <c r="BO178" i="27" s="1"/>
  <c r="AG179" i="27"/>
  <c r="BO179" i="27" s="1"/>
  <c r="AG175" i="27"/>
  <c r="BO175" i="27" s="1"/>
  <c r="I40" i="21" a="1"/>
  <c r="I40" i="21" s="1"/>
  <c r="H137" i="21" a="1"/>
  <c r="H137" i="21" s="1"/>
  <c r="G52" i="21" a="1"/>
  <c r="G52" i="21" s="1"/>
  <c r="F38" i="21" a="1"/>
  <c r="F38" i="21" s="1"/>
  <c r="AG314" i="27"/>
  <c r="BO314" i="27" s="1"/>
  <c r="AG313" i="27"/>
  <c r="BO313" i="27" s="1"/>
  <c r="AG310" i="27"/>
  <c r="BO310" i="27" s="1"/>
  <c r="AG315" i="27"/>
  <c r="BO315" i="27" s="1"/>
  <c r="AG309" i="27"/>
  <c r="BO309" i="27" s="1"/>
  <c r="AG312" i="27"/>
  <c r="BO312" i="27" s="1"/>
  <c r="AG311" i="27"/>
  <c r="BO311" i="27" s="1"/>
  <c r="G124" i="21" a="1"/>
  <c r="G124" i="21" s="1"/>
  <c r="H67" i="21" a="1"/>
  <c r="H67" i="21" s="1"/>
  <c r="E67" i="21" a="1"/>
  <c r="E67" i="21" s="1"/>
  <c r="J53" i="21" a="1"/>
  <c r="J53" i="21" s="1"/>
  <c r="I82" i="21" a="1"/>
  <c r="I82" i="21" s="1"/>
  <c r="E137" i="21" a="1"/>
  <c r="E137" i="21" s="1"/>
  <c r="L40" i="21" a="1"/>
  <c r="L40" i="21" s="1"/>
  <c r="E124" i="21" a="1"/>
  <c r="E124" i="21" s="1"/>
  <c r="G137" i="21" a="1"/>
  <c r="G137" i="21" s="1"/>
  <c r="J80" i="21" a="1"/>
  <c r="J80" i="21" s="1"/>
  <c r="E138" i="21" a="1"/>
  <c r="E138" i="21" s="1"/>
  <c r="O38" i="21" a="1"/>
  <c r="O38" i="21" s="1"/>
  <c r="AG67" i="27" a="1"/>
  <c r="AG67" i="27" s="1"/>
  <c r="BO67" i="27" s="1"/>
  <c r="E110" i="21" a="1"/>
  <c r="E110" i="21" s="1"/>
  <c r="D137" i="21" a="1"/>
  <c r="D137" i="21" s="1"/>
  <c r="L110" i="21" a="1"/>
  <c r="L110" i="21" s="1"/>
  <c r="E123" i="21" a="1"/>
  <c r="E123" i="21" s="1"/>
  <c r="G82" i="21" a="1"/>
  <c r="G82" i="21" s="1"/>
  <c r="D54" i="21" a="1"/>
  <c r="D54" i="21" s="1"/>
  <c r="H110" i="21" a="1"/>
  <c r="H110" i="21" s="1"/>
  <c r="I67" i="21" a="1"/>
  <c r="I67" i="21" s="1"/>
  <c r="H82" i="21" a="1"/>
  <c r="H82" i="21" s="1"/>
  <c r="AG223" i="27"/>
  <c r="BO223" i="27" s="1"/>
  <c r="AG222" i="27"/>
  <c r="BO222" i="27" s="1"/>
  <c r="AG225" i="27"/>
  <c r="BO225" i="27" s="1"/>
  <c r="AG224" i="27"/>
  <c r="BO224" i="27" s="1"/>
  <c r="AG221" i="27"/>
  <c r="BO221" i="27" s="1"/>
  <c r="AG220" i="27"/>
  <c r="BO220" i="27" s="1"/>
  <c r="AG219" i="27"/>
  <c r="BO219" i="27" s="1"/>
  <c r="BD75" i="27"/>
  <c r="AB75" i="27" a="1"/>
  <c r="AB75" i="27" s="1"/>
  <c r="BJ75" i="27" s="1"/>
  <c r="H96" i="21" a="1"/>
  <c r="H96" i="21" s="1"/>
  <c r="D95" i="21" a="1"/>
  <c r="D95" i="21" s="1"/>
  <c r="I95" i="21" a="1"/>
  <c r="I95" i="21" s="1"/>
  <c r="AG264" i="27"/>
  <c r="BO264" i="27" s="1"/>
  <c r="AG270" i="27"/>
  <c r="BO270" i="27" s="1"/>
  <c r="AG265" i="27"/>
  <c r="BO265" i="27" s="1"/>
  <c r="AG267" i="27"/>
  <c r="BO267" i="27" s="1"/>
  <c r="AG269" i="27"/>
  <c r="BO269" i="27" s="1"/>
  <c r="AG266" i="27"/>
  <c r="BO266" i="27" s="1"/>
  <c r="AG268" i="27"/>
  <c r="BO268" i="27" s="1"/>
  <c r="L95" i="21" a="1"/>
  <c r="L95" i="21" s="1"/>
  <c r="G96" i="21" a="1"/>
  <c r="G96" i="21" s="1"/>
  <c r="I96" i="21" a="1"/>
  <c r="I96" i="21" s="1"/>
  <c r="J95" i="21" a="1"/>
  <c r="J95" i="21" s="1"/>
  <c r="M94" i="21" a="1"/>
  <c r="M94" i="21" s="1"/>
  <c r="M96" i="21" a="1"/>
  <c r="M96" i="21" s="1"/>
  <c r="E96" i="21" a="1"/>
  <c r="E96" i="21" s="1"/>
  <c r="H95" i="21" a="1"/>
  <c r="H95" i="21" s="1"/>
  <c r="L96" i="21" a="1"/>
  <c r="L96" i="21" s="1"/>
  <c r="D96" i="21" a="1"/>
  <c r="D96" i="21" s="1"/>
  <c r="G95" i="21" a="1"/>
  <c r="G95" i="21" s="1"/>
  <c r="E95" i="21" a="1"/>
  <c r="E95" i="21" s="1"/>
  <c r="G91" i="14"/>
  <c r="Y173" i="27" s="1" a="1"/>
  <c r="Y173" i="27" s="1"/>
  <c r="BG173" i="27" s="1"/>
  <c r="G92" i="14"/>
  <c r="Z173" i="27" s="1" a="1"/>
  <c r="Z173" i="27" s="1"/>
  <c r="BH173" i="27" s="1"/>
  <c r="F39" i="21" a="1"/>
  <c r="F39" i="21" s="1"/>
  <c r="G18" i="21" a="1"/>
  <c r="G18" i="21" s="1"/>
  <c r="G4" i="21" a="1"/>
  <c r="G4" i="21" s="1"/>
  <c r="G59" i="14"/>
  <c r="I18" i="21" a="1"/>
  <c r="I18" i="21" s="1"/>
  <c r="I4" i="21" a="1"/>
  <c r="I4" i="21" s="1"/>
  <c r="L18" i="21" a="1"/>
  <c r="L18" i="21" s="1"/>
  <c r="L4" i="21" a="1"/>
  <c r="L4" i="21" s="1"/>
  <c r="M18" i="21" a="1"/>
  <c r="M18" i="21" s="1"/>
  <c r="M4" i="21" a="1"/>
  <c r="M4" i="21" s="1"/>
  <c r="J18" i="21" a="1"/>
  <c r="J18" i="21" s="1"/>
  <c r="J4" i="21" a="1"/>
  <c r="J4" i="21" s="1"/>
  <c r="H18" i="21" a="1"/>
  <c r="H18" i="21" s="1"/>
  <c r="H4" i="21" a="1"/>
  <c r="H4" i="21" s="1"/>
  <c r="E18" i="21" a="1"/>
  <c r="E18" i="21" s="1"/>
  <c r="E4" i="21" a="1"/>
  <c r="E4" i="21" s="1"/>
  <c r="L124" i="21" a="1"/>
  <c r="L124" i="21" s="1"/>
  <c r="D22" i="21" a="1"/>
  <c r="D22" i="21" s="1"/>
  <c r="G110" i="21" a="1"/>
  <c r="G110" i="21" s="1"/>
  <c r="D18" i="21" a="1"/>
  <c r="D18" i="21" s="1"/>
  <c r="D4" i="21" a="1"/>
  <c r="D4" i="21" s="1"/>
  <c r="D117" i="14"/>
  <c r="D113" i="14"/>
  <c r="D192" i="14"/>
  <c r="D109" i="14"/>
  <c r="D88" i="14"/>
  <c r="D188" i="14"/>
  <c r="D136" i="14"/>
  <c r="D96" i="14"/>
  <c r="G96" i="14"/>
  <c r="AD173" i="27" s="1" a="1"/>
  <c r="AD173" i="27" s="1"/>
  <c r="BL173" i="27" s="1"/>
  <c r="D196" i="14"/>
  <c r="G196" i="14"/>
  <c r="AD398" i="27" s="1" a="1"/>
  <c r="AD398" i="27" s="1"/>
  <c r="BL398" i="27" s="1"/>
  <c r="D189" i="14"/>
  <c r="D97" i="14"/>
  <c r="AB345" i="27" a="1"/>
  <c r="AB345" i="27" s="1"/>
  <c r="BJ345" i="27" s="1"/>
  <c r="G197" i="14"/>
  <c r="AE398" i="27" s="1" a="1"/>
  <c r="AE398" i="27" s="1"/>
  <c r="BM398" i="27" s="1"/>
  <c r="D133" i="14"/>
  <c r="D129" i="14"/>
  <c r="E76" i="14"/>
  <c r="AD120" i="27" s="1" a="1"/>
  <c r="AD120" i="27" s="1"/>
  <c r="BL120" i="27" s="1"/>
  <c r="E77" i="14"/>
  <c r="AE120" i="27" s="1" a="1"/>
  <c r="AE120" i="27" s="1"/>
  <c r="BM120" i="27" s="1"/>
  <c r="E69" i="14"/>
  <c r="E73" i="14"/>
  <c r="AA120" i="27" s="1" a="1"/>
  <c r="AA120" i="27" s="1"/>
  <c r="BI120" i="27" s="1"/>
  <c r="G97" i="14"/>
  <c r="AE173" i="27" s="1" a="1"/>
  <c r="AE173" i="27" s="1"/>
  <c r="BM173" i="27" s="1"/>
  <c r="G93" i="14"/>
  <c r="AA173" i="27" s="1" a="1"/>
  <c r="AA173" i="27" s="1"/>
  <c r="BI173" i="27" s="1"/>
  <c r="G89" i="14"/>
  <c r="D131" i="14"/>
  <c r="G191" i="14"/>
  <c r="Y398" i="27" s="1" a="1"/>
  <c r="Y398" i="27" s="1"/>
  <c r="BG398" i="27" s="1"/>
  <c r="D151" i="14"/>
  <c r="D148" i="14"/>
  <c r="D156" i="14"/>
  <c r="D153" i="14"/>
  <c r="D152" i="14"/>
  <c r="D149" i="14"/>
  <c r="D157" i="14"/>
  <c r="E168" i="14"/>
  <c r="BD345" i="27" s="1"/>
  <c r="E173" i="14"/>
  <c r="AA345" i="27" s="1" a="1"/>
  <c r="AA345" i="27" s="1"/>
  <c r="BI345" i="27" s="1"/>
  <c r="E177" i="14"/>
  <c r="AE345" i="27" s="1" a="1"/>
  <c r="AE345" i="27" s="1"/>
  <c r="BM345" i="27" s="1"/>
  <c r="G193" i="14"/>
  <c r="AA398" i="27" s="1" a="1"/>
  <c r="AA398" i="27" s="1"/>
  <c r="BI398" i="27" s="1"/>
  <c r="E71" i="14"/>
  <c r="E176" i="14"/>
  <c r="AD345" i="27" s="1" a="1"/>
  <c r="AD345" i="27" s="1"/>
  <c r="BL345" i="27" s="1"/>
  <c r="E111" i="14"/>
  <c r="Y210" i="27" s="1" a="1"/>
  <c r="Y210" i="27" s="1"/>
  <c r="BG210" i="27" s="1"/>
  <c r="E109" i="14"/>
  <c r="E116" i="14"/>
  <c r="AD210" i="27" s="1" a="1"/>
  <c r="AD210" i="27" s="1"/>
  <c r="BL210" i="27" s="1"/>
  <c r="E108" i="14"/>
  <c r="BD210" i="27" s="1"/>
  <c r="E113" i="14"/>
  <c r="AA210" i="27" s="1" a="1"/>
  <c r="AA210" i="27" s="1"/>
  <c r="BI210" i="27" s="1"/>
  <c r="E112" i="14"/>
  <c r="Z210" i="27" s="1" a="1"/>
  <c r="Z210" i="27" s="1"/>
  <c r="BH210" i="27" s="1"/>
  <c r="G88" i="14"/>
  <c r="BD173" i="27" s="1"/>
  <c r="D193" i="14"/>
  <c r="AB300" i="27" a="1"/>
  <c r="AB300" i="27" s="1"/>
  <c r="BJ300" i="27" s="1"/>
  <c r="E156" i="14"/>
  <c r="AD300" i="27" s="1" a="1"/>
  <c r="AD300" i="27" s="1"/>
  <c r="BL300" i="27" s="1"/>
  <c r="E153" i="14"/>
  <c r="AA300" i="27" s="1" a="1"/>
  <c r="AA300" i="27" s="1"/>
  <c r="BI300" i="27" s="1"/>
  <c r="E152" i="14"/>
  <c r="Z300" i="27" s="1" a="1"/>
  <c r="Z300" i="27" s="1"/>
  <c r="BH300" i="27" s="1"/>
  <c r="E151" i="14"/>
  <c r="Y300" i="27" s="1" a="1"/>
  <c r="Y300" i="27" s="1"/>
  <c r="BG300" i="27" s="1"/>
  <c r="E157" i="14"/>
  <c r="AE300" i="27" s="1" a="1"/>
  <c r="AE300" i="27" s="1"/>
  <c r="BM300" i="27" s="1"/>
  <c r="E148" i="14"/>
  <c r="BD300" i="27" s="1"/>
  <c r="D56" i="14"/>
  <c r="D53" i="14"/>
  <c r="D57" i="14"/>
  <c r="D49" i="14"/>
  <c r="E72" i="14"/>
  <c r="D132" i="14"/>
  <c r="G188" i="14"/>
  <c r="BD398" i="27" s="1"/>
  <c r="E117" i="14"/>
  <c r="AE210" i="27" s="1" a="1"/>
  <c r="AE210" i="27" s="1"/>
  <c r="BM210" i="27" s="1"/>
  <c r="D91" i="14"/>
  <c r="J138" i="21" a="1"/>
  <c r="J138" i="21" s="1"/>
  <c r="D177" i="14"/>
  <c r="D176" i="14"/>
  <c r="D173" i="14"/>
  <c r="D172" i="14"/>
  <c r="D169" i="14"/>
  <c r="D89" i="14"/>
  <c r="E172" i="14"/>
  <c r="Z345" i="27" s="1" a="1"/>
  <c r="Z345" i="27" s="1"/>
  <c r="BH345" i="27" s="1"/>
  <c r="E68" i="14"/>
  <c r="BD120" i="27" s="1"/>
  <c r="D128" i="14"/>
  <c r="D197" i="14"/>
  <c r="E53" i="14"/>
  <c r="E52" i="14"/>
  <c r="Z75" i="27" s="1" a="1"/>
  <c r="Z75" i="27" s="1"/>
  <c r="BH75" i="27" s="1"/>
  <c r="E57" i="14"/>
  <c r="AE75" i="27" s="1" a="1"/>
  <c r="AE75" i="27" s="1"/>
  <c r="BM75" i="27" s="1"/>
  <c r="E56" i="14"/>
  <c r="AD75" i="27" s="1" a="1"/>
  <c r="AD75" i="27" s="1"/>
  <c r="BL75" i="27" s="1"/>
  <c r="D168" i="14"/>
  <c r="E171" i="14"/>
  <c r="Y345" i="27" s="1" a="1"/>
  <c r="Y345" i="27" s="1"/>
  <c r="BG345" i="27" s="1"/>
  <c r="G192" i="14"/>
  <c r="Z398" i="27" s="1" a="1"/>
  <c r="Z398" i="27" s="1"/>
  <c r="BH398" i="27" s="1"/>
  <c r="D111" i="14"/>
  <c r="D116" i="14"/>
  <c r="D108" i="14"/>
  <c r="D112" i="14"/>
  <c r="D77" i="14"/>
  <c r="D69" i="14"/>
  <c r="D76" i="14"/>
  <c r="D68" i="14"/>
  <c r="D73" i="14"/>
  <c r="D72" i="14"/>
  <c r="C171" i="11"/>
  <c r="C208" i="11" s="1"/>
  <c r="C170" i="11"/>
  <c r="C207" i="11" s="1"/>
  <c r="C144" i="11"/>
  <c r="C109" i="11"/>
  <c r="C169" i="11"/>
  <c r="C206" i="11" s="1"/>
  <c r="E21" i="11"/>
  <c r="AB257" i="27" l="1"/>
  <c r="BJ257" i="27" s="1"/>
  <c r="AB256" i="27"/>
  <c r="BJ256" i="27" s="1"/>
  <c r="AB262" i="27"/>
  <c r="BJ262" i="27" s="1"/>
  <c r="AB260" i="27"/>
  <c r="BJ260" i="27" s="1"/>
  <c r="AB126" i="27"/>
  <c r="BJ126" i="27" s="1"/>
  <c r="AB127" i="27"/>
  <c r="BJ127" i="27" s="1"/>
  <c r="AB123" i="27"/>
  <c r="BJ123" i="27" s="1"/>
  <c r="J108" i="21" a="1"/>
  <c r="J108" i="21" s="1"/>
  <c r="AB165" i="27" a="1"/>
  <c r="AB165" i="27" s="1"/>
  <c r="F53" i="14"/>
  <c r="AB293" i="27"/>
  <c r="BJ293" i="27" s="1"/>
  <c r="F93" i="14"/>
  <c r="AB297" i="27"/>
  <c r="BJ297" i="27" s="1"/>
  <c r="AB295" i="27"/>
  <c r="BJ295" i="27" s="1"/>
  <c r="AB296" i="27"/>
  <c r="BJ296" i="27" s="1"/>
  <c r="AB294" i="27"/>
  <c r="BJ294" i="27" s="1"/>
  <c r="AB299" i="27"/>
  <c r="BJ299" i="27" s="1"/>
  <c r="AA75" i="27" a="1"/>
  <c r="AA75" i="27" s="1"/>
  <c r="BI75" i="27" s="1"/>
  <c r="E13" i="14"/>
  <c r="Y383" i="27"/>
  <c r="BG383" i="27" s="1"/>
  <c r="Y389" i="27"/>
  <c r="BG389" i="27" s="1"/>
  <c r="Y384" i="27"/>
  <c r="BG384" i="27" s="1"/>
  <c r="Y388" i="27"/>
  <c r="BG388" i="27" s="1"/>
  <c r="AF119" i="27"/>
  <c r="BN119" i="27" s="1"/>
  <c r="Y120" i="27" a="1"/>
  <c r="Y120" i="27" s="1"/>
  <c r="BG120" i="27" s="1"/>
  <c r="E11" i="14"/>
  <c r="Y385" i="27"/>
  <c r="BG385" i="27" s="1"/>
  <c r="AF115" i="27"/>
  <c r="BN115" i="27" s="1"/>
  <c r="AF114" i="27"/>
  <c r="BN114" i="27" s="1"/>
  <c r="Y387" i="27"/>
  <c r="BG387" i="27" s="1"/>
  <c r="AF117" i="27"/>
  <c r="BN117" i="27" s="1"/>
  <c r="Y386" i="27"/>
  <c r="BG386" i="27" s="1"/>
  <c r="AB298" i="27"/>
  <c r="BJ298" i="27" s="1"/>
  <c r="AB209" i="27"/>
  <c r="BJ209" i="27" s="1"/>
  <c r="Y341" i="27"/>
  <c r="BG341" i="27" s="1"/>
  <c r="BF249" i="27"/>
  <c r="BF69" i="27"/>
  <c r="BF70" i="27"/>
  <c r="BF68" i="27"/>
  <c r="Y116" i="27"/>
  <c r="BG116" i="27" s="1"/>
  <c r="AB205" i="27"/>
  <c r="BJ205" i="27" s="1"/>
  <c r="Y115" i="27"/>
  <c r="BG115" i="27" s="1"/>
  <c r="Y113" i="27"/>
  <c r="BG113" i="27" s="1"/>
  <c r="AE254" i="27"/>
  <c r="BM254" i="27" s="1"/>
  <c r="AE249" i="27"/>
  <c r="BM249" i="27" s="1"/>
  <c r="BF72" i="27"/>
  <c r="Y119" i="27"/>
  <c r="BG119" i="27" s="1"/>
  <c r="AE253" i="27"/>
  <c r="BM253" i="27" s="1"/>
  <c r="BF73" i="27"/>
  <c r="Y118" i="27"/>
  <c r="BG118" i="27" s="1"/>
  <c r="BF251" i="27"/>
  <c r="Y340" i="27"/>
  <c r="BG340" i="27" s="1"/>
  <c r="BF74" i="27"/>
  <c r="Y117" i="27"/>
  <c r="BG117" i="27" s="1"/>
  <c r="BF252" i="27"/>
  <c r="Y338" i="27"/>
  <c r="BG338" i="27" s="1"/>
  <c r="BF71" i="27"/>
  <c r="Y114" i="27"/>
  <c r="BG114" i="27" s="1"/>
  <c r="BF248" i="27"/>
  <c r="Y339" i="27"/>
  <c r="BG339" i="27" s="1"/>
  <c r="AE250" i="27"/>
  <c r="BM250" i="27" s="1"/>
  <c r="AF118" i="27"/>
  <c r="BN118" i="27" s="1"/>
  <c r="AF116" i="27"/>
  <c r="BN116" i="27" s="1"/>
  <c r="AE252" i="27"/>
  <c r="BM252" i="27" s="1"/>
  <c r="AA160" i="27"/>
  <c r="BI160" i="27" s="1"/>
  <c r="AE251" i="27"/>
  <c r="BM251" i="27" s="1"/>
  <c r="AB204" i="27"/>
  <c r="BJ204" i="27" s="1"/>
  <c r="AE248" i="27"/>
  <c r="BM248" i="27" s="1"/>
  <c r="AB206" i="27"/>
  <c r="BJ206" i="27" s="1"/>
  <c r="Z112" i="27" a="1"/>
  <c r="Z112" i="27" s="1"/>
  <c r="BH112" i="27" s="1"/>
  <c r="H72" i="14"/>
  <c r="F72" i="14"/>
  <c r="Y202" i="27" a="1"/>
  <c r="Y202" i="27" s="1"/>
  <c r="BG202" i="27" s="1"/>
  <c r="H111" i="14"/>
  <c r="F111" i="14"/>
  <c r="Z157" i="27" a="1"/>
  <c r="Z157" i="27" s="1"/>
  <c r="BH157" i="27" s="1"/>
  <c r="H92" i="14"/>
  <c r="AE337" i="27" a="1"/>
  <c r="AE337" i="27" s="1"/>
  <c r="BM337" i="27" s="1"/>
  <c r="F177" i="14"/>
  <c r="H177" i="14"/>
  <c r="AE67" i="27" a="1"/>
  <c r="AE67" i="27" s="1"/>
  <c r="BM67" i="27" s="1"/>
  <c r="H57" i="14"/>
  <c r="F57" i="14"/>
  <c r="AA112" i="27" a="1"/>
  <c r="AA112" i="27" s="1"/>
  <c r="BI112" i="27" s="1"/>
  <c r="H73" i="14"/>
  <c r="F73" i="14"/>
  <c r="Y67" i="27" a="1"/>
  <c r="Y67" i="27" s="1"/>
  <c r="BG67" i="27" s="1"/>
  <c r="F51" i="14"/>
  <c r="H51" i="14"/>
  <c r="BD292" i="27"/>
  <c r="F148" i="14"/>
  <c r="H148" i="14"/>
  <c r="BF293" i="27"/>
  <c r="BF162" i="27"/>
  <c r="AA163" i="27"/>
  <c r="BI163" i="27" s="1"/>
  <c r="F71" i="14"/>
  <c r="H154" i="14"/>
  <c r="AD67" i="27" a="1"/>
  <c r="AD67" i="27" s="1"/>
  <c r="BL67" i="27" s="1"/>
  <c r="H56" i="14"/>
  <c r="F56" i="14"/>
  <c r="AB247" i="27" a="1"/>
  <c r="AB247" i="27" s="1"/>
  <c r="BJ247" i="27" s="1"/>
  <c r="H134" i="14"/>
  <c r="BD382" i="27"/>
  <c r="H188" i="14"/>
  <c r="F188" i="14"/>
  <c r="F69" i="14"/>
  <c r="H69" i="14"/>
  <c r="F169" i="14"/>
  <c r="H169" i="14"/>
  <c r="Z247" i="27" a="1"/>
  <c r="Z247" i="27" s="1"/>
  <c r="BH247" i="27" s="1"/>
  <c r="F132" i="14"/>
  <c r="H132" i="14"/>
  <c r="BD157" i="27"/>
  <c r="F88" i="14"/>
  <c r="H88" i="14"/>
  <c r="BF299" i="27"/>
  <c r="BF161" i="27"/>
  <c r="AA162" i="27"/>
  <c r="BI162" i="27" s="1"/>
  <c r="H71" i="14"/>
  <c r="H128" i="14"/>
  <c r="F128" i="14"/>
  <c r="AD112" i="27" a="1"/>
  <c r="AD112" i="27" s="1"/>
  <c r="BL112" i="27" s="1"/>
  <c r="F76" i="14"/>
  <c r="H76" i="14"/>
  <c r="F89" i="14"/>
  <c r="H89" i="14"/>
  <c r="AA247" i="27" a="1"/>
  <c r="AA247" i="27" s="1"/>
  <c r="BI247" i="27" s="1"/>
  <c r="F133" i="14"/>
  <c r="H133" i="14"/>
  <c r="Y247" i="27" a="1"/>
  <c r="Y247" i="27" s="1"/>
  <c r="BG247" i="27" s="1"/>
  <c r="F131" i="14"/>
  <c r="H131" i="14"/>
  <c r="AE112" i="27" a="1"/>
  <c r="AE112" i="27" s="1"/>
  <c r="BM112" i="27" s="1"/>
  <c r="F77" i="14"/>
  <c r="H77" i="14"/>
  <c r="Z337" i="27" a="1"/>
  <c r="Z337" i="27" s="1"/>
  <c r="BH337" i="27" s="1"/>
  <c r="H172" i="14"/>
  <c r="F172" i="14"/>
  <c r="AE292" i="27" a="1"/>
  <c r="AE292" i="27" s="1"/>
  <c r="BM292" i="27" s="1"/>
  <c r="H157" i="14"/>
  <c r="F157" i="14"/>
  <c r="AB157" i="27" a="1"/>
  <c r="AB157" i="27" s="1"/>
  <c r="BJ157" i="27" s="1"/>
  <c r="H94" i="14"/>
  <c r="BF297" i="27"/>
  <c r="AF113" i="27"/>
  <c r="BN113" i="27" s="1"/>
  <c r="AB203" i="27"/>
  <c r="BJ203" i="27" s="1"/>
  <c r="BF158" i="27"/>
  <c r="AA161" i="27"/>
  <c r="BI161" i="27" s="1"/>
  <c r="H93" i="14"/>
  <c r="BF296" i="27"/>
  <c r="BF160" i="27"/>
  <c r="Z202" i="27" a="1"/>
  <c r="Z202" i="27" s="1"/>
  <c r="BH202" i="27" s="1"/>
  <c r="F112" i="14"/>
  <c r="H112" i="14"/>
  <c r="AB382" i="27" a="1"/>
  <c r="AB382" i="27" s="1"/>
  <c r="BJ382" i="27" s="1"/>
  <c r="H194" i="14"/>
  <c r="F149" i="14"/>
  <c r="H149" i="14"/>
  <c r="AE157" i="27" a="1"/>
  <c r="AE157" i="27" s="1"/>
  <c r="BM157" i="27" s="1"/>
  <c r="F97" i="14"/>
  <c r="H97" i="14"/>
  <c r="H109" i="14"/>
  <c r="F109" i="14"/>
  <c r="BD202" i="27"/>
  <c r="H108" i="14"/>
  <c r="F108" i="14"/>
  <c r="AB337" i="27" a="1"/>
  <c r="AB337" i="27" s="1"/>
  <c r="BJ337" i="27" s="1"/>
  <c r="H174" i="14"/>
  <c r="Z292" i="27" a="1"/>
  <c r="Z292" i="27" s="1"/>
  <c r="BH292" i="27" s="1"/>
  <c r="H152" i="14"/>
  <c r="F152" i="14"/>
  <c r="H189" i="14"/>
  <c r="F189" i="14"/>
  <c r="Z382" i="27" a="1"/>
  <c r="Z382" i="27" s="1"/>
  <c r="BH382" i="27" s="1"/>
  <c r="H192" i="14"/>
  <c r="F192" i="14"/>
  <c r="BF295" i="27"/>
  <c r="BF253" i="27"/>
  <c r="BF159" i="27"/>
  <c r="Y342" i="27"/>
  <c r="BG342" i="27" s="1"/>
  <c r="AA158" i="27"/>
  <c r="BI158" i="27" s="1"/>
  <c r="AA337" i="27" a="1"/>
  <c r="AA337" i="27" s="1"/>
  <c r="BI337" i="27" s="1"/>
  <c r="H173" i="14"/>
  <c r="F173" i="14"/>
  <c r="AD202" i="27" a="1"/>
  <c r="AD202" i="27" s="1"/>
  <c r="BL202" i="27" s="1"/>
  <c r="H116" i="14"/>
  <c r="F116" i="14"/>
  <c r="AE382" i="27" a="1"/>
  <c r="AE382" i="27" s="1"/>
  <c r="BM382" i="27" s="1"/>
  <c r="H197" i="14"/>
  <c r="F197" i="14"/>
  <c r="AD337" i="27" a="1"/>
  <c r="AD337" i="27" s="1"/>
  <c r="BL337" i="27" s="1"/>
  <c r="H176" i="14"/>
  <c r="F176" i="14"/>
  <c r="H49" i="14"/>
  <c r="F49" i="14"/>
  <c r="AA292" i="27" a="1"/>
  <c r="AA292" i="27" s="1"/>
  <c r="BI292" i="27" s="1"/>
  <c r="H153" i="14"/>
  <c r="F153" i="14"/>
  <c r="AA202" i="27" a="1"/>
  <c r="AA202" i="27" s="1"/>
  <c r="BI202" i="27" s="1"/>
  <c r="F113" i="14"/>
  <c r="H113" i="14"/>
  <c r="AB67" i="27" a="1"/>
  <c r="AB67" i="27" s="1"/>
  <c r="BJ67" i="27" s="1"/>
  <c r="BF294" i="27"/>
  <c r="H191" i="14"/>
  <c r="AD292" i="27" a="1"/>
  <c r="AD292" i="27" s="1"/>
  <c r="BL292" i="27" s="1"/>
  <c r="F156" i="14"/>
  <c r="H156" i="14"/>
  <c r="AD382" i="27" a="1"/>
  <c r="AD382" i="27" s="1"/>
  <c r="BL382" i="27" s="1"/>
  <c r="H196" i="14"/>
  <c r="F196" i="14"/>
  <c r="AE202" i="27" a="1"/>
  <c r="AE202" i="27" s="1"/>
  <c r="BM202" i="27" s="1"/>
  <c r="H117" i="14"/>
  <c r="F117" i="14"/>
  <c r="BD67" i="27"/>
  <c r="H48" i="14"/>
  <c r="F48" i="14"/>
  <c r="AB112" i="27" a="1"/>
  <c r="AB112" i="27" s="1"/>
  <c r="BJ112" i="27" s="1"/>
  <c r="H74" i="14"/>
  <c r="AB111" i="27" s="1" a="1"/>
  <c r="AB111" i="27" s="1"/>
  <c r="BJ111" i="27" s="1"/>
  <c r="Y157" i="27" a="1"/>
  <c r="Y157" i="27" s="1"/>
  <c r="BG157" i="27" s="1"/>
  <c r="H91" i="14"/>
  <c r="F91" i="14"/>
  <c r="F52" i="14"/>
  <c r="H52" i="14"/>
  <c r="Z66" i="27" s="1" a="1"/>
  <c r="Z66" i="27" s="1"/>
  <c r="BH66" i="27" s="1"/>
  <c r="AA382" i="27" a="1"/>
  <c r="AA382" i="27" s="1"/>
  <c r="BI382" i="27" s="1"/>
  <c r="H193" i="14"/>
  <c r="F193" i="14"/>
  <c r="Y292" i="27" a="1"/>
  <c r="Y292" i="27" s="1"/>
  <c r="BG292" i="27" s="1"/>
  <c r="F151" i="14"/>
  <c r="H151" i="14"/>
  <c r="AD157" i="27" a="1"/>
  <c r="AD157" i="27" s="1"/>
  <c r="BL157" i="27" s="1"/>
  <c r="F96" i="14"/>
  <c r="H96" i="14"/>
  <c r="BF254" i="27"/>
  <c r="AB207" i="27"/>
  <c r="BJ207" i="27" s="1"/>
  <c r="BF164" i="27"/>
  <c r="Y343" i="27"/>
  <c r="BG343" i="27" s="1"/>
  <c r="AA164" i="27"/>
  <c r="BI164" i="27" s="1"/>
  <c r="F171" i="14"/>
  <c r="BD112" i="27"/>
  <c r="F68" i="14"/>
  <c r="H68" i="14"/>
  <c r="BD337" i="27"/>
  <c r="F168" i="14"/>
  <c r="H168" i="14"/>
  <c r="AA67" i="27" a="1"/>
  <c r="AA67" i="27" s="1"/>
  <c r="BI67" i="27" s="1"/>
  <c r="H53" i="14"/>
  <c r="H129" i="14"/>
  <c r="F129" i="14"/>
  <c r="AD247" i="27" a="1"/>
  <c r="AD247" i="27" s="1"/>
  <c r="BL247" i="27" s="1"/>
  <c r="F136" i="14"/>
  <c r="H136" i="14"/>
  <c r="BF250" i="27"/>
  <c r="AB208" i="27"/>
  <c r="BJ208" i="27" s="1"/>
  <c r="BF163" i="27"/>
  <c r="Y344" i="27"/>
  <c r="BG344" i="27" s="1"/>
  <c r="AA159" i="27"/>
  <c r="BI159" i="27" s="1"/>
  <c r="H171" i="14"/>
  <c r="BE311" i="27"/>
  <c r="BE312" i="27"/>
  <c r="BE310" i="27"/>
  <c r="BE309" i="27"/>
  <c r="BE313" i="27"/>
  <c r="BE314" i="27"/>
  <c r="BE315" i="27"/>
  <c r="BE270" i="27"/>
  <c r="BE266" i="27"/>
  <c r="BE265" i="27"/>
  <c r="BE264" i="27"/>
  <c r="BE267" i="27"/>
  <c r="BE269" i="27"/>
  <c r="BE268" i="27"/>
  <c r="BE90" i="27"/>
  <c r="BE88" i="27"/>
  <c r="BE86" i="27"/>
  <c r="BE89" i="27"/>
  <c r="BE84" i="27"/>
  <c r="BE85" i="27"/>
  <c r="BE87" i="27"/>
  <c r="BE404" i="27"/>
  <c r="BE400" i="27"/>
  <c r="BE403" i="27"/>
  <c r="BE399" i="27"/>
  <c r="BE401" i="27"/>
  <c r="BE405" i="27"/>
  <c r="BE402" i="27"/>
  <c r="BE67" i="27"/>
  <c r="AD399" i="27"/>
  <c r="BL399" i="27" s="1"/>
  <c r="AD401" i="27"/>
  <c r="BL401" i="27" s="1"/>
  <c r="AD403" i="27"/>
  <c r="BL403" i="27" s="1"/>
  <c r="AD404" i="27"/>
  <c r="BL404" i="27" s="1"/>
  <c r="AD402" i="27"/>
  <c r="BL402" i="27" s="1"/>
  <c r="AD400" i="27"/>
  <c r="BL400" i="27" s="1"/>
  <c r="AD405" i="27"/>
  <c r="BL405" i="27" s="1"/>
  <c r="AB77" i="27"/>
  <c r="BJ77" i="27" s="1"/>
  <c r="AB79" i="27"/>
  <c r="BJ79" i="27" s="1"/>
  <c r="AB78" i="27"/>
  <c r="BJ78" i="27" s="1"/>
  <c r="AB80" i="27"/>
  <c r="BJ80" i="27" s="1"/>
  <c r="AB81" i="27"/>
  <c r="BJ81" i="27" s="1"/>
  <c r="AB82" i="27"/>
  <c r="BJ82" i="27" s="1"/>
  <c r="AB76" i="27"/>
  <c r="BJ76" i="27" s="1"/>
  <c r="AA307" i="27"/>
  <c r="BI307" i="27" s="1"/>
  <c r="AA301" i="27"/>
  <c r="BI301" i="27" s="1"/>
  <c r="AA302" i="27"/>
  <c r="BI302" i="27" s="1"/>
  <c r="AA303" i="27"/>
  <c r="BI303" i="27" s="1"/>
  <c r="AA306" i="27"/>
  <c r="BI306" i="27" s="1"/>
  <c r="AA305" i="27"/>
  <c r="BI305" i="27" s="1"/>
  <c r="AA304" i="27"/>
  <c r="BI304" i="27" s="1"/>
  <c r="AA122" i="27"/>
  <c r="BI122" i="27" s="1"/>
  <c r="AA125" i="27"/>
  <c r="BI125" i="27" s="1"/>
  <c r="AA123" i="27"/>
  <c r="BI123" i="27" s="1"/>
  <c r="AA126" i="27"/>
  <c r="BI126" i="27" s="1"/>
  <c r="AA127" i="27"/>
  <c r="BI127" i="27" s="1"/>
  <c r="AA121" i="27"/>
  <c r="BI121" i="27" s="1"/>
  <c r="AA124" i="27"/>
  <c r="BI124" i="27" s="1"/>
  <c r="Z348" i="27"/>
  <c r="BH348" i="27" s="1"/>
  <c r="Z350" i="27"/>
  <c r="BH350" i="27" s="1"/>
  <c r="Z351" i="27"/>
  <c r="BH351" i="27" s="1"/>
  <c r="Z352" i="27"/>
  <c r="BH352" i="27" s="1"/>
  <c r="Z349" i="27"/>
  <c r="BH349" i="27" s="1"/>
  <c r="Z347" i="27"/>
  <c r="BH347" i="27" s="1"/>
  <c r="Z346" i="27"/>
  <c r="BH346" i="27" s="1"/>
  <c r="AE212" i="27"/>
  <c r="BM212" i="27" s="1"/>
  <c r="AE217" i="27"/>
  <c r="BM217" i="27" s="1"/>
  <c r="AE213" i="27"/>
  <c r="BM213" i="27" s="1"/>
  <c r="AE216" i="27"/>
  <c r="BM216" i="27" s="1"/>
  <c r="AE211" i="27"/>
  <c r="BM211" i="27" s="1"/>
  <c r="AE214" i="27"/>
  <c r="BM214" i="27" s="1"/>
  <c r="AE215" i="27"/>
  <c r="BM215" i="27" s="1"/>
  <c r="BD180" i="27"/>
  <c r="BD175" i="27"/>
  <c r="BD178" i="27"/>
  <c r="BD176" i="27"/>
  <c r="BD174" i="27"/>
  <c r="BD179" i="27"/>
  <c r="BD177" i="27"/>
  <c r="AE346" i="27"/>
  <c r="BM346" i="27" s="1"/>
  <c r="AE347" i="27"/>
  <c r="BM347" i="27" s="1"/>
  <c r="AE350" i="27"/>
  <c r="BM350" i="27" s="1"/>
  <c r="AE351" i="27"/>
  <c r="BM351" i="27" s="1"/>
  <c r="AE348" i="27"/>
  <c r="BM348" i="27" s="1"/>
  <c r="AE349" i="27"/>
  <c r="BM349" i="27" s="1"/>
  <c r="AE352" i="27"/>
  <c r="BM352" i="27" s="1"/>
  <c r="Y405" i="27"/>
  <c r="BG405" i="27" s="1"/>
  <c r="Y399" i="27"/>
  <c r="BG399" i="27" s="1"/>
  <c r="Y400" i="27"/>
  <c r="BG400" i="27" s="1"/>
  <c r="Y404" i="27"/>
  <c r="BG404" i="27" s="1"/>
  <c r="Y401" i="27"/>
  <c r="BG401" i="27" s="1"/>
  <c r="Y402" i="27"/>
  <c r="BG402" i="27" s="1"/>
  <c r="Y403" i="27"/>
  <c r="BG403" i="27" s="1"/>
  <c r="BE247" i="27"/>
  <c r="BD264" i="27"/>
  <c r="BD269" i="27"/>
  <c r="BD266" i="27"/>
  <c r="BD265" i="27"/>
  <c r="BD270" i="27"/>
  <c r="BD268" i="27"/>
  <c r="BD267" i="27"/>
  <c r="BE395" i="27"/>
  <c r="BE393" i="27"/>
  <c r="BE392" i="27"/>
  <c r="BE391" i="27"/>
  <c r="BE394" i="27"/>
  <c r="BE396" i="27"/>
  <c r="BE397" i="27"/>
  <c r="Z76" i="27"/>
  <c r="BH76" i="27" s="1"/>
  <c r="Z79" i="27"/>
  <c r="BH79" i="27" s="1"/>
  <c r="Z78" i="27"/>
  <c r="BH78" i="27" s="1"/>
  <c r="Z80" i="27"/>
  <c r="BH80" i="27" s="1"/>
  <c r="Z77" i="27"/>
  <c r="BH77" i="27" s="1"/>
  <c r="Z81" i="27"/>
  <c r="BH81" i="27" s="1"/>
  <c r="Z82" i="27"/>
  <c r="BH82" i="27" s="1"/>
  <c r="E12" i="14"/>
  <c r="Z120" i="27" a="1"/>
  <c r="Z120" i="27" s="1"/>
  <c r="AE304" i="27"/>
  <c r="BM304" i="27" s="1"/>
  <c r="AE305" i="27"/>
  <c r="BM305" i="27" s="1"/>
  <c r="AE306" i="27"/>
  <c r="BM306" i="27" s="1"/>
  <c r="AE307" i="27"/>
  <c r="BM307" i="27" s="1"/>
  <c r="AE301" i="27"/>
  <c r="BM301" i="27" s="1"/>
  <c r="AE302" i="27"/>
  <c r="BM302" i="27" s="1"/>
  <c r="AE303" i="27"/>
  <c r="BM303" i="27" s="1"/>
  <c r="BD213" i="27"/>
  <c r="BD215" i="27"/>
  <c r="BD216" i="27"/>
  <c r="BD211" i="27"/>
  <c r="BD214" i="27"/>
  <c r="BD212" i="27"/>
  <c r="BD217" i="27"/>
  <c r="BE173" i="27"/>
  <c r="AB346" i="27"/>
  <c r="BJ346" i="27" s="1"/>
  <c r="AB351" i="27"/>
  <c r="BJ351" i="27" s="1"/>
  <c r="AB348" i="27"/>
  <c r="BJ348" i="27" s="1"/>
  <c r="AB350" i="27"/>
  <c r="BJ350" i="27" s="1"/>
  <c r="AB347" i="27"/>
  <c r="BJ347" i="27" s="1"/>
  <c r="AB349" i="27"/>
  <c r="BJ349" i="27" s="1"/>
  <c r="AB352" i="27"/>
  <c r="BJ352" i="27" s="1"/>
  <c r="Y307" i="27"/>
  <c r="BG307" i="27" s="1"/>
  <c r="Y302" i="27"/>
  <c r="BG302" i="27" s="1"/>
  <c r="Y306" i="27"/>
  <c r="BG306" i="27" s="1"/>
  <c r="Y303" i="27"/>
  <c r="BG303" i="27" s="1"/>
  <c r="Y304" i="27"/>
  <c r="BG304" i="27" s="1"/>
  <c r="Y305" i="27"/>
  <c r="BG305" i="27" s="1"/>
  <c r="Y301" i="27"/>
  <c r="BG301" i="27" s="1"/>
  <c r="AD215" i="27"/>
  <c r="BL215" i="27" s="1"/>
  <c r="AD213" i="27"/>
  <c r="BL213" i="27" s="1"/>
  <c r="AD214" i="27"/>
  <c r="BL214" i="27" s="1"/>
  <c r="AD211" i="27"/>
  <c r="BL211" i="27" s="1"/>
  <c r="AD216" i="27"/>
  <c r="BL216" i="27" s="1"/>
  <c r="AD212" i="27"/>
  <c r="BL212" i="27" s="1"/>
  <c r="AD217" i="27"/>
  <c r="BL217" i="27" s="1"/>
  <c r="BE292" i="27"/>
  <c r="AA178" i="27"/>
  <c r="BI178" i="27" s="1"/>
  <c r="AA177" i="27"/>
  <c r="BI177" i="27" s="1"/>
  <c r="AA176" i="27"/>
  <c r="BI176" i="27" s="1"/>
  <c r="AA175" i="27"/>
  <c r="BI175" i="27" s="1"/>
  <c r="AA174" i="27"/>
  <c r="BI174" i="27" s="1"/>
  <c r="AA179" i="27"/>
  <c r="BI179" i="27" s="1"/>
  <c r="AA180" i="27"/>
  <c r="BI180" i="27" s="1"/>
  <c r="BE202" i="27"/>
  <c r="Y82" i="27"/>
  <c r="BG82" i="27" s="1"/>
  <c r="Y76" i="27"/>
  <c r="BG76" i="27" s="1"/>
  <c r="Y77" i="27"/>
  <c r="BG77" i="27" s="1"/>
  <c r="Y78" i="27"/>
  <c r="BG78" i="27" s="1"/>
  <c r="Y81" i="27"/>
  <c r="BG81" i="27" s="1"/>
  <c r="Y80" i="27"/>
  <c r="BG80" i="27" s="1"/>
  <c r="Y79" i="27"/>
  <c r="BG79" i="27" s="1"/>
  <c r="Z301" i="27"/>
  <c r="BH301" i="27" s="1"/>
  <c r="Z306" i="27"/>
  <c r="BH306" i="27" s="1"/>
  <c r="Z303" i="27"/>
  <c r="BH303" i="27" s="1"/>
  <c r="Z304" i="27"/>
  <c r="BH304" i="27" s="1"/>
  <c r="Z305" i="27"/>
  <c r="BH305" i="27" s="1"/>
  <c r="Z302" i="27"/>
  <c r="BH302" i="27" s="1"/>
  <c r="Z307" i="27"/>
  <c r="BH307" i="27" s="1"/>
  <c r="BE210" i="27"/>
  <c r="AE174" i="27"/>
  <c r="BM174" i="27" s="1"/>
  <c r="AE177" i="27"/>
  <c r="BM177" i="27" s="1"/>
  <c r="AE176" i="27"/>
  <c r="BM176" i="27" s="1"/>
  <c r="AE179" i="27"/>
  <c r="BM179" i="27" s="1"/>
  <c r="AE180" i="27"/>
  <c r="BM180" i="27" s="1"/>
  <c r="AE178" i="27"/>
  <c r="BM178" i="27" s="1"/>
  <c r="AE175" i="27"/>
  <c r="BM175" i="27" s="1"/>
  <c r="BE382" i="27"/>
  <c r="BE221" i="27"/>
  <c r="BE219" i="27"/>
  <c r="BE224" i="27"/>
  <c r="BE222" i="27"/>
  <c r="BE220" i="27"/>
  <c r="BE223" i="27"/>
  <c r="BE225" i="27"/>
  <c r="AD302" i="27"/>
  <c r="BL302" i="27" s="1"/>
  <c r="AD305" i="27"/>
  <c r="BL305" i="27" s="1"/>
  <c r="AD306" i="27"/>
  <c r="BL306" i="27" s="1"/>
  <c r="AD303" i="27"/>
  <c r="BL303" i="27" s="1"/>
  <c r="AD304" i="27"/>
  <c r="BL304" i="27" s="1"/>
  <c r="AD301" i="27"/>
  <c r="BL301" i="27" s="1"/>
  <c r="AD307" i="27"/>
  <c r="BL307" i="27" s="1"/>
  <c r="AD350" i="27"/>
  <c r="BL350" i="27" s="1"/>
  <c r="AD351" i="27"/>
  <c r="BL351" i="27" s="1"/>
  <c r="AD348" i="27"/>
  <c r="BL348" i="27" s="1"/>
  <c r="AD349" i="27"/>
  <c r="BL349" i="27" s="1"/>
  <c r="AD352" i="27"/>
  <c r="BL352" i="27" s="1"/>
  <c r="AD347" i="27"/>
  <c r="BL347" i="27" s="1"/>
  <c r="AD346" i="27"/>
  <c r="BL346" i="27" s="1"/>
  <c r="BE120" i="27"/>
  <c r="BD82" i="27"/>
  <c r="BD78" i="27"/>
  <c r="BD80" i="27"/>
  <c r="BD76" i="27"/>
  <c r="BD79" i="27"/>
  <c r="BD81" i="27"/>
  <c r="BD77" i="27"/>
  <c r="BE171" i="27"/>
  <c r="BE166" i="27"/>
  <c r="BE172" i="27"/>
  <c r="BE170" i="27"/>
  <c r="BE169" i="27"/>
  <c r="BE167" i="27"/>
  <c r="BE168" i="27"/>
  <c r="BE348" i="27"/>
  <c r="BE350" i="27"/>
  <c r="BE352" i="27"/>
  <c r="BE347" i="27"/>
  <c r="BE346" i="27"/>
  <c r="BE351" i="27"/>
  <c r="BE349" i="27"/>
  <c r="Z399" i="27"/>
  <c r="BH399" i="27" s="1"/>
  <c r="Z402" i="27"/>
  <c r="BH402" i="27" s="1"/>
  <c r="Z404" i="27"/>
  <c r="BH404" i="27" s="1"/>
  <c r="Z400" i="27"/>
  <c r="BH400" i="27" s="1"/>
  <c r="Z401" i="27"/>
  <c r="BH401" i="27" s="1"/>
  <c r="Z403" i="27"/>
  <c r="BH403" i="27" s="1"/>
  <c r="Z405" i="27"/>
  <c r="BH405" i="27" s="1"/>
  <c r="BD247" i="27"/>
  <c r="AB301" i="27"/>
  <c r="BJ301" i="27" s="1"/>
  <c r="AB302" i="27"/>
  <c r="BJ302" i="27" s="1"/>
  <c r="AB306" i="27"/>
  <c r="BJ306" i="27" s="1"/>
  <c r="AB305" i="27"/>
  <c r="BJ305" i="27" s="1"/>
  <c r="AB304" i="27"/>
  <c r="BJ304" i="27" s="1"/>
  <c r="AB307" i="27"/>
  <c r="BJ307" i="27" s="1"/>
  <c r="AB303" i="27"/>
  <c r="BJ303" i="27" s="1"/>
  <c r="BD294" i="27"/>
  <c r="AE126" i="27"/>
  <c r="BM126" i="27" s="1"/>
  <c r="AE127" i="27"/>
  <c r="BM127" i="27" s="1"/>
  <c r="AE125" i="27"/>
  <c r="BM125" i="27" s="1"/>
  <c r="AE122" i="27"/>
  <c r="BM122" i="27" s="1"/>
  <c r="AE121" i="27"/>
  <c r="BM121" i="27" s="1"/>
  <c r="AE124" i="27"/>
  <c r="BM124" i="27" s="1"/>
  <c r="AE123" i="27"/>
  <c r="BM123" i="27" s="1"/>
  <c r="AD174" i="27"/>
  <c r="BL174" i="27" s="1"/>
  <c r="AD176" i="27"/>
  <c r="BL176" i="27" s="1"/>
  <c r="AD177" i="27"/>
  <c r="BL177" i="27" s="1"/>
  <c r="AD180" i="27"/>
  <c r="BL180" i="27" s="1"/>
  <c r="AD178" i="27"/>
  <c r="BL178" i="27" s="1"/>
  <c r="AD175" i="27"/>
  <c r="BL175" i="27" s="1"/>
  <c r="AD179" i="27"/>
  <c r="BL179" i="27" s="1"/>
  <c r="Y348" i="27"/>
  <c r="BG348" i="27" s="1"/>
  <c r="Y346" i="27"/>
  <c r="BG346" i="27" s="1"/>
  <c r="Y351" i="27"/>
  <c r="BG351" i="27" s="1"/>
  <c r="Y349" i="27"/>
  <c r="BG349" i="27" s="1"/>
  <c r="Y350" i="27"/>
  <c r="BG350" i="27" s="1"/>
  <c r="Y347" i="27"/>
  <c r="BG347" i="27" s="1"/>
  <c r="Y352" i="27"/>
  <c r="BG352" i="27" s="1"/>
  <c r="BD125" i="27"/>
  <c r="BD122" i="27"/>
  <c r="BD126" i="27"/>
  <c r="BD121" i="27"/>
  <c r="BD123" i="27"/>
  <c r="BD124" i="27"/>
  <c r="BD127" i="27"/>
  <c r="Z67" i="27" a="1"/>
  <c r="Z67" i="27" s="1"/>
  <c r="BH67" i="27" s="1"/>
  <c r="AA405" i="27"/>
  <c r="BI405" i="27" s="1"/>
  <c r="AA401" i="27"/>
  <c r="BI401" i="27" s="1"/>
  <c r="AA402" i="27"/>
  <c r="BI402" i="27" s="1"/>
  <c r="AA404" i="27"/>
  <c r="BI404" i="27" s="1"/>
  <c r="AA403" i="27"/>
  <c r="BI403" i="27" s="1"/>
  <c r="AA399" i="27"/>
  <c r="BI399" i="27" s="1"/>
  <c r="AA400" i="27"/>
  <c r="BI400" i="27" s="1"/>
  <c r="AD127" i="27"/>
  <c r="BL127" i="27" s="1"/>
  <c r="AD125" i="27"/>
  <c r="BL125" i="27" s="1"/>
  <c r="AD126" i="27"/>
  <c r="BL126" i="27" s="1"/>
  <c r="AD123" i="27"/>
  <c r="BL123" i="27" s="1"/>
  <c r="AD124" i="27"/>
  <c r="BL124" i="27" s="1"/>
  <c r="AD121" i="27"/>
  <c r="BL121" i="27" s="1"/>
  <c r="AD122" i="27"/>
  <c r="BL122" i="27" s="1"/>
  <c r="D38" i="21" a="1"/>
  <c r="D38" i="21" s="1"/>
  <c r="AD76" i="27"/>
  <c r="BL76" i="27" s="1"/>
  <c r="AD82" i="27"/>
  <c r="BL82" i="27" s="1"/>
  <c r="AD81" i="27"/>
  <c r="BL81" i="27" s="1"/>
  <c r="AD78" i="27"/>
  <c r="BL78" i="27" s="1"/>
  <c r="AD80" i="27"/>
  <c r="BL80" i="27" s="1"/>
  <c r="AD79" i="27"/>
  <c r="BL79" i="27" s="1"/>
  <c r="AD77" i="27"/>
  <c r="BL77" i="27" s="1"/>
  <c r="BE157" i="27"/>
  <c r="BD400" i="27"/>
  <c r="BD404" i="27"/>
  <c r="BD399" i="27"/>
  <c r="BD405" i="27"/>
  <c r="BD403" i="27"/>
  <c r="BD402" i="27"/>
  <c r="BD401" i="27"/>
  <c r="AA350" i="27"/>
  <c r="BI350" i="27" s="1"/>
  <c r="AA347" i="27"/>
  <c r="BI347" i="27" s="1"/>
  <c r="AA346" i="27"/>
  <c r="BI346" i="27" s="1"/>
  <c r="AA352" i="27"/>
  <c r="BI352" i="27" s="1"/>
  <c r="AA351" i="27"/>
  <c r="BI351" i="27" s="1"/>
  <c r="AA348" i="27"/>
  <c r="BI348" i="27" s="1"/>
  <c r="AA349" i="27"/>
  <c r="BI349" i="27" s="1"/>
  <c r="BD388" i="27"/>
  <c r="Z176" i="27"/>
  <c r="BH176" i="27" s="1"/>
  <c r="Z178" i="27"/>
  <c r="BH178" i="27" s="1"/>
  <c r="Z179" i="27"/>
  <c r="BH179" i="27" s="1"/>
  <c r="Z180" i="27"/>
  <c r="BH180" i="27" s="1"/>
  <c r="Z174" i="27"/>
  <c r="BH174" i="27" s="1"/>
  <c r="Z175" i="27"/>
  <c r="BH175" i="27" s="1"/>
  <c r="Z177" i="27"/>
  <c r="BH177" i="27" s="1"/>
  <c r="BE112" i="27"/>
  <c r="AE78" i="27"/>
  <c r="BM78" i="27" s="1"/>
  <c r="AE76" i="27"/>
  <c r="BM76" i="27" s="1"/>
  <c r="AE82" i="27"/>
  <c r="BM82" i="27" s="1"/>
  <c r="AE81" i="27"/>
  <c r="BM81" i="27" s="1"/>
  <c r="AE79" i="27"/>
  <c r="BM79" i="27" s="1"/>
  <c r="AE77" i="27"/>
  <c r="BM77" i="27" s="1"/>
  <c r="AE80" i="27"/>
  <c r="BM80" i="27" s="1"/>
  <c r="BE337" i="27"/>
  <c r="BD302" i="27"/>
  <c r="BD304" i="27"/>
  <c r="BD305" i="27"/>
  <c r="BD303" i="27"/>
  <c r="BD307" i="27"/>
  <c r="BD306" i="27"/>
  <c r="BD301" i="27"/>
  <c r="AA211" i="27"/>
  <c r="BI211" i="27" s="1"/>
  <c r="AA213" i="27"/>
  <c r="BI213" i="27" s="1"/>
  <c r="AA217" i="27"/>
  <c r="BI217" i="27" s="1"/>
  <c r="AA215" i="27"/>
  <c r="BI215" i="27" s="1"/>
  <c r="AA216" i="27"/>
  <c r="BI216" i="27" s="1"/>
  <c r="AA212" i="27"/>
  <c r="BI212" i="27" s="1"/>
  <c r="AA214" i="27"/>
  <c r="BI214" i="27" s="1"/>
  <c r="BD347" i="27"/>
  <c r="BD349" i="27"/>
  <c r="BD351" i="27"/>
  <c r="BD350" i="27"/>
  <c r="BD346" i="27"/>
  <c r="BD352" i="27"/>
  <c r="BD348" i="27"/>
  <c r="AE405" i="27"/>
  <c r="BM405" i="27" s="1"/>
  <c r="AE404" i="27"/>
  <c r="BM404" i="27" s="1"/>
  <c r="AE399" i="27"/>
  <c r="BM399" i="27" s="1"/>
  <c r="AE403" i="27"/>
  <c r="BM403" i="27" s="1"/>
  <c r="AE401" i="27"/>
  <c r="BM401" i="27" s="1"/>
  <c r="AE402" i="27"/>
  <c r="BM402" i="27" s="1"/>
  <c r="AE400" i="27"/>
  <c r="BM400" i="27" s="1"/>
  <c r="BD164" i="27"/>
  <c r="BD162" i="27"/>
  <c r="Y177" i="27"/>
  <c r="BG177" i="27" s="1"/>
  <c r="Y180" i="27"/>
  <c r="BG180" i="27" s="1"/>
  <c r="Y174" i="27"/>
  <c r="BG174" i="27" s="1"/>
  <c r="Y179" i="27"/>
  <c r="BG179" i="27" s="1"/>
  <c r="Y176" i="27"/>
  <c r="BG176" i="27" s="1"/>
  <c r="Y175" i="27"/>
  <c r="BG175" i="27" s="1"/>
  <c r="Y178" i="27"/>
  <c r="BG178" i="27" s="1"/>
  <c r="BE132" i="27"/>
  <c r="BE134" i="27"/>
  <c r="BE135" i="27"/>
  <c r="BE130" i="27"/>
  <c r="BE131" i="27"/>
  <c r="BE129" i="27"/>
  <c r="BE133" i="27"/>
  <c r="BE356" i="27"/>
  <c r="BE354" i="27"/>
  <c r="BE355" i="27"/>
  <c r="BE360" i="27"/>
  <c r="BE359" i="27"/>
  <c r="BE357" i="27"/>
  <c r="BE358" i="27"/>
  <c r="E31" i="14"/>
  <c r="D80" i="21" a="1"/>
  <c r="D80" i="21" s="1"/>
  <c r="I122" i="21" a="1"/>
  <c r="I122" i="21" s="1"/>
  <c r="J136" i="21" a="1"/>
  <c r="J136" i="21" s="1"/>
  <c r="M109" i="21" a="1"/>
  <c r="M109" i="21" s="1"/>
  <c r="D81" i="21" a="1"/>
  <c r="D81" i="21" s="1"/>
  <c r="M108" i="21" a="1"/>
  <c r="M108" i="21" s="1"/>
  <c r="E68" i="21" a="1"/>
  <c r="E68" i="21" s="1"/>
  <c r="J123" i="21" a="1"/>
  <c r="J123" i="21" s="1"/>
  <c r="J66" i="21" a="1"/>
  <c r="J66" i="21" s="1"/>
  <c r="L80" i="21" a="1"/>
  <c r="L80" i="21" s="1"/>
  <c r="J122" i="21" a="1"/>
  <c r="J122" i="21" s="1"/>
  <c r="G109" i="21" a="1"/>
  <c r="G109" i="21" s="1"/>
  <c r="L81" i="21" a="1"/>
  <c r="L81" i="21" s="1"/>
  <c r="E108" i="21" a="1"/>
  <c r="E108" i="21" s="1"/>
  <c r="I68" i="21" a="1"/>
  <c r="I68" i="21" s="1"/>
  <c r="M66" i="21" a="1"/>
  <c r="M66" i="21" s="1"/>
  <c r="E80" i="21" a="1"/>
  <c r="E80" i="21" s="1"/>
  <c r="G68" i="21" a="1"/>
  <c r="G68" i="21" s="1"/>
  <c r="H52" i="21" a="1"/>
  <c r="H52" i="21" s="1"/>
  <c r="G80" i="21" a="1"/>
  <c r="G80" i="21" s="1"/>
  <c r="M136" i="21" a="1"/>
  <c r="M136" i="21" s="1"/>
  <c r="L122" i="21" a="1"/>
  <c r="L122" i="21" s="1"/>
  <c r="E38" i="21" a="1"/>
  <c r="E38" i="21" s="1"/>
  <c r="H109" i="21" a="1"/>
  <c r="H109" i="21" s="1"/>
  <c r="E81" i="21" a="1"/>
  <c r="E81" i="21" s="1"/>
  <c r="H108" i="21" a="1"/>
  <c r="H108" i="21" s="1"/>
  <c r="M68" i="21" a="1"/>
  <c r="M68" i="21" s="1"/>
  <c r="E136" i="21" a="1"/>
  <c r="E136" i="21" s="1"/>
  <c r="H136" i="21" a="1"/>
  <c r="H136" i="21" s="1"/>
  <c r="AG119" i="27"/>
  <c r="BO119" i="27" s="1"/>
  <c r="AG113" i="27"/>
  <c r="BO113" i="27" s="1"/>
  <c r="AG115" i="27"/>
  <c r="BO115" i="27" s="1"/>
  <c r="AG114" i="27"/>
  <c r="BO114" i="27" s="1"/>
  <c r="AG116" i="27"/>
  <c r="BO116" i="27" s="1"/>
  <c r="AG117" i="27"/>
  <c r="BO117" i="27" s="1"/>
  <c r="AG118" i="27"/>
  <c r="BO118" i="27" s="1"/>
  <c r="H138" i="21" a="1"/>
  <c r="H138" i="21" s="1"/>
  <c r="H66" i="21" a="1"/>
  <c r="H66" i="21" s="1"/>
  <c r="M122" i="21" a="1"/>
  <c r="M122" i="21" s="1"/>
  <c r="G81" i="21" a="1"/>
  <c r="G81" i="21" s="1"/>
  <c r="L138" i="21" a="1"/>
  <c r="L138" i="21" s="1"/>
  <c r="L123" i="21" a="1"/>
  <c r="L123" i="21" s="1"/>
  <c r="E53" i="21" a="1"/>
  <c r="E53" i="21" s="1"/>
  <c r="L136" i="21" a="1"/>
  <c r="L136" i="21" s="1"/>
  <c r="M80" i="21" a="1"/>
  <c r="M80" i="21" s="1"/>
  <c r="F40" i="21" a="1"/>
  <c r="F40" i="21" s="1"/>
  <c r="AG68" i="27"/>
  <c r="BO68" i="27" s="1"/>
  <c r="AG71" i="27"/>
  <c r="BO71" i="27" s="1"/>
  <c r="AG72" i="27"/>
  <c r="BO72" i="27" s="1"/>
  <c r="AG73" i="27"/>
  <c r="BO73" i="27" s="1"/>
  <c r="AG74" i="27"/>
  <c r="BO74" i="27" s="1"/>
  <c r="AG70" i="27"/>
  <c r="BO70" i="27" s="1"/>
  <c r="AG69" i="27"/>
  <c r="BO69" i="27" s="1"/>
  <c r="D53" i="21" a="1"/>
  <c r="D53" i="21" s="1"/>
  <c r="H38" i="21" a="1"/>
  <c r="H38" i="21" s="1"/>
  <c r="J109" i="21" a="1"/>
  <c r="J109" i="21" s="1"/>
  <c r="G53" i="21" a="1"/>
  <c r="G53" i="21" s="1"/>
  <c r="D108" i="21" a="1"/>
  <c r="D108" i="21" s="1"/>
  <c r="M53" i="21" a="1"/>
  <c r="M53" i="21" s="1"/>
  <c r="O40" i="21" a="1"/>
  <c r="O40" i="21" s="1"/>
  <c r="AG83" i="27" a="1"/>
  <c r="AG83" i="27" s="1"/>
  <c r="BO83" i="27" s="1"/>
  <c r="AG400" i="27"/>
  <c r="BO400" i="27" s="1"/>
  <c r="AG399" i="27"/>
  <c r="BO399" i="27" s="1"/>
  <c r="AG404" i="27"/>
  <c r="BO404" i="27" s="1"/>
  <c r="AG401" i="27"/>
  <c r="BO401" i="27" s="1"/>
  <c r="AG403" i="27"/>
  <c r="BO403" i="27" s="1"/>
  <c r="AG405" i="27"/>
  <c r="BO405" i="27" s="1"/>
  <c r="AG402" i="27"/>
  <c r="BO402" i="27" s="1"/>
  <c r="AG358" i="27"/>
  <c r="BO358" i="27" s="1"/>
  <c r="AG355" i="27"/>
  <c r="BO355" i="27" s="1"/>
  <c r="AG359" i="27"/>
  <c r="BO359" i="27" s="1"/>
  <c r="AG354" i="27"/>
  <c r="BO354" i="27" s="1"/>
  <c r="AG360" i="27"/>
  <c r="BO360" i="27" s="1"/>
  <c r="AG356" i="27"/>
  <c r="BO356" i="27" s="1"/>
  <c r="AG357" i="27"/>
  <c r="BO357" i="27" s="1"/>
  <c r="I109" i="21" a="1"/>
  <c r="I109" i="21" s="1"/>
  <c r="I108" i="21" a="1"/>
  <c r="I108" i="21" s="1"/>
  <c r="I53" i="21" a="1"/>
  <c r="I53" i="21" s="1"/>
  <c r="I80" i="21" a="1"/>
  <c r="I80" i="21" s="1"/>
  <c r="G123" i="21" a="1"/>
  <c r="G123" i="21" s="1"/>
  <c r="G38" i="21" a="1"/>
  <c r="G38" i="21" s="1"/>
  <c r="D52" i="21" a="1"/>
  <c r="D52" i="21" s="1"/>
  <c r="D122" i="21" a="1"/>
  <c r="D122" i="21" s="1"/>
  <c r="L66" i="21" a="1"/>
  <c r="L66" i="21" s="1"/>
  <c r="L53" i="21" a="1"/>
  <c r="L53" i="21" s="1"/>
  <c r="E52" i="21" a="1"/>
  <c r="E52" i="21" s="1"/>
  <c r="E66" i="21" a="1"/>
  <c r="E66" i="21" s="1"/>
  <c r="D138" i="21" a="1"/>
  <c r="D138" i="21" s="1"/>
  <c r="L38" i="21" a="1"/>
  <c r="L38" i="21" s="1"/>
  <c r="M123" i="21" a="1"/>
  <c r="M123" i="21" s="1"/>
  <c r="G138" i="21" a="1"/>
  <c r="G138" i="21" s="1"/>
  <c r="H68" i="21" a="1"/>
  <c r="H68" i="21" s="1"/>
  <c r="I52" i="21" a="1"/>
  <c r="I52" i="21" s="1"/>
  <c r="L52" i="21" a="1"/>
  <c r="L52" i="21" s="1"/>
  <c r="H123" i="21" a="1"/>
  <c r="H123" i="21" s="1"/>
  <c r="M81" i="21" a="1"/>
  <c r="M81" i="21" s="1"/>
  <c r="I38" i="21" a="1"/>
  <c r="I38" i="21" s="1"/>
  <c r="I136" i="21" a="1"/>
  <c r="I136" i="21" s="1"/>
  <c r="I138" i="21" a="1"/>
  <c r="I138" i="21" s="1"/>
  <c r="G108" i="21" a="1"/>
  <c r="G108" i="21" s="1"/>
  <c r="M52" i="21" a="1"/>
  <c r="M52" i="21" s="1"/>
  <c r="E122" i="21" a="1"/>
  <c r="E122" i="21" s="1"/>
  <c r="D109" i="21" a="1"/>
  <c r="D109" i="21" s="1"/>
  <c r="H81" i="21" a="1"/>
  <c r="H81" i="21" s="1"/>
  <c r="I123" i="21" a="1"/>
  <c r="I123" i="21" s="1"/>
  <c r="D136" i="21" a="1"/>
  <c r="D136" i="21" s="1"/>
  <c r="H80" i="21" a="1"/>
  <c r="H80" i="21" s="1"/>
  <c r="H122" i="21" a="1"/>
  <c r="H122" i="21" s="1"/>
  <c r="H53" i="21" a="1"/>
  <c r="H53" i="21" s="1"/>
  <c r="E109" i="21" a="1"/>
  <c r="E109" i="21" s="1"/>
  <c r="I81" i="21" a="1"/>
  <c r="I81" i="21" s="1"/>
  <c r="D123" i="21" a="1"/>
  <c r="D123" i="21" s="1"/>
  <c r="M138" i="21" a="1"/>
  <c r="M138" i="21" s="1"/>
  <c r="D66" i="21" a="1"/>
  <c r="D66" i="21" s="1"/>
  <c r="E8" i="14"/>
  <c r="BD30" i="27" s="1"/>
  <c r="L94" i="21" a="1"/>
  <c r="L94" i="21" s="1"/>
  <c r="E94" i="21" a="1"/>
  <c r="E94" i="21" s="1"/>
  <c r="I94" i="21" a="1"/>
  <c r="I94" i="21" s="1"/>
  <c r="H94" i="21" a="1"/>
  <c r="H94" i="21" s="1"/>
  <c r="G94" i="21" a="1"/>
  <c r="G94" i="21" s="1"/>
  <c r="D94" i="21" a="1"/>
  <c r="D94" i="21" s="1"/>
  <c r="J94" i="21" a="1"/>
  <c r="J94" i="21" s="1"/>
  <c r="D34" i="14"/>
  <c r="J68" i="21" a="1"/>
  <c r="J68" i="21" s="1"/>
  <c r="G34" i="14"/>
  <c r="J39" i="21" a="1"/>
  <c r="J39" i="21" s="1"/>
  <c r="E14" i="14"/>
  <c r="E39" i="21" a="1"/>
  <c r="E39" i="21" s="1"/>
  <c r="E9" i="14"/>
  <c r="BE30" i="27" s="1"/>
  <c r="M39" i="21" a="1"/>
  <c r="M39" i="21" s="1"/>
  <c r="E17" i="14"/>
  <c r="AE30" i="27" s="1" a="1"/>
  <c r="AE30" i="27" s="1"/>
  <c r="BM30" i="27" s="1"/>
  <c r="H39" i="21" a="1"/>
  <c r="H39" i="21" s="1"/>
  <c r="I39" i="21" a="1"/>
  <c r="I39" i="21" s="1"/>
  <c r="L39" i="21" a="1"/>
  <c r="L39" i="21" s="1"/>
  <c r="E16" i="14"/>
  <c r="AD30" i="27" s="1" a="1"/>
  <c r="AD30" i="27" s="1"/>
  <c r="BL30" i="27" s="1"/>
  <c r="D39" i="21" a="1"/>
  <c r="D39" i="21" s="1"/>
  <c r="L108" i="21" a="1"/>
  <c r="L108" i="21" s="1"/>
  <c r="G66" i="21" a="1"/>
  <c r="G66" i="21" s="1"/>
  <c r="L68" i="21" a="1"/>
  <c r="L68" i="21" s="1"/>
  <c r="G28" i="14"/>
  <c r="D68" i="21" a="1"/>
  <c r="D68" i="21" s="1"/>
  <c r="J52" i="21" a="1"/>
  <c r="J52" i="21" s="1"/>
  <c r="M38" i="21" a="1"/>
  <c r="M38" i="21" s="1"/>
  <c r="G39" i="21" a="1"/>
  <c r="G39" i="21" s="1"/>
  <c r="L109" i="21" a="1"/>
  <c r="L109" i="21" s="1"/>
  <c r="D28" i="14"/>
  <c r="Y123" i="27" l="1"/>
  <c r="BG123" i="27" s="1"/>
  <c r="Y124" i="27"/>
  <c r="BG124" i="27" s="1"/>
  <c r="BJ165" i="27"/>
  <c r="AB168" i="27"/>
  <c r="BJ168" i="27" s="1"/>
  <c r="AB172" i="27"/>
  <c r="BJ172" i="27" s="1"/>
  <c r="AB166" i="27"/>
  <c r="BJ166" i="27" s="1"/>
  <c r="AB167" i="27"/>
  <c r="BJ167" i="27" s="1"/>
  <c r="AB170" i="27"/>
  <c r="BJ170" i="27" s="1"/>
  <c r="AB169" i="27"/>
  <c r="BJ169" i="27" s="1"/>
  <c r="AB171" i="27"/>
  <c r="BJ171" i="27" s="1"/>
  <c r="AB30" i="27" a="1"/>
  <c r="AB30" i="27" s="1"/>
  <c r="BJ30" i="27" s="1"/>
  <c r="AA80" i="27"/>
  <c r="BI80" i="27" s="1"/>
  <c r="AA77" i="27"/>
  <c r="BI77" i="27" s="1"/>
  <c r="AA78" i="27"/>
  <c r="BI78" i="27" s="1"/>
  <c r="AA81" i="27"/>
  <c r="BI81" i="27" s="1"/>
  <c r="AE340" i="27"/>
  <c r="BM340" i="27" s="1"/>
  <c r="AE341" i="27"/>
  <c r="BM341" i="27" s="1"/>
  <c r="AE343" i="27"/>
  <c r="BM343" i="27" s="1"/>
  <c r="AA79" i="27"/>
  <c r="BI79" i="27" s="1"/>
  <c r="AE342" i="27"/>
  <c r="BM342" i="27" s="1"/>
  <c r="AA82" i="27"/>
  <c r="BI82" i="27" s="1"/>
  <c r="AA76" i="27"/>
  <c r="BI76" i="27" s="1"/>
  <c r="AA30" i="27" a="1"/>
  <c r="AA30" i="27" s="1"/>
  <c r="BI30" i="27" s="1"/>
  <c r="Z30" i="27" a="1"/>
  <c r="Z30" i="27" s="1"/>
  <c r="BH30" i="27" s="1"/>
  <c r="Y69" i="27"/>
  <c r="BG69" i="27" s="1"/>
  <c r="Y68" i="27"/>
  <c r="BG68" i="27" s="1"/>
  <c r="Z113" i="27"/>
  <c r="BH113" i="27" s="1"/>
  <c r="AD115" i="27"/>
  <c r="BL115" i="27" s="1"/>
  <c r="Y74" i="27"/>
  <c r="BG74" i="27" s="1"/>
  <c r="Y72" i="27"/>
  <c r="BG72" i="27" s="1"/>
  <c r="Z163" i="27"/>
  <c r="BH163" i="27" s="1"/>
  <c r="Z160" i="27"/>
  <c r="BH160" i="27" s="1"/>
  <c r="Z159" i="27"/>
  <c r="BH159" i="27" s="1"/>
  <c r="Y126" i="27"/>
  <c r="BG126" i="27" s="1"/>
  <c r="Y127" i="27"/>
  <c r="BG127" i="27" s="1"/>
  <c r="Y121" i="27"/>
  <c r="BG121" i="27" s="1"/>
  <c r="AA119" i="27"/>
  <c r="BI119" i="27" s="1"/>
  <c r="Y71" i="27"/>
  <c r="BG71" i="27" s="1"/>
  <c r="AB386" i="27"/>
  <c r="BJ386" i="27" s="1"/>
  <c r="Y73" i="27"/>
  <c r="BG73" i="27" s="1"/>
  <c r="Z164" i="27"/>
  <c r="BH164" i="27" s="1"/>
  <c r="AD71" i="27"/>
  <c r="BL71" i="27" s="1"/>
  <c r="Z161" i="27"/>
  <c r="BH161" i="27" s="1"/>
  <c r="Y122" i="27"/>
  <c r="BG122" i="27" s="1"/>
  <c r="Y125" i="27"/>
  <c r="BG125" i="27" s="1"/>
  <c r="AD343" i="27"/>
  <c r="BL343" i="27" s="1"/>
  <c r="AA252" i="27"/>
  <c r="BI252" i="27" s="1"/>
  <c r="Z250" i="27"/>
  <c r="BH250" i="27" s="1"/>
  <c r="AA248" i="27"/>
  <c r="BI248" i="27" s="1"/>
  <c r="AD119" i="27"/>
  <c r="BL119" i="27" s="1"/>
  <c r="Z116" i="27"/>
  <c r="BH116" i="27" s="1"/>
  <c r="Z114" i="27"/>
  <c r="BH114" i="27" s="1"/>
  <c r="Z119" i="27"/>
  <c r="BH119" i="27" s="1"/>
  <c r="AE158" i="27"/>
  <c r="BM158" i="27" s="1"/>
  <c r="Z252" i="27"/>
  <c r="BH252" i="27" s="1"/>
  <c r="AE338" i="27"/>
  <c r="BM338" i="27" s="1"/>
  <c r="AE339" i="27"/>
  <c r="BM339" i="27" s="1"/>
  <c r="AA250" i="27"/>
  <c r="BI250" i="27" s="1"/>
  <c r="BH120" i="27"/>
  <c r="Z127" i="27"/>
  <c r="BH127" i="27" s="1"/>
  <c r="Z115" i="27"/>
  <c r="BH115" i="27" s="1"/>
  <c r="Z118" i="27"/>
  <c r="BH118" i="27" s="1"/>
  <c r="AA341" i="27"/>
  <c r="BI341" i="27" s="1"/>
  <c r="AA203" i="27"/>
  <c r="BI203" i="27" s="1"/>
  <c r="AB159" i="27"/>
  <c r="BJ159" i="27" s="1"/>
  <c r="BD297" i="27"/>
  <c r="Z117" i="27"/>
  <c r="BH117" i="27" s="1"/>
  <c r="Z295" i="27"/>
  <c r="BH295" i="27" s="1"/>
  <c r="AE205" i="27"/>
  <c r="BM205" i="27" s="1"/>
  <c r="BD203" i="27"/>
  <c r="Y70" i="27"/>
  <c r="BG70" i="27" s="1"/>
  <c r="Z343" i="27"/>
  <c r="BH343" i="27" s="1"/>
  <c r="AE72" i="27"/>
  <c r="BM72" i="27" s="1"/>
  <c r="AE70" i="27"/>
  <c r="BM70" i="27" s="1"/>
  <c r="Z253" i="27"/>
  <c r="BH253" i="27" s="1"/>
  <c r="AA253" i="27"/>
  <c r="BI253" i="27" s="1"/>
  <c r="AE159" i="27"/>
  <c r="BM159" i="27" s="1"/>
  <c r="AB249" i="27"/>
  <c r="BJ249" i="27" s="1"/>
  <c r="AB250" i="27"/>
  <c r="BJ250" i="27" s="1"/>
  <c r="AD72" i="27"/>
  <c r="BL72" i="27" s="1"/>
  <c r="AB254" i="27"/>
  <c r="BJ254" i="27" s="1"/>
  <c r="AD73" i="27"/>
  <c r="BL73" i="27" s="1"/>
  <c r="AD68" i="27"/>
  <c r="BL68" i="27" s="1"/>
  <c r="AB115" i="27"/>
  <c r="BJ115" i="27" s="1"/>
  <c r="AB343" i="27"/>
  <c r="BJ343" i="27" s="1"/>
  <c r="Z384" i="27"/>
  <c r="BH384" i="27" s="1"/>
  <c r="AD70" i="27"/>
  <c r="BL70" i="27" s="1"/>
  <c r="AD118" i="27"/>
  <c r="BL118" i="27" s="1"/>
  <c r="AA116" i="27"/>
  <c r="BI116" i="27" s="1"/>
  <c r="AE384" i="27"/>
  <c r="BM384" i="27" s="1"/>
  <c r="BD389" i="27"/>
  <c r="AE386" i="27"/>
  <c r="BM386" i="27" s="1"/>
  <c r="BD385" i="27"/>
  <c r="AD387" i="27"/>
  <c r="BL387" i="27" s="1"/>
  <c r="AE385" i="27"/>
  <c r="BM385" i="27" s="1"/>
  <c r="BD163" i="27"/>
  <c r="AE207" i="27"/>
  <c r="BM207" i="27" s="1"/>
  <c r="BD158" i="27"/>
  <c r="BD384" i="27"/>
  <c r="AD386" i="27"/>
  <c r="BL386" i="27" s="1"/>
  <c r="Y296" i="27"/>
  <c r="BG296" i="27" s="1"/>
  <c r="Y298" i="27"/>
  <c r="BG298" i="27" s="1"/>
  <c r="Z299" i="27"/>
  <c r="BH299" i="27" s="1"/>
  <c r="BD383" i="27"/>
  <c r="Y297" i="27"/>
  <c r="BG297" i="27" s="1"/>
  <c r="BD387" i="27"/>
  <c r="AA115" i="27"/>
  <c r="BI115" i="27" s="1"/>
  <c r="AE388" i="27"/>
  <c r="BM388" i="27" s="1"/>
  <c r="BD386" i="27"/>
  <c r="AA114" i="27"/>
  <c r="BI114" i="27" s="1"/>
  <c r="AB158" i="27"/>
  <c r="BJ158" i="27" s="1"/>
  <c r="AE296" i="27"/>
  <c r="BM296" i="27" s="1"/>
  <c r="AE383" i="27"/>
  <c r="BM383" i="27" s="1"/>
  <c r="Z249" i="27"/>
  <c r="BH249" i="27" s="1"/>
  <c r="AB251" i="27"/>
  <c r="BJ251" i="27" s="1"/>
  <c r="AB252" i="27"/>
  <c r="BJ252" i="27" s="1"/>
  <c r="AD388" i="27"/>
  <c r="BL388" i="27" s="1"/>
  <c r="AA338" i="27"/>
  <c r="BI338" i="27" s="1"/>
  <c r="AB253" i="27"/>
  <c r="BJ253" i="27" s="1"/>
  <c r="BD206" i="27"/>
  <c r="Y295" i="27"/>
  <c r="BG295" i="27" s="1"/>
  <c r="Z389" i="27"/>
  <c r="BH389" i="27" s="1"/>
  <c r="Y294" i="27"/>
  <c r="BG294" i="27" s="1"/>
  <c r="AA249" i="27"/>
  <c r="BI249" i="27" s="1"/>
  <c r="Y293" i="27"/>
  <c r="BG293" i="27" s="1"/>
  <c r="AB69" i="27"/>
  <c r="BJ69" i="27" s="1"/>
  <c r="AD385" i="27"/>
  <c r="BL385" i="27" s="1"/>
  <c r="Y299" i="27"/>
  <c r="BG299" i="27" s="1"/>
  <c r="AD384" i="27"/>
  <c r="BL384" i="27" s="1"/>
  <c r="AA118" i="27"/>
  <c r="BI118" i="27" s="1"/>
  <c r="AE73" i="27"/>
  <c r="BM73" i="27" s="1"/>
  <c r="Z158" i="27"/>
  <c r="BH158" i="27" s="1"/>
  <c r="AE119" i="27"/>
  <c r="BM119" i="27" s="1"/>
  <c r="AE69" i="27"/>
  <c r="BM69" i="27" s="1"/>
  <c r="BD160" i="27"/>
  <c r="AD74" i="27"/>
  <c r="BL74" i="27" s="1"/>
  <c r="AA113" i="27"/>
  <c r="BI113" i="27" s="1"/>
  <c r="Z162" i="27"/>
  <c r="BH162" i="27" s="1"/>
  <c r="BD159" i="27"/>
  <c r="AE118" i="27"/>
  <c r="BM118" i="27" s="1"/>
  <c r="AA71" i="27"/>
  <c r="BI71" i="27" s="1"/>
  <c r="BD161" i="27"/>
  <c r="AD114" i="27"/>
  <c r="BL114" i="27" s="1"/>
  <c r="AA117" i="27"/>
  <c r="BI117" i="27" s="1"/>
  <c r="AB68" i="27"/>
  <c r="BJ68" i="27" s="1"/>
  <c r="AE68" i="27"/>
  <c r="BM68" i="27" s="1"/>
  <c r="BD205" i="27"/>
  <c r="AE115" i="27"/>
  <c r="BM115" i="27" s="1"/>
  <c r="AA74" i="27"/>
  <c r="BI74" i="27" s="1"/>
  <c r="AE114" i="27"/>
  <c r="BM114" i="27" s="1"/>
  <c r="AE163" i="27"/>
  <c r="BM163" i="27" s="1"/>
  <c r="AE116" i="27"/>
  <c r="BM116" i="27" s="1"/>
  <c r="Y164" i="27"/>
  <c r="BG164" i="27" s="1"/>
  <c r="AE160" i="27"/>
  <c r="BM160" i="27" s="1"/>
  <c r="AE117" i="27"/>
  <c r="BM117" i="27" s="1"/>
  <c r="AE161" i="27"/>
  <c r="BM161" i="27" s="1"/>
  <c r="AE113" i="27"/>
  <c r="BM113" i="27" s="1"/>
  <c r="Y160" i="27"/>
  <c r="BG160" i="27" s="1"/>
  <c r="AE162" i="27"/>
  <c r="BM162" i="27" s="1"/>
  <c r="AA340" i="27"/>
  <c r="BI340" i="27" s="1"/>
  <c r="AB160" i="27"/>
  <c r="BJ160" i="27" s="1"/>
  <c r="AE387" i="27"/>
  <c r="BM387" i="27" s="1"/>
  <c r="AE164" i="27"/>
  <c r="BM164" i="27" s="1"/>
  <c r="AD203" i="27"/>
  <c r="BL203" i="27" s="1"/>
  <c r="AB70" i="27"/>
  <c r="BJ70" i="27" s="1"/>
  <c r="AE389" i="27"/>
  <c r="BM389" i="27" s="1"/>
  <c r="BD296" i="27"/>
  <c r="AE298" i="27"/>
  <c r="BM298" i="27" s="1"/>
  <c r="BD68" i="27"/>
  <c r="BD299" i="27"/>
  <c r="AE74" i="27"/>
  <c r="BM74" i="27" s="1"/>
  <c r="Z383" i="27"/>
  <c r="BH383" i="27" s="1"/>
  <c r="Z293" i="27"/>
  <c r="BH293" i="27" s="1"/>
  <c r="AE297" i="27"/>
  <c r="BM297" i="27" s="1"/>
  <c r="AE294" i="27"/>
  <c r="BM294" i="27" s="1"/>
  <c r="BD72" i="27"/>
  <c r="BD298" i="27"/>
  <c r="Z296" i="27"/>
  <c r="BH296" i="27" s="1"/>
  <c r="AB341" i="27"/>
  <c r="BJ341" i="27" s="1"/>
  <c r="AE293" i="27"/>
  <c r="BM293" i="27" s="1"/>
  <c r="AB339" i="27"/>
  <c r="BJ339" i="27" s="1"/>
  <c r="AE295" i="27"/>
  <c r="BM295" i="27" s="1"/>
  <c r="AA296" i="27"/>
  <c r="BI296" i="27" s="1"/>
  <c r="BD293" i="27"/>
  <c r="AA293" i="27"/>
  <c r="BI293" i="27" s="1"/>
  <c r="AB117" i="27"/>
  <c r="BJ117" i="27" s="1"/>
  <c r="BD295" i="27"/>
  <c r="AB162" i="27"/>
  <c r="BJ162" i="27" s="1"/>
  <c r="AE299" i="27"/>
  <c r="BM299" i="27" s="1"/>
  <c r="AA297" i="27"/>
  <c r="BI297" i="27" s="1"/>
  <c r="BD70" i="27"/>
  <c r="BD71" i="27"/>
  <c r="AA343" i="27"/>
  <c r="BI343" i="27" s="1"/>
  <c r="AA294" i="27"/>
  <c r="BI294" i="27" s="1"/>
  <c r="Z248" i="27"/>
  <c r="BH248" i="27" s="1"/>
  <c r="AA254" i="27"/>
  <c r="BI254" i="27" s="1"/>
  <c r="AB248" i="27"/>
  <c r="BJ248" i="27" s="1"/>
  <c r="Y158" i="27"/>
  <c r="BG158" i="27" s="1"/>
  <c r="AB342" i="27"/>
  <c r="BJ342" i="27" s="1"/>
  <c r="AA339" i="27"/>
  <c r="BI339" i="27" s="1"/>
  <c r="AA299" i="27"/>
  <c r="BI299" i="27" s="1"/>
  <c r="Y250" i="27"/>
  <c r="BG250" i="27" s="1"/>
  <c r="Z251" i="27"/>
  <c r="BH251" i="27" s="1"/>
  <c r="AA251" i="27"/>
  <c r="BI251" i="27" s="1"/>
  <c r="AD69" i="27"/>
  <c r="BL69" i="27" s="1"/>
  <c r="Y161" i="27"/>
  <c r="BG161" i="27" s="1"/>
  <c r="AB113" i="27"/>
  <c r="BJ113" i="27" s="1"/>
  <c r="AB71" i="27"/>
  <c r="BJ71" i="27" s="1"/>
  <c r="AD383" i="27"/>
  <c r="BL383" i="27" s="1"/>
  <c r="AE71" i="27"/>
  <c r="BM71" i="27" s="1"/>
  <c r="AE344" i="27"/>
  <c r="BM344" i="27" s="1"/>
  <c r="AB344" i="27"/>
  <c r="BJ344" i="27" s="1"/>
  <c r="AA344" i="27"/>
  <c r="BI344" i="27" s="1"/>
  <c r="AA209" i="27"/>
  <c r="BI209" i="27" s="1"/>
  <c r="AD205" i="27"/>
  <c r="BL205" i="27" s="1"/>
  <c r="Y252" i="27"/>
  <c r="BG252" i="27" s="1"/>
  <c r="Y163" i="27"/>
  <c r="BG163" i="27" s="1"/>
  <c r="BD69" i="27"/>
  <c r="AB73" i="27"/>
  <c r="BJ73" i="27" s="1"/>
  <c r="AA342" i="27"/>
  <c r="BI342" i="27" s="1"/>
  <c r="BD344" i="27"/>
  <c r="Y253" i="27"/>
  <c r="BG253" i="27" s="1"/>
  <c r="Z254" i="27"/>
  <c r="BH254" i="27" s="1"/>
  <c r="Y159" i="27"/>
  <c r="BG159" i="27" s="1"/>
  <c r="BD74" i="27"/>
  <c r="AB74" i="27"/>
  <c r="BJ74" i="27" s="1"/>
  <c r="AD294" i="27"/>
  <c r="BL294" i="27" s="1"/>
  <c r="Z386" i="27"/>
  <c r="BH386" i="27" s="1"/>
  <c r="AB338" i="27"/>
  <c r="BJ338" i="27" s="1"/>
  <c r="BD340" i="27"/>
  <c r="AA298" i="27"/>
  <c r="BI298" i="27" s="1"/>
  <c r="Y248" i="27"/>
  <c r="BG248" i="27" s="1"/>
  <c r="Y254" i="27"/>
  <c r="BG254" i="27" s="1"/>
  <c r="Y162" i="27"/>
  <c r="BG162" i="27" s="1"/>
  <c r="BD73" i="27"/>
  <c r="AB72" i="27"/>
  <c r="BJ72" i="27" s="1"/>
  <c r="Z387" i="27"/>
  <c r="BH387" i="27" s="1"/>
  <c r="AB340" i="27"/>
  <c r="BJ340" i="27" s="1"/>
  <c r="AA295" i="27"/>
  <c r="BI295" i="27" s="1"/>
  <c r="AD159" i="27"/>
  <c r="BL159" i="27" s="1"/>
  <c r="AD249" i="27"/>
  <c r="BL249" i="27" s="1"/>
  <c r="AE209" i="27"/>
  <c r="BM209" i="27" s="1"/>
  <c r="BD209" i="27"/>
  <c r="AD253" i="27"/>
  <c r="BL253" i="27" s="1"/>
  <c r="AD342" i="27"/>
  <c r="BL342" i="27" s="1"/>
  <c r="AD207" i="27"/>
  <c r="BL207" i="27" s="1"/>
  <c r="AD251" i="27"/>
  <c r="BL251" i="27" s="1"/>
  <c r="BD341" i="27"/>
  <c r="AD341" i="27"/>
  <c r="BL341" i="27" s="1"/>
  <c r="AD208" i="27"/>
  <c r="BL208" i="27" s="1"/>
  <c r="AD250" i="27"/>
  <c r="BL250" i="27" s="1"/>
  <c r="AB383" i="27"/>
  <c r="BJ383" i="27" s="1"/>
  <c r="BD339" i="27"/>
  <c r="AD339" i="27"/>
  <c r="BL339" i="27" s="1"/>
  <c r="AD340" i="27"/>
  <c r="BL340" i="27" s="1"/>
  <c r="AD204" i="27"/>
  <c r="BL204" i="27" s="1"/>
  <c r="AB389" i="27"/>
  <c r="BJ389" i="27" s="1"/>
  <c r="BD338" i="27"/>
  <c r="AD389" i="27"/>
  <c r="BL389" i="27" s="1"/>
  <c r="AB387" i="27"/>
  <c r="BJ387" i="27" s="1"/>
  <c r="Z341" i="27"/>
  <c r="BH341" i="27" s="1"/>
  <c r="BD113" i="27"/>
  <c r="AD162" i="27"/>
  <c r="BL162" i="27" s="1"/>
  <c r="Z338" i="27"/>
  <c r="BH338" i="27" s="1"/>
  <c r="AD206" i="27"/>
  <c r="BL206" i="27" s="1"/>
  <c r="AD163" i="27"/>
  <c r="BL163" i="27" s="1"/>
  <c r="Z339" i="27"/>
  <c r="BH339" i="27" s="1"/>
  <c r="AD254" i="27"/>
  <c r="BL254" i="27" s="1"/>
  <c r="AD209" i="27"/>
  <c r="BL209" i="27" s="1"/>
  <c r="AA383" i="27"/>
  <c r="BI383" i="27" s="1"/>
  <c r="AB118" i="27"/>
  <c r="BJ118" i="27" s="1"/>
  <c r="AE203" i="27"/>
  <c r="BM203" i="27" s="1"/>
  <c r="AD298" i="27"/>
  <c r="BL298" i="27" s="1"/>
  <c r="Z298" i="27"/>
  <c r="BH298" i="27" s="1"/>
  <c r="AA70" i="27"/>
  <c r="BI70" i="27" s="1"/>
  <c r="AA207" i="27"/>
  <c r="BI207" i="27" s="1"/>
  <c r="F31" i="14"/>
  <c r="AA389" i="27"/>
  <c r="BI389" i="27" s="1"/>
  <c r="AD164" i="27"/>
  <c r="BL164" i="27" s="1"/>
  <c r="AA388" i="27"/>
  <c r="BI388" i="27" s="1"/>
  <c r="AB116" i="27"/>
  <c r="BJ116" i="27" s="1"/>
  <c r="AE206" i="27"/>
  <c r="BM206" i="27" s="1"/>
  <c r="AB384" i="27"/>
  <c r="BJ384" i="27" s="1"/>
  <c r="AB164" i="27"/>
  <c r="BJ164" i="27" s="1"/>
  <c r="Z340" i="27"/>
  <c r="BH340" i="27" s="1"/>
  <c r="BD115" i="27"/>
  <c r="AA205" i="27"/>
  <c r="BI205" i="27" s="1"/>
  <c r="AD344" i="27"/>
  <c r="BL344" i="27" s="1"/>
  <c r="AA384" i="27"/>
  <c r="BI384" i="27" s="1"/>
  <c r="BD116" i="27"/>
  <c r="F33" i="14"/>
  <c r="Y251" i="27"/>
  <c r="BG251" i="27" s="1"/>
  <c r="AD113" i="27"/>
  <c r="BL113" i="27" s="1"/>
  <c r="AD160" i="27"/>
  <c r="BL160" i="27" s="1"/>
  <c r="AA385" i="27"/>
  <c r="BI385" i="27" s="1"/>
  <c r="AB114" i="27"/>
  <c r="BJ114" i="27" s="1"/>
  <c r="AE204" i="27"/>
  <c r="BM204" i="27" s="1"/>
  <c r="AD295" i="27"/>
  <c r="BL295" i="27" s="1"/>
  <c r="Z385" i="27"/>
  <c r="BH385" i="27" s="1"/>
  <c r="BD207" i="27"/>
  <c r="AB385" i="27"/>
  <c r="BJ385" i="27" s="1"/>
  <c r="AB161" i="27"/>
  <c r="BJ161" i="27" s="1"/>
  <c r="Z342" i="27"/>
  <c r="BH342" i="27" s="1"/>
  <c r="AA72" i="27"/>
  <c r="BI72" i="27" s="1"/>
  <c r="BD117" i="27"/>
  <c r="F37" i="14"/>
  <c r="AA386" i="27"/>
  <c r="BI386" i="27" s="1"/>
  <c r="AD293" i="27"/>
  <c r="BL293" i="27" s="1"/>
  <c r="BD114" i="27"/>
  <c r="Y249" i="27"/>
  <c r="BG249" i="27" s="1"/>
  <c r="AD116" i="27"/>
  <c r="BL116" i="27" s="1"/>
  <c r="AD158" i="27"/>
  <c r="BL158" i="27" s="1"/>
  <c r="AA387" i="27"/>
  <c r="BI387" i="27" s="1"/>
  <c r="AB119" i="27"/>
  <c r="BJ119" i="27" s="1"/>
  <c r="AD297" i="27"/>
  <c r="BL297" i="27" s="1"/>
  <c r="Z388" i="27"/>
  <c r="BH388" i="27" s="1"/>
  <c r="Z294" i="27"/>
  <c r="BH294" i="27" s="1"/>
  <c r="BD208" i="27"/>
  <c r="AB388" i="27"/>
  <c r="BJ388" i="27" s="1"/>
  <c r="AB163" i="27"/>
  <c r="BJ163" i="27" s="1"/>
  <c r="Z344" i="27"/>
  <c r="BH344" i="27" s="1"/>
  <c r="AD252" i="27"/>
  <c r="BL252" i="27" s="1"/>
  <c r="AA68" i="27"/>
  <c r="BI68" i="27" s="1"/>
  <c r="BD343" i="27"/>
  <c r="BD119" i="27"/>
  <c r="AA204" i="27"/>
  <c r="BI204" i="27" s="1"/>
  <c r="F28" i="14"/>
  <c r="AD161" i="27"/>
  <c r="BL161" i="27" s="1"/>
  <c r="AD299" i="27"/>
  <c r="BL299" i="27" s="1"/>
  <c r="AA69" i="27"/>
  <c r="BI69" i="27" s="1"/>
  <c r="BD118" i="27"/>
  <c r="AA206" i="27"/>
  <c r="BI206" i="27" s="1"/>
  <c r="F36" i="14"/>
  <c r="AD117" i="27"/>
  <c r="BL117" i="27" s="1"/>
  <c r="AE208" i="27"/>
  <c r="BM208" i="27" s="1"/>
  <c r="AD296" i="27"/>
  <c r="BL296" i="27" s="1"/>
  <c r="Z297" i="27"/>
  <c r="BH297" i="27" s="1"/>
  <c r="BD204" i="27"/>
  <c r="AD248" i="27"/>
  <c r="BL248" i="27" s="1"/>
  <c r="AA73" i="27"/>
  <c r="BI73" i="27" s="1"/>
  <c r="BD342" i="27"/>
  <c r="AA208" i="27"/>
  <c r="BI208" i="27" s="1"/>
  <c r="AD338" i="27"/>
  <c r="BL338" i="27" s="1"/>
  <c r="F32" i="14"/>
  <c r="F29" i="14"/>
  <c r="BE117" i="27"/>
  <c r="BE114" i="27"/>
  <c r="BE113" i="27"/>
  <c r="BE116" i="27"/>
  <c r="BE119" i="27"/>
  <c r="BE115" i="27"/>
  <c r="BE118" i="27"/>
  <c r="BE385" i="27"/>
  <c r="BE386" i="27"/>
  <c r="BE388" i="27"/>
  <c r="BE389" i="27"/>
  <c r="BE384" i="27"/>
  <c r="BE383" i="27"/>
  <c r="BE387" i="27"/>
  <c r="BE178" i="27"/>
  <c r="BE177" i="27"/>
  <c r="BE180" i="27"/>
  <c r="BE175" i="27"/>
  <c r="BE176" i="27"/>
  <c r="BE174" i="27"/>
  <c r="BE179" i="27"/>
  <c r="BE70" i="27"/>
  <c r="BE72" i="27"/>
  <c r="BE73" i="27"/>
  <c r="BE71" i="27"/>
  <c r="BE69" i="27"/>
  <c r="BE74" i="27"/>
  <c r="BE68" i="27"/>
  <c r="BE338" i="27"/>
  <c r="BE340" i="27"/>
  <c r="BE339" i="27"/>
  <c r="BE342" i="27"/>
  <c r="BE343" i="27"/>
  <c r="BE344" i="27"/>
  <c r="BE341" i="27"/>
  <c r="BE126" i="27"/>
  <c r="BE125" i="27"/>
  <c r="BE123" i="27"/>
  <c r="BE127" i="27"/>
  <c r="BE124" i="27"/>
  <c r="BE122" i="27"/>
  <c r="BE121" i="27"/>
  <c r="Z123" i="27"/>
  <c r="BH123" i="27" s="1"/>
  <c r="Z125" i="27"/>
  <c r="BH125" i="27" s="1"/>
  <c r="Z122" i="27"/>
  <c r="BH122" i="27" s="1"/>
  <c r="Z121" i="27"/>
  <c r="BH121" i="27" s="1"/>
  <c r="Z124" i="27"/>
  <c r="BH124" i="27" s="1"/>
  <c r="Z126" i="27"/>
  <c r="BH126" i="27" s="1"/>
  <c r="Y30" i="27" a="1"/>
  <c r="Y30" i="27" s="1"/>
  <c r="BG30" i="27" s="1"/>
  <c r="Z70" i="27"/>
  <c r="BH70" i="27" s="1"/>
  <c r="Z74" i="27"/>
  <c r="BH74" i="27" s="1"/>
  <c r="Z71" i="27"/>
  <c r="BH71" i="27" s="1"/>
  <c r="Z72" i="27"/>
  <c r="BH72" i="27" s="1"/>
  <c r="Z73" i="27"/>
  <c r="BH73" i="27" s="1"/>
  <c r="Z69" i="27"/>
  <c r="BH69" i="27" s="1"/>
  <c r="Z68" i="27"/>
  <c r="BH68" i="27" s="1"/>
  <c r="AD36" i="27"/>
  <c r="BL36" i="27" s="1"/>
  <c r="AD33" i="27"/>
  <c r="BL33" i="27" s="1"/>
  <c r="AD34" i="27"/>
  <c r="BL34" i="27" s="1"/>
  <c r="AD37" i="27"/>
  <c r="BL37" i="27" s="1"/>
  <c r="AD35" i="27"/>
  <c r="BL35" i="27" s="1"/>
  <c r="AD31" i="27"/>
  <c r="BL31" i="27" s="1"/>
  <c r="AD32" i="27"/>
  <c r="BL32" i="27" s="1"/>
  <c r="BE294" i="27"/>
  <c r="BE293" i="27"/>
  <c r="BE297" i="27"/>
  <c r="BE298" i="27"/>
  <c r="BE296" i="27"/>
  <c r="BE299" i="27"/>
  <c r="BE295" i="27"/>
  <c r="BE248" i="27"/>
  <c r="BE252" i="27"/>
  <c r="BE253" i="27"/>
  <c r="BE254" i="27"/>
  <c r="BE251" i="27"/>
  <c r="BE250" i="27"/>
  <c r="BE249" i="27"/>
  <c r="BE213" i="27"/>
  <c r="BE215" i="27"/>
  <c r="BE212" i="27"/>
  <c r="BE214" i="27"/>
  <c r="BE211" i="27"/>
  <c r="BE217" i="27"/>
  <c r="BE216" i="27"/>
  <c r="BE159" i="27"/>
  <c r="BE163" i="27"/>
  <c r="BE164" i="27"/>
  <c r="BE158" i="27"/>
  <c r="BE160" i="27"/>
  <c r="BE162" i="27"/>
  <c r="BE161" i="27"/>
  <c r="BE205" i="27"/>
  <c r="BE207" i="27"/>
  <c r="BE209" i="27"/>
  <c r="BE203" i="27"/>
  <c r="BE204" i="27"/>
  <c r="BE206" i="27"/>
  <c r="BE208" i="27"/>
  <c r="BE36" i="27"/>
  <c r="BE37" i="27"/>
  <c r="BE34" i="27"/>
  <c r="BE32" i="27"/>
  <c r="BE31" i="27"/>
  <c r="BE33" i="27"/>
  <c r="BE35" i="27"/>
  <c r="BD35" i="27"/>
  <c r="BD36" i="27"/>
  <c r="BD37" i="27"/>
  <c r="BD34" i="27"/>
  <c r="BD31" i="27"/>
  <c r="BD33" i="27"/>
  <c r="BD32" i="27"/>
  <c r="AA32" i="27"/>
  <c r="BI32" i="27" s="1"/>
  <c r="AA35" i="27"/>
  <c r="BI35" i="27" s="1"/>
  <c r="BD248" i="27"/>
  <c r="BD251" i="27"/>
  <c r="BD250" i="27"/>
  <c r="BD252" i="27"/>
  <c r="BD249" i="27"/>
  <c r="BD254" i="27"/>
  <c r="BD253" i="27"/>
  <c r="AE32" i="27"/>
  <c r="BM32" i="27" s="1"/>
  <c r="AE31" i="27"/>
  <c r="BM31" i="27" s="1"/>
  <c r="AE36" i="27"/>
  <c r="BM36" i="27" s="1"/>
  <c r="AE33" i="27"/>
  <c r="BM33" i="27" s="1"/>
  <c r="AE34" i="27"/>
  <c r="BM34" i="27" s="1"/>
  <c r="AE35" i="27"/>
  <c r="BM35" i="27" s="1"/>
  <c r="AE37" i="27"/>
  <c r="BM37" i="27" s="1"/>
  <c r="AG87" i="27"/>
  <c r="BO87" i="27" s="1"/>
  <c r="AG90" i="27"/>
  <c r="BO90" i="27" s="1"/>
  <c r="AG86" i="27"/>
  <c r="BO86" i="27" s="1"/>
  <c r="AG88" i="27"/>
  <c r="BO88" i="27" s="1"/>
  <c r="AG85" i="27"/>
  <c r="BO85" i="27" s="1"/>
  <c r="AG89" i="27"/>
  <c r="BO89" i="27" s="1"/>
  <c r="AG84" i="27"/>
  <c r="BO84" i="27" s="1"/>
  <c r="AH112" i="27"/>
  <c r="BP112" i="27" s="1"/>
  <c r="P52" i="21"/>
  <c r="D26" i="21" a="1"/>
  <c r="D26" i="21" s="1"/>
  <c r="D24" i="21" a="1"/>
  <c r="D24" i="21" s="1"/>
  <c r="J51" i="21" a="1"/>
  <c r="J51" i="21" s="1"/>
  <c r="I166" i="14"/>
  <c r="I146" i="14"/>
  <c r="I126" i="14"/>
  <c r="I106" i="14"/>
  <c r="I86" i="14"/>
  <c r="K85" i="14" s="1"/>
  <c r="I66" i="14"/>
  <c r="K65" i="14" s="1"/>
  <c r="C187" i="14"/>
  <c r="C167" i="14"/>
  <c r="C147" i="14"/>
  <c r="C127" i="14"/>
  <c r="C107" i="14"/>
  <c r="C87" i="14"/>
  <c r="C67" i="14"/>
  <c r="C47" i="14"/>
  <c r="I46" i="14"/>
  <c r="I6" i="14"/>
  <c r="AB31" i="27" l="1"/>
  <c r="BJ31" i="27" s="1"/>
  <c r="AB33" i="27"/>
  <c r="BJ33" i="27" s="1"/>
  <c r="AB37" i="27"/>
  <c r="BJ37" i="27" s="1"/>
  <c r="AB34" i="27"/>
  <c r="BJ34" i="27" s="1"/>
  <c r="AB35" i="27"/>
  <c r="BJ35" i="27" s="1"/>
  <c r="AB36" i="27"/>
  <c r="BJ36" i="27" s="1"/>
  <c r="AB32" i="27"/>
  <c r="BJ32" i="27" s="1"/>
  <c r="Z36" i="27"/>
  <c r="BH36" i="27" s="1"/>
  <c r="AA31" i="27"/>
  <c r="BI31" i="27" s="1"/>
  <c r="AA37" i="27"/>
  <c r="BI37" i="27" s="1"/>
  <c r="AA36" i="27"/>
  <c r="BI36" i="27" s="1"/>
  <c r="AA34" i="27"/>
  <c r="BI34" i="27" s="1"/>
  <c r="Z37" i="27"/>
  <c r="BH37" i="27" s="1"/>
  <c r="Z33" i="27"/>
  <c r="BH33" i="27" s="1"/>
  <c r="Z31" i="27"/>
  <c r="BH31" i="27" s="1"/>
  <c r="Z35" i="27"/>
  <c r="BH35" i="27" s="1"/>
  <c r="Z34" i="27"/>
  <c r="BH34" i="27" s="1"/>
  <c r="AA33" i="27"/>
  <c r="BI33" i="27" s="1"/>
  <c r="Z32" i="27"/>
  <c r="BH32" i="27" s="1"/>
  <c r="BP81" i="22"/>
  <c r="BP80" i="22"/>
  <c r="D55" i="16"/>
  <c r="E55" i="16" s="1"/>
  <c r="BP71" i="22"/>
  <c r="BP70" i="22"/>
  <c r="K3" i="14"/>
  <c r="K5" i="14"/>
  <c r="BM78" i="22" s="1"/>
  <c r="K44" i="14"/>
  <c r="K45" i="14"/>
  <c r="BR81" i="22"/>
  <c r="HG81" i="22" s="1"/>
  <c r="BR80" i="22"/>
  <c r="D69" i="16"/>
  <c r="E69" i="16" s="1"/>
  <c r="F40" i="16" a="1"/>
  <c r="F40" i="16" s="1"/>
  <c r="F109" i="16" a="1"/>
  <c r="F109" i="16" s="1"/>
  <c r="F53" i="16" a="1"/>
  <c r="F53" i="16" s="1"/>
  <c r="F39" i="16" a="1"/>
  <c r="F39" i="16" s="1"/>
  <c r="F67" i="16" a="1"/>
  <c r="F67" i="16" s="1"/>
  <c r="BX80" i="22"/>
  <c r="D97" i="16"/>
  <c r="E97" i="16" s="1"/>
  <c r="BX70" i="22"/>
  <c r="Y32" i="27"/>
  <c r="BG32" i="27" s="1"/>
  <c r="Y33" i="27"/>
  <c r="BG33" i="27" s="1"/>
  <c r="Y37" i="27"/>
  <c r="BG37" i="27" s="1"/>
  <c r="Y31" i="27"/>
  <c r="BG31" i="27" s="1"/>
  <c r="Y35" i="27"/>
  <c r="BG35" i="27" s="1"/>
  <c r="Y36" i="27"/>
  <c r="BG36" i="27" s="1"/>
  <c r="Y34" i="27"/>
  <c r="BG34" i="27" s="1"/>
  <c r="AH113" i="27"/>
  <c r="BP113" i="27" s="1"/>
  <c r="AH119" i="27"/>
  <c r="BP119" i="27" s="1"/>
  <c r="AH116" i="27"/>
  <c r="BP116" i="27" s="1"/>
  <c r="AH115" i="27"/>
  <c r="BP115" i="27" s="1"/>
  <c r="AH114" i="27"/>
  <c r="BP114" i="27" s="1"/>
  <c r="AH118" i="27"/>
  <c r="BP118" i="27" s="1"/>
  <c r="AH117" i="27"/>
  <c r="BP117" i="27" s="1"/>
  <c r="BM68" i="22"/>
  <c r="BM76" i="22"/>
  <c r="DN77" i="22"/>
  <c r="DN78" i="22"/>
  <c r="DN69" i="22"/>
  <c r="DN79" i="22"/>
  <c r="DN70" i="22"/>
  <c r="DN68" i="22"/>
  <c r="DN71" i="22"/>
  <c r="DN72" i="22"/>
  <c r="DN73" i="22"/>
  <c r="DN74" i="22"/>
  <c r="DN75" i="22"/>
  <c r="DN76" i="22"/>
  <c r="L51" i="14"/>
  <c r="K4" i="14"/>
  <c r="K63" i="14"/>
  <c r="K64" i="14"/>
  <c r="K83" i="14"/>
  <c r="K84" i="14"/>
  <c r="K103" i="14"/>
  <c r="K105" i="14"/>
  <c r="K104" i="14"/>
  <c r="K124" i="14"/>
  <c r="K144" i="14"/>
  <c r="K143" i="14"/>
  <c r="K145" i="14"/>
  <c r="K164" i="14"/>
  <c r="K165" i="14"/>
  <c r="K163" i="14"/>
  <c r="K43" i="14"/>
  <c r="C168" i="11"/>
  <c r="C167" i="11"/>
  <c r="C204" i="11" s="1"/>
  <c r="C166" i="11"/>
  <c r="C165" i="11"/>
  <c r="C202" i="11" s="1"/>
  <c r="C164" i="11"/>
  <c r="C200" i="11"/>
  <c r="C162" i="11"/>
  <c r="C199" i="11" s="1"/>
  <c r="C160" i="11"/>
  <c r="C197" i="11" s="1"/>
  <c r="C159" i="11"/>
  <c r="C196" i="11" s="1"/>
  <c r="C158" i="11"/>
  <c r="C195" i="11" s="1"/>
  <c r="C157" i="11"/>
  <c r="C194" i="11" s="1"/>
  <c r="C156" i="11"/>
  <c r="C193" i="11" s="1"/>
  <c r="C155" i="11"/>
  <c r="C192" i="11" s="1"/>
  <c r="C154" i="11"/>
  <c r="C191" i="11" s="1"/>
  <c r="C153" i="11"/>
  <c r="C190" i="11" s="1"/>
  <c r="C152" i="11"/>
  <c r="C189" i="11" s="1"/>
  <c r="C151" i="11"/>
  <c r="C188" i="11" s="1"/>
  <c r="C150" i="11"/>
  <c r="C187" i="11" s="1"/>
  <c r="C149" i="11"/>
  <c r="C186" i="11" s="1"/>
  <c r="C143" i="11"/>
  <c r="C142" i="11"/>
  <c r="C141" i="11"/>
  <c r="C140" i="11"/>
  <c r="C139" i="11"/>
  <c r="C138" i="11"/>
  <c r="C107" i="11"/>
  <c r="C106" i="11"/>
  <c r="C105" i="11"/>
  <c r="C104" i="11"/>
  <c r="C103" i="11"/>
  <c r="C102" i="11"/>
  <c r="C101" i="11"/>
  <c r="C70" i="11"/>
  <c r="C69" i="11"/>
  <c r="C68" i="11"/>
  <c r="C67" i="11"/>
  <c r="C66" i="11"/>
  <c r="C65" i="11"/>
  <c r="C64" i="11"/>
  <c r="L21" i="11"/>
  <c r="K21" i="11"/>
  <c r="J21" i="11"/>
  <c r="I21" i="11"/>
  <c r="H21" i="11"/>
  <c r="G21" i="11"/>
  <c r="F21" i="11"/>
  <c r="M20" i="11"/>
  <c r="C234" i="11" s="1"/>
  <c r="C250" i="11" s="1"/>
  <c r="M19" i="11"/>
  <c r="C233" i="11" s="1"/>
  <c r="M18" i="11"/>
  <c r="C232" i="11" s="1"/>
  <c r="M17" i="11"/>
  <c r="C231" i="11" s="1"/>
  <c r="M16" i="11"/>
  <c r="C230" i="11" s="1"/>
  <c r="M15" i="11"/>
  <c r="C229" i="11" s="1"/>
  <c r="M14" i="11"/>
  <c r="C228" i="11" s="1"/>
  <c r="M13" i="11"/>
  <c r="C227" i="11" s="1"/>
  <c r="M12" i="11"/>
  <c r="C226" i="11" s="1"/>
  <c r="M11" i="11"/>
  <c r="C225" i="11" s="1"/>
  <c r="M10" i="11"/>
  <c r="C224" i="11" s="1"/>
  <c r="M9" i="11"/>
  <c r="HE81" i="22" l="1"/>
  <c r="BM75" i="22"/>
  <c r="BM72" i="22"/>
  <c r="BM71" i="22"/>
  <c r="BM69" i="22"/>
  <c r="BM73" i="22"/>
  <c r="BM82" i="22"/>
  <c r="BM81" i="22"/>
  <c r="CZ69" i="22"/>
  <c r="CZ82" i="22"/>
  <c r="CZ81" i="22"/>
  <c r="DL82" i="22"/>
  <c r="DL81" i="22"/>
  <c r="BM77" i="22"/>
  <c r="G109" i="16"/>
  <c r="H109" i="16"/>
  <c r="DN80" i="22"/>
  <c r="D40" i="16"/>
  <c r="E40" i="16" s="1"/>
  <c r="BM80" i="22"/>
  <c r="D27" i="16"/>
  <c r="E27" i="16" s="1"/>
  <c r="BM74" i="22"/>
  <c r="BM79" i="22"/>
  <c r="BM70" i="22"/>
  <c r="M14" i="14"/>
  <c r="M15" i="14"/>
  <c r="CZ80" i="22"/>
  <c r="CZ74" i="22"/>
  <c r="D24" i="16"/>
  <c r="E24" i="16" s="1"/>
  <c r="DT80" i="22"/>
  <c r="D110" i="16"/>
  <c r="DL80" i="22"/>
  <c r="DL69" i="22"/>
  <c r="DL71" i="22"/>
  <c r="DL72" i="22"/>
  <c r="DL76" i="22"/>
  <c r="DL77" i="22"/>
  <c r="DL73" i="22"/>
  <c r="DL70" i="22"/>
  <c r="DL75" i="22"/>
  <c r="DL79" i="22"/>
  <c r="DL78" i="22"/>
  <c r="DL68" i="22"/>
  <c r="DL74" i="22"/>
  <c r="D25" i="16"/>
  <c r="E25" i="16" s="1"/>
  <c r="L13" i="14"/>
  <c r="L11" i="14"/>
  <c r="BW81" i="22"/>
  <c r="HL81" i="22" s="1"/>
  <c r="BW80" i="22"/>
  <c r="D111" i="16"/>
  <c r="E111" i="16" s="1"/>
  <c r="DM80" i="22"/>
  <c r="DM68" i="22"/>
  <c r="D54" i="16"/>
  <c r="E54" i="16" s="1"/>
  <c r="DH80" i="22"/>
  <c r="D109" i="16"/>
  <c r="E109" i="16" s="1"/>
  <c r="DA80" i="22"/>
  <c r="D53" i="16"/>
  <c r="H40" i="16"/>
  <c r="G40" i="16"/>
  <c r="K6" i="14"/>
  <c r="DQ80" i="22"/>
  <c r="D82" i="16"/>
  <c r="E82" i="16" s="1"/>
  <c r="H39" i="16"/>
  <c r="G39" i="16"/>
  <c r="H53" i="16"/>
  <c r="G53" i="16"/>
  <c r="G67" i="16"/>
  <c r="H67" i="16"/>
  <c r="DI80" i="22"/>
  <c r="D95" i="16"/>
  <c r="DB80" i="22"/>
  <c r="D39" i="16"/>
  <c r="BT81" i="22"/>
  <c r="HI81" i="22" s="1"/>
  <c r="BT80" i="22"/>
  <c r="D83" i="16"/>
  <c r="E83" i="16" s="1"/>
  <c r="DD80" i="22"/>
  <c r="D123" i="16"/>
  <c r="DE80" i="22"/>
  <c r="D81" i="16"/>
  <c r="BS80" i="22"/>
  <c r="BS81" i="22"/>
  <c r="HH81" i="22" s="1"/>
  <c r="D125" i="16"/>
  <c r="E125" i="16" s="1"/>
  <c r="DO80" i="22"/>
  <c r="D68" i="16"/>
  <c r="E68" i="16" s="1"/>
  <c r="DU80" i="22"/>
  <c r="D96" i="16"/>
  <c r="DP80" i="22"/>
  <c r="D124" i="16"/>
  <c r="E124" i="16" s="1"/>
  <c r="DC80" i="22"/>
  <c r="D67" i="16"/>
  <c r="BQ80" i="22"/>
  <c r="BQ81" i="22"/>
  <c r="HF81" i="22" s="1"/>
  <c r="BQ70" i="22"/>
  <c r="D41" i="16"/>
  <c r="E41" i="16" s="1"/>
  <c r="DM75" i="22"/>
  <c r="DM76" i="22"/>
  <c r="DM77" i="22"/>
  <c r="DM78" i="22"/>
  <c r="DM69" i="22"/>
  <c r="DM79" i="22"/>
  <c r="DM70" i="22"/>
  <c r="DM71" i="22"/>
  <c r="DM72" i="22"/>
  <c r="DM73" i="22"/>
  <c r="DM74" i="22"/>
  <c r="C223" i="11"/>
  <c r="C235" i="11" s="1"/>
  <c r="E24" i="11"/>
  <c r="DB69" i="22"/>
  <c r="DB79" i="22"/>
  <c r="DB70" i="22"/>
  <c r="DB68" i="22"/>
  <c r="DB71" i="22"/>
  <c r="DB72" i="22"/>
  <c r="DB73" i="22"/>
  <c r="DB74" i="22"/>
  <c r="DB75" i="22"/>
  <c r="DB76" i="22"/>
  <c r="DB77" i="22"/>
  <c r="DB78" i="22"/>
  <c r="K57" i="14"/>
  <c r="DQ73" i="22"/>
  <c r="DQ74" i="22"/>
  <c r="DQ75" i="22"/>
  <c r="DQ76" i="22"/>
  <c r="DQ77" i="22"/>
  <c r="DQ78" i="22"/>
  <c r="DQ69" i="22"/>
  <c r="DQ79" i="22"/>
  <c r="DQ70" i="22"/>
  <c r="DQ68" i="22"/>
  <c r="DQ71" i="22"/>
  <c r="DQ72" i="22"/>
  <c r="DT77" i="22"/>
  <c r="DT78" i="22"/>
  <c r="DT69" i="22"/>
  <c r="DT79" i="22"/>
  <c r="DT70" i="22"/>
  <c r="DT68" i="22"/>
  <c r="DT71" i="22"/>
  <c r="DT72" i="22"/>
  <c r="DT73" i="22"/>
  <c r="DT74" i="22"/>
  <c r="DT75" i="22"/>
  <c r="DT76" i="22"/>
  <c r="L156" i="14"/>
  <c r="DU69" i="22"/>
  <c r="DU79" i="22"/>
  <c r="DU70" i="22"/>
  <c r="DU68" i="22"/>
  <c r="DU71" i="22"/>
  <c r="DU72" i="22"/>
  <c r="DU73" i="22"/>
  <c r="DU74" i="22"/>
  <c r="DU75" i="22"/>
  <c r="DU76" i="22"/>
  <c r="DU77" i="22"/>
  <c r="DU78" i="22"/>
  <c r="BP78" i="22"/>
  <c r="BP69" i="22"/>
  <c r="BP79" i="22"/>
  <c r="BP68" i="22"/>
  <c r="BP72" i="22"/>
  <c r="BP73" i="22"/>
  <c r="BP74" i="22"/>
  <c r="BP75" i="22"/>
  <c r="BP76" i="22"/>
  <c r="BP77" i="22"/>
  <c r="BX72" i="22"/>
  <c r="BX73" i="22"/>
  <c r="BX74" i="22"/>
  <c r="BX75" i="22"/>
  <c r="BX76" i="22"/>
  <c r="BX77" i="22"/>
  <c r="BX78" i="22"/>
  <c r="BX69" i="22"/>
  <c r="BX79" i="22"/>
  <c r="BX68" i="22"/>
  <c r="BX71" i="22"/>
  <c r="DA77" i="22"/>
  <c r="DA78" i="22"/>
  <c r="DA69" i="22"/>
  <c r="DA79" i="22"/>
  <c r="DA70" i="22"/>
  <c r="DA68" i="22"/>
  <c r="DA71" i="22"/>
  <c r="DA72" i="22"/>
  <c r="DA73" i="22"/>
  <c r="DA74" i="22"/>
  <c r="DA75" i="22"/>
  <c r="DA76" i="22"/>
  <c r="BQ68" i="22"/>
  <c r="BQ71" i="22"/>
  <c r="BQ72" i="22"/>
  <c r="BQ73" i="22"/>
  <c r="BQ74" i="22"/>
  <c r="BQ75" i="22"/>
  <c r="BQ76" i="22"/>
  <c r="BQ77" i="22"/>
  <c r="BQ78" i="22"/>
  <c r="BQ69" i="22"/>
  <c r="BQ79" i="22"/>
  <c r="M50" i="14"/>
  <c r="DI71" i="22"/>
  <c r="DI72" i="22"/>
  <c r="DI73" i="22"/>
  <c r="DI74" i="22"/>
  <c r="DI75" i="22"/>
  <c r="DI76" i="22"/>
  <c r="DI77" i="22"/>
  <c r="DI78" i="22"/>
  <c r="DI69" i="22"/>
  <c r="DI79" i="22"/>
  <c r="DI70" i="22"/>
  <c r="DI68" i="22"/>
  <c r="CZ68" i="22"/>
  <c r="CZ77" i="22"/>
  <c r="CZ79" i="22"/>
  <c r="CZ78" i="22"/>
  <c r="CZ70" i="22"/>
  <c r="CZ71" i="22"/>
  <c r="CZ72" i="22"/>
  <c r="CZ73" i="22"/>
  <c r="CZ75" i="22"/>
  <c r="CZ76" i="22"/>
  <c r="DE75" i="22"/>
  <c r="DE76" i="22"/>
  <c r="DE77" i="22"/>
  <c r="DE78" i="22"/>
  <c r="DE69" i="22"/>
  <c r="DE79" i="22"/>
  <c r="DE70" i="22"/>
  <c r="DE68" i="22"/>
  <c r="DE71" i="22"/>
  <c r="DE72" i="22"/>
  <c r="DE73" i="22"/>
  <c r="DE74" i="22"/>
  <c r="DD73" i="22"/>
  <c r="DD74" i="22"/>
  <c r="DD75" i="22"/>
  <c r="DD76" i="22"/>
  <c r="DD77" i="22"/>
  <c r="DD78" i="22"/>
  <c r="DD69" i="22"/>
  <c r="DD79" i="22"/>
  <c r="DD70" i="22"/>
  <c r="DD68" i="22"/>
  <c r="DD71" i="22"/>
  <c r="DD72" i="22"/>
  <c r="BT76" i="22"/>
  <c r="BT77" i="22"/>
  <c r="BT78" i="22"/>
  <c r="BT69" i="22"/>
  <c r="BT79" i="22"/>
  <c r="BT70" i="22"/>
  <c r="BT68" i="22"/>
  <c r="BT71" i="22"/>
  <c r="BT72" i="22"/>
  <c r="BT73" i="22"/>
  <c r="BT74" i="22"/>
  <c r="BT75" i="22"/>
  <c r="DO69" i="22"/>
  <c r="DO79" i="22"/>
  <c r="DO70" i="22"/>
  <c r="DO68" i="22"/>
  <c r="DO71" i="22"/>
  <c r="DO72" i="22"/>
  <c r="DO73" i="22"/>
  <c r="DO74" i="22"/>
  <c r="DO75" i="22"/>
  <c r="DO76" i="22"/>
  <c r="DO77" i="22"/>
  <c r="DO78" i="22"/>
  <c r="L94" i="14"/>
  <c r="BS74" i="22"/>
  <c r="BS75" i="22"/>
  <c r="BS76" i="22"/>
  <c r="BS77" i="22"/>
  <c r="BS78" i="22"/>
  <c r="BS69" i="22"/>
  <c r="BS79" i="22"/>
  <c r="BS70" i="22"/>
  <c r="BS68" i="22"/>
  <c r="BS71" i="22"/>
  <c r="BS72" i="22"/>
  <c r="BS73" i="22"/>
  <c r="M176" i="14"/>
  <c r="DP71" i="22"/>
  <c r="DP72" i="22"/>
  <c r="DP73" i="22"/>
  <c r="DP74" i="22"/>
  <c r="DP75" i="22"/>
  <c r="DP76" i="22"/>
  <c r="DP77" i="22"/>
  <c r="DP78" i="22"/>
  <c r="DP69" i="22"/>
  <c r="DP79" i="22"/>
  <c r="DP70" i="22"/>
  <c r="DP68" i="22"/>
  <c r="BW70" i="22"/>
  <c r="BW68" i="22"/>
  <c r="BW71" i="22"/>
  <c r="BW72" i="22"/>
  <c r="BW73" i="22"/>
  <c r="BW74" i="22"/>
  <c r="BW75" i="22"/>
  <c r="BW76" i="22"/>
  <c r="BW77" i="22"/>
  <c r="BW78" i="22"/>
  <c r="BW69" i="22"/>
  <c r="BW79" i="22"/>
  <c r="M151" i="14"/>
  <c r="BR72" i="22"/>
  <c r="BR73" i="22"/>
  <c r="BR74" i="22"/>
  <c r="BR75" i="22"/>
  <c r="BR76" i="22"/>
  <c r="BR77" i="22"/>
  <c r="BR78" i="22"/>
  <c r="BR69" i="22"/>
  <c r="BR79" i="22"/>
  <c r="BR70" i="22"/>
  <c r="BR68" i="22"/>
  <c r="BR71" i="22"/>
  <c r="M96" i="14"/>
  <c r="DH69" i="22"/>
  <c r="DH79" i="22"/>
  <c r="DH70" i="22"/>
  <c r="DH68" i="22"/>
  <c r="DH71" i="22"/>
  <c r="DH72" i="22"/>
  <c r="DH73" i="22"/>
  <c r="DH74" i="22"/>
  <c r="DH75" i="22"/>
  <c r="DH76" i="22"/>
  <c r="DH77" i="22"/>
  <c r="DH78" i="22"/>
  <c r="K156" i="14"/>
  <c r="DC71" i="22"/>
  <c r="DC72" i="22"/>
  <c r="DC73" i="22"/>
  <c r="DC74" i="22"/>
  <c r="DC75" i="22"/>
  <c r="DC76" i="22"/>
  <c r="DC77" i="22"/>
  <c r="DC78" i="22"/>
  <c r="DC69" i="22"/>
  <c r="DC79" i="22"/>
  <c r="DC70" i="22"/>
  <c r="DC68" i="22"/>
  <c r="K91" i="14"/>
  <c r="C205" i="11"/>
  <c r="C212" i="11"/>
  <c r="C198" i="11"/>
  <c r="C183" i="11"/>
  <c r="C175" i="11"/>
  <c r="I30" i="11"/>
  <c r="I32" i="11"/>
  <c r="I24" i="11"/>
  <c r="I25" i="11"/>
  <c r="I35" i="11"/>
  <c r="I26" i="11"/>
  <c r="I27" i="11"/>
  <c r="I34" i="11"/>
  <c r="I28" i="11"/>
  <c r="I31" i="11"/>
  <c r="I33" i="11"/>
  <c r="I29" i="11"/>
  <c r="C179" i="11"/>
  <c r="C203" i="11"/>
  <c r="C216" i="11" s="1"/>
  <c r="C180" i="11"/>
  <c r="C181" i="11"/>
  <c r="C176" i="11"/>
  <c r="D29" i="11"/>
  <c r="M28" i="11"/>
  <c r="L35" i="11"/>
  <c r="F29" i="11"/>
  <c r="J29" i="11"/>
  <c r="M26" i="11"/>
  <c r="D27" i="11"/>
  <c r="E29" i="11"/>
  <c r="M30" i="11"/>
  <c r="L31" i="11"/>
  <c r="M31" i="11"/>
  <c r="L30" i="11"/>
  <c r="G31" i="11"/>
  <c r="E30" i="11"/>
  <c r="F30" i="11"/>
  <c r="J27" i="11"/>
  <c r="K27" i="11"/>
  <c r="J30" i="11"/>
  <c r="J34" i="11"/>
  <c r="D31" i="11"/>
  <c r="J31" i="11"/>
  <c r="K31" i="11"/>
  <c r="G30" i="11"/>
  <c r="L28" i="11"/>
  <c r="K30" i="11"/>
  <c r="K34" i="11"/>
  <c r="L27" i="11"/>
  <c r="K25" i="11"/>
  <c r="M27" i="11"/>
  <c r="D28" i="11"/>
  <c r="K29" i="11"/>
  <c r="J26" i="11"/>
  <c r="K26" i="11"/>
  <c r="J28" i="11"/>
  <c r="M29" i="11"/>
  <c r="E31" i="11"/>
  <c r="J35" i="11"/>
  <c r="J24" i="11"/>
  <c r="K24" i="11"/>
  <c r="J25" i="11"/>
  <c r="J33" i="11"/>
  <c r="L25" i="11"/>
  <c r="E28" i="11"/>
  <c r="L29" i="11"/>
  <c r="M21" i="11"/>
  <c r="L26" i="11"/>
  <c r="K28" i="11"/>
  <c r="D30" i="11"/>
  <c r="F31" i="11"/>
  <c r="K35" i="11"/>
  <c r="K186" i="14"/>
  <c r="K146" i="14"/>
  <c r="K106" i="14"/>
  <c r="K126" i="14"/>
  <c r="K166" i="14"/>
  <c r="K86" i="14"/>
  <c r="K66" i="14"/>
  <c r="K46" i="14"/>
  <c r="L34" i="11"/>
  <c r="M33" i="11"/>
  <c r="D33" i="11"/>
  <c r="M32" i="11"/>
  <c r="D24" i="11"/>
  <c r="J32" i="11"/>
  <c r="K33" i="11"/>
  <c r="L33" i="11"/>
  <c r="M24" i="11"/>
  <c r="M34" i="11"/>
  <c r="D25" i="11"/>
  <c r="D26" i="11"/>
  <c r="D34" i="11"/>
  <c r="E25" i="11"/>
  <c r="E26" i="11"/>
  <c r="E32" i="11"/>
  <c r="E34" i="11"/>
  <c r="E35" i="11"/>
  <c r="F25" i="11"/>
  <c r="F27" i="11"/>
  <c r="F28" i="11"/>
  <c r="F33" i="11"/>
  <c r="F34" i="11"/>
  <c r="G25" i="11"/>
  <c r="G26" i="11"/>
  <c r="G27" i="11"/>
  <c r="G28" i="11"/>
  <c r="G29" i="11"/>
  <c r="G32" i="11"/>
  <c r="G33" i="11"/>
  <c r="G35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C177" i="11"/>
  <c r="C201" i="11"/>
  <c r="K32" i="11"/>
  <c r="L24" i="11"/>
  <c r="L32" i="11"/>
  <c r="M25" i="11"/>
  <c r="M35" i="11"/>
  <c r="D32" i="11"/>
  <c r="D35" i="11"/>
  <c r="E27" i="11"/>
  <c r="E33" i="11"/>
  <c r="F24" i="11"/>
  <c r="F26" i="11"/>
  <c r="F32" i="11"/>
  <c r="F35" i="11"/>
  <c r="G24" i="11"/>
  <c r="G34" i="11"/>
  <c r="C178" i="11"/>
  <c r="HE69" i="22" l="1"/>
  <c r="BO81" i="22"/>
  <c r="HE79" i="22"/>
  <c r="HD68" i="22"/>
  <c r="HD81" i="22"/>
  <c r="HD82" i="22"/>
  <c r="HD76" i="22"/>
  <c r="HE80" i="22"/>
  <c r="BO80" i="22"/>
  <c r="HE75" i="22"/>
  <c r="HG80" i="22"/>
  <c r="HF80" i="22"/>
  <c r="HE73" i="22"/>
  <c r="HL80" i="22"/>
  <c r="D23" i="16"/>
  <c r="HM80" i="22"/>
  <c r="D52" i="16"/>
  <c r="E53" i="16"/>
  <c r="E52" i="16" s="1"/>
  <c r="HD72" i="22"/>
  <c r="HF79" i="22"/>
  <c r="HM76" i="22"/>
  <c r="D80" i="16"/>
  <c r="E81" i="16"/>
  <c r="E80" i="16" s="1"/>
  <c r="HD80" i="22"/>
  <c r="D38" i="16"/>
  <c r="E39" i="16"/>
  <c r="E38" i="16" s="1"/>
  <c r="D108" i="16"/>
  <c r="E110" i="16"/>
  <c r="E108" i="16" s="1"/>
  <c r="HE71" i="22"/>
  <c r="D94" i="16"/>
  <c r="E95" i="16"/>
  <c r="E94" i="16" s="1"/>
  <c r="HI80" i="22"/>
  <c r="D122" i="16"/>
  <c r="E123" i="16"/>
  <c r="E122" i="16" s="1"/>
  <c r="D66" i="16"/>
  <c r="E67" i="16"/>
  <c r="E66" i="16" s="1"/>
  <c r="HH80" i="22"/>
  <c r="HD69" i="22"/>
  <c r="BO70" i="22"/>
  <c r="HD75" i="22"/>
  <c r="HD79" i="22"/>
  <c r="HL71" i="22"/>
  <c r="HF72" i="22"/>
  <c r="HI72" i="22"/>
  <c r="HD78" i="22"/>
  <c r="HE77" i="22"/>
  <c r="BO71" i="22"/>
  <c r="HI75" i="22"/>
  <c r="HE76" i="22"/>
  <c r="HE78" i="22"/>
  <c r="HL72" i="22"/>
  <c r="HG72" i="22"/>
  <c r="HM75" i="22"/>
  <c r="HF70" i="22"/>
  <c r="HF69" i="22"/>
  <c r="HH79" i="22"/>
  <c r="HL70" i="22"/>
  <c r="HI78" i="22"/>
  <c r="HL76" i="22"/>
  <c r="HD77" i="22"/>
  <c r="HM74" i="22"/>
  <c r="HG69" i="22"/>
  <c r="HE70" i="22"/>
  <c r="HG76" i="22"/>
  <c r="HL75" i="22"/>
  <c r="HD71" i="22"/>
  <c r="HI71" i="22"/>
  <c r="HE72" i="22"/>
  <c r="HM79" i="22"/>
  <c r="HG75" i="22"/>
  <c r="HH70" i="22"/>
  <c r="HI73" i="22"/>
  <c r="HM77" i="22"/>
  <c r="HG68" i="22"/>
  <c r="BO68" i="22"/>
  <c r="HF71" i="22"/>
  <c r="HG70" i="22"/>
  <c r="HG71" i="22"/>
  <c r="HL68" i="22"/>
  <c r="HH69" i="22"/>
  <c r="E23" i="16"/>
  <c r="HE74" i="22"/>
  <c r="HF68" i="22"/>
  <c r="HH72" i="22"/>
  <c r="HG73" i="22"/>
  <c r="C217" i="11"/>
  <c r="HG79" i="22"/>
  <c r="HH78" i="22"/>
  <c r="HI68" i="22"/>
  <c r="BO79" i="22"/>
  <c r="HL78" i="22"/>
  <c r="HL79" i="22"/>
  <c r="HH77" i="22"/>
  <c r="HI70" i="22"/>
  <c r="HM73" i="22"/>
  <c r="BO77" i="22"/>
  <c r="BO69" i="22"/>
  <c r="HF78" i="22"/>
  <c r="HH74" i="22"/>
  <c r="HL74" i="22"/>
  <c r="HG78" i="22"/>
  <c r="HL77" i="22"/>
  <c r="HL69" i="22"/>
  <c r="HH76" i="22"/>
  <c r="HI79" i="22"/>
  <c r="HD74" i="22"/>
  <c r="HM68" i="22"/>
  <c r="HM72" i="22"/>
  <c r="BO76" i="22"/>
  <c r="BO78" i="22"/>
  <c r="HF77" i="22"/>
  <c r="HG77" i="22"/>
  <c r="HH75" i="22"/>
  <c r="HI69" i="22"/>
  <c r="HD73" i="22"/>
  <c r="HM70" i="22"/>
  <c r="HM71" i="22"/>
  <c r="HE68" i="22"/>
  <c r="BO75" i="22"/>
  <c r="HF76" i="22"/>
  <c r="BO74" i="22"/>
  <c r="HF75" i="22"/>
  <c r="HH71" i="22"/>
  <c r="HH73" i="22"/>
  <c r="HI77" i="22"/>
  <c r="HM69" i="22"/>
  <c r="BO73" i="22"/>
  <c r="HF74" i="22"/>
  <c r="HG74" i="22"/>
  <c r="HL73" i="22"/>
  <c r="HH68" i="22"/>
  <c r="HI74" i="22"/>
  <c r="HI76" i="22"/>
  <c r="HD70" i="22"/>
  <c r="HM78" i="22"/>
  <c r="BO72" i="22"/>
  <c r="HF73" i="22"/>
  <c r="C265" i="11"/>
  <c r="C245" i="11"/>
  <c r="C260" i="11" s="1"/>
  <c r="C218" i="11"/>
  <c r="C215" i="11"/>
  <c r="C220" i="11"/>
  <c r="C248" i="11" s="1"/>
  <c r="C263" i="11" s="1"/>
  <c r="M27" i="21" s="1" a="1"/>
  <c r="M27" i="21" s="1"/>
  <c r="C249" i="11"/>
  <c r="C264" i="11" s="1"/>
  <c r="N27" i="21" s="1" a="1"/>
  <c r="N27" i="21" s="1"/>
  <c r="C241" i="11"/>
  <c r="C246" i="11"/>
  <c r="C261" i="11" s="1"/>
  <c r="K27" i="21" s="1" a="1"/>
  <c r="K27" i="21" s="1"/>
  <c r="C214" i="11"/>
  <c r="C213" i="11"/>
  <c r="C256" i="11" l="1"/>
  <c r="G256" i="11" s="1"/>
  <c r="L265" i="11"/>
  <c r="O55" i="21" s="1" a="1"/>
  <c r="O55" i="21" s="1"/>
  <c r="H265" i="11"/>
  <c r="O139" i="21" s="1" a="1"/>
  <c r="O139" i="21" s="1"/>
  <c r="F265" i="11"/>
  <c r="O97" i="21" s="1" a="1"/>
  <c r="O97" i="21" s="1"/>
  <c r="G265" i="11"/>
  <c r="O125" i="21" s="1" a="1"/>
  <c r="O125" i="21" s="1"/>
  <c r="J265" i="11"/>
  <c r="O69" i="21" s="1" a="1"/>
  <c r="O69" i="21" s="1"/>
  <c r="K265" i="11"/>
  <c r="O41" i="21" s="1" a="1"/>
  <c r="O41" i="21" s="1"/>
  <c r="O13" i="21" a="1"/>
  <c r="O13" i="21" s="1"/>
  <c r="O27" i="21" a="1"/>
  <c r="O27" i="21" s="1"/>
  <c r="J13" i="21" a="1"/>
  <c r="J13" i="21" s="1"/>
  <c r="J27" i="21" a="1"/>
  <c r="J27" i="21" s="1"/>
  <c r="F263" i="11"/>
  <c r="M97" i="21" s="1" a="1"/>
  <c r="M97" i="21" s="1"/>
  <c r="M13" i="21" a="1"/>
  <c r="M13" i="21" s="1"/>
  <c r="C247" i="11"/>
  <c r="C262" i="11" s="1"/>
  <c r="C239" i="11"/>
  <c r="C254" i="11" s="1"/>
  <c r="K254" i="11" s="1"/>
  <c r="D41" i="21" s="1" a="1"/>
  <c r="D41" i="21" s="1"/>
  <c r="C240" i="11"/>
  <c r="C255" i="11" s="1"/>
  <c r="E255" i="11" s="1"/>
  <c r="E83" i="21" s="1" a="1"/>
  <c r="E83" i="21" s="1"/>
  <c r="D265" i="11"/>
  <c r="C242" i="11"/>
  <c r="C257" i="11" s="1"/>
  <c r="I265" i="11"/>
  <c r="O111" i="21" s="1" a="1"/>
  <c r="O111" i="21" s="1"/>
  <c r="E265" i="11"/>
  <c r="O83" i="21" s="1" a="1"/>
  <c r="O83" i="21" s="1"/>
  <c r="D261" i="11"/>
  <c r="K13" i="21" a="1"/>
  <c r="K13" i="21" s="1"/>
  <c r="G264" i="11"/>
  <c r="N125" i="21" s="1" a="1"/>
  <c r="N125" i="21" s="1"/>
  <c r="N13" i="21" a="1"/>
  <c r="N13" i="21" s="1"/>
  <c r="J263" i="11"/>
  <c r="M69" i="21" s="1" a="1"/>
  <c r="M69" i="21" s="1"/>
  <c r="F264" i="11"/>
  <c r="N97" i="21" s="1" a="1"/>
  <c r="N97" i="21" s="1"/>
  <c r="I261" i="11"/>
  <c r="K111" i="21" s="1" a="1"/>
  <c r="K111" i="21" s="1"/>
  <c r="K263" i="11"/>
  <c r="M41" i="21" s="1" a="1"/>
  <c r="M41" i="21" s="1"/>
  <c r="H264" i="11"/>
  <c r="N139" i="21" s="1" a="1"/>
  <c r="N139" i="21" s="1"/>
  <c r="E264" i="11"/>
  <c r="N83" i="21" s="1" a="1"/>
  <c r="N83" i="21" s="1"/>
  <c r="J264" i="11"/>
  <c r="N69" i="21" s="1" a="1"/>
  <c r="N69" i="21" s="1"/>
  <c r="D264" i="11"/>
  <c r="K264" i="11"/>
  <c r="N41" i="21" s="1" a="1"/>
  <c r="N41" i="21" s="1"/>
  <c r="H263" i="11"/>
  <c r="M139" i="21" s="1" a="1"/>
  <c r="M139" i="21" s="1"/>
  <c r="I264" i="11"/>
  <c r="N111" i="21" s="1" a="1"/>
  <c r="N111" i="21" s="1"/>
  <c r="I263" i="11"/>
  <c r="M111" i="21" s="1" a="1"/>
  <c r="M111" i="21" s="1"/>
  <c r="L264" i="11"/>
  <c r="N55" i="21" s="1" a="1"/>
  <c r="N55" i="21" s="1"/>
  <c r="L263" i="11"/>
  <c r="M55" i="21" s="1" a="1"/>
  <c r="M55" i="21" s="1"/>
  <c r="E263" i="11"/>
  <c r="M83" i="21" s="1" a="1"/>
  <c r="M83" i="21" s="1"/>
  <c r="G261" i="11"/>
  <c r="K125" i="21" s="1" a="1"/>
  <c r="K125" i="21" s="1"/>
  <c r="K261" i="11"/>
  <c r="K41" i="21" s="1" a="1"/>
  <c r="K41" i="21" s="1"/>
  <c r="L261" i="11"/>
  <c r="K55" i="21" s="1" a="1"/>
  <c r="K55" i="21" s="1"/>
  <c r="C244" i="11"/>
  <c r="C259" i="11" s="1"/>
  <c r="C243" i="11"/>
  <c r="C258" i="11" s="1"/>
  <c r="H261" i="11"/>
  <c r="K139" i="21" s="1" a="1"/>
  <c r="K139" i="21" s="1"/>
  <c r="E261" i="11"/>
  <c r="K83" i="21" s="1" a="1"/>
  <c r="K83" i="21" s="1"/>
  <c r="G263" i="11"/>
  <c r="M125" i="21" s="1" a="1"/>
  <c r="M125" i="21" s="1"/>
  <c r="F261" i="11"/>
  <c r="K97" i="21" s="1" a="1"/>
  <c r="K97" i="21" s="1"/>
  <c r="D263" i="11"/>
  <c r="J261" i="11"/>
  <c r="K69" i="21" s="1" a="1"/>
  <c r="K69" i="21" s="1"/>
  <c r="D256" i="11"/>
  <c r="H260" i="11"/>
  <c r="J139" i="21" s="1" a="1"/>
  <c r="J139" i="21" s="1"/>
  <c r="F260" i="11"/>
  <c r="J97" i="21" s="1" a="1"/>
  <c r="J97" i="21" s="1"/>
  <c r="E260" i="11"/>
  <c r="J83" i="21" s="1" a="1"/>
  <c r="J83" i="21" s="1"/>
  <c r="I260" i="11"/>
  <c r="J111" i="21" s="1" a="1"/>
  <c r="J111" i="21" s="1"/>
  <c r="G260" i="11"/>
  <c r="J125" i="21" s="1" a="1"/>
  <c r="J125" i="21" s="1"/>
  <c r="D260" i="11"/>
  <c r="K260" i="11"/>
  <c r="J41" i="21" s="1" a="1"/>
  <c r="J41" i="21" s="1"/>
  <c r="J260" i="11"/>
  <c r="J69" i="21" s="1" a="1"/>
  <c r="J69" i="21" s="1"/>
  <c r="L260" i="11"/>
  <c r="J55" i="21" s="1" a="1"/>
  <c r="J55" i="21" s="1"/>
  <c r="H256" i="11" l="1"/>
  <c r="F139" i="21" s="1" a="1"/>
  <c r="F139" i="21" s="1"/>
  <c r="H27" i="21" a="1"/>
  <c r="H27" i="21" s="1"/>
  <c r="E258" i="11"/>
  <c r="E256" i="11"/>
  <c r="F83" i="21" s="1" a="1"/>
  <c r="F83" i="21" s="1"/>
  <c r="F13" i="21" a="1"/>
  <c r="F13" i="21" s="1"/>
  <c r="F256" i="11"/>
  <c r="F97" i="21" s="1" a="1"/>
  <c r="F97" i="21" s="1"/>
  <c r="F27" i="21" a="1"/>
  <c r="F27" i="21" s="1"/>
  <c r="M265" i="11"/>
  <c r="J254" i="11"/>
  <c r="D69" i="21" s="1" a="1"/>
  <c r="D69" i="21" s="1"/>
  <c r="K255" i="11"/>
  <c r="E41" i="21" s="1" a="1"/>
  <c r="E41" i="21" s="1"/>
  <c r="F255" i="11"/>
  <c r="E97" i="21" s="1" a="1"/>
  <c r="E97" i="21" s="1"/>
  <c r="L254" i="11"/>
  <c r="D55" i="21" s="1" a="1"/>
  <c r="D55" i="21" s="1"/>
  <c r="D254" i="11"/>
  <c r="E254" i="11"/>
  <c r="D83" i="21" s="1" a="1"/>
  <c r="D83" i="21" s="1"/>
  <c r="E13" i="21" a="1"/>
  <c r="E13" i="21" s="1"/>
  <c r="E27" i="21" a="1"/>
  <c r="E27" i="21" s="1"/>
  <c r="I13" i="21" a="1"/>
  <c r="I13" i="21" s="1"/>
  <c r="I27" i="21" a="1"/>
  <c r="I27" i="21" s="1"/>
  <c r="D255" i="11"/>
  <c r="D13" i="21" a="1"/>
  <c r="D13" i="21" s="1"/>
  <c r="D27" i="21" a="1"/>
  <c r="D27" i="21" s="1"/>
  <c r="L13" i="21" a="1"/>
  <c r="L13" i="21" s="1"/>
  <c r="L27" i="21" a="1"/>
  <c r="L27" i="21" s="1"/>
  <c r="J255" i="11"/>
  <c r="E69" i="21" s="1" a="1"/>
  <c r="E69" i="21" s="1"/>
  <c r="I255" i="11"/>
  <c r="E111" i="21" s="1" a="1"/>
  <c r="E111" i="21" s="1"/>
  <c r="I262" i="11"/>
  <c r="L111" i="21" s="1" a="1"/>
  <c r="L111" i="21" s="1"/>
  <c r="H255" i="11"/>
  <c r="E139" i="21" s="1" a="1"/>
  <c r="E139" i="21" s="1"/>
  <c r="G255" i="11"/>
  <c r="E125" i="21" s="1" a="1"/>
  <c r="E125" i="21" s="1"/>
  <c r="G13" i="21" a="1"/>
  <c r="G13" i="21" s="1"/>
  <c r="G27" i="21" a="1"/>
  <c r="G27" i="21" s="1"/>
  <c r="E262" i="11"/>
  <c r="L83" i="21" s="1" a="1"/>
  <c r="L83" i="21" s="1"/>
  <c r="H262" i="11"/>
  <c r="L139" i="21" s="1" a="1"/>
  <c r="L139" i="21" s="1"/>
  <c r="K262" i="11"/>
  <c r="L262" i="11"/>
  <c r="L55" i="21" s="1" a="1"/>
  <c r="L55" i="21" s="1"/>
  <c r="I258" i="11"/>
  <c r="H111" i="21" s="1" a="1"/>
  <c r="H111" i="21" s="1"/>
  <c r="H13" i="21" a="1"/>
  <c r="H13" i="21" s="1"/>
  <c r="F262" i="11"/>
  <c r="L97" i="21" s="1" a="1"/>
  <c r="L97" i="21" s="1"/>
  <c r="I254" i="11"/>
  <c r="D111" i="21" s="1" a="1"/>
  <c r="D111" i="21" s="1"/>
  <c r="F254" i="11"/>
  <c r="D97" i="21" s="1" a="1"/>
  <c r="D97" i="21" s="1"/>
  <c r="J262" i="11"/>
  <c r="L69" i="21" s="1" a="1"/>
  <c r="L69" i="21" s="1"/>
  <c r="G262" i="11"/>
  <c r="L125" i="21" s="1" a="1"/>
  <c r="L125" i="21" s="1"/>
  <c r="L255" i="11"/>
  <c r="D262" i="11"/>
  <c r="M263" i="11"/>
  <c r="M264" i="11"/>
  <c r="M261" i="11"/>
  <c r="J258" i="11"/>
  <c r="H69" i="21" s="1" a="1"/>
  <c r="H69" i="21" s="1"/>
  <c r="L258" i="11"/>
  <c r="H55" i="21" s="1" a="1"/>
  <c r="H55" i="21" s="1"/>
  <c r="C266" i="11"/>
  <c r="K258" i="11"/>
  <c r="H41" i="21" s="1" a="1"/>
  <c r="H41" i="21" s="1"/>
  <c r="L256" i="11"/>
  <c r="F55" i="21" s="1" a="1"/>
  <c r="F55" i="21" s="1"/>
  <c r="H258" i="11"/>
  <c r="H139" i="21" s="1" a="1"/>
  <c r="H139" i="21" s="1"/>
  <c r="F258" i="11"/>
  <c r="H97" i="21" s="1" a="1"/>
  <c r="H97" i="21" s="1"/>
  <c r="J256" i="11"/>
  <c r="F69" i="21" s="1" a="1"/>
  <c r="F69" i="21" s="1"/>
  <c r="K256" i="11"/>
  <c r="F41" i="21" s="1" a="1"/>
  <c r="F41" i="21" s="1"/>
  <c r="I256" i="11"/>
  <c r="F111" i="21" s="1" a="1"/>
  <c r="F111" i="21" s="1"/>
  <c r="H254" i="11"/>
  <c r="D139" i="21" s="1" a="1"/>
  <c r="D139" i="21" s="1"/>
  <c r="G258" i="11"/>
  <c r="H125" i="21" s="1" a="1"/>
  <c r="H125" i="21" s="1"/>
  <c r="F125" i="21" a="1"/>
  <c r="F125" i="21" s="1"/>
  <c r="H83" i="21" a="1"/>
  <c r="H83" i="21" s="1"/>
  <c r="D258" i="11"/>
  <c r="G254" i="11"/>
  <c r="D125" i="21" s="1" a="1"/>
  <c r="D125" i="21" s="1"/>
  <c r="D259" i="11"/>
  <c r="E259" i="11"/>
  <c r="I83" i="21" s="1" a="1"/>
  <c r="I83" i="21" s="1"/>
  <c r="F259" i="11"/>
  <c r="I97" i="21" s="1" a="1"/>
  <c r="I97" i="21" s="1"/>
  <c r="G259" i="11"/>
  <c r="I125" i="21" s="1" a="1"/>
  <c r="I125" i="21" s="1"/>
  <c r="H259" i="11"/>
  <c r="I139" i="21" s="1" a="1"/>
  <c r="I139" i="21" s="1"/>
  <c r="I259" i="11"/>
  <c r="I111" i="21" s="1" a="1"/>
  <c r="I111" i="21" s="1"/>
  <c r="J259" i="11"/>
  <c r="I69" i="21" s="1" a="1"/>
  <c r="I69" i="21" s="1"/>
  <c r="K259" i="11"/>
  <c r="I41" i="21" s="1" a="1"/>
  <c r="I41" i="21" s="1"/>
  <c r="L259" i="11"/>
  <c r="I55" i="21" s="1" a="1"/>
  <c r="I55" i="21" s="1"/>
  <c r="D257" i="11"/>
  <c r="E257" i="11"/>
  <c r="G83" i="21" s="1" a="1"/>
  <c r="G83" i="21" s="1"/>
  <c r="F257" i="11"/>
  <c r="G97" i="21" s="1" a="1"/>
  <c r="G97" i="21" s="1"/>
  <c r="G257" i="11"/>
  <c r="G125" i="21" s="1" a="1"/>
  <c r="G125" i="21" s="1"/>
  <c r="H257" i="11"/>
  <c r="G139" i="21" s="1" a="1"/>
  <c r="G139" i="21" s="1"/>
  <c r="I257" i="11"/>
  <c r="G111" i="21" s="1" a="1"/>
  <c r="G111" i="21" s="1"/>
  <c r="J257" i="11"/>
  <c r="G69" i="21" s="1" a="1"/>
  <c r="G69" i="21" s="1"/>
  <c r="K257" i="11"/>
  <c r="G41" i="21" s="1" a="1"/>
  <c r="G41" i="21" s="1"/>
  <c r="L257" i="11"/>
  <c r="G55" i="21" s="1" a="1"/>
  <c r="G55" i="21" s="1"/>
  <c r="M260" i="11"/>
  <c r="M254" i="11" l="1"/>
  <c r="P83" i="21"/>
  <c r="P97" i="21"/>
  <c r="P27" i="21"/>
  <c r="P13" i="21"/>
  <c r="P139" i="21"/>
  <c r="P125" i="21"/>
  <c r="P111" i="21"/>
  <c r="M262" i="11"/>
  <c r="L41" i="21" a="1"/>
  <c r="L41" i="21" s="1"/>
  <c r="P41" i="21" s="1"/>
  <c r="P69" i="21"/>
  <c r="M255" i="11"/>
  <c r="E55" i="21" a="1"/>
  <c r="E55" i="21" s="1"/>
  <c r="P55" i="21" s="1"/>
  <c r="M258" i="11"/>
  <c r="I266" i="11"/>
  <c r="J266" i="11"/>
  <c r="H266" i="11"/>
  <c r="E266" i="11"/>
  <c r="D266" i="11"/>
  <c r="F266" i="11"/>
  <c r="L266" i="11"/>
  <c r="G266" i="11"/>
  <c r="M256" i="11"/>
  <c r="K266" i="11"/>
  <c r="M259" i="11"/>
  <c r="M257" i="11"/>
  <c r="HA6" i="3"/>
  <c r="HP50" i="3"/>
  <c r="HP51" i="3"/>
  <c r="HP52" i="3"/>
  <c r="HP53" i="3"/>
  <c r="HP54" i="3"/>
  <c r="HP55" i="3"/>
  <c r="HP56" i="3"/>
  <c r="HP57" i="3"/>
  <c r="C177" i="10"/>
  <c r="C158" i="10"/>
  <c r="C139" i="10"/>
  <c r="C120" i="10"/>
  <c r="C101" i="10"/>
  <c r="C82" i="10"/>
  <c r="C63" i="10"/>
  <c r="C44" i="10"/>
  <c r="C187" i="6"/>
  <c r="F186" i="6"/>
  <c r="C47" i="6"/>
  <c r="C67" i="6"/>
  <c r="C87" i="6"/>
  <c r="C107" i="6"/>
  <c r="C127" i="6"/>
  <c r="C147" i="6"/>
  <c r="C167" i="6"/>
  <c r="F166" i="6"/>
  <c r="F146" i="6"/>
  <c r="F126" i="6"/>
  <c r="F106" i="6"/>
  <c r="F86" i="6"/>
  <c r="F66" i="6"/>
  <c r="F6" i="6"/>
  <c r="H3" i="6" s="1"/>
  <c r="L31" i="16" l="1"/>
  <c r="M31" i="16" s="1"/>
  <c r="HA7" i="3"/>
  <c r="HA5" i="3"/>
  <c r="HP49" i="3"/>
  <c r="HP6" i="3" s="1"/>
  <c r="M266" i="11"/>
  <c r="K4" i="10"/>
  <c r="L28" i="16" l="1"/>
  <c r="M28" i="16" s="1"/>
  <c r="K5" i="10"/>
  <c r="HA79" i="22"/>
  <c r="HP79" i="22" s="1"/>
  <c r="HA70" i="22"/>
  <c r="HP70" i="22" s="1"/>
  <c r="HA73" i="22"/>
  <c r="HP73" i="22" s="1"/>
  <c r="HA69" i="22"/>
  <c r="HP69" i="22" s="1"/>
  <c r="HA78" i="22"/>
  <c r="HP78" i="22" s="1"/>
  <c r="HA77" i="22"/>
  <c r="HP77" i="22" s="1"/>
  <c r="HA76" i="22"/>
  <c r="HP76" i="22" s="1"/>
  <c r="HA74" i="22"/>
  <c r="HP74" i="22" s="1"/>
  <c r="HA71" i="22"/>
  <c r="HP71" i="22" s="1"/>
  <c r="HA72" i="22"/>
  <c r="HP72" i="22" s="1"/>
  <c r="HA75" i="22"/>
  <c r="HP75" i="22" s="1"/>
  <c r="HP5" i="3"/>
  <c r="HP7" i="3"/>
  <c r="K43" i="10"/>
  <c r="F46" i="6"/>
  <c r="BK47" i="3"/>
  <c r="BK23" i="3"/>
  <c r="H104" i="6" l="1"/>
  <c r="H145" i="6"/>
  <c r="H103" i="6"/>
  <c r="H144" i="6"/>
  <c r="H143" i="6"/>
  <c r="H85" i="6"/>
  <c r="H184" i="6"/>
  <c r="H165" i="6"/>
  <c r="H123" i="6"/>
  <c r="H183" i="6"/>
  <c r="H164" i="6"/>
  <c r="H185" i="6"/>
  <c r="H124" i="6"/>
  <c r="H84" i="6"/>
  <c r="H83" i="6"/>
  <c r="H125" i="6"/>
  <c r="H163" i="6"/>
  <c r="H105" i="6"/>
  <c r="H45" i="6"/>
  <c r="H63" i="6"/>
  <c r="H65" i="6"/>
  <c r="H64" i="6"/>
  <c r="H66" i="6" s="1"/>
  <c r="H44" i="6"/>
  <c r="H43" i="6"/>
  <c r="H5" i="6"/>
  <c r="BK24" i="3"/>
  <c r="BK25" i="3"/>
  <c r="BK27" i="3"/>
  <c r="BK28" i="3"/>
  <c r="BK29" i="3"/>
  <c r="BK30" i="3"/>
  <c r="BK31" i="3"/>
  <c r="BK32" i="3"/>
  <c r="BK33" i="3"/>
  <c r="BK34" i="3"/>
  <c r="BK35" i="3"/>
  <c r="BK36" i="3"/>
  <c r="BK37" i="3"/>
  <c r="BK38" i="3"/>
  <c r="BK39" i="3"/>
  <c r="BK40" i="3"/>
  <c r="BK41" i="3"/>
  <c r="BK42" i="3"/>
  <c r="BK43" i="3"/>
  <c r="BK44" i="3"/>
  <c r="BK45" i="3"/>
  <c r="BK46" i="3"/>
  <c r="BK48" i="3"/>
  <c r="BK49" i="3"/>
  <c r="BK50" i="3"/>
  <c r="BK51" i="3"/>
  <c r="BK52" i="3"/>
  <c r="BK53" i="3"/>
  <c r="BK54" i="3"/>
  <c r="BK55" i="3"/>
  <c r="BK56" i="3"/>
  <c r="BK58" i="3"/>
  <c r="BK7" i="3" l="1"/>
  <c r="BK6" i="3"/>
  <c r="H186" i="6"/>
  <c r="BK5" i="3"/>
  <c r="CD5" i="3"/>
  <c r="CD6" i="3"/>
  <c r="D46" i="14" s="1"/>
  <c r="H126" i="6"/>
  <c r="H166" i="6"/>
  <c r="H86" i="6"/>
  <c r="H146" i="6"/>
  <c r="H106" i="6"/>
  <c r="H46" i="6"/>
  <c r="F50" i="14" l="1"/>
  <c r="F55" i="14"/>
  <c r="F54" i="14"/>
  <c r="H4" i="6"/>
  <c r="D90" i="10" l="1"/>
  <c r="D65" i="6"/>
  <c r="D63" i="6"/>
  <c r="D145" i="6"/>
  <c r="H6" i="6"/>
  <c r="X57" i="3"/>
  <c r="X56" i="3"/>
  <c r="X55" i="3"/>
  <c r="X53" i="3"/>
  <c r="X52" i="3"/>
  <c r="X51" i="3"/>
  <c r="X50" i="3"/>
  <c r="X49" i="3"/>
  <c r="AV48" i="3"/>
  <c r="X48" i="3"/>
  <c r="BH47" i="3"/>
  <c r="AV47" i="3"/>
  <c r="X47" i="3"/>
  <c r="BH46" i="3"/>
  <c r="AV46" i="3"/>
  <c r="X46" i="3"/>
  <c r="BH45" i="3"/>
  <c r="AV45" i="3"/>
  <c r="X45" i="3"/>
  <c r="BH44" i="3"/>
  <c r="AV44" i="3"/>
  <c r="X44" i="3"/>
  <c r="BH43" i="3"/>
  <c r="AV43" i="3"/>
  <c r="X43" i="3"/>
  <c r="BH42" i="3"/>
  <c r="AV42" i="3"/>
  <c r="X42" i="3"/>
  <c r="BH41" i="3"/>
  <c r="AV41" i="3"/>
  <c r="X41" i="3"/>
  <c r="BH40" i="3"/>
  <c r="AV40" i="3"/>
  <c r="X40" i="3"/>
  <c r="BH39" i="3"/>
  <c r="AV39" i="3"/>
  <c r="X39" i="3"/>
  <c r="BH38" i="3"/>
  <c r="AV38" i="3"/>
  <c r="X38" i="3"/>
  <c r="BH37" i="3"/>
  <c r="AV37" i="3"/>
  <c r="X37" i="3"/>
  <c r="BH36" i="3"/>
  <c r="AV36" i="3"/>
  <c r="X36" i="3"/>
  <c r="BH35" i="3"/>
  <c r="AV35" i="3"/>
  <c r="X35" i="3"/>
  <c r="BH34" i="3"/>
  <c r="AV34" i="3"/>
  <c r="X34" i="3"/>
  <c r="BH33" i="3"/>
  <c r="AV33" i="3"/>
  <c r="X33" i="3"/>
  <c r="BH32" i="3"/>
  <c r="AV32" i="3"/>
  <c r="X32" i="3"/>
  <c r="BH31" i="3"/>
  <c r="AV31" i="3"/>
  <c r="X31" i="3"/>
  <c r="BH30" i="3"/>
  <c r="AV30" i="3"/>
  <c r="X30" i="3"/>
  <c r="BH29" i="3"/>
  <c r="AV29" i="3"/>
  <c r="X29" i="3"/>
  <c r="BH28" i="3"/>
  <c r="AV28" i="3"/>
  <c r="X28" i="3"/>
  <c r="BH27" i="3"/>
  <c r="AV27" i="3"/>
  <c r="X27" i="3"/>
  <c r="BH26" i="3"/>
  <c r="AV26" i="3"/>
  <c r="X26" i="3"/>
  <c r="BH25" i="3"/>
  <c r="AV25" i="3"/>
  <c r="X25" i="3"/>
  <c r="BH24" i="3"/>
  <c r="AV24" i="3"/>
  <c r="X24" i="3"/>
  <c r="BH23" i="3"/>
  <c r="AV23" i="3"/>
  <c r="X23" i="3"/>
  <c r="BH22" i="3"/>
  <c r="AV22" i="3"/>
  <c r="X22" i="3"/>
  <c r="BH21" i="3"/>
  <c r="AV21" i="3"/>
  <c r="X21" i="3"/>
  <c r="BH20" i="3"/>
  <c r="AV20" i="3"/>
  <c r="X20" i="3"/>
  <c r="BH19" i="3"/>
  <c r="AV19" i="3"/>
  <c r="X19" i="3"/>
  <c r="BH18" i="3"/>
  <c r="AV18" i="3"/>
  <c r="X18" i="3"/>
  <c r="BH17" i="3"/>
  <c r="AV17" i="3"/>
  <c r="X17" i="3"/>
  <c r="BH16" i="3"/>
  <c r="AV16" i="3"/>
  <c r="X16" i="3"/>
  <c r="BH15" i="3"/>
  <c r="AV15" i="3"/>
  <c r="X15" i="3"/>
  <c r="BH14" i="3"/>
  <c r="AV14" i="3"/>
  <c r="X14" i="3"/>
  <c r="BH13" i="3"/>
  <c r="AV13" i="3"/>
  <c r="X13" i="3"/>
  <c r="BH12" i="3"/>
  <c r="AV12" i="3"/>
  <c r="X12" i="3"/>
  <c r="BH11" i="3"/>
  <c r="AV11" i="3"/>
  <c r="X11" i="3"/>
  <c r="AC140" i="27" l="1" a="1"/>
  <c r="AC140" i="27" s="1"/>
  <c r="BK140" i="27" s="1"/>
  <c r="F71" i="16" a="1"/>
  <c r="F71" i="16" s="1"/>
  <c r="X7" i="3"/>
  <c r="G3" i="14" s="1"/>
  <c r="L22" i="16"/>
  <c r="M22" i="16" s="1"/>
  <c r="AV7" i="3"/>
  <c r="E4" i="19" s="1"/>
  <c r="P22" i="16" s="1"/>
  <c r="AC146" i="27"/>
  <c r="BK146" i="27" s="1"/>
  <c r="AC142" i="27"/>
  <c r="BK142" i="27" s="1"/>
  <c r="AC144" i="27"/>
  <c r="BK144" i="27" s="1"/>
  <c r="AC145" i="27"/>
  <c r="BK145" i="27" s="1"/>
  <c r="AC147" i="27"/>
  <c r="BK147" i="27" s="1"/>
  <c r="AC143" i="27"/>
  <c r="BK143" i="27" s="1"/>
  <c r="X6" i="3"/>
  <c r="K62" i="21" a="1"/>
  <c r="K62" i="21" s="1"/>
  <c r="E90" i="10"/>
  <c r="K64" i="21" s="1" a="1"/>
  <c r="K64" i="21" s="1"/>
  <c r="J90" i="10"/>
  <c r="E85" i="19"/>
  <c r="K60" i="21" s="1" a="1"/>
  <c r="K60" i="21" s="1"/>
  <c r="CK5" i="3"/>
  <c r="CK6" i="3"/>
  <c r="D126" i="14" s="1"/>
  <c r="X5" i="3"/>
  <c r="CG5" i="3"/>
  <c r="CG6" i="3"/>
  <c r="D106" i="14" s="1"/>
  <c r="F114" i="14" s="1"/>
  <c r="CJ5" i="3"/>
  <c r="CJ6" i="3"/>
  <c r="D146" i="14" s="1"/>
  <c r="F154" i="14" s="1"/>
  <c r="AV5" i="3"/>
  <c r="CE5" i="3"/>
  <c r="CE6" i="3"/>
  <c r="D86" i="14" s="1"/>
  <c r="F94" i="14" s="1"/>
  <c r="CH5" i="3"/>
  <c r="CH6" i="3"/>
  <c r="D186" i="14" s="1"/>
  <c r="F194" i="14" s="1"/>
  <c r="CC6" i="3"/>
  <c r="D66" i="14" s="1"/>
  <c r="F74" i="14" s="1"/>
  <c r="CC5" i="3"/>
  <c r="BH7" i="3"/>
  <c r="BH5" i="3"/>
  <c r="CI6" i="3"/>
  <c r="CI5" i="3"/>
  <c r="CF5" i="3"/>
  <c r="CF6" i="3"/>
  <c r="D166" i="14" s="1"/>
  <c r="F174" i="14" s="1"/>
  <c r="D85" i="6"/>
  <c r="F98" i="6" s="1"/>
  <c r="L98" i="6" s="1"/>
  <c r="D43" i="6"/>
  <c r="D57" i="6" s="1"/>
  <c r="D184" i="6"/>
  <c r="E189" i="6" s="1"/>
  <c r="K189" i="6" s="1"/>
  <c r="D104" i="6"/>
  <c r="E115" i="6" s="1"/>
  <c r="K115" i="6" s="1"/>
  <c r="D143" i="6"/>
  <c r="D158" i="6" s="1"/>
  <c r="D105" i="6"/>
  <c r="F118" i="6" s="1"/>
  <c r="L118" i="6" s="1"/>
  <c r="G70" i="14"/>
  <c r="G78" i="14"/>
  <c r="AF128" i="27" s="1" a="1"/>
  <c r="AF128" i="27" s="1"/>
  <c r="BN128" i="27" s="1"/>
  <c r="M73" i="14"/>
  <c r="M77" i="14"/>
  <c r="M71" i="14"/>
  <c r="M76" i="14"/>
  <c r="M74" i="14"/>
  <c r="M72" i="14"/>
  <c r="G75" i="14"/>
  <c r="AC128" i="27" s="1" a="1"/>
  <c r="AC128" i="27" s="1"/>
  <c r="BK128" i="27" s="1"/>
  <c r="D44" i="6"/>
  <c r="E55" i="6" s="1"/>
  <c r="D64" i="6"/>
  <c r="E78" i="6" s="1"/>
  <c r="K78" i="6" s="1"/>
  <c r="D125" i="6"/>
  <c r="F133" i="6" s="1"/>
  <c r="L133" i="6" s="1"/>
  <c r="D84" i="6"/>
  <c r="E90" i="6" s="1"/>
  <c r="K90" i="6" s="1"/>
  <c r="D123" i="6"/>
  <c r="D137" i="6" s="1"/>
  <c r="M190" i="14"/>
  <c r="M196" i="14"/>
  <c r="M192" i="14"/>
  <c r="M193" i="14"/>
  <c r="M191" i="14"/>
  <c r="M197" i="14"/>
  <c r="G198" i="14"/>
  <c r="AF398" i="27" s="1" a="1"/>
  <c r="AF398" i="27" s="1"/>
  <c r="BN398" i="27" s="1"/>
  <c r="M199" i="14"/>
  <c r="M194" i="14"/>
  <c r="M189" i="14"/>
  <c r="G195" i="14"/>
  <c r="D83" i="6"/>
  <c r="D88" i="6" s="1"/>
  <c r="D185" i="6"/>
  <c r="F190" i="6" s="1"/>
  <c r="L190" i="6" s="1"/>
  <c r="D163" i="6"/>
  <c r="D174" i="6" s="1"/>
  <c r="M99" i="14"/>
  <c r="M91" i="14"/>
  <c r="M97" i="14"/>
  <c r="M89" i="14"/>
  <c r="M94" i="14"/>
  <c r="M93" i="14"/>
  <c r="M92" i="14"/>
  <c r="G90" i="14"/>
  <c r="G98" i="14"/>
  <c r="AF173" i="27" s="1" a="1"/>
  <c r="AF173" i="27" s="1"/>
  <c r="BN173" i="27" s="1"/>
  <c r="G95" i="14"/>
  <c r="AC173" i="27" s="1" a="1"/>
  <c r="AC173" i="27" s="1"/>
  <c r="BK173" i="27" s="1"/>
  <c r="M59" i="14"/>
  <c r="G55" i="14"/>
  <c r="G58" i="14"/>
  <c r="AF83" i="27" s="1" a="1"/>
  <c r="AF83" i="27" s="1"/>
  <c r="BN83" i="27" s="1"/>
  <c r="D103" i="6"/>
  <c r="D108" i="6" s="1"/>
  <c r="D144" i="6"/>
  <c r="E157" i="6" s="1"/>
  <c r="D124" i="6"/>
  <c r="E132" i="6" s="1"/>
  <c r="K132" i="6" s="1"/>
  <c r="D164" i="6"/>
  <c r="E173" i="6" s="1"/>
  <c r="K173" i="6" s="1"/>
  <c r="D46" i="6"/>
  <c r="D183" i="6"/>
  <c r="D198" i="6" s="1"/>
  <c r="D165" i="6"/>
  <c r="F178" i="6" s="1"/>
  <c r="L178" i="6" s="1"/>
  <c r="G158" i="14"/>
  <c r="AF308" i="27" s="1" a="1"/>
  <c r="AF308" i="27" s="1"/>
  <c r="BN308" i="27" s="1"/>
  <c r="G150" i="14"/>
  <c r="M157" i="14"/>
  <c r="M149" i="14"/>
  <c r="M153" i="14"/>
  <c r="M159" i="14"/>
  <c r="M156" i="14"/>
  <c r="M154" i="14"/>
  <c r="M152" i="14"/>
  <c r="G155" i="14"/>
  <c r="AC308" i="27" s="1" a="1"/>
  <c r="AC308" i="27" s="1"/>
  <c r="BK308" i="27" s="1"/>
  <c r="D104" i="10"/>
  <c r="D113" i="10"/>
  <c r="AG185" i="27" s="1" a="1"/>
  <c r="AG185" i="27" s="1"/>
  <c r="BO185" i="27" s="1"/>
  <c r="D109" i="10"/>
  <c r="AC185" i="27" s="1" a="1"/>
  <c r="AC185" i="27" s="1"/>
  <c r="BK185" i="27" s="1"/>
  <c r="D112" i="10"/>
  <c r="AF185" i="27" s="1" a="1"/>
  <c r="AF185" i="27" s="1"/>
  <c r="BN185" i="27" s="1"/>
  <c r="F113" i="10"/>
  <c r="F112" i="10"/>
  <c r="F109" i="10"/>
  <c r="D132" i="10"/>
  <c r="AG230" i="27" s="1" a="1"/>
  <c r="AG230" i="27" s="1"/>
  <c r="BO230" i="27" s="1"/>
  <c r="D123" i="10"/>
  <c r="D128" i="10"/>
  <c r="AC230" i="27" s="1" a="1"/>
  <c r="AC230" i="27" s="1"/>
  <c r="BK230" i="27" s="1"/>
  <c r="F132" i="10"/>
  <c r="F131" i="10"/>
  <c r="F128" i="10"/>
  <c r="D93" i="10"/>
  <c r="AF140" i="27" s="1" a="1"/>
  <c r="AF140" i="27" s="1"/>
  <c r="BN140" i="27" s="1"/>
  <c r="D85" i="10"/>
  <c r="D94" i="10"/>
  <c r="AG140" i="27" s="1" a="1"/>
  <c r="AG140" i="27" s="1"/>
  <c r="BO140" i="27" s="1"/>
  <c r="D166" i="10"/>
  <c r="AC320" i="27" s="1" a="1"/>
  <c r="AC320" i="27" s="1"/>
  <c r="BK320" i="27" s="1"/>
  <c r="D161" i="10"/>
  <c r="D170" i="10"/>
  <c r="AG320" i="27" s="1" a="1"/>
  <c r="AG320" i="27" s="1"/>
  <c r="BO320" i="27" s="1"/>
  <c r="F169" i="10"/>
  <c r="F166" i="10"/>
  <c r="F170" i="10"/>
  <c r="F94" i="10"/>
  <c r="F90" i="10"/>
  <c r="F93" i="10"/>
  <c r="D180" i="10"/>
  <c r="D189" i="10"/>
  <c r="AG365" i="27" s="1" a="1"/>
  <c r="AG365" i="27" s="1"/>
  <c r="BO365" i="27" s="1"/>
  <c r="D185" i="10"/>
  <c r="AC365" i="27" s="1" a="1"/>
  <c r="AC365" i="27" s="1"/>
  <c r="BK365" i="27" s="1"/>
  <c r="D188" i="10"/>
  <c r="AF365" i="27" s="1" a="1"/>
  <c r="AF365" i="27" s="1"/>
  <c r="BN365" i="27" s="1"/>
  <c r="F55" i="10"/>
  <c r="D56" i="10"/>
  <c r="D55" i="10"/>
  <c r="AF50" i="27" s="1" a="1"/>
  <c r="AF50" i="27" s="1"/>
  <c r="BN50" i="27" s="1"/>
  <c r="F185" i="10"/>
  <c r="F188" i="10"/>
  <c r="D74" i="10"/>
  <c r="AF95" i="27" s="1" a="1"/>
  <c r="AF95" i="27" s="1"/>
  <c r="BN95" i="27" s="1"/>
  <c r="D66" i="10"/>
  <c r="D75" i="10"/>
  <c r="D71" i="10"/>
  <c r="D142" i="10"/>
  <c r="D147" i="10"/>
  <c r="AC275" i="27" s="1" a="1"/>
  <c r="AC275" i="27" s="1"/>
  <c r="BK275" i="27" s="1"/>
  <c r="D151" i="10"/>
  <c r="AG275" i="27" s="1" a="1"/>
  <c r="AG275" i="27" s="1"/>
  <c r="BO275" i="27" s="1"/>
  <c r="F75" i="10"/>
  <c r="F71" i="10"/>
  <c r="F150" i="10"/>
  <c r="F147" i="10"/>
  <c r="F151" i="10"/>
  <c r="D74" i="6"/>
  <c r="D79" i="6"/>
  <c r="D70" i="6"/>
  <c r="D69" i="6"/>
  <c r="D68" i="6"/>
  <c r="D75" i="6"/>
  <c r="D76" i="6"/>
  <c r="D72" i="6"/>
  <c r="D73" i="6"/>
  <c r="D77" i="6"/>
  <c r="D78" i="6"/>
  <c r="D71" i="6"/>
  <c r="F157" i="6"/>
  <c r="L157" i="6" s="1"/>
  <c r="F151" i="6"/>
  <c r="L151" i="6" s="1"/>
  <c r="F158" i="6"/>
  <c r="L158" i="6" s="1"/>
  <c r="F154" i="6"/>
  <c r="L154" i="6" s="1"/>
  <c r="F148" i="6"/>
  <c r="L148" i="6" s="1"/>
  <c r="F152" i="6"/>
  <c r="L152" i="6" s="1"/>
  <c r="F155" i="6"/>
  <c r="L155" i="6" s="1"/>
  <c r="F150" i="6"/>
  <c r="L150" i="6" s="1"/>
  <c r="F153" i="6"/>
  <c r="L153" i="6" s="1"/>
  <c r="F156" i="6"/>
  <c r="L156" i="6" s="1"/>
  <c r="F149" i="6"/>
  <c r="F159" i="6"/>
  <c r="L159" i="6" s="1"/>
  <c r="F70" i="6"/>
  <c r="L70" i="6" s="1"/>
  <c r="F68" i="6"/>
  <c r="F72" i="6"/>
  <c r="L72" i="6" s="1"/>
  <c r="F73" i="6"/>
  <c r="L73" i="6" s="1"/>
  <c r="F71" i="6"/>
  <c r="L71" i="6" s="1"/>
  <c r="F74" i="6"/>
  <c r="L74" i="6" s="1"/>
  <c r="F75" i="6"/>
  <c r="L75" i="6" s="1"/>
  <c r="F69" i="6"/>
  <c r="L69" i="6" s="1"/>
  <c r="F79" i="6"/>
  <c r="L79" i="6" s="1"/>
  <c r="F76" i="6"/>
  <c r="L76" i="6" s="1"/>
  <c r="F77" i="6"/>
  <c r="L77" i="6" s="1"/>
  <c r="F78" i="6"/>
  <c r="L78" i="6" s="1"/>
  <c r="D3" i="14" l="1"/>
  <c r="D18" i="14" s="1"/>
  <c r="D3" i="10"/>
  <c r="D14" i="10" s="1"/>
  <c r="F29" i="16" s="1" a="1"/>
  <c r="F29" i="16" s="1"/>
  <c r="H29" i="16" s="1"/>
  <c r="I29" i="16" s="1"/>
  <c r="D155" i="6"/>
  <c r="D4" i="14"/>
  <c r="AC141" i="27"/>
  <c r="BK141" i="27" s="1"/>
  <c r="D13" i="10"/>
  <c r="D13" i="19"/>
  <c r="F130" i="14"/>
  <c r="F134" i="14"/>
  <c r="F34" i="14" s="1"/>
  <c r="E194" i="6"/>
  <c r="K194" i="6" s="1"/>
  <c r="E197" i="6"/>
  <c r="AG95" i="27" a="1"/>
  <c r="AG95" i="27" s="1"/>
  <c r="BO95" i="27" s="1"/>
  <c r="E71" i="19"/>
  <c r="AG50" i="27" a="1"/>
  <c r="AG50" i="27" s="1"/>
  <c r="BO50" i="27" s="1"/>
  <c r="E53" i="19"/>
  <c r="D15" i="14"/>
  <c r="D14" i="14"/>
  <c r="D17" i="14"/>
  <c r="D16" i="14"/>
  <c r="D13" i="14"/>
  <c r="AC398" i="27" a="1"/>
  <c r="AC398" i="27" s="1"/>
  <c r="BK398" i="27" s="1"/>
  <c r="F139" i="16" a="1"/>
  <c r="F139" i="16" s="1"/>
  <c r="AC50" i="27" a="1"/>
  <c r="AC50" i="27" s="1"/>
  <c r="BK50" i="27" s="1"/>
  <c r="F43" i="16" a="1"/>
  <c r="F43" i="16" s="1"/>
  <c r="AC83" i="27" a="1"/>
  <c r="AC83" i="27" s="1"/>
  <c r="BK83" i="27" s="1"/>
  <c r="F41" i="16" a="1"/>
  <c r="F41" i="16" s="1"/>
  <c r="F14" i="10"/>
  <c r="F45" i="16" a="1"/>
  <c r="F45" i="16" s="1"/>
  <c r="AC95" i="27" a="1"/>
  <c r="AC95" i="27" s="1"/>
  <c r="BK95" i="27" s="1"/>
  <c r="F57" i="16" a="1"/>
  <c r="F57" i="16" s="1"/>
  <c r="G71" i="16"/>
  <c r="H71" i="16"/>
  <c r="D11" i="14"/>
  <c r="D9" i="14"/>
  <c r="D10" i="14"/>
  <c r="AG103" i="27" a="1"/>
  <c r="AG103" i="27" s="1"/>
  <c r="BO103" i="27" s="1"/>
  <c r="AF148" i="27" a="1"/>
  <c r="AF148" i="27" s="1"/>
  <c r="BN148" i="27" s="1"/>
  <c r="AC193" i="27" a="1"/>
  <c r="AC193" i="27" s="1"/>
  <c r="BK193" i="27" s="1"/>
  <c r="AC148" i="27" a="1"/>
  <c r="AC148" i="27" s="1"/>
  <c r="BK148" i="27" s="1"/>
  <c r="AF193" i="27" a="1"/>
  <c r="AF193" i="27" s="1"/>
  <c r="BN193" i="27" s="1"/>
  <c r="AC58" i="27" a="1"/>
  <c r="AC58" i="27" s="1"/>
  <c r="BK58" i="27" s="1"/>
  <c r="AC283" i="27" a="1"/>
  <c r="AC283" i="27" s="1"/>
  <c r="BK283" i="27" s="1"/>
  <c r="AC328" i="27" a="1"/>
  <c r="AC328" i="27" s="1"/>
  <c r="BK328" i="27" s="1"/>
  <c r="AF238" i="27" a="1"/>
  <c r="AF238" i="27" s="1"/>
  <c r="BN238" i="27" s="1"/>
  <c r="AC238" i="27" a="1"/>
  <c r="AC238" i="27" s="1"/>
  <c r="BK238" i="27" s="1"/>
  <c r="AF58" i="27" a="1"/>
  <c r="AF58" i="27" s="1"/>
  <c r="BN58" i="27" s="1"/>
  <c r="AF283" i="27" a="1"/>
  <c r="AF283" i="27" s="1"/>
  <c r="BN283" i="27" s="1"/>
  <c r="AF328" i="27" a="1"/>
  <c r="AF328" i="27" s="1"/>
  <c r="BN328" i="27" s="1"/>
  <c r="AC103" i="27" a="1"/>
  <c r="AC103" i="27" s="1"/>
  <c r="BK103" i="27" s="1"/>
  <c r="AF373" i="27" a="1"/>
  <c r="AF373" i="27" s="1"/>
  <c r="BN373" i="27" s="1"/>
  <c r="AC373" i="27" a="1"/>
  <c r="AC373" i="27" s="1"/>
  <c r="BK373" i="27" s="1"/>
  <c r="BF103" i="27"/>
  <c r="F59" i="16" a="1"/>
  <c r="F59" i="16" s="1"/>
  <c r="BF373" i="27"/>
  <c r="F143" i="16" a="1"/>
  <c r="F143" i="16" s="1"/>
  <c r="BF148" i="27"/>
  <c r="F73" i="16" a="1"/>
  <c r="F73" i="16" s="1"/>
  <c r="BF173" i="27"/>
  <c r="F69" i="16" a="1"/>
  <c r="F69" i="16" s="1"/>
  <c r="BF140" i="27"/>
  <c r="BF275" i="27"/>
  <c r="F113" i="16" a="1"/>
  <c r="F113" i="16" s="1"/>
  <c r="BF283" i="27"/>
  <c r="F115" i="16" a="1"/>
  <c r="F115" i="16" s="1"/>
  <c r="BF193" i="27"/>
  <c r="F87" i="16" a="1"/>
  <c r="F87" i="16" s="1"/>
  <c r="BF328" i="27"/>
  <c r="F129" i="16" a="1"/>
  <c r="F129" i="16" s="1"/>
  <c r="BF238" i="27"/>
  <c r="F101" i="16" a="1"/>
  <c r="F101" i="16" s="1"/>
  <c r="BF95" i="27"/>
  <c r="BF128" i="27"/>
  <c r="F55" i="16" a="1"/>
  <c r="F55" i="16" s="1"/>
  <c r="BF308" i="27"/>
  <c r="F111" i="16" a="1"/>
  <c r="F111" i="16" s="1"/>
  <c r="BF185" i="27"/>
  <c r="F85" i="16" a="1"/>
  <c r="F85" i="16" s="1"/>
  <c r="G85" i="16" s="1"/>
  <c r="BF365" i="27"/>
  <c r="F141" i="16" a="1"/>
  <c r="F141" i="16" s="1"/>
  <c r="BF320" i="27"/>
  <c r="F127" i="16" a="1"/>
  <c r="F127" i="16" s="1"/>
  <c r="BF230" i="27"/>
  <c r="F99" i="16" a="1"/>
  <c r="F99" i="16" s="1"/>
  <c r="E193" i="6"/>
  <c r="K193" i="6" s="1"/>
  <c r="D138" i="6"/>
  <c r="J138" i="6" s="1"/>
  <c r="D135" i="6"/>
  <c r="D130" i="6"/>
  <c r="BF22" i="27"/>
  <c r="D133" i="6"/>
  <c r="J133" i="6" s="1"/>
  <c r="D139" i="6"/>
  <c r="D8" i="14"/>
  <c r="BD22" i="27" s="1"/>
  <c r="AC237" i="27"/>
  <c r="BK237" i="27" s="1"/>
  <c r="AC231" i="27"/>
  <c r="BK231" i="27" s="1"/>
  <c r="AC236" i="27"/>
  <c r="BK236" i="27" s="1"/>
  <c r="AC235" i="27"/>
  <c r="BK235" i="27" s="1"/>
  <c r="AC234" i="27"/>
  <c r="BK234" i="27" s="1"/>
  <c r="AC233" i="27"/>
  <c r="BK233" i="27" s="1"/>
  <c r="AC232" i="27"/>
  <c r="BK232" i="27" s="1"/>
  <c r="BF369" i="27"/>
  <c r="BF327" i="27"/>
  <c r="BF321" i="27"/>
  <c r="BF324" i="27"/>
  <c r="BF322" i="27"/>
  <c r="BF325" i="27"/>
  <c r="BF323" i="27"/>
  <c r="AC311" i="27"/>
  <c r="BK311" i="27" s="1"/>
  <c r="AC313" i="27"/>
  <c r="BK313" i="27" s="1"/>
  <c r="AC310" i="27"/>
  <c r="BK310" i="27" s="1"/>
  <c r="AC312" i="27"/>
  <c r="BK312" i="27" s="1"/>
  <c r="AC309" i="27"/>
  <c r="BK309" i="27" s="1"/>
  <c r="AC315" i="27"/>
  <c r="BK315" i="27" s="1"/>
  <c r="AC314" i="27"/>
  <c r="BK314" i="27" s="1"/>
  <c r="AC174" i="27"/>
  <c r="BK174" i="27" s="1"/>
  <c r="AC177" i="27"/>
  <c r="BK177" i="27" s="1"/>
  <c r="AC178" i="27"/>
  <c r="BK178" i="27" s="1"/>
  <c r="AC176" i="27"/>
  <c r="BK176" i="27" s="1"/>
  <c r="AC180" i="27"/>
  <c r="BK180" i="27" s="1"/>
  <c r="AC175" i="27"/>
  <c r="BK175" i="27" s="1"/>
  <c r="AC179" i="27"/>
  <c r="BK179" i="27" s="1"/>
  <c r="BF380" i="27"/>
  <c r="BF376" i="27"/>
  <c r="AF149" i="27"/>
  <c r="BN149" i="27" s="1"/>
  <c r="AC323" i="27"/>
  <c r="BK323" i="27" s="1"/>
  <c r="AC325" i="27"/>
  <c r="BK325" i="27" s="1"/>
  <c r="AC326" i="27"/>
  <c r="BK326" i="27" s="1"/>
  <c r="AC321" i="27"/>
  <c r="BK321" i="27" s="1"/>
  <c r="AC324" i="27"/>
  <c r="BK324" i="27" s="1"/>
  <c r="AC322" i="27"/>
  <c r="BK322" i="27" s="1"/>
  <c r="AC327" i="27"/>
  <c r="BK327" i="27" s="1"/>
  <c r="AC199" i="27"/>
  <c r="BK199" i="27" s="1"/>
  <c r="AC195" i="27"/>
  <c r="BK195" i="27" s="1"/>
  <c r="BF104" i="27"/>
  <c r="BF110" i="27"/>
  <c r="BF106" i="27"/>
  <c r="BF108" i="27"/>
  <c r="AC53" i="27"/>
  <c r="BK53" i="27" s="1"/>
  <c r="AC57" i="27"/>
  <c r="BK57" i="27" s="1"/>
  <c r="AC52" i="27"/>
  <c r="BK52" i="27" s="1"/>
  <c r="AC54" i="27"/>
  <c r="BK54" i="27" s="1"/>
  <c r="AC56" i="27"/>
  <c r="BK56" i="27" s="1"/>
  <c r="AC55" i="27"/>
  <c r="BK55" i="27" s="1"/>
  <c r="AC51" i="27"/>
  <c r="BK51" i="27" s="1"/>
  <c r="BF153" i="27"/>
  <c r="BF151" i="27"/>
  <c r="BF155" i="27"/>
  <c r="AC279" i="27"/>
  <c r="BK279" i="27" s="1"/>
  <c r="AC280" i="27"/>
  <c r="BK280" i="27" s="1"/>
  <c r="AC276" i="27"/>
  <c r="BK276" i="27" s="1"/>
  <c r="AC282" i="27"/>
  <c r="BK282" i="27" s="1"/>
  <c r="AC281" i="27"/>
  <c r="BK281" i="27" s="1"/>
  <c r="AC278" i="27"/>
  <c r="BK278" i="27" s="1"/>
  <c r="AC277" i="27"/>
  <c r="BK277" i="27" s="1"/>
  <c r="AC154" i="27"/>
  <c r="BK154" i="27" s="1"/>
  <c r="AC399" i="27"/>
  <c r="BK399" i="27" s="1"/>
  <c r="AC403" i="27"/>
  <c r="BK403" i="27" s="1"/>
  <c r="AC405" i="27"/>
  <c r="BK405" i="27" s="1"/>
  <c r="AC402" i="27"/>
  <c r="BK402" i="27" s="1"/>
  <c r="AC404" i="27"/>
  <c r="BK404" i="27" s="1"/>
  <c r="AC400" i="27"/>
  <c r="BK400" i="27" s="1"/>
  <c r="AC401" i="27"/>
  <c r="BK401" i="27" s="1"/>
  <c r="BF281" i="27"/>
  <c r="BF277" i="27"/>
  <c r="BF278" i="27"/>
  <c r="BF279" i="27"/>
  <c r="BF280" i="27"/>
  <c r="BF276" i="27"/>
  <c r="BF282" i="27"/>
  <c r="AF146" i="27"/>
  <c r="BN146" i="27" s="1"/>
  <c r="AF145" i="27"/>
  <c r="BN145" i="27" s="1"/>
  <c r="AF143" i="27"/>
  <c r="BN143" i="27" s="1"/>
  <c r="AF144" i="27"/>
  <c r="BN144" i="27" s="1"/>
  <c r="AF147" i="27"/>
  <c r="BN147" i="27" s="1"/>
  <c r="AF142" i="27"/>
  <c r="BN142" i="27" s="1"/>
  <c r="AF141" i="27"/>
  <c r="BN141" i="27" s="1"/>
  <c r="BF289" i="27"/>
  <c r="BF284" i="27"/>
  <c r="BF285" i="27"/>
  <c r="BF290" i="27"/>
  <c r="AC96" i="27"/>
  <c r="BK96" i="27" s="1"/>
  <c r="AC97" i="27"/>
  <c r="BK97" i="27" s="1"/>
  <c r="AC98" i="27"/>
  <c r="BK98" i="27" s="1"/>
  <c r="AC100" i="27"/>
  <c r="BK100" i="27" s="1"/>
  <c r="AC101" i="27"/>
  <c r="BK101" i="27" s="1"/>
  <c r="AC102" i="27"/>
  <c r="BK102" i="27" s="1"/>
  <c r="AF180" i="27"/>
  <c r="BN180" i="27" s="1"/>
  <c r="AF176" i="27"/>
  <c r="BN176" i="27" s="1"/>
  <c r="AF177" i="27"/>
  <c r="BN177" i="27" s="1"/>
  <c r="AF174" i="27"/>
  <c r="BN174" i="27" s="1"/>
  <c r="AF175" i="27"/>
  <c r="BN175" i="27" s="1"/>
  <c r="AF178" i="27"/>
  <c r="BN178" i="27" s="1"/>
  <c r="AF179" i="27"/>
  <c r="BN179" i="27" s="1"/>
  <c r="AF55" i="27"/>
  <c r="BN55" i="27" s="1"/>
  <c r="AF56" i="27"/>
  <c r="BN56" i="27" s="1"/>
  <c r="AF54" i="27"/>
  <c r="BN54" i="27" s="1"/>
  <c r="AF52" i="27"/>
  <c r="BN52" i="27" s="1"/>
  <c r="AF51" i="27"/>
  <c r="BN51" i="27" s="1"/>
  <c r="AF57" i="27"/>
  <c r="BN57" i="27" s="1"/>
  <c r="AF53" i="27"/>
  <c r="BN53" i="27" s="1"/>
  <c r="AF63" i="27"/>
  <c r="BN63" i="27" s="1"/>
  <c r="AF62" i="27"/>
  <c r="BN62" i="27" s="1"/>
  <c r="AF65" i="27"/>
  <c r="BN65" i="27" s="1"/>
  <c r="BF241" i="27"/>
  <c r="AF187" i="27"/>
  <c r="BN187" i="27" s="1"/>
  <c r="AF189" i="27"/>
  <c r="BN189" i="27" s="1"/>
  <c r="AF190" i="27"/>
  <c r="BN190" i="27" s="1"/>
  <c r="AF188" i="27"/>
  <c r="BN188" i="27" s="1"/>
  <c r="AF186" i="27"/>
  <c r="BN186" i="27" s="1"/>
  <c r="AF191" i="27"/>
  <c r="BN191" i="27" s="1"/>
  <c r="AF192" i="27"/>
  <c r="BN192" i="27" s="1"/>
  <c r="AF133" i="27"/>
  <c r="BN133" i="27" s="1"/>
  <c r="AF135" i="27"/>
  <c r="BN135" i="27" s="1"/>
  <c r="AF130" i="27"/>
  <c r="BN130" i="27" s="1"/>
  <c r="AF131" i="27"/>
  <c r="BN131" i="27" s="1"/>
  <c r="AF132" i="27"/>
  <c r="BN132" i="27" s="1"/>
  <c r="AF134" i="27"/>
  <c r="BN134" i="27" s="1"/>
  <c r="AF129" i="27"/>
  <c r="BN129" i="27" s="1"/>
  <c r="BF132" i="27"/>
  <c r="BF134" i="27"/>
  <c r="BF135" i="27"/>
  <c r="BF129" i="27"/>
  <c r="BF133" i="27"/>
  <c r="AC105" i="27"/>
  <c r="BK105" i="27" s="1"/>
  <c r="AF376" i="27"/>
  <c r="BN376" i="27" s="1"/>
  <c r="BF98" i="27"/>
  <c r="BF100" i="27"/>
  <c r="BF102" i="27"/>
  <c r="BF99" i="27"/>
  <c r="BF101" i="27"/>
  <c r="BF97" i="27"/>
  <c r="BF96" i="27"/>
  <c r="AF369" i="27"/>
  <c r="BN369" i="27" s="1"/>
  <c r="AF370" i="27"/>
  <c r="BN370" i="27" s="1"/>
  <c r="AF367" i="27"/>
  <c r="BN367" i="27" s="1"/>
  <c r="AF368" i="27"/>
  <c r="BN368" i="27" s="1"/>
  <c r="AF372" i="27"/>
  <c r="BN372" i="27" s="1"/>
  <c r="AF371" i="27"/>
  <c r="BN371" i="27" s="1"/>
  <c r="AF366" i="27"/>
  <c r="BN366" i="27" s="1"/>
  <c r="AC192" i="27"/>
  <c r="BK192" i="27" s="1"/>
  <c r="AC187" i="27"/>
  <c r="BK187" i="27" s="1"/>
  <c r="AC189" i="27"/>
  <c r="BK189" i="27" s="1"/>
  <c r="AC190" i="27"/>
  <c r="BK190" i="27" s="1"/>
  <c r="AC191" i="27"/>
  <c r="BK191" i="27" s="1"/>
  <c r="AC188" i="27"/>
  <c r="BK188" i="27" s="1"/>
  <c r="AC186" i="27"/>
  <c r="BK186" i="27" s="1"/>
  <c r="AF90" i="27"/>
  <c r="BN90" i="27" s="1"/>
  <c r="AF84" i="27"/>
  <c r="BN84" i="27" s="1"/>
  <c r="AF86" i="27"/>
  <c r="BN86" i="27" s="1"/>
  <c r="AF87" i="27"/>
  <c r="BN87" i="27" s="1"/>
  <c r="AF85" i="27"/>
  <c r="BN85" i="27" s="1"/>
  <c r="AF88" i="27"/>
  <c r="BN88" i="27" s="1"/>
  <c r="AF89" i="27"/>
  <c r="BN89" i="27" s="1"/>
  <c r="AF402" i="27"/>
  <c r="BN402" i="27" s="1"/>
  <c r="AF401" i="27"/>
  <c r="BN401" i="27" s="1"/>
  <c r="AF404" i="27"/>
  <c r="BN404" i="27" s="1"/>
  <c r="AF405" i="27"/>
  <c r="BN405" i="27" s="1"/>
  <c r="AF400" i="27"/>
  <c r="BN400" i="27" s="1"/>
  <c r="AF399" i="27"/>
  <c r="BN399" i="27" s="1"/>
  <c r="AF403" i="27"/>
  <c r="BN403" i="27" s="1"/>
  <c r="AF284" i="27"/>
  <c r="BN284" i="27" s="1"/>
  <c r="AF285" i="27"/>
  <c r="BN285" i="27" s="1"/>
  <c r="AF289" i="27"/>
  <c r="BN289" i="27" s="1"/>
  <c r="AF290" i="27"/>
  <c r="BN290" i="27" s="1"/>
  <c r="AF96" i="27"/>
  <c r="BN96" i="27" s="1"/>
  <c r="AF101" i="27"/>
  <c r="BN101" i="27" s="1"/>
  <c r="AF100" i="27"/>
  <c r="BN100" i="27" s="1"/>
  <c r="AF102" i="27"/>
  <c r="BN102" i="27" s="1"/>
  <c r="AF97" i="27"/>
  <c r="BN97" i="27" s="1"/>
  <c r="AF99" i="27"/>
  <c r="BN99" i="27" s="1"/>
  <c r="AF98" i="27"/>
  <c r="BN98" i="27" s="1"/>
  <c r="AC372" i="27"/>
  <c r="BK372" i="27" s="1"/>
  <c r="AC367" i="27"/>
  <c r="BK367" i="27" s="1"/>
  <c r="AC368" i="27"/>
  <c r="BK368" i="27" s="1"/>
  <c r="AC370" i="27"/>
  <c r="BK370" i="27" s="1"/>
  <c r="AC369" i="27"/>
  <c r="BK369" i="27" s="1"/>
  <c r="AC366" i="27"/>
  <c r="BK366" i="27" s="1"/>
  <c r="AC371" i="27"/>
  <c r="BK371" i="27" s="1"/>
  <c r="BF310" i="27"/>
  <c r="BF309" i="27"/>
  <c r="BF315" i="27"/>
  <c r="BF313" i="27"/>
  <c r="AC84" i="27"/>
  <c r="BK84" i="27" s="1"/>
  <c r="AC87" i="27"/>
  <c r="BK87" i="27" s="1"/>
  <c r="AC89" i="27"/>
  <c r="BK89" i="27" s="1"/>
  <c r="AC88" i="27"/>
  <c r="BK88" i="27" s="1"/>
  <c r="AC85" i="27"/>
  <c r="BK85" i="27" s="1"/>
  <c r="AF315" i="27"/>
  <c r="BN315" i="27" s="1"/>
  <c r="AF311" i="27"/>
  <c r="BN311" i="27" s="1"/>
  <c r="AF313" i="27"/>
  <c r="BN313" i="27" s="1"/>
  <c r="AF312" i="27"/>
  <c r="BN312" i="27" s="1"/>
  <c r="AF310" i="27"/>
  <c r="BN310" i="27" s="1"/>
  <c r="AF309" i="27"/>
  <c r="BN309" i="27" s="1"/>
  <c r="AF314" i="27"/>
  <c r="BN314" i="27" s="1"/>
  <c r="AC132" i="27"/>
  <c r="BK132" i="27" s="1"/>
  <c r="AC134" i="27"/>
  <c r="BK134" i="27" s="1"/>
  <c r="AC135" i="27"/>
  <c r="BK135" i="27" s="1"/>
  <c r="AC133" i="27"/>
  <c r="BK133" i="27" s="1"/>
  <c r="AC131" i="27"/>
  <c r="BK131" i="27" s="1"/>
  <c r="AC129" i="27"/>
  <c r="BK129" i="27" s="1"/>
  <c r="AC130" i="27"/>
  <c r="BK130" i="27" s="1"/>
  <c r="AG279" i="27"/>
  <c r="BO279" i="27" s="1"/>
  <c r="AG281" i="27"/>
  <c r="BO281" i="27" s="1"/>
  <c r="AG282" i="27"/>
  <c r="BO282" i="27" s="1"/>
  <c r="AG277" i="27"/>
  <c r="BO277" i="27" s="1"/>
  <c r="AG276" i="27"/>
  <c r="BO276" i="27" s="1"/>
  <c r="AG280" i="27"/>
  <c r="BO280" i="27" s="1"/>
  <c r="AG278" i="27"/>
  <c r="BO278" i="27" s="1"/>
  <c r="F63" i="21" a="1"/>
  <c r="F63" i="21" s="1"/>
  <c r="AG146" i="27"/>
  <c r="BO146" i="27" s="1"/>
  <c r="AG145" i="27"/>
  <c r="BO145" i="27" s="1"/>
  <c r="AG147" i="27"/>
  <c r="BO147" i="27" s="1"/>
  <c r="AG144" i="27"/>
  <c r="BO144" i="27" s="1"/>
  <c r="AG143" i="27"/>
  <c r="BO143" i="27" s="1"/>
  <c r="AG141" i="27"/>
  <c r="BO141" i="27" s="1"/>
  <c r="AG142" i="27"/>
  <c r="BO142" i="27" s="1"/>
  <c r="K77" i="21" a="1"/>
  <c r="K77" i="21" s="1"/>
  <c r="AH173" i="27"/>
  <c r="BP173" i="27" s="1"/>
  <c r="AH50" i="27"/>
  <c r="BP50" i="27" s="1"/>
  <c r="K63" i="21" a="1"/>
  <c r="K63" i="21" s="1"/>
  <c r="N77" i="21" a="1"/>
  <c r="N77" i="21" s="1"/>
  <c r="AH398" i="27"/>
  <c r="BP398" i="27" s="1"/>
  <c r="AG105" i="27"/>
  <c r="BO105" i="27" s="1"/>
  <c r="K133" i="21" a="1"/>
  <c r="K133" i="21" s="1"/>
  <c r="N63" i="21" a="1"/>
  <c r="N63" i="21" s="1"/>
  <c r="O77" i="21" a="1"/>
  <c r="O77" i="21" s="1"/>
  <c r="AG193" i="27" a="1"/>
  <c r="AG193" i="27" s="1"/>
  <c r="BO193" i="27" s="1"/>
  <c r="AH275" i="27"/>
  <c r="BP275" i="27" s="1"/>
  <c r="K105" i="21" a="1"/>
  <c r="K105" i="21" s="1"/>
  <c r="K119" i="21" a="1"/>
  <c r="K119" i="21" s="1"/>
  <c r="AH128" i="27"/>
  <c r="BP128" i="27" s="1"/>
  <c r="O119" i="21" a="1"/>
  <c r="O119" i="21" s="1"/>
  <c r="AG328" i="27" a="1"/>
  <c r="AG328" i="27" s="1"/>
  <c r="BO328" i="27" s="1"/>
  <c r="F77" i="21" a="1"/>
  <c r="F77" i="21" s="1"/>
  <c r="O105" i="21" a="1"/>
  <c r="O105" i="21" s="1"/>
  <c r="AG283" i="27" a="1"/>
  <c r="AG283" i="27" s="1"/>
  <c r="BO283" i="27" s="1"/>
  <c r="AG188" i="27"/>
  <c r="BO188" i="27" s="1"/>
  <c r="AG191" i="27"/>
  <c r="BO191" i="27" s="1"/>
  <c r="AG186" i="27"/>
  <c r="BO186" i="27" s="1"/>
  <c r="AG189" i="27"/>
  <c r="BO189" i="27" s="1"/>
  <c r="AG187" i="27"/>
  <c r="BO187" i="27" s="1"/>
  <c r="AG192" i="27"/>
  <c r="BO192" i="27" s="1"/>
  <c r="AG190" i="27"/>
  <c r="BO190" i="27" s="1"/>
  <c r="AH308" i="27"/>
  <c r="BP308" i="27" s="1"/>
  <c r="K40" i="21" a="1"/>
  <c r="K40" i="21" s="1"/>
  <c r="G60" i="14"/>
  <c r="F133" i="21" a="1"/>
  <c r="F133" i="21" s="1"/>
  <c r="AG56" i="27"/>
  <c r="BO56" i="27" s="1"/>
  <c r="AG52" i="27"/>
  <c r="BO52" i="27" s="1"/>
  <c r="AG53" i="27"/>
  <c r="BO53" i="27" s="1"/>
  <c r="AG54" i="27"/>
  <c r="BO54" i="27" s="1"/>
  <c r="AG57" i="27"/>
  <c r="BO57" i="27" s="1"/>
  <c r="AG55" i="27"/>
  <c r="BO55" i="27" s="1"/>
  <c r="AG51" i="27"/>
  <c r="BO51" i="27" s="1"/>
  <c r="O63" i="21" a="1"/>
  <c r="O63" i="21" s="1"/>
  <c r="AG148" i="27" a="1"/>
  <c r="AG148" i="27" s="1"/>
  <c r="BO148" i="27" s="1"/>
  <c r="F105" i="21" a="1"/>
  <c r="F105" i="21" s="1"/>
  <c r="AG98" i="27"/>
  <c r="BO98" i="27" s="1"/>
  <c r="AG100" i="27"/>
  <c r="BO100" i="27" s="1"/>
  <c r="AG97" i="27"/>
  <c r="BO97" i="27" s="1"/>
  <c r="AG102" i="27"/>
  <c r="BO102" i="27" s="1"/>
  <c r="AG99" i="27"/>
  <c r="BO99" i="27" s="1"/>
  <c r="AG96" i="27"/>
  <c r="BO96" i="27" s="1"/>
  <c r="AG101" i="27"/>
  <c r="BO101" i="27" s="1"/>
  <c r="F119" i="21" a="1"/>
  <c r="F119" i="21" s="1"/>
  <c r="N105" i="21" a="1"/>
  <c r="N105" i="21" s="1"/>
  <c r="N119" i="21" a="1"/>
  <c r="N119" i="21" s="1"/>
  <c r="N133" i="21" a="1"/>
  <c r="N133" i="21" s="1"/>
  <c r="AG367" i="27"/>
  <c r="BO367" i="27" s="1"/>
  <c r="AG371" i="27"/>
  <c r="BO371" i="27" s="1"/>
  <c r="AG370" i="27"/>
  <c r="BO370" i="27" s="1"/>
  <c r="AG368" i="27"/>
  <c r="BO368" i="27" s="1"/>
  <c r="AG369" i="27"/>
  <c r="BO369" i="27" s="1"/>
  <c r="AG372" i="27"/>
  <c r="BO372" i="27" s="1"/>
  <c r="AG366" i="27"/>
  <c r="BO366" i="27" s="1"/>
  <c r="AG324" i="27"/>
  <c r="BO324" i="27" s="1"/>
  <c r="AG327" i="27"/>
  <c r="BO327" i="27" s="1"/>
  <c r="AG321" i="27"/>
  <c r="BO321" i="27" s="1"/>
  <c r="AG326" i="27"/>
  <c r="BO326" i="27" s="1"/>
  <c r="AG322" i="27"/>
  <c r="BO322" i="27" s="1"/>
  <c r="AG323" i="27"/>
  <c r="BO323" i="27" s="1"/>
  <c r="AG325" i="27"/>
  <c r="BO325" i="27" s="1"/>
  <c r="AH365" i="27"/>
  <c r="BP365" i="27" s="1"/>
  <c r="AH320" i="27"/>
  <c r="BP320" i="27" s="1"/>
  <c r="AH230" i="27"/>
  <c r="BP230" i="27" s="1"/>
  <c r="AG234" i="27"/>
  <c r="BO234" i="27" s="1"/>
  <c r="AG235" i="27"/>
  <c r="BO235" i="27" s="1"/>
  <c r="AG237" i="27"/>
  <c r="BO237" i="27" s="1"/>
  <c r="AG232" i="27"/>
  <c r="BO232" i="27" s="1"/>
  <c r="AG236" i="27"/>
  <c r="BO236" i="27" s="1"/>
  <c r="AG231" i="27"/>
  <c r="BO231" i="27" s="1"/>
  <c r="AG233" i="27"/>
  <c r="BO233" i="27" s="1"/>
  <c r="F91" i="21" a="1"/>
  <c r="F91" i="21" s="1"/>
  <c r="F9" i="10"/>
  <c r="F7" i="21" s="1" a="1"/>
  <c r="F7" i="21" s="1"/>
  <c r="N91" i="21" a="1"/>
  <c r="N91" i="21" s="1"/>
  <c r="K91" i="21" a="1"/>
  <c r="K91" i="21" s="1"/>
  <c r="O91" i="21" a="1"/>
  <c r="O91" i="21" s="1"/>
  <c r="AG238" i="27" a="1"/>
  <c r="AG238" i="27" s="1"/>
  <c r="BO238" i="27" s="1"/>
  <c r="D54" i="6"/>
  <c r="J54" i="6" s="1"/>
  <c r="D148" i="6"/>
  <c r="J148" i="6" s="1"/>
  <c r="D93" i="6"/>
  <c r="J93" i="6" s="1"/>
  <c r="D58" i="6"/>
  <c r="J58" i="6" s="1"/>
  <c r="G4" i="10"/>
  <c r="P31" i="16" s="1"/>
  <c r="D53" i="6"/>
  <c r="J53" i="6" s="1"/>
  <c r="D56" i="6"/>
  <c r="J56" i="6" s="1"/>
  <c r="D4" i="10"/>
  <c r="E177" i="6"/>
  <c r="K177" i="6" s="1"/>
  <c r="D19" i="14"/>
  <c r="O10" i="21" s="1" a="1"/>
  <c r="O10" i="21" s="1"/>
  <c r="F129" i="6"/>
  <c r="L129" i="6" s="1"/>
  <c r="G10" i="14"/>
  <c r="G19" i="14"/>
  <c r="AG38" i="27" s="1" a="1"/>
  <c r="AG38" i="27" s="1"/>
  <c r="BO38" i="27" s="1"/>
  <c r="E58" i="6"/>
  <c r="K58" i="6" s="1"/>
  <c r="E117" i="6"/>
  <c r="K117" i="6" s="1"/>
  <c r="D49" i="6"/>
  <c r="J49" i="6" s="1"/>
  <c r="D51" i="6"/>
  <c r="J51" i="6" s="1"/>
  <c r="D128" i="6"/>
  <c r="J128" i="6" s="1"/>
  <c r="F17" i="10"/>
  <c r="D129" i="6"/>
  <c r="J129" i="6" s="1"/>
  <c r="O49" i="21" a="1"/>
  <c r="O49" i="21" s="1"/>
  <c r="F18" i="10"/>
  <c r="F49" i="21" a="1"/>
  <c r="F49" i="21" s="1"/>
  <c r="D136" i="6"/>
  <c r="J136" i="6" s="1"/>
  <c r="D131" i="6"/>
  <c r="J131" i="6" s="1"/>
  <c r="D132" i="6"/>
  <c r="J132" i="6" s="1"/>
  <c r="D134" i="6"/>
  <c r="J134" i="6" s="1"/>
  <c r="M78" i="14"/>
  <c r="N54" i="21" a="1"/>
  <c r="N54" i="21" s="1"/>
  <c r="K48" i="21" a="1"/>
  <c r="K48" i="21" s="1"/>
  <c r="E71" i="10"/>
  <c r="K50" i="21" s="1" a="1"/>
  <c r="K50" i="21" s="1"/>
  <c r="G52" i="10"/>
  <c r="K35" i="21" a="1"/>
  <c r="K35" i="21" s="1"/>
  <c r="M70" i="14"/>
  <c r="F54" i="21" a="1"/>
  <c r="F54" i="21" s="1"/>
  <c r="D9" i="10"/>
  <c r="BF5" i="27" s="1"/>
  <c r="AC5" i="27" a="1"/>
  <c r="AC5" i="27" s="1"/>
  <c r="BK5" i="27" s="1"/>
  <c r="N76" i="21" a="1"/>
  <c r="N76" i="21" s="1"/>
  <c r="E112" i="10"/>
  <c r="N78" i="21" s="1" a="1"/>
  <c r="N78" i="21" s="1"/>
  <c r="K76" i="21" a="1"/>
  <c r="K76" i="21" s="1"/>
  <c r="E109" i="10"/>
  <c r="K78" i="21" s="1" a="1"/>
  <c r="K78" i="21" s="1"/>
  <c r="N40" i="21" a="1"/>
  <c r="N40" i="21" s="1"/>
  <c r="M198" i="14"/>
  <c r="N138" i="21" a="1"/>
  <c r="N138" i="21" s="1"/>
  <c r="F132" i="6"/>
  <c r="L132" i="6" s="1"/>
  <c r="D52" i="6"/>
  <c r="J52" i="6" s="1"/>
  <c r="G71" i="10"/>
  <c r="K49" i="21" a="1"/>
  <c r="K49" i="21" s="1"/>
  <c r="O132" i="21" a="1"/>
  <c r="O132" i="21" s="1"/>
  <c r="E189" i="10"/>
  <c r="O134" i="21" s="1" a="1"/>
  <c r="O134" i="21" s="1"/>
  <c r="G189" i="10"/>
  <c r="O118" i="21" a="1"/>
  <c r="O118" i="21" s="1"/>
  <c r="E170" i="10"/>
  <c r="O120" i="21" s="1" a="1"/>
  <c r="O120" i="21" s="1"/>
  <c r="K90" i="21" a="1"/>
  <c r="K90" i="21" s="1"/>
  <c r="E128" i="10"/>
  <c r="K92" i="21" s="1" a="1"/>
  <c r="K92" i="21" s="1"/>
  <c r="F76" i="21" a="1"/>
  <c r="F76" i="21" s="1"/>
  <c r="E104" i="10"/>
  <c r="M158" i="14"/>
  <c r="N110" i="21" a="1"/>
  <c r="N110" i="21" s="1"/>
  <c r="M75" i="14"/>
  <c r="K54" i="21" a="1"/>
  <c r="K54" i="21" s="1"/>
  <c r="G55" i="10"/>
  <c r="N35" i="21" a="1"/>
  <c r="N35" i="21" s="1"/>
  <c r="F48" i="21" a="1"/>
  <c r="F48" i="21" s="1"/>
  <c r="E66" i="10"/>
  <c r="F58" i="16" s="1" a="1"/>
  <c r="F58" i="16" s="1"/>
  <c r="G58" i="16" s="1"/>
  <c r="N132" i="21" a="1"/>
  <c r="N132" i="21" s="1"/>
  <c r="E188" i="10"/>
  <c r="N134" i="21" s="1" a="1"/>
  <c r="N134" i="21" s="1"/>
  <c r="N48" i="21" a="1"/>
  <c r="N48" i="21" s="1"/>
  <c r="E74" i="10"/>
  <c r="N50" i="21" s="1" a="1"/>
  <c r="N50" i="21" s="1"/>
  <c r="G74" i="10"/>
  <c r="K132" i="21" a="1"/>
  <c r="K132" i="21" s="1"/>
  <c r="E185" i="10"/>
  <c r="K134" i="21" s="1" a="1"/>
  <c r="K134" i="21" s="1"/>
  <c r="O76" i="21" a="1"/>
  <c r="O76" i="21" s="1"/>
  <c r="E113" i="10"/>
  <c r="O78" i="21" s="1" a="1"/>
  <c r="O78" i="21" s="1"/>
  <c r="M150" i="14"/>
  <c r="F110" i="21" a="1"/>
  <c r="F110" i="21" s="1"/>
  <c r="E192" i="6"/>
  <c r="K192" i="6" s="1"/>
  <c r="D50" i="6"/>
  <c r="J50" i="6" s="1"/>
  <c r="F132" i="21" a="1"/>
  <c r="F132" i="21" s="1"/>
  <c r="E180" i="10"/>
  <c r="F118" i="21" a="1"/>
  <c r="F118" i="21" s="1"/>
  <c r="E161" i="10"/>
  <c r="F90" i="21" a="1"/>
  <c r="F90" i="21" s="1"/>
  <c r="E123" i="10"/>
  <c r="F100" i="16" s="1" a="1"/>
  <c r="F100" i="16" s="1"/>
  <c r="G100" i="16" s="1"/>
  <c r="M155" i="14"/>
  <c r="K110" i="21" a="1"/>
  <c r="K110" i="21" s="1"/>
  <c r="M95" i="14"/>
  <c r="K68" i="21" a="1"/>
  <c r="K68" i="21" s="1"/>
  <c r="K118" i="21" a="1"/>
  <c r="K118" i="21" s="1"/>
  <c r="E166" i="10"/>
  <c r="K120" i="21" s="1" a="1"/>
  <c r="K120" i="21" s="1"/>
  <c r="O90" i="21" a="1"/>
  <c r="O90" i="21" s="1"/>
  <c r="E132" i="10"/>
  <c r="O92" i="21" s="1" a="1"/>
  <c r="O92" i="21" s="1"/>
  <c r="M98" i="14"/>
  <c r="N68" i="21" a="1"/>
  <c r="N68" i="21" s="1"/>
  <c r="M90" i="14"/>
  <c r="F68" i="21" a="1"/>
  <c r="F68" i="21" s="1"/>
  <c r="O48" i="21" a="1"/>
  <c r="O48" i="21" s="1"/>
  <c r="E75" i="10"/>
  <c r="O50" i="21" s="1" a="1"/>
  <c r="O50" i="21" s="1"/>
  <c r="O104" i="21" a="1"/>
  <c r="O104" i="21" s="1"/>
  <c r="E151" i="10"/>
  <c r="O106" i="21" s="1" a="1"/>
  <c r="O106" i="21" s="1"/>
  <c r="E52" i="19"/>
  <c r="N32" i="21" s="1" a="1"/>
  <c r="N32" i="21" s="1"/>
  <c r="N34" i="21" a="1"/>
  <c r="N34" i="21" s="1"/>
  <c r="E55" i="10"/>
  <c r="O62" i="21" a="1"/>
  <c r="O62" i="21" s="1"/>
  <c r="E94" i="10"/>
  <c r="O64" i="21" s="1" a="1"/>
  <c r="O64" i="21" s="1"/>
  <c r="D48" i="6"/>
  <c r="J48" i="6" s="1"/>
  <c r="K32" i="21" a="1"/>
  <c r="K32" i="21" s="1"/>
  <c r="K34" i="21" a="1"/>
  <c r="K34" i="21" s="1"/>
  <c r="F44" i="16" a="1"/>
  <c r="F44" i="16" s="1"/>
  <c r="G44" i="16" s="1"/>
  <c r="F62" i="21" a="1"/>
  <c r="F62" i="21" s="1"/>
  <c r="E85" i="10"/>
  <c r="F72" i="16" s="1" a="1"/>
  <c r="F72" i="16" s="1"/>
  <c r="G72" i="16" s="1"/>
  <c r="M195" i="14"/>
  <c r="K138" i="21" a="1"/>
  <c r="K138" i="21" s="1"/>
  <c r="K104" i="21" a="1"/>
  <c r="K104" i="21" s="1"/>
  <c r="E147" i="10"/>
  <c r="K106" i="21" s="1" a="1"/>
  <c r="K106" i="21" s="1"/>
  <c r="D89" i="6"/>
  <c r="J89" i="6" s="1"/>
  <c r="D55" i="6"/>
  <c r="J55" i="6" s="1"/>
  <c r="D59" i="6"/>
  <c r="J59" i="6" s="1"/>
  <c r="F104" i="21" a="1"/>
  <c r="F104" i="21" s="1"/>
  <c r="E142" i="10"/>
  <c r="O32" i="21" a="1"/>
  <c r="O32" i="21" s="1"/>
  <c r="O34" i="21" a="1"/>
  <c r="O34" i="21" s="1"/>
  <c r="E56" i="10"/>
  <c r="G56" i="10"/>
  <c r="N62" i="21" a="1"/>
  <c r="N62" i="21" s="1"/>
  <c r="E93" i="10"/>
  <c r="N64" i="21" s="1" a="1"/>
  <c r="N64" i="21" s="1"/>
  <c r="E79" i="6"/>
  <c r="K79" i="6" s="1"/>
  <c r="E53" i="6"/>
  <c r="K53" i="6" s="1"/>
  <c r="E50" i="6"/>
  <c r="K50" i="6" s="1"/>
  <c r="E174" i="6"/>
  <c r="K174" i="6" s="1"/>
  <c r="E190" i="6"/>
  <c r="K190" i="6" s="1"/>
  <c r="K112" i="10"/>
  <c r="G112" i="10"/>
  <c r="K151" i="10"/>
  <c r="G151" i="10"/>
  <c r="K132" i="10"/>
  <c r="G132" i="10"/>
  <c r="K128" i="10"/>
  <c r="G128" i="10"/>
  <c r="K113" i="10"/>
  <c r="G113" i="10"/>
  <c r="K170" i="10"/>
  <c r="G170" i="10"/>
  <c r="K185" i="10"/>
  <c r="G185" i="10"/>
  <c r="K90" i="10"/>
  <c r="L90" i="10" s="1"/>
  <c r="G90" i="10"/>
  <c r="K94" i="10"/>
  <c r="G94" i="10"/>
  <c r="K142" i="10"/>
  <c r="G142" i="10"/>
  <c r="K104" i="10"/>
  <c r="G104" i="10"/>
  <c r="K123" i="10"/>
  <c r="G123" i="10"/>
  <c r="K166" i="10"/>
  <c r="G166" i="10"/>
  <c r="K169" i="10"/>
  <c r="L169" i="10" s="1"/>
  <c r="G169" i="10"/>
  <c r="K71" i="10"/>
  <c r="K66" i="10"/>
  <c r="G66" i="10"/>
  <c r="K180" i="10"/>
  <c r="G180" i="10"/>
  <c r="K93" i="10"/>
  <c r="G93" i="10"/>
  <c r="K161" i="10"/>
  <c r="G161" i="10"/>
  <c r="K147" i="10"/>
  <c r="G147" i="10"/>
  <c r="K131" i="10"/>
  <c r="L131" i="10" s="1"/>
  <c r="G131" i="10"/>
  <c r="K150" i="10"/>
  <c r="L150" i="10" s="1"/>
  <c r="G150" i="10"/>
  <c r="K188" i="10"/>
  <c r="G188" i="10"/>
  <c r="K75" i="10"/>
  <c r="G75" i="10"/>
  <c r="K85" i="10"/>
  <c r="G85" i="10"/>
  <c r="K109" i="10"/>
  <c r="G109" i="10"/>
  <c r="J189" i="10"/>
  <c r="L189" i="10" s="1"/>
  <c r="E179" i="19"/>
  <c r="O130" i="21" s="1" a="1"/>
  <c r="O130" i="21" s="1"/>
  <c r="J180" i="10"/>
  <c r="E170" i="19"/>
  <c r="J188" i="10"/>
  <c r="E178" i="19"/>
  <c r="N130" i="21" s="1" a="1"/>
  <c r="N130" i="21" s="1"/>
  <c r="J185" i="10"/>
  <c r="E175" i="19"/>
  <c r="K130" i="21" s="1" a="1"/>
  <c r="K130" i="21" s="1"/>
  <c r="J170" i="10"/>
  <c r="E161" i="19"/>
  <c r="O116" i="21" s="1" a="1"/>
  <c r="O116" i="21" s="1"/>
  <c r="J166" i="10"/>
  <c r="E157" i="19"/>
  <c r="K116" i="21" s="1" a="1"/>
  <c r="K116" i="21" s="1"/>
  <c r="J161" i="10"/>
  <c r="E152" i="19"/>
  <c r="J147" i="10"/>
  <c r="E139" i="19"/>
  <c r="K102" i="21" s="1" a="1"/>
  <c r="K102" i="21" s="1"/>
  <c r="J142" i="10"/>
  <c r="E134" i="19"/>
  <c r="J151" i="10"/>
  <c r="E143" i="19"/>
  <c r="O102" i="21" s="1" a="1"/>
  <c r="O102" i="21" s="1"/>
  <c r="J128" i="10"/>
  <c r="E121" i="19"/>
  <c r="K88" i="21" s="1" a="1"/>
  <c r="K88" i="21" s="1"/>
  <c r="J123" i="10"/>
  <c r="E116" i="19"/>
  <c r="J132" i="10"/>
  <c r="E125" i="19"/>
  <c r="J113" i="10"/>
  <c r="E107" i="19"/>
  <c r="O74" i="21" s="1" a="1"/>
  <c r="O74" i="21" s="1"/>
  <c r="J112" i="10"/>
  <c r="E106" i="19"/>
  <c r="N74" i="21" s="1" a="1"/>
  <c r="N74" i="21" s="1"/>
  <c r="J109" i="10"/>
  <c r="E103" i="19"/>
  <c r="K74" i="21" s="1" a="1"/>
  <c r="K74" i="21" s="1"/>
  <c r="J104" i="10"/>
  <c r="E98" i="19"/>
  <c r="J93" i="10"/>
  <c r="E88" i="19"/>
  <c r="N60" i="21" s="1" a="1"/>
  <c r="N60" i="21" s="1"/>
  <c r="J85" i="10"/>
  <c r="E80" i="19"/>
  <c r="J94" i="10"/>
  <c r="E89" i="19"/>
  <c r="O60" i="21" s="1" a="1"/>
  <c r="O60" i="21" s="1"/>
  <c r="J75" i="10"/>
  <c r="O46" i="21" a="1"/>
  <c r="O46" i="21" s="1"/>
  <c r="J66" i="10"/>
  <c r="E62" i="19"/>
  <c r="J74" i="10"/>
  <c r="L74" i="10" s="1"/>
  <c r="E70" i="19"/>
  <c r="J71" i="10"/>
  <c r="E67" i="19"/>
  <c r="K46" i="21" s="1" a="1"/>
  <c r="K46" i="21" s="1"/>
  <c r="F97" i="6"/>
  <c r="L97" i="6" s="1"/>
  <c r="F135" i="6"/>
  <c r="L135" i="6" s="1"/>
  <c r="F99" i="6"/>
  <c r="L99" i="6" s="1"/>
  <c r="F136" i="6"/>
  <c r="L136" i="6" s="1"/>
  <c r="F92" i="6"/>
  <c r="L92" i="6" s="1"/>
  <c r="F95" i="6"/>
  <c r="L95" i="6" s="1"/>
  <c r="F139" i="6"/>
  <c r="L139" i="6" s="1"/>
  <c r="F134" i="6"/>
  <c r="L134" i="6" s="1"/>
  <c r="F128" i="6"/>
  <c r="F131" i="6"/>
  <c r="L131" i="6" s="1"/>
  <c r="F91" i="6"/>
  <c r="L91" i="6" s="1"/>
  <c r="F89" i="6"/>
  <c r="L89" i="6" s="1"/>
  <c r="F96" i="6"/>
  <c r="L96" i="6" s="1"/>
  <c r="F93" i="6"/>
  <c r="L93" i="6" s="1"/>
  <c r="F94" i="6"/>
  <c r="L94" i="6" s="1"/>
  <c r="F90" i="6"/>
  <c r="L90" i="6" s="1"/>
  <c r="F88" i="6"/>
  <c r="F130" i="6"/>
  <c r="L130" i="6" s="1"/>
  <c r="F138" i="6"/>
  <c r="L138" i="6" s="1"/>
  <c r="D179" i="6"/>
  <c r="J179" i="6" s="1"/>
  <c r="F177" i="6"/>
  <c r="L177" i="6" s="1"/>
  <c r="F137" i="6"/>
  <c r="L137" i="6" s="1"/>
  <c r="F173" i="6"/>
  <c r="L173" i="6" s="1"/>
  <c r="F172" i="6"/>
  <c r="L172" i="6" s="1"/>
  <c r="E94" i="6"/>
  <c r="K94" i="6" s="1"/>
  <c r="E95" i="6"/>
  <c r="K95" i="6" s="1"/>
  <c r="E176" i="6"/>
  <c r="K176" i="6" s="1"/>
  <c r="E131" i="6"/>
  <c r="K131" i="6" s="1"/>
  <c r="G3" i="10"/>
  <c r="E119" i="6"/>
  <c r="K119" i="6" s="1"/>
  <c r="E129" i="6"/>
  <c r="K129" i="6" s="1"/>
  <c r="E57" i="6"/>
  <c r="E116" i="6"/>
  <c r="K116" i="6" s="1"/>
  <c r="E68" i="6"/>
  <c r="K68" i="6" s="1"/>
  <c r="E110" i="6"/>
  <c r="K110" i="6" s="1"/>
  <c r="E49" i="6"/>
  <c r="K49" i="6" s="1"/>
  <c r="E113" i="6"/>
  <c r="K113" i="6" s="1"/>
  <c r="E75" i="6"/>
  <c r="K75" i="6" s="1"/>
  <c r="E196" i="6"/>
  <c r="K196" i="6" s="1"/>
  <c r="E133" i="6"/>
  <c r="K133" i="6" s="1"/>
  <c r="E69" i="6"/>
  <c r="K69" i="6" s="1"/>
  <c r="E51" i="6"/>
  <c r="E118" i="6"/>
  <c r="K118" i="6" s="1"/>
  <c r="E73" i="6"/>
  <c r="K73" i="6" s="1"/>
  <c r="E198" i="6"/>
  <c r="K198" i="6" s="1"/>
  <c r="E199" i="6"/>
  <c r="K199" i="6" s="1"/>
  <c r="E138" i="6"/>
  <c r="K138" i="6" s="1"/>
  <c r="E136" i="6"/>
  <c r="K136" i="6" s="1"/>
  <c r="E109" i="6"/>
  <c r="E114" i="6"/>
  <c r="K114" i="6" s="1"/>
  <c r="E77" i="6"/>
  <c r="K77" i="6" s="1"/>
  <c r="E195" i="6"/>
  <c r="K195" i="6" s="1"/>
  <c r="E112" i="6"/>
  <c r="K112" i="6" s="1"/>
  <c r="E76" i="6"/>
  <c r="K76" i="6" s="1"/>
  <c r="E59" i="6"/>
  <c r="K59" i="6" s="1"/>
  <c r="E48" i="6"/>
  <c r="K48" i="6" s="1"/>
  <c r="E56" i="6"/>
  <c r="K56" i="6" s="1"/>
  <c r="E111" i="6"/>
  <c r="K111" i="6" s="1"/>
  <c r="E72" i="6"/>
  <c r="K72" i="6" s="1"/>
  <c r="E191" i="6"/>
  <c r="K191" i="6" s="1"/>
  <c r="E70" i="6"/>
  <c r="K70" i="6" s="1"/>
  <c r="E54" i="6"/>
  <c r="K54" i="6" s="1"/>
  <c r="E52" i="6"/>
  <c r="K52" i="6" s="1"/>
  <c r="E108" i="6"/>
  <c r="K108" i="6" s="1"/>
  <c r="E71" i="6"/>
  <c r="K71" i="6" s="1"/>
  <c r="E188" i="6"/>
  <c r="K188" i="6" s="1"/>
  <c r="D173" i="6"/>
  <c r="F111" i="6"/>
  <c r="L111" i="6" s="1"/>
  <c r="F115" i="6"/>
  <c r="L115" i="6" s="1"/>
  <c r="F117" i="6"/>
  <c r="L117" i="6" s="1"/>
  <c r="F110" i="6"/>
  <c r="L110" i="6" s="1"/>
  <c r="F112" i="6"/>
  <c r="L112" i="6" s="1"/>
  <c r="F176" i="6"/>
  <c r="L176" i="6" s="1"/>
  <c r="F179" i="6"/>
  <c r="L179" i="6" s="1"/>
  <c r="F109" i="6"/>
  <c r="L109" i="6" s="1"/>
  <c r="F198" i="6"/>
  <c r="L198" i="6" s="1"/>
  <c r="F114" i="6"/>
  <c r="F119" i="6"/>
  <c r="L119" i="6" s="1"/>
  <c r="E137" i="6"/>
  <c r="K137" i="6" s="1"/>
  <c r="E135" i="6"/>
  <c r="K135" i="6" s="1"/>
  <c r="F108" i="6"/>
  <c r="L108" i="6" s="1"/>
  <c r="E128" i="6"/>
  <c r="K128" i="6" s="1"/>
  <c r="E139" i="6"/>
  <c r="K139" i="6" s="1"/>
  <c r="E134" i="6"/>
  <c r="K134" i="6" s="1"/>
  <c r="G4" i="14"/>
  <c r="P25" i="16" s="1"/>
  <c r="E178" i="6"/>
  <c r="K178" i="6" s="1"/>
  <c r="E130" i="6"/>
  <c r="K130" i="6" s="1"/>
  <c r="F116" i="6"/>
  <c r="L116" i="6" s="1"/>
  <c r="F113" i="6"/>
  <c r="L113" i="6" s="1"/>
  <c r="N12" i="21" a="1"/>
  <c r="N12" i="21" s="1"/>
  <c r="F174" i="6"/>
  <c r="L174" i="6" s="1"/>
  <c r="F193" i="6"/>
  <c r="L193" i="6" s="1"/>
  <c r="E169" i="6"/>
  <c r="K169" i="6" s="1"/>
  <c r="D151" i="6"/>
  <c r="J151" i="6" s="1"/>
  <c r="E74" i="6"/>
  <c r="K74" i="6" s="1"/>
  <c r="E156" i="6"/>
  <c r="K156" i="6" s="1"/>
  <c r="E155" i="6"/>
  <c r="K155" i="6" s="1"/>
  <c r="E154" i="6"/>
  <c r="K154" i="6" s="1"/>
  <c r="E149" i="6"/>
  <c r="E150" i="6"/>
  <c r="K150" i="6" s="1"/>
  <c r="E159" i="6"/>
  <c r="K159" i="6" s="1"/>
  <c r="E152" i="6"/>
  <c r="K152" i="6" s="1"/>
  <c r="E158" i="6"/>
  <c r="K158" i="6" s="1"/>
  <c r="D172" i="6"/>
  <c r="J172" i="6" s="1"/>
  <c r="D90" i="6"/>
  <c r="J90" i="6" s="1"/>
  <c r="D177" i="6"/>
  <c r="J177" i="6" s="1"/>
  <c r="D96" i="6"/>
  <c r="J96" i="6" s="1"/>
  <c r="D168" i="6"/>
  <c r="J168" i="6" s="1"/>
  <c r="D95" i="6"/>
  <c r="J95" i="6" s="1"/>
  <c r="D92" i="6"/>
  <c r="J92" i="6" s="1"/>
  <c r="D176" i="6"/>
  <c r="J176" i="6" s="1"/>
  <c r="D171" i="6"/>
  <c r="J171" i="6" s="1"/>
  <c r="D98" i="6"/>
  <c r="D178" i="6"/>
  <c r="J178" i="6" s="1"/>
  <c r="D94" i="6"/>
  <c r="J94" i="6" s="1"/>
  <c r="D99" i="6"/>
  <c r="J99" i="6" s="1"/>
  <c r="D175" i="6"/>
  <c r="J175" i="6" s="1"/>
  <c r="D91" i="6"/>
  <c r="J91" i="6" s="1"/>
  <c r="F192" i="6"/>
  <c r="L192" i="6" s="1"/>
  <c r="F188" i="6"/>
  <c r="L188" i="6" s="1"/>
  <c r="F197" i="6"/>
  <c r="L197" i="6" s="1"/>
  <c r="F189" i="6"/>
  <c r="L189" i="6" s="1"/>
  <c r="F196" i="6"/>
  <c r="L196" i="6" s="1"/>
  <c r="F199" i="6"/>
  <c r="L199" i="6" s="1"/>
  <c r="F194" i="6"/>
  <c r="L194" i="6" s="1"/>
  <c r="F191" i="6"/>
  <c r="L191" i="6" s="1"/>
  <c r="E171" i="6"/>
  <c r="K171" i="6" s="1"/>
  <c r="E179" i="6"/>
  <c r="K179" i="6" s="1"/>
  <c r="D169" i="6"/>
  <c r="J169" i="6" s="1"/>
  <c r="F195" i="6"/>
  <c r="L195" i="6" s="1"/>
  <c r="E172" i="6"/>
  <c r="K172" i="6" s="1"/>
  <c r="D199" i="6"/>
  <c r="D111" i="6"/>
  <c r="J111" i="6" s="1"/>
  <c r="E97" i="6"/>
  <c r="K97" i="6" s="1"/>
  <c r="D170" i="6"/>
  <c r="J170" i="6" s="1"/>
  <c r="E168" i="6"/>
  <c r="K168" i="6" s="1"/>
  <c r="K73" i="14"/>
  <c r="K70" i="14"/>
  <c r="D113" i="6"/>
  <c r="J113" i="6" s="1"/>
  <c r="E91" i="6"/>
  <c r="K91" i="6" s="1"/>
  <c r="D157" i="6"/>
  <c r="J157" i="6" s="1"/>
  <c r="D117" i="6"/>
  <c r="J117" i="6" s="1"/>
  <c r="D194" i="6"/>
  <c r="J194" i="6" s="1"/>
  <c r="E93" i="6"/>
  <c r="K93" i="6" s="1"/>
  <c r="D153" i="6"/>
  <c r="J153" i="6" s="1"/>
  <c r="D119" i="6"/>
  <c r="J119" i="6" s="1"/>
  <c r="M57" i="14"/>
  <c r="G200" i="14"/>
  <c r="M188" i="14"/>
  <c r="F168" i="6"/>
  <c r="L168" i="6" s="1"/>
  <c r="F169" i="6"/>
  <c r="L169" i="6" s="1"/>
  <c r="D197" i="6"/>
  <c r="J197" i="6" s="1"/>
  <c r="E99" i="6"/>
  <c r="K99" i="6" s="1"/>
  <c r="D97" i="6"/>
  <c r="J97" i="6" s="1"/>
  <c r="E175" i="6"/>
  <c r="K175" i="6" s="1"/>
  <c r="E148" i="6"/>
  <c r="K148" i="6" s="1"/>
  <c r="D149" i="6"/>
  <c r="J149" i="6" s="1"/>
  <c r="D110" i="6"/>
  <c r="J110" i="6" s="1"/>
  <c r="L132" i="14"/>
  <c r="L129" i="14"/>
  <c r="L137" i="14"/>
  <c r="E135" i="14"/>
  <c r="E139" i="14"/>
  <c r="L133" i="14"/>
  <c r="L134" i="14"/>
  <c r="E138" i="14"/>
  <c r="AF255" i="27" s="1" a="1"/>
  <c r="AF255" i="27" s="1"/>
  <c r="BN255" i="27" s="1"/>
  <c r="L131" i="14"/>
  <c r="L136" i="14"/>
  <c r="M58" i="14"/>
  <c r="D80" i="14"/>
  <c r="K68" i="14"/>
  <c r="K78" i="14"/>
  <c r="E115" i="14"/>
  <c r="AC210" i="27" s="1" a="1"/>
  <c r="AC210" i="27" s="1"/>
  <c r="BK210" i="27" s="1"/>
  <c r="E110" i="14"/>
  <c r="L114" i="14"/>
  <c r="L109" i="14"/>
  <c r="E119" i="14"/>
  <c r="AG210" i="27" s="1" a="1"/>
  <c r="AG210" i="27" s="1"/>
  <c r="BO210" i="27" s="1"/>
  <c r="E118" i="14"/>
  <c r="AF210" i="27" s="1" a="1"/>
  <c r="AF210" i="27" s="1"/>
  <c r="BN210" i="27" s="1"/>
  <c r="L113" i="14"/>
  <c r="L117" i="14"/>
  <c r="L112" i="14"/>
  <c r="L116" i="14"/>
  <c r="L111" i="14"/>
  <c r="D191" i="6"/>
  <c r="J191" i="6" s="1"/>
  <c r="D109" i="6"/>
  <c r="J109" i="6" s="1"/>
  <c r="D189" i="6"/>
  <c r="J189" i="6" s="1"/>
  <c r="F170" i="6"/>
  <c r="L170" i="6" s="1"/>
  <c r="F175" i="6"/>
  <c r="L175" i="6" s="1"/>
  <c r="D193" i="6"/>
  <c r="J193" i="6" s="1"/>
  <c r="E96" i="6"/>
  <c r="K96" i="6" s="1"/>
  <c r="E170" i="6"/>
  <c r="K170" i="6" s="1"/>
  <c r="E151" i="6"/>
  <c r="K151" i="6" s="1"/>
  <c r="D154" i="6"/>
  <c r="J154" i="6" s="1"/>
  <c r="D112" i="6"/>
  <c r="J112" i="6" s="1"/>
  <c r="M55" i="14"/>
  <c r="K77" i="14"/>
  <c r="M133" i="14"/>
  <c r="M139" i="14"/>
  <c r="M136" i="14"/>
  <c r="G135" i="14"/>
  <c r="AC263" i="27" s="1" a="1"/>
  <c r="AC263" i="27" s="1"/>
  <c r="BK263" i="27" s="1"/>
  <c r="M137" i="14"/>
  <c r="M134" i="14"/>
  <c r="M132" i="14"/>
  <c r="M131" i="14"/>
  <c r="G130" i="14"/>
  <c r="G138" i="14"/>
  <c r="AF263" i="27" s="1" a="1"/>
  <c r="AF263" i="27" s="1"/>
  <c r="BN263" i="27" s="1"/>
  <c r="M79" i="14"/>
  <c r="M68" i="14"/>
  <c r="D195" i="6"/>
  <c r="J195" i="6" s="1"/>
  <c r="D190" i="6"/>
  <c r="J190" i="6" s="1"/>
  <c r="E92" i="6"/>
  <c r="K92" i="6" s="1"/>
  <c r="D156" i="6"/>
  <c r="J156" i="6" s="1"/>
  <c r="D114" i="6"/>
  <c r="J114" i="6" s="1"/>
  <c r="M179" i="14"/>
  <c r="M169" i="14"/>
  <c r="M177" i="14"/>
  <c r="G175" i="14"/>
  <c r="AC353" i="27" s="1" a="1"/>
  <c r="AC353" i="27" s="1"/>
  <c r="BK353" i="27" s="1"/>
  <c r="G178" i="14"/>
  <c r="AF353" i="27" s="1" a="1"/>
  <c r="AF353" i="27" s="1"/>
  <c r="BN353" i="27" s="1"/>
  <c r="M174" i="14"/>
  <c r="M173" i="14"/>
  <c r="M172" i="14"/>
  <c r="G170" i="14"/>
  <c r="M171" i="14"/>
  <c r="L152" i="14"/>
  <c r="E155" i="14"/>
  <c r="AC300" i="27" s="1" a="1"/>
  <c r="AC300" i="27" s="1"/>
  <c r="BK300" i="27" s="1"/>
  <c r="L153" i="14"/>
  <c r="E158" i="14"/>
  <c r="AF300" i="27" s="1" a="1"/>
  <c r="AF300" i="27" s="1"/>
  <c r="BN300" i="27" s="1"/>
  <c r="E150" i="14"/>
  <c r="L151" i="14"/>
  <c r="E159" i="14"/>
  <c r="AG300" i="27" s="1" a="1"/>
  <c r="AG300" i="27" s="1"/>
  <c r="BO300" i="27" s="1"/>
  <c r="L154" i="14"/>
  <c r="L149" i="14"/>
  <c r="L157" i="14"/>
  <c r="M54" i="14"/>
  <c r="D139" i="14"/>
  <c r="D138" i="14"/>
  <c r="D135" i="14"/>
  <c r="F95" i="16" s="1" a="1"/>
  <c r="F95" i="16" s="1"/>
  <c r="K71" i="14"/>
  <c r="M117" i="14"/>
  <c r="M109" i="14"/>
  <c r="M114" i="14"/>
  <c r="M113" i="14"/>
  <c r="M119" i="14"/>
  <c r="G118" i="14"/>
  <c r="AF218" i="27" s="1" a="1"/>
  <c r="AF218" i="27" s="1"/>
  <c r="BN218" i="27" s="1"/>
  <c r="M116" i="14"/>
  <c r="G115" i="14"/>
  <c r="AC218" i="27" s="1" a="1"/>
  <c r="AC218" i="27" s="1"/>
  <c r="BK218" i="27" s="1"/>
  <c r="M111" i="14"/>
  <c r="G110" i="14"/>
  <c r="M112" i="14"/>
  <c r="K72" i="14"/>
  <c r="L76" i="14"/>
  <c r="L74" i="14"/>
  <c r="E79" i="14"/>
  <c r="L69" i="14"/>
  <c r="L71" i="14"/>
  <c r="L77" i="14"/>
  <c r="E78" i="14"/>
  <c r="BD111" i="27"/>
  <c r="E70" i="14"/>
  <c r="E75" i="14"/>
  <c r="L73" i="14"/>
  <c r="L72" i="14"/>
  <c r="G80" i="14"/>
  <c r="M69" i="14"/>
  <c r="D192" i="6"/>
  <c r="J192" i="6" s="1"/>
  <c r="D196" i="6"/>
  <c r="J196" i="6" s="1"/>
  <c r="E98" i="6"/>
  <c r="K98" i="6" s="1"/>
  <c r="D159" i="6"/>
  <c r="J159" i="6" s="1"/>
  <c r="D115" i="6"/>
  <c r="F171" i="6"/>
  <c r="L171" i="6" s="1"/>
  <c r="D188" i="6"/>
  <c r="E89" i="6"/>
  <c r="K89" i="6" s="1"/>
  <c r="E88" i="6"/>
  <c r="E153" i="6"/>
  <c r="K153" i="6" s="1"/>
  <c r="D152" i="6"/>
  <c r="J152" i="6" s="1"/>
  <c r="D118" i="6"/>
  <c r="J118" i="6" s="1"/>
  <c r="D190" i="14"/>
  <c r="D195" i="14"/>
  <c r="D198" i="14"/>
  <c r="D199" i="14"/>
  <c r="D119" i="14"/>
  <c r="D115" i="14"/>
  <c r="D118" i="14"/>
  <c r="D110" i="14"/>
  <c r="L96" i="14"/>
  <c r="L91" i="14"/>
  <c r="E99" i="14"/>
  <c r="AG165" i="27" s="1" a="1"/>
  <c r="AG165" i="27" s="1"/>
  <c r="BO165" i="27" s="1"/>
  <c r="L97" i="14"/>
  <c r="L89" i="14"/>
  <c r="L92" i="14"/>
  <c r="L93" i="14"/>
  <c r="E98" i="14"/>
  <c r="AF165" i="27" s="1" a="1"/>
  <c r="AF165" i="27" s="1"/>
  <c r="BN165" i="27" s="1"/>
  <c r="E95" i="14"/>
  <c r="AC165" i="27" s="1" a="1"/>
  <c r="AC165" i="27" s="1"/>
  <c r="BK165" i="27" s="1"/>
  <c r="K79" i="14"/>
  <c r="D158" i="14"/>
  <c r="D159" i="14"/>
  <c r="M56" i="14"/>
  <c r="D178" i="14"/>
  <c r="D179" i="14"/>
  <c r="D170" i="14"/>
  <c r="D175" i="14"/>
  <c r="K75" i="14"/>
  <c r="E58" i="14"/>
  <c r="AF75" i="27" s="1" a="1"/>
  <c r="AF75" i="27" s="1"/>
  <c r="BN75" i="27" s="1"/>
  <c r="AC75" i="27" a="1"/>
  <c r="AC75" i="27" s="1"/>
  <c r="BK75" i="27" s="1"/>
  <c r="E59" i="14"/>
  <c r="L197" i="14"/>
  <c r="L191" i="14"/>
  <c r="E199" i="14"/>
  <c r="AG390" i="27" s="1" a="1"/>
  <c r="AG390" i="27" s="1"/>
  <c r="BO390" i="27" s="1"/>
  <c r="L189" i="14"/>
  <c r="E198" i="14"/>
  <c r="AF390" i="27" s="1" a="1"/>
  <c r="AF390" i="27" s="1"/>
  <c r="BN390" i="27" s="1"/>
  <c r="E190" i="14"/>
  <c r="E195" i="14"/>
  <c r="AC390" i="27" s="1" a="1"/>
  <c r="AC390" i="27" s="1"/>
  <c r="BK390" i="27" s="1"/>
  <c r="L196" i="14"/>
  <c r="L193" i="14"/>
  <c r="L194" i="14"/>
  <c r="L192" i="14"/>
  <c r="D150" i="6"/>
  <c r="D116" i="6"/>
  <c r="J116" i="6" s="1"/>
  <c r="M51" i="14"/>
  <c r="M49" i="14"/>
  <c r="AD111" i="27" a="1"/>
  <c r="AD111" i="27" s="1"/>
  <c r="BL111" i="27" s="1"/>
  <c r="K76" i="14"/>
  <c r="M52" i="14"/>
  <c r="M48" i="14"/>
  <c r="K74" i="14"/>
  <c r="D58" i="14"/>
  <c r="M148" i="14"/>
  <c r="G160" i="14"/>
  <c r="E170" i="14"/>
  <c r="L174" i="14"/>
  <c r="E178" i="14"/>
  <c r="AF345" i="27" s="1" a="1"/>
  <c r="AF345" i="27" s="1"/>
  <c r="BN345" i="27" s="1"/>
  <c r="L173" i="14"/>
  <c r="L172" i="14"/>
  <c r="L169" i="14"/>
  <c r="L171" i="14"/>
  <c r="E175" i="14"/>
  <c r="AC345" i="27" s="1" a="1"/>
  <c r="AC345" i="27" s="1"/>
  <c r="BK345" i="27" s="1"/>
  <c r="E179" i="14"/>
  <c r="AG345" i="27" s="1" a="1"/>
  <c r="AG345" i="27" s="1"/>
  <c r="BO345" i="27" s="1"/>
  <c r="L176" i="14"/>
  <c r="L177" i="14"/>
  <c r="M53" i="14"/>
  <c r="M88" i="14"/>
  <c r="G100" i="14"/>
  <c r="D98" i="14"/>
  <c r="D99" i="14"/>
  <c r="K69" i="14"/>
  <c r="L146" i="10"/>
  <c r="L65" i="10"/>
  <c r="D33" i="10"/>
  <c r="J52" i="10"/>
  <c r="F29" i="10"/>
  <c r="K48" i="10"/>
  <c r="K29" i="10" s="1"/>
  <c r="K51" i="10"/>
  <c r="K32" i="10" s="1"/>
  <c r="F32" i="10"/>
  <c r="D171" i="10"/>
  <c r="L89" i="10"/>
  <c r="L107" i="10"/>
  <c r="L110" i="10"/>
  <c r="L149" i="10"/>
  <c r="L67" i="10"/>
  <c r="J53" i="10"/>
  <c r="D34" i="10"/>
  <c r="F27" i="10"/>
  <c r="K46" i="10"/>
  <c r="K27" i="10" s="1"/>
  <c r="K56" i="10"/>
  <c r="F37" i="10"/>
  <c r="L183" i="10"/>
  <c r="L164" i="10"/>
  <c r="L84" i="10"/>
  <c r="L125" i="10"/>
  <c r="L148" i="10"/>
  <c r="L70" i="10"/>
  <c r="D29" i="10"/>
  <c r="J48" i="10"/>
  <c r="F33" i="10"/>
  <c r="K52" i="10"/>
  <c r="D190" i="10"/>
  <c r="L87" i="10"/>
  <c r="F133" i="10"/>
  <c r="F152" i="10"/>
  <c r="L143" i="10"/>
  <c r="L145" i="10"/>
  <c r="D28" i="10"/>
  <c r="J47" i="10"/>
  <c r="K47" i="10"/>
  <c r="F28" i="10"/>
  <c r="L181" i="10"/>
  <c r="L162" i="10"/>
  <c r="L124" i="10"/>
  <c r="L111" i="10"/>
  <c r="L141" i="10"/>
  <c r="L73" i="10"/>
  <c r="D31" i="10"/>
  <c r="J50" i="10"/>
  <c r="F34" i="10"/>
  <c r="K53" i="10"/>
  <c r="L182" i="10"/>
  <c r="L88" i="10"/>
  <c r="L129" i="10"/>
  <c r="D114" i="10"/>
  <c r="F76" i="10"/>
  <c r="L69" i="10"/>
  <c r="J56" i="10"/>
  <c r="D37" i="10"/>
  <c r="K55" i="10"/>
  <c r="F36" i="10"/>
  <c r="L167" i="10"/>
  <c r="D95" i="10"/>
  <c r="D133" i="10"/>
  <c r="L130" i="10"/>
  <c r="F114" i="10"/>
  <c r="D152" i="10"/>
  <c r="D76" i="10"/>
  <c r="L186" i="10"/>
  <c r="D32" i="10"/>
  <c r="J51" i="10"/>
  <c r="F57" i="10"/>
  <c r="F26" i="10"/>
  <c r="F95" i="10"/>
  <c r="L160" i="10"/>
  <c r="L92" i="10"/>
  <c r="L126" i="10"/>
  <c r="L144" i="10"/>
  <c r="D30" i="10"/>
  <c r="F30" i="10"/>
  <c r="K49" i="10"/>
  <c r="K30" i="10" s="1"/>
  <c r="L184" i="10"/>
  <c r="L163" i="10"/>
  <c r="L86" i="10"/>
  <c r="L108" i="10"/>
  <c r="L72" i="10"/>
  <c r="D26" i="10"/>
  <c r="D57" i="10"/>
  <c r="J54" i="10"/>
  <c r="D35" i="10"/>
  <c r="K31" i="10"/>
  <c r="F31" i="10"/>
  <c r="L187" i="10"/>
  <c r="F171" i="10"/>
  <c r="L127" i="10"/>
  <c r="L105" i="10"/>
  <c r="F190" i="10"/>
  <c r="J55" i="10"/>
  <c r="D36" i="10"/>
  <c r="D27" i="10"/>
  <c r="F35" i="10"/>
  <c r="K54" i="10"/>
  <c r="K35" i="10" s="1"/>
  <c r="L179" i="10"/>
  <c r="L165" i="10"/>
  <c r="L168" i="10"/>
  <c r="L91" i="10"/>
  <c r="L122" i="10"/>
  <c r="L106" i="10"/>
  <c r="L103" i="10"/>
  <c r="J68" i="6"/>
  <c r="D80" i="6"/>
  <c r="J69" i="6"/>
  <c r="K197" i="6"/>
  <c r="J70" i="6"/>
  <c r="J57" i="6"/>
  <c r="J198" i="6"/>
  <c r="K157" i="6"/>
  <c r="J158" i="6"/>
  <c r="J137" i="6"/>
  <c r="J174" i="6"/>
  <c r="J88" i="6"/>
  <c r="L68" i="6"/>
  <c r="L80" i="6" s="1"/>
  <c r="F80" i="6"/>
  <c r="J71" i="6"/>
  <c r="J79" i="6"/>
  <c r="J75" i="6"/>
  <c r="D45" i="6"/>
  <c r="F50" i="6" s="1"/>
  <c r="J78" i="6"/>
  <c r="M78" i="6" s="1"/>
  <c r="G78" i="6"/>
  <c r="J74" i="6"/>
  <c r="J108" i="6"/>
  <c r="J135" i="6"/>
  <c r="J77" i="6"/>
  <c r="J139" i="6"/>
  <c r="J73" i="6"/>
  <c r="J72" i="6"/>
  <c r="K55" i="6"/>
  <c r="J155" i="6"/>
  <c r="F160" i="6"/>
  <c r="L149" i="6"/>
  <c r="L160" i="6" s="1"/>
  <c r="J76" i="6"/>
  <c r="D5" i="6"/>
  <c r="AH95" i="27" l="1"/>
  <c r="BP95" i="27" s="1"/>
  <c r="AC151" i="27"/>
  <c r="BK151" i="27" s="1"/>
  <c r="AF153" i="27"/>
  <c r="BN153" i="27" s="1"/>
  <c r="AC99" i="27"/>
  <c r="BK99" i="27" s="1"/>
  <c r="AC200" i="27"/>
  <c r="BK200" i="27" s="1"/>
  <c r="AF152" i="27"/>
  <c r="BN152" i="27" s="1"/>
  <c r="F114" i="16" a="1"/>
  <c r="F114" i="16" s="1"/>
  <c r="G114" i="16" s="1"/>
  <c r="D12" i="10"/>
  <c r="G12" i="10" s="1"/>
  <c r="D15" i="10"/>
  <c r="AG109" i="27"/>
  <c r="BO109" i="27" s="1"/>
  <c r="AG110" i="27"/>
  <c r="BO110" i="27" s="1"/>
  <c r="AF332" i="27"/>
  <c r="BN332" i="27" s="1"/>
  <c r="AG108" i="27"/>
  <c r="BO108" i="27" s="1"/>
  <c r="F107" i="16" a="1"/>
  <c r="F107" i="16" s="1"/>
  <c r="G107" i="16" s="1"/>
  <c r="F142" i="16" a="1"/>
  <c r="F142" i="16" s="1"/>
  <c r="G142" i="16" s="1"/>
  <c r="F121" i="16" a="1"/>
  <c r="F121" i="16" s="1"/>
  <c r="G121" i="16" s="1"/>
  <c r="AG106" i="27"/>
  <c r="BO106" i="27" s="1"/>
  <c r="AG107" i="27"/>
  <c r="BO107" i="27" s="1"/>
  <c r="AC90" i="27"/>
  <c r="BK90" i="27" s="1"/>
  <c r="AC86" i="27"/>
  <c r="BK86" i="27" s="1"/>
  <c r="AF335" i="27"/>
  <c r="BN335" i="27" s="1"/>
  <c r="AF64" i="27"/>
  <c r="BN64" i="27" s="1"/>
  <c r="AC153" i="27"/>
  <c r="BK153" i="27" s="1"/>
  <c r="AF154" i="27"/>
  <c r="BN154" i="27" s="1"/>
  <c r="AF151" i="27"/>
  <c r="BN151" i="27" s="1"/>
  <c r="AF375" i="27"/>
  <c r="BN375" i="27" s="1"/>
  <c r="AC194" i="27"/>
  <c r="BK194" i="27" s="1"/>
  <c r="AF194" i="27"/>
  <c r="BN194" i="27" s="1"/>
  <c r="AC197" i="27"/>
  <c r="BK197" i="27" s="1"/>
  <c r="AF334" i="27"/>
  <c r="BN334" i="27" s="1"/>
  <c r="AF195" i="27"/>
  <c r="BN195" i="27" s="1"/>
  <c r="AC196" i="27"/>
  <c r="BK196" i="27" s="1"/>
  <c r="AF198" i="27"/>
  <c r="BN198" i="27" s="1"/>
  <c r="AG104" i="27"/>
  <c r="BO104" i="27" s="1"/>
  <c r="AC61" i="27"/>
  <c r="BK61" i="27" s="1"/>
  <c r="F128" i="16" a="1"/>
  <c r="F128" i="16" s="1"/>
  <c r="G128" i="16" s="1"/>
  <c r="H14" i="14"/>
  <c r="F14" i="14"/>
  <c r="E14" i="10"/>
  <c r="D12" i="19"/>
  <c r="E13" i="10"/>
  <c r="G13" i="10"/>
  <c r="H45" i="16"/>
  <c r="I45" i="16" s="1"/>
  <c r="G45" i="16"/>
  <c r="H41" i="16"/>
  <c r="H38" i="16" s="1"/>
  <c r="G41" i="16"/>
  <c r="F38" i="16"/>
  <c r="G38" i="16" s="1"/>
  <c r="H43" i="16"/>
  <c r="F42" i="16"/>
  <c r="G42" i="16" s="1"/>
  <c r="G43" i="16"/>
  <c r="E13" i="19"/>
  <c r="F37" i="16" a="1"/>
  <c r="F37" i="16" s="1"/>
  <c r="AC255" i="27" a="1"/>
  <c r="AC255" i="27" s="1"/>
  <c r="BK255" i="27" s="1"/>
  <c r="F96" i="16" a="1"/>
  <c r="F96" i="16" s="1"/>
  <c r="H95" i="16"/>
  <c r="G95" i="16"/>
  <c r="F86" i="16" a="1"/>
  <c r="F86" i="16" s="1"/>
  <c r="G86" i="16" s="1"/>
  <c r="H139" i="16"/>
  <c r="I139" i="16" s="1"/>
  <c r="G139" i="16"/>
  <c r="AF377" i="27"/>
  <c r="BN377" i="27" s="1"/>
  <c r="AC377" i="27"/>
  <c r="BK377" i="27" s="1"/>
  <c r="AF379" i="27"/>
  <c r="BN379" i="27" s="1"/>
  <c r="K11" i="14"/>
  <c r="F11" i="14"/>
  <c r="AF196" i="27"/>
  <c r="BN196" i="27" s="1"/>
  <c r="AC289" i="27"/>
  <c r="BK289" i="27" s="1"/>
  <c r="AC150" i="27"/>
  <c r="BK150" i="27" s="1"/>
  <c r="AC376" i="27"/>
  <c r="BK376" i="27" s="1"/>
  <c r="AC284" i="27"/>
  <c r="BK284" i="27" s="1"/>
  <c r="AC333" i="27"/>
  <c r="BK333" i="27" s="1"/>
  <c r="AC241" i="27"/>
  <c r="BK241" i="27" s="1"/>
  <c r="AC332" i="27"/>
  <c r="BK332" i="27" s="1"/>
  <c r="AF380" i="27"/>
  <c r="BN380" i="27" s="1"/>
  <c r="AC65" i="27"/>
  <c r="BK65" i="27" s="1"/>
  <c r="AC149" i="27"/>
  <c r="BK149" i="27" s="1"/>
  <c r="AF150" i="27"/>
  <c r="BN150" i="27" s="1"/>
  <c r="AF155" i="27"/>
  <c r="BN155" i="27" s="1"/>
  <c r="AH58" i="27"/>
  <c r="BP58" i="27" s="1"/>
  <c r="AC64" i="27"/>
  <c r="BK64" i="27" s="1"/>
  <c r="AF59" i="27"/>
  <c r="BN59" i="27" s="1"/>
  <c r="AC59" i="27"/>
  <c r="BK59" i="27" s="1"/>
  <c r="AF378" i="27"/>
  <c r="BN378" i="27" s="1"/>
  <c r="AC330" i="27"/>
  <c r="BK330" i="27" s="1"/>
  <c r="AC335" i="27"/>
  <c r="BK335" i="27" s="1"/>
  <c r="AC285" i="27"/>
  <c r="BK285" i="27" s="1"/>
  <c r="AF239" i="27"/>
  <c r="BN239" i="27" s="1"/>
  <c r="AC63" i="27"/>
  <c r="BK63" i="27" s="1"/>
  <c r="AC60" i="27"/>
  <c r="BK60" i="27" s="1"/>
  <c r="AC152" i="27"/>
  <c r="BK152" i="27" s="1"/>
  <c r="AC155" i="27"/>
  <c r="BK155" i="27" s="1"/>
  <c r="AC334" i="27"/>
  <c r="BK334" i="27" s="1"/>
  <c r="AC290" i="27"/>
  <c r="BK290" i="27" s="1"/>
  <c r="AC245" i="27"/>
  <c r="BK245" i="27" s="1"/>
  <c r="AC239" i="27"/>
  <c r="BK239" i="27" s="1"/>
  <c r="AC380" i="27"/>
  <c r="BK380" i="27" s="1"/>
  <c r="AC244" i="27"/>
  <c r="BK244" i="27" s="1"/>
  <c r="AC243" i="27"/>
  <c r="BK243" i="27" s="1"/>
  <c r="AF243" i="27"/>
  <c r="BN243" i="27" s="1"/>
  <c r="AC288" i="27"/>
  <c r="BK288" i="27" s="1"/>
  <c r="AF374" i="27"/>
  <c r="BN374" i="27" s="1"/>
  <c r="AC62" i="27"/>
  <c r="BK62" i="27" s="1"/>
  <c r="AF199" i="27"/>
  <c r="BN199" i="27" s="1"/>
  <c r="AC198" i="27"/>
  <c r="BK198" i="27" s="1"/>
  <c r="AF333" i="27"/>
  <c r="BN333" i="27" s="1"/>
  <c r="AF241" i="27"/>
  <c r="BN241" i="27" s="1"/>
  <c r="AF60" i="27"/>
  <c r="BN60" i="27" s="1"/>
  <c r="AC240" i="27"/>
  <c r="BK240" i="27" s="1"/>
  <c r="AF245" i="27"/>
  <c r="BN245" i="27" s="1"/>
  <c r="AF329" i="27"/>
  <c r="BN329" i="27" s="1"/>
  <c r="AF286" i="27"/>
  <c r="BN286" i="27" s="1"/>
  <c r="AC375" i="27"/>
  <c r="BK375" i="27" s="1"/>
  <c r="AF287" i="27"/>
  <c r="BN287" i="27" s="1"/>
  <c r="AC110" i="27"/>
  <c r="BK110" i="27" s="1"/>
  <c r="AC106" i="27"/>
  <c r="BK106" i="27" s="1"/>
  <c r="AF244" i="27"/>
  <c r="BN244" i="27" s="1"/>
  <c r="AC107" i="27"/>
  <c r="BK107" i="27" s="1"/>
  <c r="AH193" i="27"/>
  <c r="BP193" i="27" s="1"/>
  <c r="AF242" i="27"/>
  <c r="BN242" i="27" s="1"/>
  <c r="AC104" i="27"/>
  <c r="BK104" i="27" s="1"/>
  <c r="AF330" i="27"/>
  <c r="BN330" i="27" s="1"/>
  <c r="AF288" i="27"/>
  <c r="BN288" i="27" s="1"/>
  <c r="AF240" i="27"/>
  <c r="BN240" i="27" s="1"/>
  <c r="AC109" i="27"/>
  <c r="BK109" i="27" s="1"/>
  <c r="AC184" i="27" a="1"/>
  <c r="AC184" i="27" s="1"/>
  <c r="BK184" i="27" s="1"/>
  <c r="AF229" i="27" a="1"/>
  <c r="AF229" i="27" s="1"/>
  <c r="BN229" i="27" s="1"/>
  <c r="BF94" i="27"/>
  <c r="AF49" i="27" a="1"/>
  <c r="AF49" i="27" s="1"/>
  <c r="BN49" i="27" s="1"/>
  <c r="AC49" i="27" a="1"/>
  <c r="AC49" i="27" s="1"/>
  <c r="BK49" i="27" s="1"/>
  <c r="AG13" i="27" a="1"/>
  <c r="AG13" i="27" s="1"/>
  <c r="BO13" i="27" s="1"/>
  <c r="BF139" i="27"/>
  <c r="AC274" i="27" a="1"/>
  <c r="AC274" i="27" s="1"/>
  <c r="BK274" i="27" s="1"/>
  <c r="AF94" i="27" a="1"/>
  <c r="AF94" i="27" s="1"/>
  <c r="BN94" i="27" s="1"/>
  <c r="BF274" i="27"/>
  <c r="AG184" i="27" a="1"/>
  <c r="AG184" i="27" s="1"/>
  <c r="BO184" i="27" s="1"/>
  <c r="AG94" i="27" a="1"/>
  <c r="AG94" i="27" s="1"/>
  <c r="BO94" i="27" s="1"/>
  <c r="BF319" i="27"/>
  <c r="AC329" i="27"/>
  <c r="BK329" i="27" s="1"/>
  <c r="AC286" i="27"/>
  <c r="BK286" i="27" s="1"/>
  <c r="BF243" i="27"/>
  <c r="AF197" i="27"/>
  <c r="BN197" i="27" s="1"/>
  <c r="BF150" i="27"/>
  <c r="BF107" i="27"/>
  <c r="AC379" i="27"/>
  <c r="BK379" i="27" s="1"/>
  <c r="AF319" i="27" a="1"/>
  <c r="AF319" i="27" s="1"/>
  <c r="BN319" i="27" s="1"/>
  <c r="AG139" i="27" a="1"/>
  <c r="AG139" i="27" s="1"/>
  <c r="BO139" i="27" s="1"/>
  <c r="AC229" i="27" a="1"/>
  <c r="AC229" i="27" s="1"/>
  <c r="BK229" i="27" s="1"/>
  <c r="AF13" i="27" a="1"/>
  <c r="AF13" i="27" s="1"/>
  <c r="BN13" i="27" s="1"/>
  <c r="AC319" i="27" a="1"/>
  <c r="AC319" i="27" s="1"/>
  <c r="BK319" i="27" s="1"/>
  <c r="AC139" i="27" a="1"/>
  <c r="AC139" i="27" s="1"/>
  <c r="BK139" i="27" s="1"/>
  <c r="AG229" i="27" a="1"/>
  <c r="AG229" i="27" s="1"/>
  <c r="BO229" i="27" s="1"/>
  <c r="AC94" i="27" a="1"/>
  <c r="AC94" i="27" s="1"/>
  <c r="BK94" i="27" s="1"/>
  <c r="BF229" i="27"/>
  <c r="AC364" i="27" a="1"/>
  <c r="AC364" i="27" s="1"/>
  <c r="BK364" i="27" s="1"/>
  <c r="BF184" i="27"/>
  <c r="AF184" i="27" a="1"/>
  <c r="AF184" i="27" s="1"/>
  <c r="BN184" i="27" s="1"/>
  <c r="AF364" i="27" a="1"/>
  <c r="AF364" i="27" s="1"/>
  <c r="BN364" i="27" s="1"/>
  <c r="AF139" i="27" a="1"/>
  <c r="AF139" i="27" s="1"/>
  <c r="BN139" i="27" s="1"/>
  <c r="BF109" i="27"/>
  <c r="AC374" i="27"/>
  <c r="BK374" i="27" s="1"/>
  <c r="AF274" i="27" a="1"/>
  <c r="AF274" i="27" s="1"/>
  <c r="BN274" i="27" s="1"/>
  <c r="BF364" i="27"/>
  <c r="AH103" i="27"/>
  <c r="BP103" i="27" s="1"/>
  <c r="AF331" i="27"/>
  <c r="BN331" i="27" s="1"/>
  <c r="AC331" i="27"/>
  <c r="BK331" i="27" s="1"/>
  <c r="AC287" i="27"/>
  <c r="BK287" i="27" s="1"/>
  <c r="AC108" i="27"/>
  <c r="BK108" i="27" s="1"/>
  <c r="AF61" i="27"/>
  <c r="BN61" i="27" s="1"/>
  <c r="AC242" i="27"/>
  <c r="BK242" i="27" s="1"/>
  <c r="AF200" i="27"/>
  <c r="BN200" i="27" s="1"/>
  <c r="BF105" i="27"/>
  <c r="AC378" i="27"/>
  <c r="BK378" i="27" s="1"/>
  <c r="M132" i="6"/>
  <c r="BF334" i="27"/>
  <c r="BF288" i="27"/>
  <c r="BF329" i="27"/>
  <c r="BF330" i="27"/>
  <c r="BF131" i="27"/>
  <c r="BF378" i="27"/>
  <c r="BF286" i="27"/>
  <c r="BF130" i="27"/>
  <c r="BF375" i="27"/>
  <c r="D140" i="6"/>
  <c r="J130" i="6"/>
  <c r="BF240" i="27"/>
  <c r="AH140" i="27"/>
  <c r="BP140" i="27" s="1"/>
  <c r="BF244" i="27"/>
  <c r="G79" i="6"/>
  <c r="BF177" i="27"/>
  <c r="D60" i="6"/>
  <c r="G132" i="6"/>
  <c r="M79" i="6"/>
  <c r="BF326" i="27"/>
  <c r="BF333" i="27"/>
  <c r="BF335" i="27"/>
  <c r="BF174" i="27"/>
  <c r="BF175" i="27"/>
  <c r="BF231" i="27"/>
  <c r="BF141" i="27"/>
  <c r="BF235" i="27"/>
  <c r="BF239" i="27"/>
  <c r="BF245" i="27"/>
  <c r="BF242" i="27"/>
  <c r="BF234" i="27"/>
  <c r="AH185" i="27"/>
  <c r="BP185" i="27" s="1"/>
  <c r="BF331" i="27"/>
  <c r="BF332" i="27"/>
  <c r="BF236" i="27"/>
  <c r="BF145" i="27"/>
  <c r="BF146" i="27"/>
  <c r="BF143" i="27"/>
  <c r="BF147" i="27"/>
  <c r="BF374" i="27"/>
  <c r="BF377" i="27"/>
  <c r="BF232" i="27"/>
  <c r="BF287" i="27"/>
  <c r="BF178" i="27"/>
  <c r="BF237" i="27"/>
  <c r="BF312" i="27"/>
  <c r="BF149" i="27"/>
  <c r="BF311" i="27"/>
  <c r="BF152" i="27"/>
  <c r="BF314" i="27"/>
  <c r="BF154" i="27"/>
  <c r="BF379" i="27"/>
  <c r="BF233" i="27"/>
  <c r="BF370" i="27"/>
  <c r="BF142" i="27"/>
  <c r="BF176" i="27"/>
  <c r="BF368" i="27"/>
  <c r="BF144" i="27"/>
  <c r="BF179" i="27"/>
  <c r="BF366" i="27"/>
  <c r="F99" i="14"/>
  <c r="H99" i="14"/>
  <c r="AG156" i="27" s="1" a="1"/>
  <c r="AG156" i="27" s="1"/>
  <c r="BO156" i="27" s="1"/>
  <c r="AF67" i="27" a="1"/>
  <c r="AF67" i="27" s="1"/>
  <c r="BN67" i="27" s="1"/>
  <c r="H58" i="14"/>
  <c r="F58" i="14"/>
  <c r="F159" i="14"/>
  <c r="H159" i="14"/>
  <c r="AC382" i="27" a="1"/>
  <c r="AC382" i="27" s="1"/>
  <c r="BK382" i="27" s="1"/>
  <c r="F195" i="14"/>
  <c r="H195" i="14"/>
  <c r="AC381" i="27" s="1" a="1"/>
  <c r="AC381" i="27" s="1"/>
  <c r="BK381" i="27" s="1"/>
  <c r="BF218" i="27"/>
  <c r="F83" i="16" a="1"/>
  <c r="F83" i="16" s="1"/>
  <c r="BF300" i="27"/>
  <c r="H150" i="14"/>
  <c r="F150" i="14"/>
  <c r="F110" i="16" a="1"/>
  <c r="F110" i="16" s="1"/>
  <c r="BF165" i="27"/>
  <c r="H90" i="14"/>
  <c r="F90" i="14"/>
  <c r="F68" i="16" a="1"/>
  <c r="F68" i="16" s="1"/>
  <c r="BF202" i="27"/>
  <c r="H110" i="14"/>
  <c r="BF201" i="27" s="1"/>
  <c r="F110" i="14"/>
  <c r="F81" i="16" a="1"/>
  <c r="F81" i="16" s="1"/>
  <c r="BF345" i="27"/>
  <c r="F124" i="16" a="1"/>
  <c r="F124" i="16" s="1"/>
  <c r="BF337" i="27"/>
  <c r="F170" i="14"/>
  <c r="H170" i="14"/>
  <c r="F123" i="16" a="1"/>
  <c r="F123" i="16" s="1"/>
  <c r="AC202" i="27" a="1"/>
  <c r="AC202" i="27" s="1"/>
  <c r="BK202" i="27" s="1"/>
  <c r="F115" i="14"/>
  <c r="H115" i="14"/>
  <c r="AC201" i="27" s="1" a="1"/>
  <c r="AC201" i="27" s="1"/>
  <c r="BK201" i="27" s="1"/>
  <c r="BF353" i="27"/>
  <c r="F125" i="16" a="1"/>
  <c r="F125" i="16" s="1"/>
  <c r="AF337" i="27" a="1"/>
  <c r="AF337" i="27" s="1"/>
  <c r="BN337" i="27" s="1"/>
  <c r="F178" i="14"/>
  <c r="H178" i="14"/>
  <c r="H199" i="14"/>
  <c r="AG381" i="27" s="1" a="1"/>
  <c r="AG381" i="27" s="1"/>
  <c r="BO381" i="27" s="1"/>
  <c r="F199" i="14"/>
  <c r="AC120" i="27" a="1"/>
  <c r="AC120" i="27" s="1"/>
  <c r="BK120" i="27" s="1"/>
  <c r="H75" i="14"/>
  <c r="AC111" i="27" s="1" a="1"/>
  <c r="AC111" i="27" s="1"/>
  <c r="BK111" i="27" s="1"/>
  <c r="F75" i="14"/>
  <c r="H101" i="16"/>
  <c r="I101" i="16" s="1"/>
  <c r="G101" i="16"/>
  <c r="F70" i="16"/>
  <c r="G70" i="16" s="1"/>
  <c r="H141" i="16"/>
  <c r="F140" i="16"/>
  <c r="G140" i="16" s="1"/>
  <c r="G141" i="16"/>
  <c r="AC67" i="27" a="1"/>
  <c r="AC67" i="27" s="1"/>
  <c r="BK67" i="27" s="1"/>
  <c r="H55" i="14"/>
  <c r="AC66" i="27" s="1" a="1"/>
  <c r="AC66" i="27" s="1"/>
  <c r="BK66" i="27" s="1"/>
  <c r="AF382" i="27" a="1"/>
  <c r="AF382" i="27" s="1"/>
  <c r="BN382" i="27" s="1"/>
  <c r="F198" i="14"/>
  <c r="H198" i="14"/>
  <c r="AF381" i="27" s="1" a="1"/>
  <c r="AF381" i="27" s="1"/>
  <c r="BN381" i="27" s="1"/>
  <c r="BF120" i="27"/>
  <c r="H70" i="14"/>
  <c r="F70" i="14"/>
  <c r="F54" i="16" a="1"/>
  <c r="F54" i="16" s="1"/>
  <c r="P40" i="21"/>
  <c r="F84" i="16"/>
  <c r="G84" i="16" s="1"/>
  <c r="H85" i="16"/>
  <c r="H129" i="16"/>
  <c r="I129" i="16" s="1"/>
  <c r="G129" i="16"/>
  <c r="G69" i="16"/>
  <c r="H69" i="16"/>
  <c r="I69" i="16" s="1"/>
  <c r="AF157" i="27" a="1"/>
  <c r="AF157" i="27" s="1"/>
  <c r="BN157" i="27" s="1"/>
  <c r="F98" i="14"/>
  <c r="H98" i="14"/>
  <c r="AF156" i="27" s="1" a="1"/>
  <c r="AF156" i="27" s="1"/>
  <c r="BN156" i="27" s="1"/>
  <c r="AG75" i="27" a="1"/>
  <c r="AG75" i="27" s="1"/>
  <c r="BO75" i="27" s="1"/>
  <c r="F59" i="14"/>
  <c r="H59" i="14"/>
  <c r="AG66" i="27" s="1" a="1"/>
  <c r="AG66" i="27" s="1"/>
  <c r="BO66" i="27" s="1"/>
  <c r="AF292" i="27" a="1"/>
  <c r="AF292" i="27" s="1"/>
  <c r="BN292" i="27" s="1"/>
  <c r="F158" i="14"/>
  <c r="H158" i="14"/>
  <c r="AF291" i="27" s="1" a="1"/>
  <c r="AF291" i="27" s="1"/>
  <c r="BN291" i="27" s="1"/>
  <c r="BF382" i="27"/>
  <c r="F190" i="14"/>
  <c r="H190" i="14"/>
  <c r="BF381" i="27" s="1"/>
  <c r="F137" i="16" a="1"/>
  <c r="F137" i="16" s="1"/>
  <c r="AF120" i="27" a="1"/>
  <c r="AF120" i="27" s="1"/>
  <c r="BN120" i="27" s="1"/>
  <c r="F78" i="14"/>
  <c r="H78" i="14"/>
  <c r="AF111" i="27" s="1" a="1"/>
  <c r="AF111" i="27" s="1"/>
  <c r="BN111" i="27" s="1"/>
  <c r="AC247" i="27" a="1"/>
  <c r="AC247" i="27" s="1"/>
  <c r="BK247" i="27" s="1"/>
  <c r="H135" i="14"/>
  <c r="AC246" i="27" s="1" a="1"/>
  <c r="AC246" i="27" s="1"/>
  <c r="BK246" i="27" s="1"/>
  <c r="F135" i="14"/>
  <c r="F60" i="21" a="1"/>
  <c r="F60" i="21" s="1"/>
  <c r="P60" i="21" s="1"/>
  <c r="F65" i="16" a="1"/>
  <c r="F65" i="16" s="1"/>
  <c r="G65" i="16" s="1"/>
  <c r="AC157" i="27" a="1"/>
  <c r="AC157" i="27" s="1"/>
  <c r="BK157" i="27" s="1"/>
  <c r="F95" i="14"/>
  <c r="H95" i="14"/>
  <c r="AC156" i="27" s="1" a="1"/>
  <c r="AC156" i="27" s="1"/>
  <c r="BK156" i="27" s="1"/>
  <c r="AC292" i="27" a="1"/>
  <c r="AC292" i="27" s="1"/>
  <c r="BK292" i="27" s="1"/>
  <c r="H155" i="14"/>
  <c r="AC291" i="27" s="1" a="1"/>
  <c r="AC291" i="27" s="1"/>
  <c r="BK291" i="27" s="1"/>
  <c r="F155" i="14"/>
  <c r="AF247" i="27" a="1"/>
  <c r="AF247" i="27" s="1"/>
  <c r="BN247" i="27" s="1"/>
  <c r="H138" i="14"/>
  <c r="AF246" i="27" s="1" a="1"/>
  <c r="AF246" i="27" s="1"/>
  <c r="BN246" i="27" s="1"/>
  <c r="F138" i="14"/>
  <c r="H73" i="16"/>
  <c r="I73" i="16" s="1"/>
  <c r="G73" i="16"/>
  <c r="H111" i="16"/>
  <c r="I111" i="16" s="1"/>
  <c r="G111" i="16"/>
  <c r="H87" i="16"/>
  <c r="I87" i="16" s="1"/>
  <c r="G87" i="16"/>
  <c r="AG247" i="27" a="1"/>
  <c r="AG247" i="27" s="1"/>
  <c r="BO247" i="27" s="1"/>
  <c r="H139" i="14"/>
  <c r="AG246" i="27" s="1" a="1"/>
  <c r="AG246" i="27" s="1"/>
  <c r="BO246" i="27" s="1"/>
  <c r="F139" i="14"/>
  <c r="BF263" i="27"/>
  <c r="H130" i="14"/>
  <c r="BF246" i="27" s="1"/>
  <c r="F97" i="16" a="1"/>
  <c r="F97" i="16" s="1"/>
  <c r="BF367" i="27"/>
  <c r="H55" i="16"/>
  <c r="I55" i="16" s="1"/>
  <c r="G55" i="16"/>
  <c r="H143" i="16"/>
  <c r="I143" i="16" s="1"/>
  <c r="G143" i="16"/>
  <c r="F98" i="16"/>
  <c r="G98" i="16" s="1"/>
  <c r="H99" i="16"/>
  <c r="G99" i="16"/>
  <c r="H115" i="16"/>
  <c r="I115" i="16" s="1"/>
  <c r="G115" i="16"/>
  <c r="BF390" i="27"/>
  <c r="F138" i="16" a="1"/>
  <c r="F138" i="16" s="1"/>
  <c r="AC337" i="27" a="1"/>
  <c r="AC337" i="27" s="1"/>
  <c r="BK337" i="27" s="1"/>
  <c r="H175" i="14"/>
  <c r="AC336" i="27" s="1" a="1"/>
  <c r="AC336" i="27" s="1"/>
  <c r="BK336" i="27" s="1"/>
  <c r="F175" i="14"/>
  <c r="AF202" i="27" a="1"/>
  <c r="AF202" i="27" s="1"/>
  <c r="BN202" i="27" s="1"/>
  <c r="H118" i="14"/>
  <c r="AF201" i="27" s="1" a="1"/>
  <c r="AF201" i="27" s="1"/>
  <c r="BN201" i="27" s="1"/>
  <c r="F118" i="14"/>
  <c r="AG120" i="27" a="1"/>
  <c r="AG120" i="27" s="1"/>
  <c r="BO120" i="27" s="1"/>
  <c r="F79" i="14"/>
  <c r="H79" i="14"/>
  <c r="AG111" i="27" s="1" a="1"/>
  <c r="AG111" i="27" s="1"/>
  <c r="BO111" i="27" s="1"/>
  <c r="BF210" i="27"/>
  <c r="F82" i="16" a="1"/>
  <c r="F82" i="16" s="1"/>
  <c r="F46" i="21" a="1"/>
  <c r="F46" i="21" s="1"/>
  <c r="F51" i="16" a="1"/>
  <c r="F51" i="16" s="1"/>
  <c r="G51" i="16" s="1"/>
  <c r="F74" i="21" a="1"/>
  <c r="F74" i="21" s="1"/>
  <c r="P74" i="21" s="1"/>
  <c r="F79" i="16" a="1"/>
  <c r="F79" i="16" s="1"/>
  <c r="G79" i="16" s="1"/>
  <c r="F88" i="21" a="1"/>
  <c r="F88" i="21" s="1"/>
  <c r="F93" i="16" a="1"/>
  <c r="F93" i="16" s="1"/>
  <c r="G93" i="16" s="1"/>
  <c r="F130" i="21" a="1"/>
  <c r="F130" i="21" s="1"/>
  <c r="P130" i="21" s="1"/>
  <c r="F135" i="16" a="1"/>
  <c r="F135" i="16" s="1"/>
  <c r="G135" i="16" s="1"/>
  <c r="BF372" i="27"/>
  <c r="H57" i="16"/>
  <c r="F56" i="16"/>
  <c r="G56" i="16" s="1"/>
  <c r="G57" i="16"/>
  <c r="G59" i="16"/>
  <c r="H59" i="16"/>
  <c r="I59" i="16" s="1"/>
  <c r="H127" i="16"/>
  <c r="G127" i="16"/>
  <c r="F126" i="16"/>
  <c r="G126" i="16" s="1"/>
  <c r="H113" i="16"/>
  <c r="F112" i="16"/>
  <c r="G112" i="16" s="1"/>
  <c r="G113" i="16"/>
  <c r="F179" i="14"/>
  <c r="H179" i="14"/>
  <c r="AG336" i="27" s="1" a="1"/>
  <c r="AG336" i="27" s="1"/>
  <c r="BO336" i="27" s="1"/>
  <c r="H119" i="14"/>
  <c r="AG201" i="27" s="1" a="1"/>
  <c r="AG201" i="27" s="1"/>
  <c r="BO201" i="27" s="1"/>
  <c r="F119" i="14"/>
  <c r="BF13" i="27"/>
  <c r="F31" i="16" a="1"/>
  <c r="F31" i="16" s="1"/>
  <c r="BF180" i="27"/>
  <c r="BF371" i="27"/>
  <c r="BF38" i="27"/>
  <c r="H8" i="14"/>
  <c r="F8" i="14"/>
  <c r="L112" i="10"/>
  <c r="AB75" i="21" s="1" a="1"/>
  <c r="AB75" i="21" s="1"/>
  <c r="L151" i="10"/>
  <c r="AC103" i="21" s="1" a="1"/>
  <c r="AC103" i="21" s="1"/>
  <c r="L170" i="10"/>
  <c r="AC117" i="21" s="1" a="1"/>
  <c r="AC117" i="21" s="1"/>
  <c r="G76" i="6"/>
  <c r="G73" i="6"/>
  <c r="BD26" i="27"/>
  <c r="BD28" i="27"/>
  <c r="BD25" i="27"/>
  <c r="BD29" i="27"/>
  <c r="BD24" i="27"/>
  <c r="BD27" i="27"/>
  <c r="BD23" i="27"/>
  <c r="BF24" i="27"/>
  <c r="BF27" i="27"/>
  <c r="BF28" i="27"/>
  <c r="BF29" i="27"/>
  <c r="BF25" i="27"/>
  <c r="BF23" i="27"/>
  <c r="BF26" i="27"/>
  <c r="G133" i="6"/>
  <c r="AC22" i="27" a="1"/>
  <c r="AC22" i="27" s="1"/>
  <c r="AC24" i="27" s="1"/>
  <c r="BK24" i="27" s="1"/>
  <c r="AF22" i="27" a="1"/>
  <c r="AF22" i="27" s="1"/>
  <c r="AF27" i="27" s="1"/>
  <c r="BN27" i="27" s="1"/>
  <c r="AG22" i="27" a="1"/>
  <c r="AG22" i="27" s="1"/>
  <c r="BO22" i="27" s="1"/>
  <c r="G173" i="6"/>
  <c r="F12" i="21" a="1"/>
  <c r="F12" i="21" s="1"/>
  <c r="BF346" i="27"/>
  <c r="BF352" i="27"/>
  <c r="BF347" i="27"/>
  <c r="BF351" i="27"/>
  <c r="BF349" i="27"/>
  <c r="AF167" i="27"/>
  <c r="BN167" i="27" s="1"/>
  <c r="AF166" i="27"/>
  <c r="BN166" i="27" s="1"/>
  <c r="AF169" i="27"/>
  <c r="BN169" i="27" s="1"/>
  <c r="AF170" i="27"/>
  <c r="BN170" i="27" s="1"/>
  <c r="AF171" i="27"/>
  <c r="BN171" i="27" s="1"/>
  <c r="AF172" i="27"/>
  <c r="BN172" i="27" s="1"/>
  <c r="AF168" i="27"/>
  <c r="BN168" i="27" s="1"/>
  <c r="AC262" i="27"/>
  <c r="BK262" i="27" s="1"/>
  <c r="AC261" i="27"/>
  <c r="BK261" i="27" s="1"/>
  <c r="AC258" i="27"/>
  <c r="BK258" i="27" s="1"/>
  <c r="AC259" i="27"/>
  <c r="BK259" i="27" s="1"/>
  <c r="AC256" i="27"/>
  <c r="BK256" i="27" s="1"/>
  <c r="AC260" i="27"/>
  <c r="BK260" i="27" s="1"/>
  <c r="AC257" i="27"/>
  <c r="BK257" i="27" s="1"/>
  <c r="BF386" i="27"/>
  <c r="BF388" i="27"/>
  <c r="BF387" i="27"/>
  <c r="BF383" i="27"/>
  <c r="BF385" i="27"/>
  <c r="BF384" i="27"/>
  <c r="AF304" i="27"/>
  <c r="BN304" i="27" s="1"/>
  <c r="AF307" i="27"/>
  <c r="BN307" i="27" s="1"/>
  <c r="AF303" i="27"/>
  <c r="BN303" i="27" s="1"/>
  <c r="AF302" i="27"/>
  <c r="BN302" i="27" s="1"/>
  <c r="AF301" i="27"/>
  <c r="BN301" i="27" s="1"/>
  <c r="AF305" i="27"/>
  <c r="BN305" i="27" s="1"/>
  <c r="AF306" i="27"/>
  <c r="BN306" i="27" s="1"/>
  <c r="AC359" i="27"/>
  <c r="BK359" i="27" s="1"/>
  <c r="AC358" i="27"/>
  <c r="BK358" i="27" s="1"/>
  <c r="AC360" i="27"/>
  <c r="BK360" i="27" s="1"/>
  <c r="AC354" i="27"/>
  <c r="BK354" i="27" s="1"/>
  <c r="AC355" i="27"/>
  <c r="BK355" i="27" s="1"/>
  <c r="AC356" i="27"/>
  <c r="BK356" i="27" s="1"/>
  <c r="AC357" i="27"/>
  <c r="BK357" i="27" s="1"/>
  <c r="AF212" i="27"/>
  <c r="BN212" i="27" s="1"/>
  <c r="AF214" i="27"/>
  <c r="BN214" i="27" s="1"/>
  <c r="AF216" i="27"/>
  <c r="BN216" i="27" s="1"/>
  <c r="AF213" i="27"/>
  <c r="BN213" i="27" s="1"/>
  <c r="AF211" i="27"/>
  <c r="BN211" i="27" s="1"/>
  <c r="AF215" i="27"/>
  <c r="BN215" i="27" s="1"/>
  <c r="AF217" i="27"/>
  <c r="BN217" i="27" s="1"/>
  <c r="AC351" i="27"/>
  <c r="BK351" i="27" s="1"/>
  <c r="AC349" i="27"/>
  <c r="BK349" i="27" s="1"/>
  <c r="AC352" i="27"/>
  <c r="BK352" i="27" s="1"/>
  <c r="AC350" i="27"/>
  <c r="BK350" i="27" s="1"/>
  <c r="AC348" i="27"/>
  <c r="BK348" i="27" s="1"/>
  <c r="AC346" i="27"/>
  <c r="BK346" i="27" s="1"/>
  <c r="AC347" i="27"/>
  <c r="BK347" i="27" s="1"/>
  <c r="AC222" i="27"/>
  <c r="BK222" i="27" s="1"/>
  <c r="AC219" i="27"/>
  <c r="BK219" i="27" s="1"/>
  <c r="AC225" i="27"/>
  <c r="BK225" i="27" s="1"/>
  <c r="AC223" i="27"/>
  <c r="BK223" i="27" s="1"/>
  <c r="AC221" i="27"/>
  <c r="BK221" i="27" s="1"/>
  <c r="AC224" i="27"/>
  <c r="BK224" i="27" s="1"/>
  <c r="AC220" i="27"/>
  <c r="BK220" i="27" s="1"/>
  <c r="AF266" i="27"/>
  <c r="BN266" i="27" s="1"/>
  <c r="AF267" i="27"/>
  <c r="BN267" i="27" s="1"/>
  <c r="AF269" i="27"/>
  <c r="BN269" i="27" s="1"/>
  <c r="AF264" i="27"/>
  <c r="BN264" i="27" s="1"/>
  <c r="AF268" i="27"/>
  <c r="BN268" i="27" s="1"/>
  <c r="AF270" i="27"/>
  <c r="BN270" i="27" s="1"/>
  <c r="AF265" i="27"/>
  <c r="BN265" i="27" s="1"/>
  <c r="AC384" i="27"/>
  <c r="BK384" i="27" s="1"/>
  <c r="AC387" i="27"/>
  <c r="BK387" i="27" s="1"/>
  <c r="BF303" i="27"/>
  <c r="BF302" i="27"/>
  <c r="BF305" i="27"/>
  <c r="BF306" i="27"/>
  <c r="BF304" i="27"/>
  <c r="BF301" i="27"/>
  <c r="BF307" i="27"/>
  <c r="AC82" i="27"/>
  <c r="BK82" i="27" s="1"/>
  <c r="AC76" i="27"/>
  <c r="BK76" i="27" s="1"/>
  <c r="AC77" i="27"/>
  <c r="BK77" i="27" s="1"/>
  <c r="AC78" i="27"/>
  <c r="BK78" i="27" s="1"/>
  <c r="AC79" i="27"/>
  <c r="BK79" i="27" s="1"/>
  <c r="AC80" i="27"/>
  <c r="BK80" i="27" s="1"/>
  <c r="AC81" i="27"/>
  <c r="BK81" i="27" s="1"/>
  <c r="AF81" i="27"/>
  <c r="BN81" i="27" s="1"/>
  <c r="AF79" i="27"/>
  <c r="BN79" i="27" s="1"/>
  <c r="AF82" i="27"/>
  <c r="BN82" i="27" s="1"/>
  <c r="AF76" i="27"/>
  <c r="BN76" i="27" s="1"/>
  <c r="AF80" i="27"/>
  <c r="BN80" i="27" s="1"/>
  <c r="AF77" i="27"/>
  <c r="BN77" i="27" s="1"/>
  <c r="AF78" i="27"/>
  <c r="BN78" i="27" s="1"/>
  <c r="AC307" i="27"/>
  <c r="BK307" i="27" s="1"/>
  <c r="AC305" i="27"/>
  <c r="BK305" i="27" s="1"/>
  <c r="AC303" i="27"/>
  <c r="BK303" i="27" s="1"/>
  <c r="AC306" i="27"/>
  <c r="BK306" i="27" s="1"/>
  <c r="AC304" i="27"/>
  <c r="BK304" i="27" s="1"/>
  <c r="AC302" i="27"/>
  <c r="BK302" i="27" s="1"/>
  <c r="AC301" i="27"/>
  <c r="BK301" i="27" s="1"/>
  <c r="BF268" i="27"/>
  <c r="BF264" i="27"/>
  <c r="AF258" i="27"/>
  <c r="BN258" i="27" s="1"/>
  <c r="AF256" i="27"/>
  <c r="BN256" i="27" s="1"/>
  <c r="AF262" i="27"/>
  <c r="BN262" i="27" s="1"/>
  <c r="AF261" i="27"/>
  <c r="BN261" i="27" s="1"/>
  <c r="AF260" i="27"/>
  <c r="BN260" i="27" s="1"/>
  <c r="AF257" i="27"/>
  <c r="BN257" i="27" s="1"/>
  <c r="AF259" i="27"/>
  <c r="BN259" i="27" s="1"/>
  <c r="P119" i="21"/>
  <c r="BF122" i="27"/>
  <c r="BF124" i="27"/>
  <c r="BF125" i="27"/>
  <c r="BF171" i="27"/>
  <c r="BF169" i="27"/>
  <c r="BF167" i="27"/>
  <c r="BF170" i="27"/>
  <c r="BF172" i="27"/>
  <c r="BF168" i="27"/>
  <c r="BF166" i="27"/>
  <c r="AF219" i="27"/>
  <c r="BN219" i="27" s="1"/>
  <c r="AF223" i="27"/>
  <c r="BN223" i="27" s="1"/>
  <c r="AF221" i="27"/>
  <c r="BN221" i="27" s="1"/>
  <c r="AF220" i="27"/>
  <c r="BN220" i="27" s="1"/>
  <c r="AF222" i="27"/>
  <c r="BN222" i="27" s="1"/>
  <c r="AF225" i="27"/>
  <c r="BN225" i="27" s="1"/>
  <c r="AF224" i="27"/>
  <c r="BN224" i="27" s="1"/>
  <c r="AF354" i="27"/>
  <c r="BN354" i="27" s="1"/>
  <c r="AF360" i="27"/>
  <c r="BN360" i="27" s="1"/>
  <c r="AF358" i="27"/>
  <c r="BN358" i="27" s="1"/>
  <c r="AF355" i="27"/>
  <c r="BN355" i="27" s="1"/>
  <c r="AF356" i="27"/>
  <c r="BN356" i="27" s="1"/>
  <c r="AF357" i="27"/>
  <c r="BN357" i="27" s="1"/>
  <c r="AF359" i="27"/>
  <c r="BN359" i="27" s="1"/>
  <c r="AF350" i="27"/>
  <c r="BN350" i="27" s="1"/>
  <c r="AF346" i="27"/>
  <c r="BN346" i="27" s="1"/>
  <c r="AF348" i="27"/>
  <c r="BN348" i="27" s="1"/>
  <c r="AF347" i="27"/>
  <c r="BN347" i="27" s="1"/>
  <c r="AF352" i="27"/>
  <c r="BN352" i="27" s="1"/>
  <c r="AF349" i="27"/>
  <c r="BN349" i="27" s="1"/>
  <c r="AF351" i="27"/>
  <c r="BN351" i="27" s="1"/>
  <c r="AC395" i="27"/>
  <c r="BK395" i="27" s="1"/>
  <c r="AC394" i="27"/>
  <c r="BK394" i="27" s="1"/>
  <c r="AC393" i="27"/>
  <c r="BK393" i="27" s="1"/>
  <c r="AC392" i="27"/>
  <c r="BK392" i="27" s="1"/>
  <c r="AC391" i="27"/>
  <c r="BK391" i="27" s="1"/>
  <c r="AC396" i="27"/>
  <c r="BK396" i="27" s="1"/>
  <c r="AC397" i="27"/>
  <c r="BK397" i="27" s="1"/>
  <c r="AC171" i="27"/>
  <c r="BK171" i="27" s="1"/>
  <c r="AC167" i="27"/>
  <c r="BK167" i="27" s="1"/>
  <c r="AC168" i="27"/>
  <c r="BK168" i="27" s="1"/>
  <c r="AC170" i="27"/>
  <c r="BK170" i="27" s="1"/>
  <c r="AC166" i="27"/>
  <c r="BK166" i="27" s="1"/>
  <c r="AC172" i="27"/>
  <c r="BK172" i="27" s="1"/>
  <c r="AC169" i="27"/>
  <c r="BK169" i="27" s="1"/>
  <c r="AC8" i="27"/>
  <c r="BK8" i="27" s="1"/>
  <c r="AC11" i="27"/>
  <c r="BK11" i="27" s="1"/>
  <c r="AC9" i="27"/>
  <c r="BK9" i="27" s="1"/>
  <c r="AC6" i="27"/>
  <c r="BK6" i="27" s="1"/>
  <c r="AC12" i="27"/>
  <c r="BK12" i="27" s="1"/>
  <c r="AC7" i="27"/>
  <c r="BK7" i="27" s="1"/>
  <c r="AC10" i="27"/>
  <c r="BK10" i="27" s="1"/>
  <c r="K7" i="21" a="1"/>
  <c r="K7" i="21" s="1"/>
  <c r="AC13" i="27" a="1"/>
  <c r="AC13" i="27" s="1"/>
  <c r="BK13" i="27" s="1"/>
  <c r="AC269" i="27"/>
  <c r="BK269" i="27" s="1"/>
  <c r="AC266" i="27"/>
  <c r="BK266" i="27" s="1"/>
  <c r="AC268" i="27"/>
  <c r="BK268" i="27" s="1"/>
  <c r="AC264" i="27"/>
  <c r="BK264" i="27" s="1"/>
  <c r="AC265" i="27"/>
  <c r="BK265" i="27" s="1"/>
  <c r="AC270" i="27"/>
  <c r="BK270" i="27" s="1"/>
  <c r="AC267" i="27"/>
  <c r="BK267" i="27" s="1"/>
  <c r="AF395" i="27"/>
  <c r="BN395" i="27" s="1"/>
  <c r="AF396" i="27"/>
  <c r="BN396" i="27" s="1"/>
  <c r="AF391" i="27"/>
  <c r="BN391" i="27" s="1"/>
  <c r="AF392" i="27"/>
  <c r="BN392" i="27" s="1"/>
  <c r="AF393" i="27"/>
  <c r="BN393" i="27" s="1"/>
  <c r="AF397" i="27"/>
  <c r="BN397" i="27" s="1"/>
  <c r="AF394" i="27"/>
  <c r="BN394" i="27" s="1"/>
  <c r="BF338" i="27"/>
  <c r="BF339" i="27"/>
  <c r="BF341" i="27"/>
  <c r="BF342" i="27"/>
  <c r="BF343" i="27"/>
  <c r="BF344" i="27"/>
  <c r="BF340" i="27"/>
  <c r="AC203" i="27"/>
  <c r="BK203" i="27" s="1"/>
  <c r="AC212" i="27"/>
  <c r="BK212" i="27" s="1"/>
  <c r="AC211" i="27"/>
  <c r="BK211" i="27" s="1"/>
  <c r="AC213" i="27"/>
  <c r="BK213" i="27" s="1"/>
  <c r="AC216" i="27"/>
  <c r="BK216" i="27" s="1"/>
  <c r="AC214" i="27"/>
  <c r="BK214" i="27" s="1"/>
  <c r="AC215" i="27"/>
  <c r="BK215" i="27" s="1"/>
  <c r="AC217" i="27"/>
  <c r="BK217" i="27" s="1"/>
  <c r="BF6" i="27"/>
  <c r="BF8" i="27"/>
  <c r="BF10" i="27"/>
  <c r="BF11" i="27"/>
  <c r="BF12" i="27"/>
  <c r="BF7" i="27"/>
  <c r="BF9" i="27"/>
  <c r="P77" i="21"/>
  <c r="P133" i="21"/>
  <c r="P105" i="21"/>
  <c r="P63" i="21"/>
  <c r="G177" i="6"/>
  <c r="M133" i="6"/>
  <c r="M190" i="6"/>
  <c r="G155" i="6"/>
  <c r="K10" i="21" a="1"/>
  <c r="K10" i="21" s="1"/>
  <c r="O66" i="21" a="1"/>
  <c r="O66" i="21" s="1"/>
  <c r="AG157" i="27" a="1"/>
  <c r="AG157" i="27" s="1"/>
  <c r="BO157" i="27" s="1"/>
  <c r="N38" i="21" a="1"/>
  <c r="N38" i="21" s="1"/>
  <c r="O108" i="21" a="1"/>
  <c r="O108" i="21" s="1"/>
  <c r="AG292" i="27" a="1"/>
  <c r="AG292" i="27" s="1"/>
  <c r="BO292" i="27" s="1"/>
  <c r="K136" i="21" a="1"/>
  <c r="K136" i="21" s="1"/>
  <c r="AH218" i="27"/>
  <c r="BP218" i="27" s="1"/>
  <c r="P24" i="16"/>
  <c r="AH367" i="27"/>
  <c r="BP367" i="27" s="1"/>
  <c r="AH369" i="27"/>
  <c r="BP369" i="27" s="1"/>
  <c r="AH366" i="27"/>
  <c r="BP366" i="27" s="1"/>
  <c r="AH371" i="27"/>
  <c r="BP371" i="27" s="1"/>
  <c r="AH368" i="27"/>
  <c r="BP368" i="27" s="1"/>
  <c r="AH370" i="27"/>
  <c r="BP370" i="27" s="1"/>
  <c r="AH372" i="27"/>
  <c r="BP372" i="27" s="1"/>
  <c r="AH404" i="27"/>
  <c r="BP404" i="27" s="1"/>
  <c r="AH402" i="27"/>
  <c r="BP402" i="27" s="1"/>
  <c r="AH400" i="27"/>
  <c r="BP400" i="27" s="1"/>
  <c r="AH403" i="27"/>
  <c r="BP403" i="27" s="1"/>
  <c r="AH399" i="27"/>
  <c r="BP399" i="27" s="1"/>
  <c r="AH401" i="27"/>
  <c r="BP401" i="27" s="1"/>
  <c r="AH405" i="27"/>
  <c r="BP405" i="27" s="1"/>
  <c r="AH282" i="27"/>
  <c r="BP282" i="27" s="1"/>
  <c r="AH278" i="27"/>
  <c r="BP278" i="27" s="1"/>
  <c r="AH280" i="27"/>
  <c r="BP280" i="27" s="1"/>
  <c r="AH276" i="27"/>
  <c r="BP276" i="27" s="1"/>
  <c r="AH277" i="27"/>
  <c r="BP277" i="27" s="1"/>
  <c r="AH279" i="27"/>
  <c r="BP279" i="27" s="1"/>
  <c r="AH281" i="27"/>
  <c r="BP281" i="27" s="1"/>
  <c r="AH145" i="27"/>
  <c r="BP145" i="27" s="1"/>
  <c r="AH144" i="27"/>
  <c r="BP144" i="27" s="1"/>
  <c r="K66" i="21" a="1"/>
  <c r="K66" i="21" s="1"/>
  <c r="K131" i="21" a="1"/>
  <c r="K131" i="21" s="1"/>
  <c r="O103" i="21" a="1"/>
  <c r="O103" i="21" s="1"/>
  <c r="AG274" i="27" a="1"/>
  <c r="AG274" i="27" s="1"/>
  <c r="BO274" i="27" s="1"/>
  <c r="K47" i="21" a="1"/>
  <c r="K47" i="21" s="1"/>
  <c r="AH327" i="27"/>
  <c r="BP327" i="27" s="1"/>
  <c r="AH325" i="27"/>
  <c r="BP325" i="27" s="1"/>
  <c r="AH323" i="27"/>
  <c r="BP323" i="27" s="1"/>
  <c r="AH321" i="27"/>
  <c r="BP321" i="27" s="1"/>
  <c r="AH322" i="27"/>
  <c r="BP322" i="27" s="1"/>
  <c r="AH324" i="27"/>
  <c r="BP324" i="27" s="1"/>
  <c r="AH326" i="27"/>
  <c r="BP326" i="27" s="1"/>
  <c r="AG331" i="27"/>
  <c r="BO331" i="27" s="1"/>
  <c r="AG334" i="27"/>
  <c r="BO334" i="27" s="1"/>
  <c r="AG335" i="27"/>
  <c r="BO335" i="27" s="1"/>
  <c r="AG332" i="27"/>
  <c r="BO332" i="27" s="1"/>
  <c r="AG333" i="27"/>
  <c r="BO333" i="27" s="1"/>
  <c r="AG330" i="27"/>
  <c r="BO330" i="27" s="1"/>
  <c r="AG329" i="27"/>
  <c r="BO329" i="27" s="1"/>
  <c r="AH52" i="27"/>
  <c r="BP52" i="27" s="1"/>
  <c r="AH56" i="27"/>
  <c r="BP56" i="27" s="1"/>
  <c r="AH51" i="27"/>
  <c r="BP51" i="27" s="1"/>
  <c r="AH53" i="27"/>
  <c r="BP53" i="27" s="1"/>
  <c r="AH54" i="27"/>
  <c r="BP54" i="27" s="1"/>
  <c r="AH55" i="27"/>
  <c r="BP55" i="27" s="1"/>
  <c r="AH57" i="27"/>
  <c r="BP57" i="27" s="1"/>
  <c r="AG166" i="27"/>
  <c r="BO166" i="27" s="1"/>
  <c r="AG171" i="27"/>
  <c r="BO171" i="27" s="1"/>
  <c r="AG172" i="27"/>
  <c r="BO172" i="27" s="1"/>
  <c r="AG168" i="27"/>
  <c r="BO168" i="27" s="1"/>
  <c r="AG169" i="27"/>
  <c r="BO169" i="27" s="1"/>
  <c r="AG167" i="27"/>
  <c r="BO167" i="27" s="1"/>
  <c r="AG170" i="27"/>
  <c r="BO170" i="27" s="1"/>
  <c r="F136" i="21" a="1"/>
  <c r="F136" i="21" s="1"/>
  <c r="K108" i="21" a="1"/>
  <c r="K108" i="21" s="1"/>
  <c r="AG214" i="27"/>
  <c r="BO214" i="27" s="1"/>
  <c r="AG216" i="27"/>
  <c r="BO216" i="27" s="1"/>
  <c r="AG217" i="27"/>
  <c r="BO217" i="27" s="1"/>
  <c r="AG212" i="27"/>
  <c r="BO212" i="27" s="1"/>
  <c r="AG213" i="27"/>
  <c r="BO213" i="27" s="1"/>
  <c r="AG215" i="27"/>
  <c r="BO215" i="27" s="1"/>
  <c r="AG211" i="27"/>
  <c r="BO211" i="27" s="1"/>
  <c r="N103" i="21" a="1"/>
  <c r="N103" i="21" s="1"/>
  <c r="F131" i="21" a="1"/>
  <c r="F131" i="21" s="1"/>
  <c r="AH283" i="27"/>
  <c r="BP283" i="27" s="1"/>
  <c r="N10" i="21" a="1"/>
  <c r="N10" i="21" s="1"/>
  <c r="AH165" i="27"/>
  <c r="BP165" i="27" s="1"/>
  <c r="F80" i="21" a="1"/>
  <c r="F80" i="21" s="1"/>
  <c r="F75" i="21" a="1"/>
  <c r="F75" i="21" s="1"/>
  <c r="O117" i="21" a="1"/>
  <c r="O117" i="21" s="1"/>
  <c r="AG319" i="27" a="1"/>
  <c r="AG319" i="27" s="1"/>
  <c r="N75" i="21" a="1"/>
  <c r="N75" i="21" s="1"/>
  <c r="O33" i="21" a="1"/>
  <c r="O33" i="21" s="1"/>
  <c r="AG49" i="27" a="1"/>
  <c r="AG49" i="27" s="1"/>
  <c r="BO49" i="27" s="1"/>
  <c r="AH373" i="27"/>
  <c r="BP373" i="27" s="1"/>
  <c r="AH59" i="27"/>
  <c r="BP59" i="27" s="1"/>
  <c r="AH63" i="27"/>
  <c r="BP63" i="27" s="1"/>
  <c r="AH60" i="27"/>
  <c r="BP60" i="27" s="1"/>
  <c r="AH65" i="27"/>
  <c r="BP65" i="27" s="1"/>
  <c r="AH62" i="27"/>
  <c r="BP62" i="27" s="1"/>
  <c r="AH148" i="27"/>
  <c r="BP148" i="27" s="1"/>
  <c r="N66" i="21" a="1"/>
  <c r="N66" i="21" s="1"/>
  <c r="N109" i="21" a="1"/>
  <c r="N109" i="21" s="1"/>
  <c r="K122" i="21" a="1"/>
  <c r="K122" i="21" s="1"/>
  <c r="N80" i="21" a="1"/>
  <c r="N80" i="21" s="1"/>
  <c r="O12" i="21" a="1"/>
  <c r="O12" i="21" s="1"/>
  <c r="K75" i="21" a="1"/>
  <c r="K75" i="21" s="1"/>
  <c r="F47" i="21" a="1"/>
  <c r="F47" i="21" s="1"/>
  <c r="AG152" i="27"/>
  <c r="BO152" i="27" s="1"/>
  <c r="AG150" i="27"/>
  <c r="BO150" i="27" s="1"/>
  <c r="AG149" i="27"/>
  <c r="BO149" i="27" s="1"/>
  <c r="AG153" i="27"/>
  <c r="BO153" i="27" s="1"/>
  <c r="AG155" i="27"/>
  <c r="BO155" i="27" s="1"/>
  <c r="AG154" i="27"/>
  <c r="BO154" i="27" s="1"/>
  <c r="AG151" i="27"/>
  <c r="BO151" i="27" s="1"/>
  <c r="AH345" i="27"/>
  <c r="BP345" i="27" s="1"/>
  <c r="N33" i="21" a="1"/>
  <c r="N33" i="21" s="1"/>
  <c r="F122" i="21" a="1"/>
  <c r="F122" i="21" s="1"/>
  <c r="K80" i="21" a="1"/>
  <c r="K80" i="21" s="1"/>
  <c r="O122" i="21" a="1"/>
  <c r="O122" i="21" s="1"/>
  <c r="AG337" i="27" a="1"/>
  <c r="AG337" i="27" s="1"/>
  <c r="BO337" i="27" s="1"/>
  <c r="O80" i="21" a="1"/>
  <c r="O80" i="21" s="1"/>
  <c r="AG202" i="27" a="1"/>
  <c r="AG202" i="27" s="1"/>
  <c r="BO202" i="27" s="1"/>
  <c r="AH328" i="27"/>
  <c r="BP328" i="27" s="1"/>
  <c r="AH83" i="27"/>
  <c r="BP83" i="27" s="1"/>
  <c r="AH101" i="27"/>
  <c r="BP101" i="27" s="1"/>
  <c r="AH100" i="27"/>
  <c r="BP100" i="27" s="1"/>
  <c r="AH102" i="27"/>
  <c r="BP102" i="27" s="1"/>
  <c r="AH97" i="27"/>
  <c r="BP97" i="27" s="1"/>
  <c r="AH99" i="27"/>
  <c r="BP99" i="27" s="1"/>
  <c r="AH96" i="27"/>
  <c r="BP96" i="27" s="1"/>
  <c r="AH98" i="27"/>
  <c r="BP98" i="27" s="1"/>
  <c r="AH176" i="27"/>
  <c r="BP176" i="27" s="1"/>
  <c r="AH180" i="27"/>
  <c r="BP180" i="27" s="1"/>
  <c r="AH177" i="27"/>
  <c r="BP177" i="27" s="1"/>
  <c r="AH175" i="27"/>
  <c r="BP175" i="27" s="1"/>
  <c r="AH179" i="27"/>
  <c r="BP179" i="27" s="1"/>
  <c r="AH174" i="27"/>
  <c r="BP174" i="27" s="1"/>
  <c r="AH178" i="27"/>
  <c r="BP178" i="27" s="1"/>
  <c r="AG352" i="27"/>
  <c r="BO352" i="27" s="1"/>
  <c r="AG349" i="27"/>
  <c r="BO349" i="27" s="1"/>
  <c r="AG346" i="27"/>
  <c r="BO346" i="27" s="1"/>
  <c r="AG350" i="27"/>
  <c r="BO350" i="27" s="1"/>
  <c r="AG351" i="27"/>
  <c r="BO351" i="27" s="1"/>
  <c r="AG347" i="27"/>
  <c r="BO347" i="27" s="1"/>
  <c r="AG348" i="27"/>
  <c r="BO348" i="27" s="1"/>
  <c r="AG394" i="27"/>
  <c r="BO394" i="27" s="1"/>
  <c r="AG393" i="27"/>
  <c r="BO393" i="27" s="1"/>
  <c r="AG395" i="27"/>
  <c r="BO395" i="27" s="1"/>
  <c r="AG391" i="27"/>
  <c r="BO391" i="27" s="1"/>
  <c r="AG396" i="27"/>
  <c r="BO396" i="27" s="1"/>
  <c r="AG397" i="27"/>
  <c r="BO397" i="27" s="1"/>
  <c r="AG392" i="27"/>
  <c r="BO392" i="27" s="1"/>
  <c r="N122" i="21" a="1"/>
  <c r="N122" i="21" s="1"/>
  <c r="O136" i="21" a="1"/>
  <c r="O136" i="21" s="1"/>
  <c r="AG382" i="27" a="1"/>
  <c r="AG382" i="27" s="1"/>
  <c r="BO382" i="27" s="1"/>
  <c r="P29" i="16"/>
  <c r="D8" i="10"/>
  <c r="AD5" i="27" a="1"/>
  <c r="AD5" i="27" s="1"/>
  <c r="BL5" i="27" s="1"/>
  <c r="N47" i="21" a="1"/>
  <c r="N47" i="21" s="1"/>
  <c r="O131" i="21" a="1"/>
  <c r="O131" i="21" s="1"/>
  <c r="AG364" i="27" a="1"/>
  <c r="AG364" i="27" s="1"/>
  <c r="BO364" i="27" s="1"/>
  <c r="K33" i="21" a="1"/>
  <c r="K33" i="21" s="1"/>
  <c r="AG287" i="27"/>
  <c r="BO287" i="27" s="1"/>
  <c r="AG284" i="27"/>
  <c r="BO284" i="27" s="1"/>
  <c r="AG290" i="27"/>
  <c r="BO290" i="27" s="1"/>
  <c r="AG285" i="27"/>
  <c r="BO285" i="27" s="1"/>
  <c r="AG286" i="27"/>
  <c r="BO286" i="27" s="1"/>
  <c r="AG288" i="27"/>
  <c r="BO288" i="27" s="1"/>
  <c r="AG289" i="27"/>
  <c r="BO289" i="27" s="1"/>
  <c r="K38" i="21" a="1"/>
  <c r="K38" i="21" s="1"/>
  <c r="N136" i="21" a="1"/>
  <c r="N136" i="21" s="1"/>
  <c r="AG306" i="27"/>
  <c r="BO306" i="27" s="1"/>
  <c r="AG307" i="27"/>
  <c r="BO307" i="27" s="1"/>
  <c r="AG301" i="27"/>
  <c r="BO301" i="27" s="1"/>
  <c r="AG302" i="27"/>
  <c r="BO302" i="27" s="1"/>
  <c r="AG305" i="27"/>
  <c r="BO305" i="27" s="1"/>
  <c r="AG303" i="27"/>
  <c r="BO303" i="27" s="1"/>
  <c r="AG304" i="27"/>
  <c r="BO304" i="27" s="1"/>
  <c r="AH313" i="27"/>
  <c r="BP313" i="27" s="1"/>
  <c r="AH311" i="27"/>
  <c r="BP311" i="27" s="1"/>
  <c r="AH315" i="27"/>
  <c r="BP315" i="27" s="1"/>
  <c r="AH309" i="27"/>
  <c r="BP309" i="27" s="1"/>
  <c r="AH312" i="27"/>
  <c r="BP312" i="27" s="1"/>
  <c r="AH314" i="27"/>
  <c r="BP314" i="27" s="1"/>
  <c r="AH310" i="27"/>
  <c r="BP310" i="27" s="1"/>
  <c r="AH134" i="27"/>
  <c r="BP134" i="27" s="1"/>
  <c r="AH133" i="27"/>
  <c r="BP133" i="27" s="1"/>
  <c r="AH135" i="27"/>
  <c r="BP135" i="27" s="1"/>
  <c r="AH131" i="27"/>
  <c r="BP131" i="27" s="1"/>
  <c r="AH130" i="27"/>
  <c r="BP130" i="27" s="1"/>
  <c r="AH132" i="27"/>
  <c r="BP132" i="27" s="1"/>
  <c r="AH129" i="27"/>
  <c r="BP129" i="27" s="1"/>
  <c r="AG197" i="27"/>
  <c r="BO197" i="27" s="1"/>
  <c r="AG196" i="27"/>
  <c r="BO196" i="27" s="1"/>
  <c r="AG200" i="27"/>
  <c r="BO200" i="27" s="1"/>
  <c r="AG194" i="27"/>
  <c r="BO194" i="27" s="1"/>
  <c r="AG199" i="27"/>
  <c r="BO199" i="27" s="1"/>
  <c r="AG198" i="27"/>
  <c r="BO198" i="27" s="1"/>
  <c r="AG195" i="27"/>
  <c r="BO195" i="27" s="1"/>
  <c r="AG43" i="27"/>
  <c r="BO43" i="27" s="1"/>
  <c r="AG42" i="27"/>
  <c r="BO42" i="27" s="1"/>
  <c r="AG44" i="27"/>
  <c r="BO44" i="27" s="1"/>
  <c r="AG45" i="27"/>
  <c r="BO45" i="27" s="1"/>
  <c r="AG39" i="27"/>
  <c r="BO39" i="27" s="1"/>
  <c r="AG40" i="27"/>
  <c r="BO40" i="27" s="1"/>
  <c r="AG41" i="27"/>
  <c r="BO41" i="27" s="1"/>
  <c r="M10" i="14"/>
  <c r="P91" i="21"/>
  <c r="AH235" i="27"/>
  <c r="BP235" i="27" s="1"/>
  <c r="AH232" i="27"/>
  <c r="BP232" i="27" s="1"/>
  <c r="AH237" i="27"/>
  <c r="BP237" i="27" s="1"/>
  <c r="AH231" i="27"/>
  <c r="BP231" i="27" s="1"/>
  <c r="AH236" i="27"/>
  <c r="BP236" i="27" s="1"/>
  <c r="AH233" i="27"/>
  <c r="BP233" i="27" s="1"/>
  <c r="AH234" i="27"/>
  <c r="BP234" i="27" s="1"/>
  <c r="E21" i="21" a="1"/>
  <c r="E21" i="21" s="1"/>
  <c r="H21" i="21" a="1"/>
  <c r="H21" i="21" s="1"/>
  <c r="O20" i="21" a="1"/>
  <c r="O20" i="21" s="1"/>
  <c r="L21" i="21" a="1"/>
  <c r="L21" i="21" s="1"/>
  <c r="J21" i="21" a="1"/>
  <c r="J21" i="21" s="1"/>
  <c r="K94" i="21" a="1"/>
  <c r="K94" i="21" s="1"/>
  <c r="F20" i="21" a="1"/>
  <c r="F20" i="21" s="1"/>
  <c r="AH238" i="27"/>
  <c r="BP238" i="27" s="1"/>
  <c r="G21" i="21" a="1"/>
  <c r="G21" i="21" s="1"/>
  <c r="F94" i="21" a="1"/>
  <c r="F94" i="21" s="1"/>
  <c r="AG242" i="27"/>
  <c r="BO242" i="27" s="1"/>
  <c r="AG241" i="27"/>
  <c r="BO241" i="27" s="1"/>
  <c r="AG240" i="27"/>
  <c r="BO240" i="27" s="1"/>
  <c r="AG244" i="27"/>
  <c r="BO244" i="27" s="1"/>
  <c r="AG243" i="27"/>
  <c r="BO243" i="27" s="1"/>
  <c r="AG245" i="27"/>
  <c r="BO245" i="27" s="1"/>
  <c r="AG239" i="27"/>
  <c r="BO239" i="27" s="1"/>
  <c r="M21" i="21" a="1"/>
  <c r="M21" i="21" s="1"/>
  <c r="D21" i="21" a="1"/>
  <c r="D21" i="21" s="1"/>
  <c r="K20" i="21" a="1"/>
  <c r="K20" i="21" s="1"/>
  <c r="N89" i="21" a="1"/>
  <c r="N89" i="21" s="1"/>
  <c r="N94" i="21" a="1"/>
  <c r="N94" i="21" s="1"/>
  <c r="I21" i="21" a="1"/>
  <c r="I21" i="21" s="1"/>
  <c r="G14" i="10"/>
  <c r="N20" i="21" a="1"/>
  <c r="N20" i="21" s="1"/>
  <c r="O95" i="21" a="1"/>
  <c r="O95" i="21" s="1"/>
  <c r="AG255" i="27" a="1"/>
  <c r="AG255" i="27" s="1"/>
  <c r="G71" i="6"/>
  <c r="M76" i="6"/>
  <c r="M73" i="6"/>
  <c r="G68" i="6"/>
  <c r="J173" i="6"/>
  <c r="J33" i="6" s="1"/>
  <c r="G153" i="6"/>
  <c r="M95" i="6"/>
  <c r="E200" i="6"/>
  <c r="M71" i="6"/>
  <c r="E36" i="6"/>
  <c r="K8" i="14"/>
  <c r="M192" i="6"/>
  <c r="M113" i="6"/>
  <c r="M116" i="6"/>
  <c r="M177" i="6"/>
  <c r="K12" i="21" a="1"/>
  <c r="K12" i="21" s="1"/>
  <c r="L185" i="10"/>
  <c r="Y131" i="21" s="1" a="1"/>
  <c r="Y131" i="21" s="1"/>
  <c r="L147" i="10"/>
  <c r="Y103" i="21" s="1" a="1"/>
  <c r="Y103" i="21" s="1"/>
  <c r="P118" i="21"/>
  <c r="L104" i="10"/>
  <c r="T75" i="21" s="1" a="1"/>
  <c r="T75" i="21" s="1"/>
  <c r="L93" i="10"/>
  <c r="AB61" i="21" s="1" a="1"/>
  <c r="AB61" i="21" s="1"/>
  <c r="P49" i="21"/>
  <c r="E10" i="14"/>
  <c r="M100" i="14"/>
  <c r="M160" i="14"/>
  <c r="M200" i="14"/>
  <c r="P138" i="21"/>
  <c r="M135" i="6"/>
  <c r="G69" i="6"/>
  <c r="E37" i="6"/>
  <c r="G74" i="6"/>
  <c r="E39" i="6"/>
  <c r="M70" i="6"/>
  <c r="G135" i="6"/>
  <c r="G190" i="6"/>
  <c r="D28" i="6"/>
  <c r="G94" i="6"/>
  <c r="L48" i="10"/>
  <c r="U33" i="21" s="1" a="1"/>
  <c r="U33" i="21" s="1"/>
  <c r="O39" i="21" a="1"/>
  <c r="O39" i="21" s="1"/>
  <c r="E19" i="14"/>
  <c r="AG30" i="27" s="1" a="1"/>
  <c r="AG30" i="27" s="1"/>
  <c r="BO30" i="27" s="1"/>
  <c r="G17" i="14"/>
  <c r="AE38" i="27" s="1" a="1"/>
  <c r="AE38" i="27" s="1"/>
  <c r="BM38" i="27" s="1"/>
  <c r="N39" i="21" a="1"/>
  <c r="N39" i="21" s="1"/>
  <c r="E18" i="14"/>
  <c r="AF30" i="27" s="1" a="1"/>
  <c r="AF30" i="27" s="1"/>
  <c r="BN30" i="27" s="1"/>
  <c r="G38" i="14"/>
  <c r="P62" i="21"/>
  <c r="K39" i="21" a="1"/>
  <c r="K39" i="21" s="1"/>
  <c r="E15" i="14"/>
  <c r="AC30" i="27" s="1" a="1"/>
  <c r="AC30" i="27" s="1"/>
  <c r="BK30" i="27" s="1"/>
  <c r="G91" i="6"/>
  <c r="M69" i="6"/>
  <c r="P104" i="21"/>
  <c r="X75" i="21" a="1"/>
  <c r="X75" i="21" s="1"/>
  <c r="AA61" i="21" a="1"/>
  <c r="AA61" i="21" s="1"/>
  <c r="S131" i="21" a="1"/>
  <c r="S131" i="21" s="1"/>
  <c r="V75" i="21" a="1"/>
  <c r="V75" i="21" s="1"/>
  <c r="W89" i="21" a="1"/>
  <c r="W89" i="21" s="1"/>
  <c r="G36" i="10"/>
  <c r="N21" i="21" a="1"/>
  <c r="N21" i="21" s="1"/>
  <c r="AA75" i="21" a="1"/>
  <c r="AA75" i="21" s="1"/>
  <c r="V61" i="21" a="1"/>
  <c r="V61" i="21" s="1"/>
  <c r="W131" i="21" a="1"/>
  <c r="W131" i="21" s="1"/>
  <c r="S47" i="21" a="1"/>
  <c r="S47" i="21" s="1"/>
  <c r="L85" i="10"/>
  <c r="N117" i="21" a="1"/>
  <c r="N117" i="21" s="1"/>
  <c r="O61" i="21" a="1"/>
  <c r="O61" i="21" s="1"/>
  <c r="K89" i="21" a="1"/>
  <c r="K89" i="21" s="1"/>
  <c r="F64" i="21" a="1"/>
  <c r="F64" i="21" s="1"/>
  <c r="P64" i="21" s="1"/>
  <c r="E95" i="10"/>
  <c r="E171" i="10"/>
  <c r="F120" i="21" a="1"/>
  <c r="F120" i="21" s="1"/>
  <c r="P120" i="21" s="1"/>
  <c r="J14" i="10"/>
  <c r="K6" i="21" a="1"/>
  <c r="K6" i="21" s="1"/>
  <c r="K3" i="21" a="1"/>
  <c r="K3" i="21" s="1"/>
  <c r="E16" i="19"/>
  <c r="N46" i="21" a="1"/>
  <c r="N46" i="21" s="1"/>
  <c r="E126" i="19"/>
  <c r="O88" i="21" a="1"/>
  <c r="O88" i="21" s="1"/>
  <c r="O47" i="21" a="1"/>
  <c r="O47" i="21" s="1"/>
  <c r="F117" i="21" a="1"/>
  <c r="F117" i="21" s="1"/>
  <c r="AB117" i="21" a="1"/>
  <c r="AB117" i="21" s="1"/>
  <c r="F106" i="21" a="1"/>
  <c r="F106" i="21" s="1"/>
  <c r="P106" i="21" s="1"/>
  <c r="E152" i="10"/>
  <c r="E9" i="10"/>
  <c r="F8" i="21" s="1" a="1"/>
  <c r="F8" i="21" s="1"/>
  <c r="F6" i="21" a="1"/>
  <c r="F6" i="21" s="1"/>
  <c r="D8" i="19"/>
  <c r="F3" i="21" s="1" a="1"/>
  <c r="F3" i="21" s="1"/>
  <c r="S89" i="21" a="1"/>
  <c r="S89" i="21" s="1"/>
  <c r="U75" i="21" a="1"/>
  <c r="U75" i="21" s="1"/>
  <c r="AA131" i="21" a="1"/>
  <c r="AA131" i="21" s="1"/>
  <c r="U89" i="21" a="1"/>
  <c r="U89" i="21" s="1"/>
  <c r="Z103" i="21" a="1"/>
  <c r="Z103" i="21" s="1"/>
  <c r="M170" i="14"/>
  <c r="F124" i="21" a="1"/>
  <c r="F124" i="21" s="1"/>
  <c r="L132" i="10"/>
  <c r="L75" i="10"/>
  <c r="L161" i="10"/>
  <c r="K117" i="21" a="1"/>
  <c r="K117" i="21" s="1"/>
  <c r="K61" i="21" a="1"/>
  <c r="K61" i="21" s="1"/>
  <c r="O89" i="21" a="1"/>
  <c r="O89" i="21" s="1"/>
  <c r="K36" i="21" a="1"/>
  <c r="K36" i="21" s="1"/>
  <c r="E33" i="10"/>
  <c r="K22" i="21" s="1" a="1"/>
  <c r="K22" i="21" s="1"/>
  <c r="E57" i="10"/>
  <c r="F134" i="21" a="1"/>
  <c r="F134" i="21" s="1"/>
  <c r="P134" i="21" s="1"/>
  <c r="E190" i="10"/>
  <c r="P54" i="21"/>
  <c r="Z47" i="21" a="1"/>
  <c r="Z47" i="21" s="1"/>
  <c r="E162" i="19"/>
  <c r="F116" i="21" a="1"/>
  <c r="F116" i="21" s="1"/>
  <c r="P116" i="21" s="1"/>
  <c r="N131" i="21" a="1"/>
  <c r="N131" i="21" s="1"/>
  <c r="N61" i="21" a="1"/>
  <c r="N61" i="21" s="1"/>
  <c r="L166" i="10"/>
  <c r="P34" i="21"/>
  <c r="P132" i="21"/>
  <c r="AA103" i="21" a="1"/>
  <c r="AA103" i="21" s="1"/>
  <c r="Z61" i="21" a="1"/>
  <c r="Z61" i="21" s="1"/>
  <c r="S117" i="21" a="1"/>
  <c r="S117" i="21" s="1"/>
  <c r="Z131" i="21" a="1"/>
  <c r="Z131" i="21" s="1"/>
  <c r="P32" i="21"/>
  <c r="P35" i="21"/>
  <c r="AA89" i="21" a="1"/>
  <c r="AA89" i="21" s="1"/>
  <c r="I20" i="21" a="1"/>
  <c r="I20" i="21" s="1"/>
  <c r="G31" i="10"/>
  <c r="Z75" i="21" a="1"/>
  <c r="Z75" i="21" s="1"/>
  <c r="K34" i="6"/>
  <c r="E60" i="6"/>
  <c r="F89" i="21" a="1"/>
  <c r="F89" i="21" s="1"/>
  <c r="G152" i="6"/>
  <c r="G158" i="6"/>
  <c r="G113" i="6"/>
  <c r="M20" i="21" a="1"/>
  <c r="M20" i="21" s="1"/>
  <c r="G35" i="10"/>
  <c r="AB47" i="21" a="1"/>
  <c r="AB47" i="21" s="1"/>
  <c r="U117" i="21" a="1"/>
  <c r="U117" i="21" s="1"/>
  <c r="G33" i="10"/>
  <c r="K21" i="21" a="1"/>
  <c r="K21" i="21" s="1"/>
  <c r="S61" i="21" a="1"/>
  <c r="S61" i="21" s="1"/>
  <c r="M110" i="14"/>
  <c r="F82" i="21" a="1"/>
  <c r="F82" i="21" s="1"/>
  <c r="M135" i="14"/>
  <c r="K96" i="21" a="1"/>
  <c r="K96" i="21" s="1"/>
  <c r="L123" i="10"/>
  <c r="P68" i="21"/>
  <c r="X103" i="21" a="1"/>
  <c r="X103" i="21" s="1"/>
  <c r="L20" i="21" a="1"/>
  <c r="L20" i="21" s="1"/>
  <c r="G34" i="10"/>
  <c r="K158" i="14"/>
  <c r="N108" i="21" a="1"/>
  <c r="N108" i="21" s="1"/>
  <c r="M178" i="14"/>
  <c r="N124" i="21" a="1"/>
  <c r="N124" i="21" s="1"/>
  <c r="L180" i="10"/>
  <c r="P110" i="21"/>
  <c r="AB103" i="21" a="1"/>
  <c r="AB103" i="21" s="1"/>
  <c r="G37" i="10"/>
  <c r="O21" i="21" a="1"/>
  <c r="O21" i="21" s="1"/>
  <c r="S75" i="21" a="1"/>
  <c r="S75" i="21" s="1"/>
  <c r="X89" i="21" a="1"/>
  <c r="X89" i="21" s="1"/>
  <c r="W61" i="21" a="1"/>
  <c r="W61" i="21" s="1"/>
  <c r="X61" i="21" a="1"/>
  <c r="X61" i="21" s="1"/>
  <c r="M118" i="6"/>
  <c r="M115" i="14"/>
  <c r="K82" i="21" a="1"/>
  <c r="K82" i="21" s="1"/>
  <c r="M175" i="14"/>
  <c r="K124" i="21" a="1"/>
  <c r="K124" i="21" s="1"/>
  <c r="G149" i="6"/>
  <c r="E120" i="6"/>
  <c r="F50" i="21" a="1"/>
  <c r="F50" i="21" s="1"/>
  <c r="P50" i="21" s="1"/>
  <c r="E28" i="10"/>
  <c r="E76" i="10"/>
  <c r="F78" i="21" a="1"/>
  <c r="F78" i="21" s="1"/>
  <c r="P78" i="21" s="1"/>
  <c r="E114" i="10"/>
  <c r="Z89" i="21" a="1"/>
  <c r="Z89" i="21" s="1"/>
  <c r="W103" i="21" a="1"/>
  <c r="W103" i="21" s="1"/>
  <c r="V89" i="21" a="1"/>
  <c r="V89" i="21" s="1"/>
  <c r="W75" i="21" a="1"/>
  <c r="W75" i="21" s="1"/>
  <c r="AA117" i="21" a="1"/>
  <c r="AA117" i="21" s="1"/>
  <c r="U61" i="21" a="1"/>
  <c r="U61" i="21" s="1"/>
  <c r="V103" i="21" a="1"/>
  <c r="V103" i="21" s="1"/>
  <c r="AA47" i="21" a="1"/>
  <c r="AA47" i="21" s="1"/>
  <c r="U131" i="21" a="1"/>
  <c r="U131" i="21" s="1"/>
  <c r="U103" i="21" a="1"/>
  <c r="U103" i="21" s="1"/>
  <c r="D32" i="6"/>
  <c r="X117" i="21" a="1"/>
  <c r="X117" i="21" s="1"/>
  <c r="V117" i="21" a="1"/>
  <c r="V117" i="21" s="1"/>
  <c r="Y61" i="21" a="1"/>
  <c r="Y61" i="21" s="1"/>
  <c r="AC131" i="21" a="1"/>
  <c r="AC131" i="21" s="1"/>
  <c r="Z117" i="21" a="1"/>
  <c r="Z117" i="21" s="1"/>
  <c r="W47" i="21" a="1"/>
  <c r="W47" i="21" s="1"/>
  <c r="V131" i="21" a="1"/>
  <c r="V131" i="21" s="1"/>
  <c r="S103" i="21" a="1"/>
  <c r="S103" i="21" s="1"/>
  <c r="G28" i="10"/>
  <c r="F21" i="21" a="1"/>
  <c r="F21" i="21" s="1"/>
  <c r="G20" i="21" a="1"/>
  <c r="G20" i="21" s="1"/>
  <c r="G29" i="10"/>
  <c r="W117" i="21" a="1"/>
  <c r="W117" i="21" s="1"/>
  <c r="U47" i="21" a="1"/>
  <c r="U47" i="21" s="1"/>
  <c r="K139" i="14"/>
  <c r="O94" i="21" a="1"/>
  <c r="O94" i="21" s="1"/>
  <c r="M138" i="14"/>
  <c r="N96" i="21" a="1"/>
  <c r="N96" i="21" s="1"/>
  <c r="E54" i="19"/>
  <c r="L109" i="10"/>
  <c r="AB89" i="21" a="1"/>
  <c r="AB89" i="21" s="1"/>
  <c r="L66" i="10"/>
  <c r="F103" i="21" a="1"/>
  <c r="F103" i="21" s="1"/>
  <c r="O75" i="21" a="1"/>
  <c r="O75" i="21" s="1"/>
  <c r="O36" i="21" a="1"/>
  <c r="O36" i="21" s="1"/>
  <c r="E37" i="10"/>
  <c r="O22" i="21" s="1" a="1"/>
  <c r="O22" i="21" s="1"/>
  <c r="N36" i="21" a="1"/>
  <c r="N36" i="21" s="1"/>
  <c r="E36" i="10"/>
  <c r="N22" i="21" s="1" a="1"/>
  <c r="N22" i="21" s="1"/>
  <c r="F92" i="21" a="1"/>
  <c r="F92" i="21" s="1"/>
  <c r="P92" i="21" s="1"/>
  <c r="E133" i="10"/>
  <c r="P48" i="21"/>
  <c r="P76" i="21"/>
  <c r="E20" i="21" a="1"/>
  <c r="E20" i="21" s="1"/>
  <c r="G27" i="10"/>
  <c r="H20" i="21" a="1"/>
  <c r="H20" i="21" s="1"/>
  <c r="G30" i="10"/>
  <c r="J20" i="21" a="1"/>
  <c r="J20" i="21" s="1"/>
  <c r="G32" i="10"/>
  <c r="D20" i="21" a="1"/>
  <c r="D20" i="21" s="1"/>
  <c r="G26" i="10"/>
  <c r="X131" i="21" a="1"/>
  <c r="X131" i="21" s="1"/>
  <c r="X47" i="21" a="1"/>
  <c r="X47" i="21" s="1"/>
  <c r="M118" i="14"/>
  <c r="N82" i="21" a="1"/>
  <c r="N82" i="21" s="1"/>
  <c r="M130" i="14"/>
  <c r="F96" i="21" a="1"/>
  <c r="F96" i="21" s="1"/>
  <c r="K10" i="14"/>
  <c r="E144" i="19"/>
  <c r="F102" i="21" a="1"/>
  <c r="F102" i="21" s="1"/>
  <c r="P102" i="21" s="1"/>
  <c r="F61" i="21" a="1"/>
  <c r="F61" i="21" s="1"/>
  <c r="K103" i="21" a="1"/>
  <c r="K103" i="21" s="1"/>
  <c r="L142" i="10"/>
  <c r="L113" i="10"/>
  <c r="P90" i="21"/>
  <c r="G12" i="14"/>
  <c r="Z38" i="27" s="1" a="1"/>
  <c r="Z38" i="27" s="1"/>
  <c r="BH38" i="27" s="1"/>
  <c r="L12" i="21" a="1"/>
  <c r="L12" i="21" s="1"/>
  <c r="L75" i="14"/>
  <c r="N75" i="14" s="1"/>
  <c r="K53" i="21" a="1"/>
  <c r="K53" i="21" s="1"/>
  <c r="L199" i="14"/>
  <c r="O137" i="21" a="1"/>
  <c r="O137" i="21" s="1"/>
  <c r="E29" i="6"/>
  <c r="L70" i="14"/>
  <c r="N70" i="14" s="1"/>
  <c r="F53" i="21" a="1"/>
  <c r="F53" i="21" s="1"/>
  <c r="L159" i="14"/>
  <c r="O109" i="21" a="1"/>
  <c r="O109" i="21" s="1"/>
  <c r="L135" i="14"/>
  <c r="K95" i="21" a="1"/>
  <c r="K95" i="21" s="1"/>
  <c r="D51" i="21" a="1"/>
  <c r="D51" i="21" s="1"/>
  <c r="L150" i="14"/>
  <c r="F109" i="21" a="1"/>
  <c r="F109" i="21" s="1"/>
  <c r="L118" i="14"/>
  <c r="N81" i="21" a="1"/>
  <c r="N81" i="21" s="1"/>
  <c r="G77" i="6"/>
  <c r="L178" i="14"/>
  <c r="N123" i="21" a="1"/>
  <c r="N123" i="21" s="1"/>
  <c r="L90" i="14"/>
  <c r="F67" i="21" a="1"/>
  <c r="F67" i="21" s="1"/>
  <c r="L155" i="14"/>
  <c r="K109" i="21" a="1"/>
  <c r="K109" i="21" s="1"/>
  <c r="L130" i="14"/>
  <c r="F95" i="21" a="1"/>
  <c r="F95" i="21" s="1"/>
  <c r="L95" i="14"/>
  <c r="K67" i="21" a="1"/>
  <c r="K67" i="21" s="1"/>
  <c r="L79" i="14"/>
  <c r="N79" i="14" s="1"/>
  <c r="O53" i="21" a="1"/>
  <c r="O53" i="21" s="1"/>
  <c r="L138" i="14"/>
  <c r="N95" i="21" a="1"/>
  <c r="N95" i="21" s="1"/>
  <c r="L78" i="14"/>
  <c r="N78" i="14" s="1"/>
  <c r="N53" i="21" a="1"/>
  <c r="N53" i="21" s="1"/>
  <c r="L119" i="14"/>
  <c r="O81" i="21" a="1"/>
  <c r="O81" i="21" s="1"/>
  <c r="M77" i="6"/>
  <c r="G129" i="6"/>
  <c r="L195" i="14"/>
  <c r="K137" i="21" a="1"/>
  <c r="K137" i="21" s="1"/>
  <c r="G96" i="6"/>
  <c r="M129" i="6"/>
  <c r="M137" i="6"/>
  <c r="L198" i="14"/>
  <c r="N137" i="21" a="1"/>
  <c r="N137" i="21" s="1"/>
  <c r="L98" i="14"/>
  <c r="N67" i="21" a="1"/>
  <c r="N67" i="21" s="1"/>
  <c r="M112" i="6"/>
  <c r="L110" i="14"/>
  <c r="F81" i="21" a="1"/>
  <c r="F81" i="21" s="1"/>
  <c r="L175" i="14"/>
  <c r="K123" i="21" a="1"/>
  <c r="K123" i="21" s="1"/>
  <c r="L99" i="14"/>
  <c r="O67" i="21" a="1"/>
  <c r="O67" i="21" s="1"/>
  <c r="M72" i="6"/>
  <c r="K57" i="6"/>
  <c r="K37" i="6" s="1"/>
  <c r="M195" i="6"/>
  <c r="K51" i="6"/>
  <c r="K31" i="6" s="1"/>
  <c r="M178" i="6"/>
  <c r="G137" i="6"/>
  <c r="L170" i="14"/>
  <c r="F123" i="21" a="1"/>
  <c r="F123" i="21" s="1"/>
  <c r="L51" i="21" a="1"/>
  <c r="L51" i="21" s="1"/>
  <c r="L190" i="14"/>
  <c r="F137" i="21" a="1"/>
  <c r="F137" i="21" s="1"/>
  <c r="K109" i="6"/>
  <c r="K120" i="6" s="1"/>
  <c r="M96" i="6"/>
  <c r="G72" i="6"/>
  <c r="G150" i="6"/>
  <c r="G178" i="6"/>
  <c r="K149" i="6"/>
  <c r="K160" i="6" s="1"/>
  <c r="M94" i="6"/>
  <c r="G70" i="6"/>
  <c r="L179" i="14"/>
  <c r="O123" i="21" a="1"/>
  <c r="O123" i="21" s="1"/>
  <c r="M156" i="6"/>
  <c r="M154" i="6"/>
  <c r="L115" i="14"/>
  <c r="K81" i="21" a="1"/>
  <c r="K81" i="21" s="1"/>
  <c r="D11" i="21" a="1"/>
  <c r="D11" i="21" s="1"/>
  <c r="F140" i="6"/>
  <c r="G131" i="6"/>
  <c r="G130" i="6"/>
  <c r="M111" i="6"/>
  <c r="M174" i="6"/>
  <c r="L188" i="10"/>
  <c r="L71" i="10"/>
  <c r="K133" i="10"/>
  <c r="K114" i="10"/>
  <c r="K36" i="10"/>
  <c r="K76" i="10"/>
  <c r="K95" i="10"/>
  <c r="K152" i="10"/>
  <c r="K28" i="10"/>
  <c r="L128" i="10"/>
  <c r="L94" i="10"/>
  <c r="K171" i="10"/>
  <c r="K33" i="10"/>
  <c r="K37" i="10"/>
  <c r="E180" i="19"/>
  <c r="E108" i="19"/>
  <c r="E17" i="19"/>
  <c r="E90" i="19"/>
  <c r="E72" i="19"/>
  <c r="E8" i="19"/>
  <c r="F22" i="16" s="1" a="1"/>
  <c r="F22" i="16" s="1"/>
  <c r="G22" i="16" s="1"/>
  <c r="G9" i="10"/>
  <c r="M139" i="6"/>
  <c r="L128" i="6"/>
  <c r="L140" i="6" s="1"/>
  <c r="F100" i="6"/>
  <c r="G99" i="6"/>
  <c r="G134" i="6"/>
  <c r="M99" i="6"/>
  <c r="M134" i="6"/>
  <c r="M138" i="6"/>
  <c r="G138" i="6"/>
  <c r="G128" i="6"/>
  <c r="M193" i="6"/>
  <c r="M130" i="6"/>
  <c r="G108" i="6"/>
  <c r="G95" i="6"/>
  <c r="G174" i="6"/>
  <c r="M131" i="6"/>
  <c r="G194" i="6"/>
  <c r="G198" i="6"/>
  <c r="F120" i="6"/>
  <c r="M179" i="6"/>
  <c r="M176" i="6"/>
  <c r="L88" i="6"/>
  <c r="L100" i="6" s="1"/>
  <c r="G90" i="6"/>
  <c r="M90" i="6"/>
  <c r="G88" i="6"/>
  <c r="G112" i="6"/>
  <c r="M117" i="6"/>
  <c r="M155" i="6"/>
  <c r="G199" i="6"/>
  <c r="G188" i="6"/>
  <c r="G156" i="6"/>
  <c r="M194" i="6"/>
  <c r="D100" i="6"/>
  <c r="D7" i="10"/>
  <c r="D11" i="10"/>
  <c r="AA5" i="27" a="1"/>
  <c r="AA5" i="27" s="1"/>
  <c r="D16" i="10"/>
  <c r="AE5" i="27" s="1" a="1"/>
  <c r="AE5" i="27" s="1"/>
  <c r="BM5" i="27" s="1"/>
  <c r="D10" i="10"/>
  <c r="Y5" i="27" s="1" a="1"/>
  <c r="Y5" i="27" s="1"/>
  <c r="K39" i="6"/>
  <c r="K16" i="10"/>
  <c r="J7" i="21" a="1"/>
  <c r="J7" i="21" s="1"/>
  <c r="E80" i="6"/>
  <c r="M158" i="6"/>
  <c r="K80" i="6"/>
  <c r="M152" i="6"/>
  <c r="E34" i="6"/>
  <c r="M74" i="6"/>
  <c r="M110" i="6"/>
  <c r="M75" i="6"/>
  <c r="M93" i="6"/>
  <c r="K140" i="6"/>
  <c r="G75" i="6"/>
  <c r="K38" i="6"/>
  <c r="G93" i="6"/>
  <c r="G136" i="6"/>
  <c r="M136" i="6"/>
  <c r="G139" i="6"/>
  <c r="E140" i="6"/>
  <c r="M97" i="6"/>
  <c r="D39" i="6"/>
  <c r="G97" i="6"/>
  <c r="D180" i="6"/>
  <c r="J199" i="6"/>
  <c r="M199" i="6" s="1"/>
  <c r="G110" i="6"/>
  <c r="G176" i="6"/>
  <c r="M157" i="6"/>
  <c r="G111" i="6"/>
  <c r="G192" i="6"/>
  <c r="D38" i="6"/>
  <c r="G114" i="6"/>
  <c r="G196" i="6"/>
  <c r="G195" i="6"/>
  <c r="G189" i="6"/>
  <c r="M197" i="6"/>
  <c r="G109" i="6"/>
  <c r="G168" i="6"/>
  <c r="M189" i="6"/>
  <c r="G179" i="6"/>
  <c r="G197" i="6"/>
  <c r="M198" i="6"/>
  <c r="M196" i="6"/>
  <c r="L114" i="6"/>
  <c r="L120" i="6" s="1"/>
  <c r="M29" i="14"/>
  <c r="G119" i="6"/>
  <c r="M119" i="6"/>
  <c r="G191" i="6"/>
  <c r="L8" i="14"/>
  <c r="L68" i="10"/>
  <c r="K34" i="10"/>
  <c r="J32" i="10"/>
  <c r="L32" i="10" s="1"/>
  <c r="X19" i="21" s="1" a="1"/>
  <c r="X19" i="21" s="1"/>
  <c r="J29" i="10"/>
  <c r="L29" i="10" s="1"/>
  <c r="U19" i="21" s="1" a="1"/>
  <c r="U19" i="21" s="1"/>
  <c r="J27" i="10"/>
  <c r="L27" i="10" s="1"/>
  <c r="S19" i="21" s="1" a="1"/>
  <c r="S19" i="21" s="1"/>
  <c r="J26" i="10"/>
  <c r="K26" i="10"/>
  <c r="J33" i="10"/>
  <c r="J31" i="10"/>
  <c r="L31" i="10" s="1"/>
  <c r="W19" i="21" s="1" a="1"/>
  <c r="W19" i="21" s="1"/>
  <c r="J37" i="10"/>
  <c r="J35" i="10"/>
  <c r="L35" i="10" s="1"/>
  <c r="AA19" i="21" s="1" a="1"/>
  <c r="AA19" i="21" s="1"/>
  <c r="J28" i="10"/>
  <c r="J34" i="10"/>
  <c r="J36" i="10"/>
  <c r="J30" i="10"/>
  <c r="L30" i="10" s="1"/>
  <c r="V19" i="21" s="1" a="1"/>
  <c r="V19" i="21" s="1"/>
  <c r="G9" i="14"/>
  <c r="F180" i="6"/>
  <c r="H16" i="14"/>
  <c r="H11" i="14"/>
  <c r="D12" i="14"/>
  <c r="F12" i="14" s="1"/>
  <c r="I11" i="21" a="1"/>
  <c r="I11" i="21" s="1"/>
  <c r="G11" i="21" a="1"/>
  <c r="G11" i="21" s="1"/>
  <c r="J11" i="21" a="1"/>
  <c r="J11" i="21" s="1"/>
  <c r="L11" i="21" a="1"/>
  <c r="L11" i="21" s="1"/>
  <c r="H11" i="21" a="1"/>
  <c r="H11" i="21" s="1"/>
  <c r="E11" i="21" a="1"/>
  <c r="E11" i="21" s="1"/>
  <c r="G118" i="6"/>
  <c r="E28" i="6"/>
  <c r="G98" i="6"/>
  <c r="M91" i="6"/>
  <c r="J98" i="6"/>
  <c r="J38" i="6" s="1"/>
  <c r="K36" i="6"/>
  <c r="D35" i="6"/>
  <c r="D33" i="6"/>
  <c r="K88" i="6"/>
  <c r="K100" i="6" s="1"/>
  <c r="N74" i="14"/>
  <c r="G31" i="14"/>
  <c r="E32" i="6"/>
  <c r="M153" i="6"/>
  <c r="K30" i="6"/>
  <c r="E31" i="6"/>
  <c r="G148" i="6"/>
  <c r="E30" i="6"/>
  <c r="K33" i="6"/>
  <c r="G159" i="6"/>
  <c r="E33" i="6"/>
  <c r="K35" i="6"/>
  <c r="M159" i="6"/>
  <c r="G151" i="6"/>
  <c r="E160" i="6"/>
  <c r="G92" i="6"/>
  <c r="G172" i="6"/>
  <c r="M151" i="6"/>
  <c r="M172" i="6"/>
  <c r="K32" i="6"/>
  <c r="J115" i="6"/>
  <c r="M115" i="6" s="1"/>
  <c r="G193" i="6"/>
  <c r="G115" i="6"/>
  <c r="D37" i="6"/>
  <c r="D34" i="6"/>
  <c r="G117" i="6"/>
  <c r="G154" i="6"/>
  <c r="G157" i="6"/>
  <c r="M170" i="6"/>
  <c r="L180" i="6"/>
  <c r="M191" i="6"/>
  <c r="M31" i="14"/>
  <c r="G36" i="14"/>
  <c r="G30" i="14"/>
  <c r="F200" i="6"/>
  <c r="M36" i="14"/>
  <c r="G170" i="6"/>
  <c r="G169" i="6"/>
  <c r="L200" i="6"/>
  <c r="G175" i="6"/>
  <c r="M169" i="6"/>
  <c r="M175" i="6"/>
  <c r="M39" i="14"/>
  <c r="D200" i="6"/>
  <c r="D29" i="6"/>
  <c r="D30" i="6"/>
  <c r="J26" i="21" a="1"/>
  <c r="J26" i="21" s="1"/>
  <c r="J188" i="6"/>
  <c r="J28" i="6" s="1"/>
  <c r="D31" i="6"/>
  <c r="M92" i="6"/>
  <c r="G171" i="6"/>
  <c r="E180" i="6"/>
  <c r="N69" i="14"/>
  <c r="M171" i="6"/>
  <c r="BE111" i="27"/>
  <c r="N72" i="14"/>
  <c r="AD66" i="27" a="1"/>
  <c r="AD66" i="27" s="1"/>
  <c r="BL66" i="27" s="1"/>
  <c r="N77" i="14"/>
  <c r="E36" i="14"/>
  <c r="L56" i="14"/>
  <c r="L36" i="14" s="1"/>
  <c r="K189" i="14"/>
  <c r="N189" i="14" s="1"/>
  <c r="BE381" i="27"/>
  <c r="N71" i="14"/>
  <c r="Y246" i="27" a="1"/>
  <c r="Y246" i="27" s="1"/>
  <c r="BG246" i="27" s="1"/>
  <c r="K131" i="14"/>
  <c r="N131" i="14" s="1"/>
  <c r="M128" i="14"/>
  <c r="G140" i="14"/>
  <c r="L128" i="14"/>
  <c r="E140" i="14"/>
  <c r="K95" i="14"/>
  <c r="K58" i="14"/>
  <c r="AF66" i="27" a="1"/>
  <c r="AF66" i="27" s="1"/>
  <c r="BN66" i="27" s="1"/>
  <c r="D38" i="14"/>
  <c r="M60" i="14"/>
  <c r="J32" i="6"/>
  <c r="M19" i="14"/>
  <c r="M18" i="14"/>
  <c r="K175" i="14"/>
  <c r="Z156" i="27" a="1"/>
  <c r="Z156" i="27" s="1"/>
  <c r="BH156" i="27" s="1"/>
  <c r="K92" i="14"/>
  <c r="N92" i="14" s="1"/>
  <c r="K51" i="14"/>
  <c r="D31" i="14"/>
  <c r="Y66" i="27" a="1"/>
  <c r="Y66" i="27" s="1"/>
  <c r="BG66" i="27" s="1"/>
  <c r="E34" i="14"/>
  <c r="H34" i="14" s="1"/>
  <c r="L54" i="14"/>
  <c r="L34" i="14" s="1"/>
  <c r="AB336" i="27" a="1"/>
  <c r="AB336" i="27" s="1"/>
  <c r="BJ336" i="27" s="1"/>
  <c r="K174" i="14"/>
  <c r="N174" i="14" s="1"/>
  <c r="BF291" i="27"/>
  <c r="K150" i="14"/>
  <c r="AE201" i="27" a="1"/>
  <c r="AE201" i="27" s="1"/>
  <c r="BM201" i="27" s="1"/>
  <c r="K117" i="14"/>
  <c r="N117" i="14" s="1"/>
  <c r="AA381" i="27" a="1"/>
  <c r="AA381" i="27" s="1"/>
  <c r="BI381" i="27" s="1"/>
  <c r="K193" i="14"/>
  <c r="N193" i="14" s="1"/>
  <c r="Y111" i="27" a="1"/>
  <c r="Y111" i="27" s="1"/>
  <c r="BG111" i="27" s="1"/>
  <c r="AA246" i="27" a="1"/>
  <c r="AA246" i="27" s="1"/>
  <c r="BI246" i="27" s="1"/>
  <c r="K133" i="14"/>
  <c r="N133" i="14" s="1"/>
  <c r="E120" i="14"/>
  <c r="L108" i="14"/>
  <c r="D6" i="6"/>
  <c r="E100" i="6"/>
  <c r="J150" i="6"/>
  <c r="M150" i="6" s="1"/>
  <c r="D160" i="6"/>
  <c r="E38" i="6"/>
  <c r="K88" i="14"/>
  <c r="BD156" i="27"/>
  <c r="D100" i="14"/>
  <c r="AA66" i="27" a="1"/>
  <c r="AA66" i="27" s="1"/>
  <c r="BI66" i="27" s="1"/>
  <c r="K53" i="14"/>
  <c r="G32" i="14"/>
  <c r="L48" i="14"/>
  <c r="E60" i="14"/>
  <c r="E28" i="14"/>
  <c r="H28" i="14" s="1"/>
  <c r="K169" i="14"/>
  <c r="N169" i="14" s="1"/>
  <c r="BE336" i="27"/>
  <c r="BE201" i="27"/>
  <c r="K109" i="14"/>
  <c r="N109" i="14" s="1"/>
  <c r="K198" i="14"/>
  <c r="K130" i="14"/>
  <c r="K80" i="14"/>
  <c r="F10" i="6"/>
  <c r="L10" i="6" s="1"/>
  <c r="F11" i="6"/>
  <c r="L11" i="6" s="1"/>
  <c r="K93" i="14"/>
  <c r="N93" i="14" s="1"/>
  <c r="AA156" i="27" a="1"/>
  <c r="AA156" i="27" s="1"/>
  <c r="BI156" i="27" s="1"/>
  <c r="Y156" i="27" a="1"/>
  <c r="Y156" i="27" s="1"/>
  <c r="BG156" i="27" s="1"/>
  <c r="N91" i="14"/>
  <c r="BE66" i="27"/>
  <c r="K49" i="14"/>
  <c r="D29" i="14"/>
  <c r="M32" i="14"/>
  <c r="E29" i="14"/>
  <c r="L49" i="14"/>
  <c r="L29" i="14" s="1"/>
  <c r="K172" i="14"/>
  <c r="N172" i="14" s="1"/>
  <c r="Z336" i="27" a="1"/>
  <c r="Z336" i="27" s="1"/>
  <c r="BH336" i="27" s="1"/>
  <c r="AE291" i="27" a="1"/>
  <c r="AE291" i="27" s="1"/>
  <c r="BM291" i="27" s="1"/>
  <c r="K157" i="14"/>
  <c r="N157" i="14" s="1"/>
  <c r="D30" i="14"/>
  <c r="K110" i="14"/>
  <c r="AB201" i="27" a="1"/>
  <c r="AB201" i="27" s="1"/>
  <c r="BJ201" i="27" s="1"/>
  <c r="K114" i="14"/>
  <c r="N114" i="14" s="1"/>
  <c r="K192" i="14"/>
  <c r="N192" i="14" s="1"/>
  <c r="Z381" i="27" a="1"/>
  <c r="Z381" i="27" s="1"/>
  <c r="BH381" i="27" s="1"/>
  <c r="K132" i="14"/>
  <c r="N132" i="14" s="1"/>
  <c r="Z246" i="27" a="1"/>
  <c r="Z246" i="27" s="1"/>
  <c r="BH246" i="27" s="1"/>
  <c r="K134" i="14"/>
  <c r="N134" i="14" s="1"/>
  <c r="AB246" i="27" a="1"/>
  <c r="AB246" i="27" s="1"/>
  <c r="BJ246" i="27" s="1"/>
  <c r="AE111" i="27" a="1"/>
  <c r="AE111" i="27" s="1"/>
  <c r="BM111" i="27" s="1"/>
  <c r="L139" i="14"/>
  <c r="K89" i="14"/>
  <c r="N89" i="14" s="1"/>
  <c r="BE156" i="27"/>
  <c r="AE156" i="27" a="1"/>
  <c r="AE156" i="27" s="1"/>
  <c r="BM156" i="27" s="1"/>
  <c r="K97" i="14"/>
  <c r="N97" i="14" s="1"/>
  <c r="K52" i="14"/>
  <c r="D32" i="14"/>
  <c r="BF66" i="27"/>
  <c r="K50" i="14"/>
  <c r="N76" i="14"/>
  <c r="E37" i="14"/>
  <c r="L57" i="14"/>
  <c r="L37" i="14" s="1"/>
  <c r="E30" i="14"/>
  <c r="L50" i="14"/>
  <c r="BF336" i="27"/>
  <c r="K170" i="14"/>
  <c r="Y291" i="27" a="1"/>
  <c r="Y291" i="27" s="1"/>
  <c r="BG291" i="27" s="1"/>
  <c r="K151" i="14"/>
  <c r="N151" i="14" s="1"/>
  <c r="E100" i="14"/>
  <c r="L88" i="14"/>
  <c r="K108" i="14"/>
  <c r="BD201" i="27"/>
  <c r="D120" i="14"/>
  <c r="K119" i="14"/>
  <c r="K195" i="14"/>
  <c r="AD246" i="27" a="1"/>
  <c r="AD246" i="27" s="1"/>
  <c r="BL246" i="27" s="1"/>
  <c r="K136" i="14"/>
  <c r="N136" i="14" s="1"/>
  <c r="AE246" i="27" a="1"/>
  <c r="AE246" i="27" s="1"/>
  <c r="BM246" i="27" s="1"/>
  <c r="K137" i="14"/>
  <c r="N137" i="14" s="1"/>
  <c r="L158" i="14"/>
  <c r="G180" i="14"/>
  <c r="M168" i="14"/>
  <c r="G35" i="14"/>
  <c r="D160" i="14"/>
  <c r="K148" i="14"/>
  <c r="BD291" i="27"/>
  <c r="D4" i="6"/>
  <c r="E13" i="6" s="1"/>
  <c r="K13" i="6" s="1"/>
  <c r="D120" i="6"/>
  <c r="J29" i="6"/>
  <c r="M37" i="14"/>
  <c r="Z201" i="27" a="1"/>
  <c r="Z201" i="27" s="1"/>
  <c r="BH201" i="27" s="1"/>
  <c r="K112" i="14"/>
  <c r="N112" i="14" s="1"/>
  <c r="E180" i="14"/>
  <c r="L168" i="14"/>
  <c r="D35" i="14"/>
  <c r="K55" i="14"/>
  <c r="K56" i="14"/>
  <c r="D36" i="14"/>
  <c r="E32" i="14"/>
  <c r="L52" i="14"/>
  <c r="L32" i="14" s="1"/>
  <c r="E38" i="14"/>
  <c r="L58" i="14"/>
  <c r="K179" i="14"/>
  <c r="BE291" i="27"/>
  <c r="K149" i="14"/>
  <c r="N149" i="14" s="1"/>
  <c r="Z291" i="27" a="1"/>
  <c r="Z291" i="27" s="1"/>
  <c r="BH291" i="27" s="1"/>
  <c r="K152" i="14"/>
  <c r="N152" i="14" s="1"/>
  <c r="K113" i="14"/>
  <c r="N113" i="14" s="1"/>
  <c r="AA201" i="27" a="1"/>
  <c r="AA201" i="27" s="1"/>
  <c r="BI201" i="27" s="1"/>
  <c r="D200" i="14"/>
  <c r="BD381" i="27"/>
  <c r="K188" i="14"/>
  <c r="AD381" i="27" a="1"/>
  <c r="AD381" i="27" s="1"/>
  <c r="BL381" i="27" s="1"/>
  <c r="K196" i="14"/>
  <c r="N196" i="14" s="1"/>
  <c r="K135" i="14"/>
  <c r="E35" i="6"/>
  <c r="J36" i="6"/>
  <c r="AB156" i="27" a="1"/>
  <c r="AB156" i="27" s="1"/>
  <c r="BJ156" i="27" s="1"/>
  <c r="K94" i="14"/>
  <c r="N94" i="14" s="1"/>
  <c r="AE66" i="27" a="1"/>
  <c r="AE66" i="27" s="1"/>
  <c r="BM66" i="27" s="1"/>
  <c r="D37" i="14"/>
  <c r="E39" i="14"/>
  <c r="L59" i="14"/>
  <c r="K171" i="14"/>
  <c r="N171" i="14" s="1"/>
  <c r="Y336" i="27" a="1"/>
  <c r="Y336" i="27" s="1"/>
  <c r="BG336" i="27" s="1"/>
  <c r="K154" i="14"/>
  <c r="N154" i="14" s="1"/>
  <c r="AB291" i="27" a="1"/>
  <c r="AB291" i="27" s="1"/>
  <c r="BJ291" i="27" s="1"/>
  <c r="K155" i="14"/>
  <c r="K118" i="14"/>
  <c r="Y381" i="27" a="1"/>
  <c r="Y381" i="27" s="1"/>
  <c r="BG381" i="27" s="1"/>
  <c r="K191" i="14"/>
  <c r="N191" i="14" s="1"/>
  <c r="K190" i="14"/>
  <c r="BD246" i="27"/>
  <c r="D140" i="14"/>
  <c r="K128" i="14"/>
  <c r="M34" i="14"/>
  <c r="M80" i="14"/>
  <c r="G37" i="14"/>
  <c r="J37" i="6"/>
  <c r="D3" i="6"/>
  <c r="D12" i="6" s="1"/>
  <c r="D36" i="6"/>
  <c r="J34" i="6"/>
  <c r="K99" i="14"/>
  <c r="BD66" i="27"/>
  <c r="D60" i="14"/>
  <c r="K48" i="14"/>
  <c r="G29" i="14"/>
  <c r="L31" i="14"/>
  <c r="D180" i="14"/>
  <c r="K168" i="14"/>
  <c r="BD336" i="27"/>
  <c r="AG291" i="27" a="1"/>
  <c r="AG291" i="27" s="1"/>
  <c r="BO291" i="27" s="1"/>
  <c r="K159" i="14"/>
  <c r="K111" i="14"/>
  <c r="N111" i="14" s="1"/>
  <c r="Y201" i="27" a="1"/>
  <c r="Y201" i="27" s="1"/>
  <c r="BG201" i="27" s="1"/>
  <c r="K199" i="14"/>
  <c r="Z111" i="27" a="1"/>
  <c r="Z111" i="27" s="1"/>
  <c r="BH111" i="27" s="1"/>
  <c r="G120" i="14"/>
  <c r="M108" i="14"/>
  <c r="BE246" i="27"/>
  <c r="K129" i="14"/>
  <c r="N129" i="14" s="1"/>
  <c r="BF111" i="27"/>
  <c r="L68" i="14"/>
  <c r="E80" i="14"/>
  <c r="K138" i="14"/>
  <c r="L148" i="14"/>
  <c r="E160" i="14"/>
  <c r="AA111" i="27" a="1"/>
  <c r="AA111" i="27" s="1"/>
  <c r="BI111" i="27" s="1"/>
  <c r="K90" i="14"/>
  <c r="BF156" i="27"/>
  <c r="M89" i="6"/>
  <c r="J31" i="6"/>
  <c r="G116" i="6"/>
  <c r="G89" i="6"/>
  <c r="K96" i="14"/>
  <c r="N96" i="14" s="1"/>
  <c r="AD156" i="27" a="1"/>
  <c r="AD156" i="27" s="1"/>
  <c r="BL156" i="27" s="1"/>
  <c r="G33" i="14"/>
  <c r="K54" i="14"/>
  <c r="J24" i="21" a="1"/>
  <c r="J24" i="21" s="1"/>
  <c r="AB66" i="27" a="1"/>
  <c r="AB66" i="27" s="1"/>
  <c r="BJ66" i="27" s="1"/>
  <c r="L53" i="14"/>
  <c r="L33" i="14" s="1"/>
  <c r="E33" i="14"/>
  <c r="K173" i="14"/>
  <c r="N173" i="14" s="1"/>
  <c r="AA336" i="27" a="1"/>
  <c r="AA336" i="27" s="1"/>
  <c r="BI336" i="27" s="1"/>
  <c r="AD336" i="27" a="1"/>
  <c r="AD336" i="27" s="1"/>
  <c r="BL336" i="27" s="1"/>
  <c r="K176" i="14"/>
  <c r="N176" i="14" s="1"/>
  <c r="AD291" i="27" a="1"/>
  <c r="AD291" i="27" s="1"/>
  <c r="BL291" i="27" s="1"/>
  <c r="N156" i="14"/>
  <c r="K115" i="14"/>
  <c r="AE381" i="27" a="1"/>
  <c r="AE381" i="27" s="1"/>
  <c r="BM381" i="27" s="1"/>
  <c r="K197" i="14"/>
  <c r="N197" i="14" s="1"/>
  <c r="K180" i="6"/>
  <c r="K98" i="14"/>
  <c r="M33" i="14"/>
  <c r="D39" i="14"/>
  <c r="K59" i="14"/>
  <c r="E200" i="14"/>
  <c r="L188" i="14"/>
  <c r="E35" i="14"/>
  <c r="L55" i="14"/>
  <c r="K177" i="14"/>
  <c r="N177" i="14" s="1"/>
  <c r="AE336" i="27" a="1"/>
  <c r="AE336" i="27" s="1"/>
  <c r="BM336" i="27" s="1"/>
  <c r="AF336" i="27" a="1"/>
  <c r="AF336" i="27" s="1"/>
  <c r="BN336" i="27" s="1"/>
  <c r="K178" i="14"/>
  <c r="D33" i="14"/>
  <c r="K153" i="14"/>
  <c r="N153" i="14" s="1"/>
  <c r="AA291" i="27" a="1"/>
  <c r="AA291" i="27" s="1"/>
  <c r="BI291" i="27" s="1"/>
  <c r="K116" i="14"/>
  <c r="N116" i="14" s="1"/>
  <c r="AD201" i="27" a="1"/>
  <c r="AD201" i="27" s="1"/>
  <c r="BL201" i="27" s="1"/>
  <c r="K194" i="14"/>
  <c r="N194" i="14" s="1"/>
  <c r="AB381" i="27" a="1"/>
  <c r="AB381" i="27" s="1"/>
  <c r="BJ381" i="27" s="1"/>
  <c r="G39" i="14"/>
  <c r="N73" i="14"/>
  <c r="L46" i="10"/>
  <c r="L55" i="10"/>
  <c r="L54" i="10"/>
  <c r="L52" i="10"/>
  <c r="L56" i="10"/>
  <c r="K9" i="10"/>
  <c r="K14" i="10"/>
  <c r="L51" i="10"/>
  <c r="L140" i="10"/>
  <c r="J152" i="10"/>
  <c r="G190" i="10"/>
  <c r="G152" i="10"/>
  <c r="L121" i="10"/>
  <c r="J133" i="10"/>
  <c r="D17" i="10"/>
  <c r="D18" i="10"/>
  <c r="G95" i="10"/>
  <c r="G114" i="10"/>
  <c r="L83" i="10"/>
  <c r="J95" i="10"/>
  <c r="J114" i="10"/>
  <c r="L102" i="10"/>
  <c r="L45" i="10"/>
  <c r="J57" i="10"/>
  <c r="G171" i="10"/>
  <c r="L159" i="10"/>
  <c r="J171" i="10"/>
  <c r="D38" i="10"/>
  <c r="L49" i="10"/>
  <c r="L50" i="10"/>
  <c r="K190" i="10"/>
  <c r="G57" i="10"/>
  <c r="J76" i="10"/>
  <c r="L64" i="10"/>
  <c r="F38" i="10"/>
  <c r="G76" i="10"/>
  <c r="K57" i="10"/>
  <c r="G133" i="10"/>
  <c r="L47" i="10"/>
  <c r="J190" i="10"/>
  <c r="L178" i="10"/>
  <c r="L53" i="10"/>
  <c r="M168" i="6"/>
  <c r="M108" i="6"/>
  <c r="M148" i="6"/>
  <c r="F52" i="6"/>
  <c r="F56" i="6"/>
  <c r="F59" i="6"/>
  <c r="F54" i="6"/>
  <c r="F49" i="6"/>
  <c r="F55" i="6"/>
  <c r="F51" i="6"/>
  <c r="F58" i="6"/>
  <c r="F53" i="6"/>
  <c r="F48" i="6"/>
  <c r="F57" i="6"/>
  <c r="J140" i="6"/>
  <c r="M68" i="6"/>
  <c r="J80" i="6"/>
  <c r="J60" i="6"/>
  <c r="K200" i="6"/>
  <c r="F15" i="6"/>
  <c r="L15" i="6" s="1"/>
  <c r="F13" i="6"/>
  <c r="L13" i="6" s="1"/>
  <c r="F8" i="6"/>
  <c r="F12" i="6"/>
  <c r="L12" i="6" s="1"/>
  <c r="F18" i="6"/>
  <c r="L18" i="6" s="1"/>
  <c r="F17" i="6"/>
  <c r="L17" i="6" s="1"/>
  <c r="F9" i="6"/>
  <c r="L9" i="6" s="1"/>
  <c r="F19" i="6"/>
  <c r="L19" i="6" s="1"/>
  <c r="F14" i="6"/>
  <c r="L14" i="6" s="1"/>
  <c r="F16" i="6"/>
  <c r="L16" i="6" s="1"/>
  <c r="AH61" i="27" l="1"/>
  <c r="BP61" i="27" s="1"/>
  <c r="AH200" i="27"/>
  <c r="BP200" i="27" s="1"/>
  <c r="I41" i="16"/>
  <c r="AF73" i="27"/>
  <c r="BN73" i="27" s="1"/>
  <c r="AF72" i="27"/>
  <c r="BN72" i="27" s="1"/>
  <c r="AH187" i="27"/>
  <c r="BP187" i="27" s="1"/>
  <c r="AH189" i="27"/>
  <c r="BP189" i="27" s="1"/>
  <c r="AH186" i="27"/>
  <c r="BP186" i="27" s="1"/>
  <c r="AH195" i="27"/>
  <c r="BP195" i="27" s="1"/>
  <c r="AH64" i="27"/>
  <c r="BP64" i="27" s="1"/>
  <c r="AH194" i="27"/>
  <c r="BP194" i="27" s="1"/>
  <c r="AG5" i="27" a="1"/>
  <c r="AG5" i="27" s="1"/>
  <c r="BO5" i="27" s="1"/>
  <c r="D17" i="19"/>
  <c r="AF5" i="27" a="1"/>
  <c r="AF5" i="27" s="1"/>
  <c r="BN5" i="27" s="1"/>
  <c r="D16" i="19"/>
  <c r="F25" i="16" a="1"/>
  <c r="F25" i="16" s="1"/>
  <c r="G25" i="16" s="1"/>
  <c r="AH196" i="27"/>
  <c r="BP196" i="27" s="1"/>
  <c r="AH198" i="27"/>
  <c r="BP198" i="27" s="1"/>
  <c r="H42" i="16"/>
  <c r="I42" i="16" s="1"/>
  <c r="I43" i="16"/>
  <c r="AH197" i="27"/>
  <c r="BP197" i="27" s="1"/>
  <c r="H96" i="16"/>
  <c r="G96" i="16"/>
  <c r="AH191" i="27"/>
  <c r="BP191" i="27" s="1"/>
  <c r="AH141" i="27"/>
  <c r="BP141" i="27" s="1"/>
  <c r="AH199" i="27"/>
  <c r="BP199" i="27" s="1"/>
  <c r="AH143" i="27"/>
  <c r="BP143" i="27" s="1"/>
  <c r="AH142" i="27"/>
  <c r="BP142" i="27" s="1"/>
  <c r="AH105" i="27"/>
  <c r="BP105" i="27" s="1"/>
  <c r="AH110" i="27"/>
  <c r="BP110" i="27" s="1"/>
  <c r="AG17" i="27"/>
  <c r="BO17" i="27" s="1"/>
  <c r="AC385" i="27"/>
  <c r="BK385" i="27" s="1"/>
  <c r="F13" i="14"/>
  <c r="H13" i="14"/>
  <c r="AB5" i="27" a="1"/>
  <c r="AB5" i="27" s="1"/>
  <c r="BJ5" i="27" s="1"/>
  <c r="E11" i="10"/>
  <c r="H8" i="21" s="1" a="1"/>
  <c r="H8" i="21" s="1"/>
  <c r="G11" i="10"/>
  <c r="AG16" i="27"/>
  <c r="BO16" i="27" s="1"/>
  <c r="AG18" i="27"/>
  <c r="BO18" i="27" s="1"/>
  <c r="AG15" i="27"/>
  <c r="BO15" i="27" s="1"/>
  <c r="AG20" i="27"/>
  <c r="BO20" i="27" s="1"/>
  <c r="BI5" i="27"/>
  <c r="AA11" i="27"/>
  <c r="BI11" i="27" s="1"/>
  <c r="AC389" i="27"/>
  <c r="BK389" i="27" s="1"/>
  <c r="AF68" i="27"/>
  <c r="BN68" i="27" s="1"/>
  <c r="AC127" i="27"/>
  <c r="BK127" i="27" s="1"/>
  <c r="AC388" i="27"/>
  <c r="BK388" i="27" s="1"/>
  <c r="AC386" i="27"/>
  <c r="BK386" i="27" s="1"/>
  <c r="F24" i="16" a="1"/>
  <c r="F24" i="16" s="1"/>
  <c r="G24" i="16" s="1"/>
  <c r="AH190" i="27"/>
  <c r="BP190" i="27" s="1"/>
  <c r="AF207" i="27"/>
  <c r="BN207" i="27" s="1"/>
  <c r="Z5" i="27" a="1"/>
  <c r="Z5" i="27" s="1"/>
  <c r="BH5" i="27" s="1"/>
  <c r="AF250" i="27"/>
  <c r="BN250" i="27" s="1"/>
  <c r="AF208" i="27"/>
  <c r="BN208" i="27" s="1"/>
  <c r="AF209" i="27"/>
  <c r="BN209" i="27" s="1"/>
  <c r="AF205" i="27"/>
  <c r="BN205" i="27" s="1"/>
  <c r="AF252" i="27"/>
  <c r="BN252" i="27" s="1"/>
  <c r="AF203" i="27"/>
  <c r="BN203" i="27" s="1"/>
  <c r="AF253" i="27"/>
  <c r="BN253" i="27" s="1"/>
  <c r="AF204" i="27"/>
  <c r="BN204" i="27" s="1"/>
  <c r="AF18" i="27"/>
  <c r="BN18" i="27" s="1"/>
  <c r="AF20" i="27"/>
  <c r="BN20" i="27" s="1"/>
  <c r="AF16" i="27"/>
  <c r="BN16" i="27" s="1"/>
  <c r="AH109" i="27"/>
  <c r="BP109" i="27" s="1"/>
  <c r="AH229" i="27"/>
  <c r="BP229" i="27" s="1"/>
  <c r="AF19" i="27"/>
  <c r="BN19" i="27" s="1"/>
  <c r="AG14" i="27"/>
  <c r="BO14" i="27" s="1"/>
  <c r="AF17" i="27"/>
  <c r="BN17" i="27" s="1"/>
  <c r="AG19" i="27"/>
  <c r="BO19" i="27" s="1"/>
  <c r="AF14" i="27"/>
  <c r="BN14" i="27" s="1"/>
  <c r="AF15" i="27"/>
  <c r="BN15" i="27" s="1"/>
  <c r="AG81" i="27"/>
  <c r="BO81" i="27" s="1"/>
  <c r="AH139" i="27"/>
  <c r="BP139" i="27" s="1"/>
  <c r="AH192" i="27"/>
  <c r="BP192" i="27" s="1"/>
  <c r="AH147" i="27"/>
  <c r="BP147" i="27" s="1"/>
  <c r="AC209" i="27"/>
  <c r="BK209" i="27" s="1"/>
  <c r="AG78" i="27"/>
  <c r="BO78" i="27" s="1"/>
  <c r="AC204" i="27"/>
  <c r="BK204" i="27" s="1"/>
  <c r="AG79" i="27"/>
  <c r="BO79" i="27" s="1"/>
  <c r="AH146" i="27"/>
  <c r="BP146" i="27" s="1"/>
  <c r="AH106" i="27"/>
  <c r="BP106" i="27" s="1"/>
  <c r="AC205" i="27"/>
  <c r="BK205" i="27" s="1"/>
  <c r="AC123" i="27"/>
  <c r="BK123" i="27" s="1"/>
  <c r="AH108" i="27"/>
  <c r="BP108" i="27" s="1"/>
  <c r="AC207" i="27"/>
  <c r="BK207" i="27" s="1"/>
  <c r="AC122" i="27"/>
  <c r="BK122" i="27" s="1"/>
  <c r="AF69" i="27"/>
  <c r="BN69" i="27" s="1"/>
  <c r="AH107" i="27"/>
  <c r="BP107" i="27" s="1"/>
  <c r="AC208" i="27"/>
  <c r="BK208" i="27" s="1"/>
  <c r="AC125" i="27"/>
  <c r="BK125" i="27" s="1"/>
  <c r="AF71" i="27"/>
  <c r="BN71" i="27" s="1"/>
  <c r="AH188" i="27"/>
  <c r="BP188" i="27" s="1"/>
  <c r="AH104" i="27"/>
  <c r="BP104" i="27" s="1"/>
  <c r="AC206" i="27"/>
  <c r="BK206" i="27" s="1"/>
  <c r="AC124" i="27"/>
  <c r="BK124" i="27" s="1"/>
  <c r="AF74" i="27"/>
  <c r="BN74" i="27" s="1"/>
  <c r="AC4" i="27" a="1"/>
  <c r="AC4" i="27" s="1"/>
  <c r="BK4" i="27" s="1"/>
  <c r="BF4" i="27"/>
  <c r="BG5" i="27"/>
  <c r="Y6" i="27"/>
  <c r="BG6" i="27" s="1"/>
  <c r="BF121" i="27"/>
  <c r="AC121" i="27"/>
  <c r="BK121" i="27" s="1"/>
  <c r="BF126" i="27"/>
  <c r="AC126" i="27"/>
  <c r="BK126" i="27" s="1"/>
  <c r="M149" i="6"/>
  <c r="BF389" i="27"/>
  <c r="M173" i="6"/>
  <c r="J180" i="6"/>
  <c r="M98" i="6"/>
  <c r="M114" i="6"/>
  <c r="AF206" i="27"/>
  <c r="BN206" i="27" s="1"/>
  <c r="AF26" i="27"/>
  <c r="BN26" i="27" s="1"/>
  <c r="BF127" i="27"/>
  <c r="AC383" i="27"/>
  <c r="BK383" i="27" s="1"/>
  <c r="AF249" i="27"/>
  <c r="BN249" i="27" s="1"/>
  <c r="BF348" i="27"/>
  <c r="BF19" i="27"/>
  <c r="AF296" i="27"/>
  <c r="BN296" i="27" s="1"/>
  <c r="AF164" i="27"/>
  <c r="BN164" i="27" s="1"/>
  <c r="AC253" i="27"/>
  <c r="BK253" i="27" s="1"/>
  <c r="AG248" i="27"/>
  <c r="BO248" i="27" s="1"/>
  <c r="BF18" i="27"/>
  <c r="BF17" i="27"/>
  <c r="P88" i="21"/>
  <c r="BF15" i="27"/>
  <c r="AG26" i="27"/>
  <c r="BO26" i="27" s="1"/>
  <c r="AG23" i="27"/>
  <c r="BO23" i="27" s="1"/>
  <c r="BF123" i="27"/>
  <c r="AF70" i="27"/>
  <c r="BN70" i="27" s="1"/>
  <c r="AC252" i="27"/>
  <c r="BK252" i="27" s="1"/>
  <c r="AG250" i="27"/>
  <c r="BO250" i="27" s="1"/>
  <c r="AG249" i="27"/>
  <c r="BO249" i="27" s="1"/>
  <c r="AG254" i="27"/>
  <c r="BO254" i="27" s="1"/>
  <c r="AG123" i="27"/>
  <c r="BO123" i="27" s="1"/>
  <c r="AF161" i="27"/>
  <c r="BN161" i="27" s="1"/>
  <c r="AC68" i="27"/>
  <c r="BK68" i="27" s="1"/>
  <c r="BF350" i="27"/>
  <c r="BF360" i="27"/>
  <c r="AG252" i="27"/>
  <c r="BO252" i="27" s="1"/>
  <c r="BF356" i="27"/>
  <c r="AC26" i="27"/>
  <c r="BK26" i="27" s="1"/>
  <c r="AC158" i="27"/>
  <c r="BK158" i="27" s="1"/>
  <c r="BF397" i="27"/>
  <c r="AF29" i="27"/>
  <c r="BN29" i="27" s="1"/>
  <c r="AG121" i="27"/>
  <c r="BO121" i="27" s="1"/>
  <c r="AC71" i="27"/>
  <c r="BK71" i="27" s="1"/>
  <c r="H19" i="14"/>
  <c r="L171" i="10"/>
  <c r="N199" i="14"/>
  <c r="AC135" i="21" s="1" a="1"/>
  <c r="AC135" i="21" s="1"/>
  <c r="AG251" i="27"/>
  <c r="BO251" i="27" s="1"/>
  <c r="AF163" i="27"/>
  <c r="BN163" i="27" s="1"/>
  <c r="AF28" i="27"/>
  <c r="BN28" i="27" s="1"/>
  <c r="AF251" i="27"/>
  <c r="BN251" i="27" s="1"/>
  <c r="AC163" i="27"/>
  <c r="BK163" i="27" s="1"/>
  <c r="BF391" i="27"/>
  <c r="H9" i="14"/>
  <c r="BF393" i="27"/>
  <c r="AF160" i="27"/>
  <c r="BN160" i="27" s="1"/>
  <c r="AF24" i="27"/>
  <c r="BN24" i="27" s="1"/>
  <c r="AC250" i="27"/>
  <c r="BK250" i="27" s="1"/>
  <c r="AC254" i="27"/>
  <c r="BK254" i="27" s="1"/>
  <c r="F39" i="14"/>
  <c r="P46" i="21"/>
  <c r="BF359" i="27"/>
  <c r="AF297" i="27"/>
  <c r="BN297" i="27" s="1"/>
  <c r="AC249" i="27"/>
  <c r="BK249" i="27" s="1"/>
  <c r="H35" i="14"/>
  <c r="H30" i="14"/>
  <c r="AF298" i="27"/>
  <c r="BN298" i="27" s="1"/>
  <c r="AC298" i="27"/>
  <c r="BK298" i="27" s="1"/>
  <c r="BF39" i="27"/>
  <c r="H15" i="14"/>
  <c r="AC21" i="27" s="1" a="1"/>
  <c r="AC21" i="27" s="1"/>
  <c r="BK21" i="27" s="1"/>
  <c r="AF293" i="27"/>
  <c r="BN293" i="27" s="1"/>
  <c r="H17" i="14"/>
  <c r="AE21" i="27" s="1" a="1"/>
  <c r="AE21" i="27" s="1"/>
  <c r="BM21" i="27" s="1"/>
  <c r="AF295" i="27"/>
  <c r="BN295" i="27" s="1"/>
  <c r="AF387" i="27"/>
  <c r="BN387" i="27" s="1"/>
  <c r="AC293" i="27"/>
  <c r="BK293" i="27" s="1"/>
  <c r="AG124" i="27"/>
  <c r="BO124" i="27" s="1"/>
  <c r="AF299" i="27"/>
  <c r="BN299" i="27" s="1"/>
  <c r="AF386" i="27"/>
  <c r="BN386" i="27" s="1"/>
  <c r="BF270" i="27"/>
  <c r="AC160" i="27"/>
  <c r="BK160" i="27" s="1"/>
  <c r="AC251" i="27"/>
  <c r="BK251" i="27" s="1"/>
  <c r="AG122" i="27"/>
  <c r="BO122" i="27" s="1"/>
  <c r="AF294" i="27"/>
  <c r="BN294" i="27" s="1"/>
  <c r="AC69" i="27"/>
  <c r="BK69" i="27" s="1"/>
  <c r="BF269" i="27"/>
  <c r="AC164" i="27"/>
  <c r="BK164" i="27" s="1"/>
  <c r="AC248" i="27"/>
  <c r="BK248" i="27" s="1"/>
  <c r="H31" i="16"/>
  <c r="I31" i="16" s="1"/>
  <c r="G31" i="16"/>
  <c r="H68" i="16"/>
  <c r="I68" i="16" s="1"/>
  <c r="G68" i="16"/>
  <c r="F66" i="16"/>
  <c r="G66" i="16" s="1"/>
  <c r="H138" i="16"/>
  <c r="I138" i="16" s="1"/>
  <c r="G138" i="16"/>
  <c r="I85" i="16"/>
  <c r="H84" i="16"/>
  <c r="I84" i="16" s="1"/>
  <c r="H32" i="14"/>
  <c r="AF338" i="27"/>
  <c r="BN338" i="27" s="1"/>
  <c r="AC343" i="27"/>
  <c r="BK343" i="27" s="1"/>
  <c r="AF384" i="27"/>
  <c r="BN384" i="27" s="1"/>
  <c r="AC295" i="27"/>
  <c r="BK295" i="27" s="1"/>
  <c r="BF45" i="27"/>
  <c r="H112" i="16"/>
  <c r="I112" i="16" s="1"/>
  <c r="I113" i="16"/>
  <c r="F122" i="16"/>
  <c r="G122" i="16" s="1"/>
  <c r="H123" i="16"/>
  <c r="G123" i="16"/>
  <c r="H39" i="14"/>
  <c r="H36" i="14"/>
  <c r="H31" i="14"/>
  <c r="H38" i="14"/>
  <c r="AG125" i="27"/>
  <c r="BO125" i="27" s="1"/>
  <c r="BF355" i="27"/>
  <c r="AF342" i="27"/>
  <c r="BN342" i="27" s="1"/>
  <c r="AC340" i="27"/>
  <c r="BK340" i="27" s="1"/>
  <c r="AF158" i="27"/>
  <c r="BN158" i="27" s="1"/>
  <c r="AF389" i="27"/>
  <c r="BN389" i="27" s="1"/>
  <c r="AC74" i="27"/>
  <c r="BK74" i="27" s="1"/>
  <c r="BF265" i="27"/>
  <c r="AF254" i="27"/>
  <c r="BN254" i="27" s="1"/>
  <c r="AC162" i="27"/>
  <c r="BK162" i="27" s="1"/>
  <c r="AF123" i="27"/>
  <c r="BN123" i="27" s="1"/>
  <c r="BF16" i="27"/>
  <c r="F140" i="14"/>
  <c r="H140" i="16"/>
  <c r="I140" i="16" s="1"/>
  <c r="I141" i="16"/>
  <c r="F100" i="14"/>
  <c r="F200" i="14"/>
  <c r="H33" i="14"/>
  <c r="AH263" i="27"/>
  <c r="BP263" i="27" s="1"/>
  <c r="AH353" i="27"/>
  <c r="BP353" i="27" s="1"/>
  <c r="AH390" i="27"/>
  <c r="BP390" i="27" s="1"/>
  <c r="AF343" i="27"/>
  <c r="BN343" i="27" s="1"/>
  <c r="AC342" i="27"/>
  <c r="BK342" i="27" s="1"/>
  <c r="AC70" i="27"/>
  <c r="BK70" i="27" s="1"/>
  <c r="AF126" i="27"/>
  <c r="BN126" i="27" s="1"/>
  <c r="H98" i="16"/>
  <c r="I98" i="16" s="1"/>
  <c r="I99" i="16"/>
  <c r="F30" i="14"/>
  <c r="F80" i="14"/>
  <c r="AH255" i="27"/>
  <c r="BP255" i="27" s="1"/>
  <c r="BO255" i="27"/>
  <c r="AH75" i="27"/>
  <c r="BP75" i="27" s="1"/>
  <c r="AG127" i="27"/>
  <c r="BO127" i="27" s="1"/>
  <c r="AH210" i="27"/>
  <c r="AH211" i="27" s="1"/>
  <c r="BP211" i="27" s="1"/>
  <c r="BF354" i="27"/>
  <c r="AF340" i="27"/>
  <c r="BN340" i="27" s="1"/>
  <c r="AC339" i="27"/>
  <c r="BK339" i="27" s="1"/>
  <c r="AF159" i="27"/>
  <c r="BN159" i="27" s="1"/>
  <c r="AF388" i="27"/>
  <c r="BN388" i="27" s="1"/>
  <c r="AC73" i="27"/>
  <c r="BK73" i="27" s="1"/>
  <c r="BF266" i="27"/>
  <c r="AC296" i="27"/>
  <c r="BK296" i="27" s="1"/>
  <c r="AC159" i="27"/>
  <c r="BK159" i="27" s="1"/>
  <c r="BF42" i="27"/>
  <c r="AF122" i="27"/>
  <c r="BN122" i="27" s="1"/>
  <c r="BF20" i="27"/>
  <c r="F180" i="14"/>
  <c r="F35" i="14"/>
  <c r="F60" i="14"/>
  <c r="AG77" i="27"/>
  <c r="BO77" i="27" s="1"/>
  <c r="BF357" i="27"/>
  <c r="AF341" i="27"/>
  <c r="BN341" i="27" s="1"/>
  <c r="AC341" i="27"/>
  <c r="BK341" i="27" s="1"/>
  <c r="BF395" i="27"/>
  <c r="AF385" i="27"/>
  <c r="BN385" i="27" s="1"/>
  <c r="AC299" i="27"/>
  <c r="BK299" i="27" s="1"/>
  <c r="BF40" i="27"/>
  <c r="AF127" i="27"/>
  <c r="BN127" i="27" s="1"/>
  <c r="AG80" i="27"/>
  <c r="BO80" i="27" s="1"/>
  <c r="AH120" i="27"/>
  <c r="BP120" i="27" s="1"/>
  <c r="AF339" i="27"/>
  <c r="BN339" i="27" s="1"/>
  <c r="AC338" i="27"/>
  <c r="BK338" i="27" s="1"/>
  <c r="BF396" i="27"/>
  <c r="AC294" i="27"/>
  <c r="BK294" i="27" s="1"/>
  <c r="BF41" i="27"/>
  <c r="AF124" i="27"/>
  <c r="BN124" i="27" s="1"/>
  <c r="H29" i="14"/>
  <c r="AG253" i="27"/>
  <c r="BO253" i="27" s="1"/>
  <c r="AG82" i="27"/>
  <c r="BO82" i="27" s="1"/>
  <c r="AG126" i="27"/>
  <c r="BO126" i="27" s="1"/>
  <c r="BF358" i="27"/>
  <c r="BF394" i="27"/>
  <c r="AF162" i="27"/>
  <c r="BN162" i="27" s="1"/>
  <c r="AF383" i="27"/>
  <c r="BN383" i="27" s="1"/>
  <c r="AC72" i="27"/>
  <c r="BK72" i="27" s="1"/>
  <c r="BF267" i="27"/>
  <c r="AC297" i="27"/>
  <c r="BK297" i="27" s="1"/>
  <c r="AF248" i="27"/>
  <c r="BN248" i="27" s="1"/>
  <c r="AC161" i="27"/>
  <c r="BK161" i="27" s="1"/>
  <c r="BF43" i="27"/>
  <c r="AF121" i="27"/>
  <c r="BN121" i="27" s="1"/>
  <c r="BF14" i="27"/>
  <c r="H10" i="14"/>
  <c r="BF21" i="27" s="1"/>
  <c r="I71" i="16"/>
  <c r="H70" i="16"/>
  <c r="I70" i="16" s="1"/>
  <c r="H82" i="16"/>
  <c r="I82" i="16" s="1"/>
  <c r="G82" i="16"/>
  <c r="F108" i="16"/>
  <c r="G108" i="16" s="1"/>
  <c r="H110" i="16"/>
  <c r="I110" i="16" s="1"/>
  <c r="G110" i="16"/>
  <c r="AH319" i="27"/>
  <c r="BP319" i="27" s="1"/>
  <c r="BO319" i="27"/>
  <c r="BF44" i="27"/>
  <c r="H125" i="16"/>
  <c r="I125" i="16" s="1"/>
  <c r="G125" i="16"/>
  <c r="F160" i="14"/>
  <c r="F38" i="14"/>
  <c r="H124" i="16"/>
  <c r="I124" i="16" s="1"/>
  <c r="G124" i="16"/>
  <c r="H37" i="14"/>
  <c r="G81" i="16"/>
  <c r="F80" i="16"/>
  <c r="G80" i="16" s="1"/>
  <c r="H81" i="16"/>
  <c r="H56" i="16"/>
  <c r="I56" i="16" s="1"/>
  <c r="I57" i="16"/>
  <c r="F94" i="16"/>
  <c r="G94" i="16" s="1"/>
  <c r="G97" i="16"/>
  <c r="H97" i="16"/>
  <c r="I97" i="16" s="1"/>
  <c r="H137" i="16"/>
  <c r="F136" i="16"/>
  <c r="G136" i="16" s="1"/>
  <c r="G137" i="16"/>
  <c r="F120" i="14"/>
  <c r="H18" i="14"/>
  <c r="G83" i="16"/>
  <c r="H83" i="16"/>
  <c r="I83" i="16" s="1"/>
  <c r="AG76" i="27"/>
  <c r="BO76" i="27" s="1"/>
  <c r="AF344" i="27"/>
  <c r="BN344" i="27" s="1"/>
  <c r="AC344" i="27"/>
  <c r="BK344" i="27" s="1"/>
  <c r="BF392" i="27"/>
  <c r="AF125" i="27"/>
  <c r="BN125" i="27" s="1"/>
  <c r="H126" i="16"/>
  <c r="I126" i="16" s="1"/>
  <c r="I127" i="16"/>
  <c r="H54" i="16"/>
  <c r="I54" i="16" s="1"/>
  <c r="G54" i="16"/>
  <c r="F52" i="16"/>
  <c r="G52" i="16" s="1"/>
  <c r="AG29" i="27"/>
  <c r="BO29" i="27" s="1"/>
  <c r="AG27" i="27"/>
  <c r="BO27" i="27" s="1"/>
  <c r="AG24" i="27"/>
  <c r="BO24" i="27" s="1"/>
  <c r="AG28" i="27"/>
  <c r="BO28" i="27" s="1"/>
  <c r="AG25" i="27"/>
  <c r="BO25" i="27" s="1"/>
  <c r="H12" i="14"/>
  <c r="AF25" i="27"/>
  <c r="BN25" i="27" s="1"/>
  <c r="BN22" i="27"/>
  <c r="AC23" i="27"/>
  <c r="BK23" i="27" s="1"/>
  <c r="BK22" i="27"/>
  <c r="AC28" i="27"/>
  <c r="BK28" i="27" s="1"/>
  <c r="AF23" i="27"/>
  <c r="BN23" i="27" s="1"/>
  <c r="AC25" i="27"/>
  <c r="BK25" i="27" s="1"/>
  <c r="F15" i="14"/>
  <c r="AB22" i="27" a="1"/>
  <c r="AB22" i="27" s="1"/>
  <c r="Y22" i="27" a="1"/>
  <c r="Y22" i="27" s="1"/>
  <c r="F9" i="14"/>
  <c r="AA22" i="27" a="1"/>
  <c r="AA22" i="27" s="1"/>
  <c r="AA26" i="27" s="1"/>
  <c r="BI26" i="27" s="1"/>
  <c r="AC29" i="27"/>
  <c r="BK29" i="27" s="1"/>
  <c r="F19" i="14"/>
  <c r="AD22" i="27" a="1"/>
  <c r="AD22" i="27" s="1"/>
  <c r="F16" i="14"/>
  <c r="AC27" i="27"/>
  <c r="BK27" i="27" s="1"/>
  <c r="AE22" i="27" a="1"/>
  <c r="AE22" i="27" s="1"/>
  <c r="AE27" i="27" s="1"/>
  <c r="BM27" i="27" s="1"/>
  <c r="F17" i="14"/>
  <c r="F18" i="14"/>
  <c r="BF35" i="27"/>
  <c r="F10" i="14"/>
  <c r="F26" i="16" s="1" a="1"/>
  <c r="F26" i="16" s="1"/>
  <c r="G26" i="16" s="1"/>
  <c r="P33" i="21"/>
  <c r="N50" i="14"/>
  <c r="P66" i="21"/>
  <c r="K12" i="14"/>
  <c r="Z22" i="27" a="1"/>
  <c r="Z22" i="27" s="1"/>
  <c r="BH22" i="27" s="1"/>
  <c r="AA10" i="27"/>
  <c r="BI10" i="27" s="1"/>
  <c r="AA9" i="27"/>
  <c r="BI9" i="27" s="1"/>
  <c r="AA6" i="27"/>
  <c r="BI6" i="27" s="1"/>
  <c r="AA12" i="27"/>
  <c r="BI12" i="27" s="1"/>
  <c r="AA7" i="27"/>
  <c r="BI7" i="27" s="1"/>
  <c r="AA8" i="27"/>
  <c r="BI8" i="27" s="1"/>
  <c r="Y9" i="27"/>
  <c r="BG9" i="27" s="1"/>
  <c r="Y7" i="27"/>
  <c r="BG7" i="27" s="1"/>
  <c r="Y12" i="27"/>
  <c r="BG12" i="27" s="1"/>
  <c r="Y8" i="27"/>
  <c r="BG8" i="27" s="1"/>
  <c r="Y10" i="27"/>
  <c r="BG10" i="27" s="1"/>
  <c r="Y11" i="27"/>
  <c r="BG11" i="27" s="1"/>
  <c r="AC37" i="27"/>
  <c r="BK37" i="27" s="1"/>
  <c r="AC35" i="27"/>
  <c r="BK35" i="27" s="1"/>
  <c r="AC34" i="27"/>
  <c r="BK34" i="27" s="1"/>
  <c r="AC33" i="27"/>
  <c r="BK33" i="27" s="1"/>
  <c r="AC36" i="27"/>
  <c r="BK36" i="27" s="1"/>
  <c r="AC31" i="27"/>
  <c r="BK31" i="27" s="1"/>
  <c r="AC32" i="27"/>
  <c r="BK32" i="27" s="1"/>
  <c r="AF9" i="27"/>
  <c r="BN9" i="27" s="1"/>
  <c r="AF10" i="27"/>
  <c r="BN10" i="27" s="1"/>
  <c r="AF8" i="27"/>
  <c r="BN8" i="27" s="1"/>
  <c r="AF12" i="27"/>
  <c r="BN12" i="27" s="1"/>
  <c r="AF7" i="27"/>
  <c r="BN7" i="27" s="1"/>
  <c r="AE7" i="27"/>
  <c r="BM7" i="27" s="1"/>
  <c r="AE9" i="27"/>
  <c r="BM9" i="27" s="1"/>
  <c r="AE11" i="27"/>
  <c r="BM11" i="27" s="1"/>
  <c r="AE10" i="27"/>
  <c r="BM10" i="27" s="1"/>
  <c r="AE12" i="27"/>
  <c r="BM12" i="27" s="1"/>
  <c r="AE6" i="27"/>
  <c r="BM6" i="27" s="1"/>
  <c r="AE8" i="27"/>
  <c r="BM8" i="27" s="1"/>
  <c r="AD12" i="27"/>
  <c r="BL12" i="27" s="1"/>
  <c r="AD10" i="27"/>
  <c r="BL10" i="27" s="1"/>
  <c r="AD7" i="27"/>
  <c r="BL7" i="27" s="1"/>
  <c r="AD8" i="27"/>
  <c r="BL8" i="27" s="1"/>
  <c r="AD6" i="27"/>
  <c r="BL6" i="27" s="1"/>
  <c r="AD9" i="27"/>
  <c r="BL9" i="27" s="1"/>
  <c r="AD11" i="27"/>
  <c r="BL11" i="27" s="1"/>
  <c r="AC18" i="27"/>
  <c r="BK18" i="27" s="1"/>
  <c r="AC17" i="27"/>
  <c r="BK17" i="27" s="1"/>
  <c r="AC20" i="27"/>
  <c r="BK20" i="27" s="1"/>
  <c r="AC15" i="27"/>
  <c r="BK15" i="27" s="1"/>
  <c r="AC16" i="27"/>
  <c r="BK16" i="27" s="1"/>
  <c r="AC14" i="27"/>
  <c r="BK14" i="27" s="1"/>
  <c r="AC19" i="27"/>
  <c r="BK19" i="27" s="1"/>
  <c r="AB8" i="27"/>
  <c r="BJ8" i="27" s="1"/>
  <c r="AB6" i="27"/>
  <c r="BJ6" i="27" s="1"/>
  <c r="AB7" i="27"/>
  <c r="BJ7" i="27" s="1"/>
  <c r="E8" i="10"/>
  <c r="F30" i="16" s="1" a="1"/>
  <c r="F30" i="16" s="1"/>
  <c r="BE5" i="27"/>
  <c r="F28" i="16"/>
  <c r="G28" i="16" s="1"/>
  <c r="AF34" i="27"/>
  <c r="BN34" i="27" s="1"/>
  <c r="AF31" i="27"/>
  <c r="BN31" i="27" s="1"/>
  <c r="AF36" i="27"/>
  <c r="BN36" i="27" s="1"/>
  <c r="AF33" i="27"/>
  <c r="BN33" i="27" s="1"/>
  <c r="AF32" i="27"/>
  <c r="BN32" i="27" s="1"/>
  <c r="AF37" i="27"/>
  <c r="BN37" i="27" s="1"/>
  <c r="AF35" i="27"/>
  <c r="BN35" i="27" s="1"/>
  <c r="BE38" i="27"/>
  <c r="F27" i="16" a="1"/>
  <c r="F27" i="16" s="1"/>
  <c r="D6" i="19"/>
  <c r="P122" i="21"/>
  <c r="Z41" i="27"/>
  <c r="BH41" i="27" s="1"/>
  <c r="Z45" i="27"/>
  <c r="BH45" i="27" s="1"/>
  <c r="Z39" i="27"/>
  <c r="BH39" i="27" s="1"/>
  <c r="Z44" i="27"/>
  <c r="BH44" i="27" s="1"/>
  <c r="Z43" i="27"/>
  <c r="BH43" i="27" s="1"/>
  <c r="Z42" i="27"/>
  <c r="BH42" i="27" s="1"/>
  <c r="Z40" i="27"/>
  <c r="BH40" i="27" s="1"/>
  <c r="AE42" i="27"/>
  <c r="BM42" i="27" s="1"/>
  <c r="AE44" i="27"/>
  <c r="BM44" i="27" s="1"/>
  <c r="AE43" i="27"/>
  <c r="BM43" i="27" s="1"/>
  <c r="AE41" i="27"/>
  <c r="BM41" i="27" s="1"/>
  <c r="AE39" i="27"/>
  <c r="BM39" i="27" s="1"/>
  <c r="AE40" i="27"/>
  <c r="BM40" i="27" s="1"/>
  <c r="AE45" i="27"/>
  <c r="BM45" i="27" s="1"/>
  <c r="AH49" i="27"/>
  <c r="BP49" i="27" s="1"/>
  <c r="AH274" i="27"/>
  <c r="BP274" i="27" s="1"/>
  <c r="P38" i="21"/>
  <c r="P80" i="21"/>
  <c r="P136" i="21"/>
  <c r="P108" i="21"/>
  <c r="P75" i="21"/>
  <c r="AH111" i="27"/>
  <c r="BP111" i="27" s="1"/>
  <c r="AG343" i="27"/>
  <c r="BO343" i="27" s="1"/>
  <c r="AG340" i="27"/>
  <c r="BO340" i="27" s="1"/>
  <c r="AG344" i="27"/>
  <c r="BO344" i="27" s="1"/>
  <c r="AG341" i="27"/>
  <c r="BO341" i="27" s="1"/>
  <c r="AG338" i="27"/>
  <c r="BO338" i="27" s="1"/>
  <c r="AG342" i="27"/>
  <c r="BO342" i="27" s="1"/>
  <c r="AG339" i="27"/>
  <c r="BO339" i="27" s="1"/>
  <c r="AH292" i="27"/>
  <c r="BP292" i="27" s="1"/>
  <c r="AH224" i="27"/>
  <c r="BP224" i="27" s="1"/>
  <c r="AH220" i="27"/>
  <c r="BP220" i="27" s="1"/>
  <c r="AH219" i="27"/>
  <c r="BP219" i="27" s="1"/>
  <c r="AH225" i="27"/>
  <c r="BP225" i="27" s="1"/>
  <c r="AH221" i="27"/>
  <c r="BP221" i="27" s="1"/>
  <c r="AH223" i="27"/>
  <c r="BP223" i="27" s="1"/>
  <c r="AH222" i="27"/>
  <c r="BP222" i="27" s="1"/>
  <c r="I39" i="16"/>
  <c r="AH381" i="27"/>
  <c r="BP381" i="27" s="1"/>
  <c r="I10" i="21" a="1"/>
  <c r="I10" i="21" s="1"/>
  <c r="I96" i="16"/>
  <c r="L10" i="21" a="1"/>
  <c r="L10" i="21" s="1"/>
  <c r="J8" i="21" a="1"/>
  <c r="J8" i="21" s="1"/>
  <c r="AG385" i="27"/>
  <c r="BO385" i="27" s="1"/>
  <c r="AG384" i="27"/>
  <c r="BO384" i="27" s="1"/>
  <c r="AG388" i="27"/>
  <c r="BO388" i="27" s="1"/>
  <c r="AG389" i="27"/>
  <c r="BO389" i="27" s="1"/>
  <c r="AG383" i="27"/>
  <c r="BO383" i="27" s="1"/>
  <c r="AG386" i="27"/>
  <c r="BO386" i="27" s="1"/>
  <c r="AG387" i="27"/>
  <c r="BO387" i="27" s="1"/>
  <c r="G6" i="21" a="1"/>
  <c r="G6" i="21" s="1"/>
  <c r="AH336" i="27"/>
  <c r="BP336" i="27" s="1"/>
  <c r="M10" i="21" a="1"/>
  <c r="M10" i="21" s="1"/>
  <c r="D7" i="19"/>
  <c r="F21" i="16" s="1" a="1"/>
  <c r="F21" i="16" s="1"/>
  <c r="AH289" i="27"/>
  <c r="BP289" i="27" s="1"/>
  <c r="AH288" i="27"/>
  <c r="BP288" i="27" s="1"/>
  <c r="AH290" i="27"/>
  <c r="BP290" i="27" s="1"/>
  <c r="AH287" i="27"/>
  <c r="BP287" i="27" s="1"/>
  <c r="AH284" i="27"/>
  <c r="BP284" i="27" s="1"/>
  <c r="AH286" i="27"/>
  <c r="BP286" i="27" s="1"/>
  <c r="AH285" i="27"/>
  <c r="BP285" i="27" s="1"/>
  <c r="AH156" i="27"/>
  <c r="BP156" i="27" s="1"/>
  <c r="AH67" i="27"/>
  <c r="BP67" i="27" s="1"/>
  <c r="AH337" i="27"/>
  <c r="BP337" i="27" s="1"/>
  <c r="AH153" i="27"/>
  <c r="BP153" i="27" s="1"/>
  <c r="AH152" i="27"/>
  <c r="BP152" i="27" s="1"/>
  <c r="AH154" i="27"/>
  <c r="BP154" i="27" s="1"/>
  <c r="AH151" i="27"/>
  <c r="BP151" i="27" s="1"/>
  <c r="AH149" i="27"/>
  <c r="BP149" i="27" s="1"/>
  <c r="AH150" i="27"/>
  <c r="BP150" i="27" s="1"/>
  <c r="AH155" i="27"/>
  <c r="BP155" i="27" s="1"/>
  <c r="AH382" i="27"/>
  <c r="BP382" i="27" s="1"/>
  <c r="AG299" i="27"/>
  <c r="BO299" i="27" s="1"/>
  <c r="AG295" i="27"/>
  <c r="BO295" i="27" s="1"/>
  <c r="AG297" i="27"/>
  <c r="BO297" i="27" s="1"/>
  <c r="AG296" i="27"/>
  <c r="BO296" i="27" s="1"/>
  <c r="AG298" i="27"/>
  <c r="BO298" i="27" s="1"/>
  <c r="AG293" i="27"/>
  <c r="BO293" i="27" s="1"/>
  <c r="AG294" i="27"/>
  <c r="BO294" i="27" s="1"/>
  <c r="AH201" i="27"/>
  <c r="BP201" i="27" s="1"/>
  <c r="E7" i="10"/>
  <c r="P131" i="21"/>
  <c r="P47" i="21"/>
  <c r="I53" i="16"/>
  <c r="AH334" i="27"/>
  <c r="BP334" i="27" s="1"/>
  <c r="AH330" i="27"/>
  <c r="BP330" i="27" s="1"/>
  <c r="AH335" i="27"/>
  <c r="BP335" i="27" s="1"/>
  <c r="AH331" i="27"/>
  <c r="BP331" i="27" s="1"/>
  <c r="AH333" i="27"/>
  <c r="BP333" i="27" s="1"/>
  <c r="AH332" i="27"/>
  <c r="BP332" i="27" s="1"/>
  <c r="AH329" i="27"/>
  <c r="BP329" i="27" s="1"/>
  <c r="AH94" i="27"/>
  <c r="BP94" i="27" s="1"/>
  <c r="AH202" i="27"/>
  <c r="BP202" i="27" s="1"/>
  <c r="AH300" i="27"/>
  <c r="BP300" i="27" s="1"/>
  <c r="H10" i="21" a="1"/>
  <c r="H10" i="21" s="1"/>
  <c r="AH87" i="27"/>
  <c r="BP87" i="27" s="1"/>
  <c r="AH85" i="27"/>
  <c r="BP85" i="27" s="1"/>
  <c r="AH90" i="27"/>
  <c r="BP90" i="27" s="1"/>
  <c r="AH88" i="27"/>
  <c r="BP88" i="27" s="1"/>
  <c r="AH89" i="27"/>
  <c r="BP89" i="27" s="1"/>
  <c r="AH84" i="27"/>
  <c r="BP84" i="27" s="1"/>
  <c r="AH86" i="27"/>
  <c r="BP86" i="27" s="1"/>
  <c r="AH171" i="27"/>
  <c r="BP171" i="27" s="1"/>
  <c r="AH167" i="27"/>
  <c r="BP167" i="27" s="1"/>
  <c r="AH169" i="27"/>
  <c r="BP169" i="27" s="1"/>
  <c r="AH166" i="27"/>
  <c r="BP166" i="27" s="1"/>
  <c r="AH172" i="27"/>
  <c r="BP172" i="27" s="1"/>
  <c r="AH168" i="27"/>
  <c r="BP168" i="27" s="1"/>
  <c r="AH170" i="27"/>
  <c r="BP170" i="27" s="1"/>
  <c r="AG10" i="27"/>
  <c r="BO10" i="27" s="1"/>
  <c r="AG12" i="27"/>
  <c r="BO12" i="27" s="1"/>
  <c r="AG7" i="27"/>
  <c r="BO7" i="27" s="1"/>
  <c r="AG8" i="27"/>
  <c r="BO8" i="27" s="1"/>
  <c r="AG9" i="27"/>
  <c r="BO9" i="27" s="1"/>
  <c r="AG6" i="27"/>
  <c r="BO6" i="27" s="1"/>
  <c r="AG11" i="27"/>
  <c r="BO11" i="27" s="1"/>
  <c r="AH291" i="27"/>
  <c r="BP291" i="27" s="1"/>
  <c r="J10" i="21" a="1"/>
  <c r="J10" i="21" s="1"/>
  <c r="AG204" i="27"/>
  <c r="BO204" i="27" s="1"/>
  <c r="AG209" i="27"/>
  <c r="BO209" i="27" s="1"/>
  <c r="AG206" i="27"/>
  <c r="BO206" i="27" s="1"/>
  <c r="AG208" i="27"/>
  <c r="BO208" i="27" s="1"/>
  <c r="AG207" i="27"/>
  <c r="BO207" i="27" s="1"/>
  <c r="AG203" i="27"/>
  <c r="BO203" i="27" s="1"/>
  <c r="AG205" i="27"/>
  <c r="BO205" i="27" s="1"/>
  <c r="AH157" i="27"/>
  <c r="BP157" i="27" s="1"/>
  <c r="AG162" i="27"/>
  <c r="BO162" i="27" s="1"/>
  <c r="AG163" i="27"/>
  <c r="BO163" i="27" s="1"/>
  <c r="AG164" i="27"/>
  <c r="BO164" i="27" s="1"/>
  <c r="AG161" i="27"/>
  <c r="BO161" i="27" s="1"/>
  <c r="AG158" i="27"/>
  <c r="BO158" i="27" s="1"/>
  <c r="AG159" i="27"/>
  <c r="BO159" i="27" s="1"/>
  <c r="AG160" i="27"/>
  <c r="BO160" i="27" s="1"/>
  <c r="G10" i="21" a="1"/>
  <c r="G10" i="21" s="1"/>
  <c r="AH349" i="27"/>
  <c r="BP349" i="27" s="1"/>
  <c r="AH347" i="27"/>
  <c r="BP347" i="27" s="1"/>
  <c r="AH352" i="27"/>
  <c r="BP352" i="27" s="1"/>
  <c r="AH350" i="27"/>
  <c r="BP350" i="27" s="1"/>
  <c r="AH351" i="27"/>
  <c r="BP351" i="27" s="1"/>
  <c r="AH348" i="27"/>
  <c r="BP348" i="27" s="1"/>
  <c r="AH346" i="27"/>
  <c r="BP346" i="27" s="1"/>
  <c r="AH374" i="27"/>
  <c r="BP374" i="27" s="1"/>
  <c r="AH377" i="27"/>
  <c r="BP377" i="27" s="1"/>
  <c r="AH380" i="27"/>
  <c r="BP380" i="27" s="1"/>
  <c r="AH379" i="27"/>
  <c r="BP379" i="27" s="1"/>
  <c r="AH375" i="27"/>
  <c r="BP375" i="27" s="1"/>
  <c r="AH378" i="27"/>
  <c r="BP378" i="27" s="1"/>
  <c r="AH376" i="27"/>
  <c r="BP376" i="27" s="1"/>
  <c r="AH184" i="27"/>
  <c r="BP184" i="27" s="1"/>
  <c r="AH364" i="27"/>
  <c r="BP364" i="27" s="1"/>
  <c r="AH66" i="27"/>
  <c r="BP66" i="27" s="1"/>
  <c r="I12" i="21" a="1"/>
  <c r="I12" i="21" s="1"/>
  <c r="H12" i="21" a="1"/>
  <c r="H12" i="21" s="1"/>
  <c r="N139" i="14"/>
  <c r="AC93" i="21" s="1" a="1"/>
  <c r="AC93" i="21" s="1"/>
  <c r="P94" i="21"/>
  <c r="F11" i="21" a="1"/>
  <c r="F11" i="21" s="1"/>
  <c r="L24" i="21" a="1"/>
  <c r="L24" i="21" s="1"/>
  <c r="G19" i="21" a="1"/>
  <c r="G19" i="21" s="1"/>
  <c r="L19" i="21" a="1"/>
  <c r="L19" i="21" s="1"/>
  <c r="G25" i="21" a="1"/>
  <c r="G25" i="21" s="1"/>
  <c r="F26" i="21" a="1"/>
  <c r="F26" i="21" s="1"/>
  <c r="D19" i="21" a="1"/>
  <c r="D19" i="21" s="1"/>
  <c r="K11" i="21" a="1"/>
  <c r="K11" i="21" s="1"/>
  <c r="K19" i="21" a="1"/>
  <c r="K19" i="21" s="1"/>
  <c r="N19" i="21" a="1"/>
  <c r="N19" i="21" s="1"/>
  <c r="AG258" i="27"/>
  <c r="BO258" i="27" s="1"/>
  <c r="AG261" i="27"/>
  <c r="BO261" i="27" s="1"/>
  <c r="AG257" i="27"/>
  <c r="BO257" i="27" s="1"/>
  <c r="AG256" i="27"/>
  <c r="BO256" i="27" s="1"/>
  <c r="AG262" i="27"/>
  <c r="BO262" i="27" s="1"/>
  <c r="AG259" i="27"/>
  <c r="BO259" i="27" s="1"/>
  <c r="AG260" i="27"/>
  <c r="BO260" i="27" s="1"/>
  <c r="O26" i="21" a="1"/>
  <c r="O26" i="21" s="1"/>
  <c r="M25" i="21" a="1"/>
  <c r="M25" i="21" s="1"/>
  <c r="E25" i="21" a="1"/>
  <c r="E25" i="21" s="1"/>
  <c r="D25" i="21" a="1"/>
  <c r="D25" i="21" s="1"/>
  <c r="G24" i="21" a="1"/>
  <c r="G24" i="21" s="1"/>
  <c r="N24" i="21" a="1"/>
  <c r="N24" i="21" s="1"/>
  <c r="L26" i="21" a="1"/>
  <c r="L26" i="21" s="1"/>
  <c r="K25" i="21" a="1"/>
  <c r="K25" i="21" s="1"/>
  <c r="I25" i="21" a="1"/>
  <c r="I25" i="21" s="1"/>
  <c r="E26" i="21" a="1"/>
  <c r="E26" i="21" s="1"/>
  <c r="M26" i="21" a="1"/>
  <c r="M26" i="21" s="1"/>
  <c r="M24" i="21" a="1"/>
  <c r="M24" i="21" s="1"/>
  <c r="H26" i="21" a="1"/>
  <c r="H26" i="21" s="1"/>
  <c r="G26" i="21" a="1"/>
  <c r="G26" i="21" s="1"/>
  <c r="F19" i="21" a="1"/>
  <c r="F19" i="21" s="1"/>
  <c r="O19" i="21" a="1"/>
  <c r="O19" i="21" s="1"/>
  <c r="O25" i="21" a="1"/>
  <c r="O25" i="21" s="1"/>
  <c r="K24" i="21" a="1"/>
  <c r="K24" i="21" s="1"/>
  <c r="E24" i="21" a="1"/>
  <c r="E24" i="21" s="1"/>
  <c r="H24" i="21" a="1"/>
  <c r="H24" i="21" s="1"/>
  <c r="F24" i="21" a="1"/>
  <c r="F24" i="21" s="1"/>
  <c r="J19" i="21" a="1"/>
  <c r="J19" i="21" s="1"/>
  <c r="N26" i="21" a="1"/>
  <c r="N26" i="21" s="1"/>
  <c r="M19" i="21" a="1"/>
  <c r="M19" i="21" s="1"/>
  <c r="N11" i="21" a="1"/>
  <c r="N11" i="21" s="1"/>
  <c r="L25" i="21" a="1"/>
  <c r="L25" i="21" s="1"/>
  <c r="H19" i="21" a="1"/>
  <c r="H19" i="21" s="1"/>
  <c r="AH247" i="27"/>
  <c r="BP247" i="27" s="1"/>
  <c r="K26" i="21" a="1"/>
  <c r="K26" i="21" s="1"/>
  <c r="I19" i="21" a="1"/>
  <c r="I19" i="21" s="1"/>
  <c r="AH242" i="27"/>
  <c r="BP242" i="27" s="1"/>
  <c r="AH243" i="27"/>
  <c r="BP243" i="27" s="1"/>
  <c r="AH244" i="27"/>
  <c r="BP244" i="27" s="1"/>
  <c r="AH239" i="27"/>
  <c r="BP239" i="27" s="1"/>
  <c r="AH245" i="27"/>
  <c r="BP245" i="27" s="1"/>
  <c r="AH241" i="27"/>
  <c r="BP241" i="27" s="1"/>
  <c r="AH240" i="27"/>
  <c r="BP240" i="27" s="1"/>
  <c r="AH13" i="27"/>
  <c r="BP13" i="27" s="1"/>
  <c r="I95" i="16"/>
  <c r="N25" i="21" a="1"/>
  <c r="N25" i="21" s="1"/>
  <c r="I24" i="21" a="1"/>
  <c r="I24" i="21" s="1"/>
  <c r="O24" i="21" a="1"/>
  <c r="O24" i="21" s="1"/>
  <c r="I26" i="21" a="1"/>
  <c r="I26" i="21" s="1"/>
  <c r="AH246" i="27"/>
  <c r="BP246" i="27" s="1"/>
  <c r="H25" i="21" a="1"/>
  <c r="H25" i="21" s="1"/>
  <c r="F25" i="21" a="1"/>
  <c r="F25" i="21" s="1"/>
  <c r="J25" i="21" a="1"/>
  <c r="J25" i="21" s="1"/>
  <c r="E19" i="21" a="1"/>
  <c r="E19" i="21" s="1"/>
  <c r="AG36" i="27"/>
  <c r="BO36" i="27" s="1"/>
  <c r="AG32" i="27"/>
  <c r="BO32" i="27" s="1"/>
  <c r="AG33" i="27"/>
  <c r="BO33" i="27" s="1"/>
  <c r="AG35" i="27"/>
  <c r="BO35" i="27" s="1"/>
  <c r="AG37" i="27"/>
  <c r="BO37" i="27" s="1"/>
  <c r="AG34" i="27"/>
  <c r="BO34" i="27" s="1"/>
  <c r="AG31" i="27"/>
  <c r="BO31" i="27" s="1"/>
  <c r="M13" i="14"/>
  <c r="J100" i="6"/>
  <c r="M100" i="6" s="1"/>
  <c r="M80" i="6"/>
  <c r="N159" i="14"/>
  <c r="AC107" i="21" s="1" a="1"/>
  <c r="AC107" i="21" s="1"/>
  <c r="M188" i="6"/>
  <c r="M12" i="14"/>
  <c r="N115" i="14"/>
  <c r="Y79" i="21" s="1" a="1"/>
  <c r="Y79" i="21" s="1"/>
  <c r="K28" i="6"/>
  <c r="J200" i="6"/>
  <c r="M200" i="6" s="1"/>
  <c r="N118" i="14"/>
  <c r="AB79" i="21" s="1" a="1"/>
  <c r="AB79" i="21" s="1"/>
  <c r="N179" i="14"/>
  <c r="AC121" i="21" s="1" a="1"/>
  <c r="AC121" i="21" s="1"/>
  <c r="L180" i="14"/>
  <c r="J160" i="6"/>
  <c r="M160" i="6" s="1"/>
  <c r="N90" i="14"/>
  <c r="T65" i="21" s="1" a="1"/>
  <c r="T65" i="21" s="1"/>
  <c r="N119" i="14"/>
  <c r="AC79" i="21" s="1" a="1"/>
  <c r="AC79" i="21" s="1"/>
  <c r="N95" i="14"/>
  <c r="Y65" i="21" s="1" a="1"/>
  <c r="Y65" i="21" s="1"/>
  <c r="M128" i="6"/>
  <c r="M88" i="6"/>
  <c r="M140" i="6"/>
  <c r="N110" i="14"/>
  <c r="T79" i="21" s="1" a="1"/>
  <c r="T79" i="21" s="1"/>
  <c r="P95" i="21"/>
  <c r="D12" i="21" a="1"/>
  <c r="D12" i="21" s="1"/>
  <c r="L76" i="10"/>
  <c r="P21" i="21"/>
  <c r="P39" i="21"/>
  <c r="M120" i="14"/>
  <c r="L35" i="14"/>
  <c r="N155" i="14"/>
  <c r="Y107" i="21" s="1" a="1"/>
  <c r="Y107" i="21" s="1"/>
  <c r="N158" i="14"/>
  <c r="AB107" i="21" s="1" a="1"/>
  <c r="AB107" i="21" s="1"/>
  <c r="N190" i="14"/>
  <c r="T135" i="21" s="1" a="1"/>
  <c r="T135" i="21" s="1"/>
  <c r="N178" i="14"/>
  <c r="AB121" i="21" s="1" a="1"/>
  <c r="AB121" i="21" s="1"/>
  <c r="M180" i="14"/>
  <c r="M30" i="14"/>
  <c r="M38" i="14"/>
  <c r="M35" i="14"/>
  <c r="M140" i="14"/>
  <c r="N130" i="14"/>
  <c r="N138" i="14"/>
  <c r="AB93" i="21" s="1" a="1"/>
  <c r="AB93" i="21" s="1"/>
  <c r="H60" i="14"/>
  <c r="N99" i="14"/>
  <c r="AC65" i="21" s="1" a="1"/>
  <c r="AC65" i="21" s="1"/>
  <c r="L200" i="14"/>
  <c r="D14" i="6"/>
  <c r="J14" i="6" s="1"/>
  <c r="J30" i="6"/>
  <c r="N175" i="14"/>
  <c r="M16" i="14"/>
  <c r="P53" i="21"/>
  <c r="N170" i="14"/>
  <c r="T121" i="21" s="1" a="1"/>
  <c r="T121" i="21" s="1"/>
  <c r="L120" i="14"/>
  <c r="P96" i="21"/>
  <c r="R47" i="21" a="1"/>
  <c r="R47" i="21" s="1"/>
  <c r="N6" i="21" a="1"/>
  <c r="N6" i="21" s="1"/>
  <c r="N3" i="21" a="1"/>
  <c r="N3" i="21" s="1"/>
  <c r="P103" i="21"/>
  <c r="P36" i="21"/>
  <c r="P124" i="21"/>
  <c r="G100" i="6"/>
  <c r="J35" i="6"/>
  <c r="M6" i="21" a="1"/>
  <c r="M6" i="21" s="1"/>
  <c r="G16" i="10"/>
  <c r="D15" i="19"/>
  <c r="M3" i="21" s="1" a="1"/>
  <c r="M3" i="21" s="1"/>
  <c r="F18" i="21" a="1"/>
  <c r="F18" i="21" s="1"/>
  <c r="F4" i="21" a="1"/>
  <c r="F4" i="21" s="1"/>
  <c r="P20" i="21"/>
  <c r="P82" i="21"/>
  <c r="J6" i="21" a="1"/>
  <c r="J6" i="21" s="1"/>
  <c r="J3" i="21" a="1"/>
  <c r="J3" i="21" s="1"/>
  <c r="T47" i="21" a="1"/>
  <c r="T47" i="21" s="1"/>
  <c r="Z33" i="21" a="1"/>
  <c r="Z33" i="21" s="1"/>
  <c r="R33" i="21" a="1"/>
  <c r="R33" i="21" s="1"/>
  <c r="R89" i="21" a="1"/>
  <c r="R89" i="21" s="1"/>
  <c r="AC33" i="21" a="1"/>
  <c r="AC33" i="21" s="1"/>
  <c r="I6" i="21" a="1"/>
  <c r="I6" i="21" s="1"/>
  <c r="D11" i="19"/>
  <c r="I3" i="21" s="1" a="1"/>
  <c r="I3" i="21" s="1"/>
  <c r="AC61" i="21" a="1"/>
  <c r="AC61" i="21" s="1"/>
  <c r="P137" i="21"/>
  <c r="T61" i="21" a="1"/>
  <c r="T61" i="21" s="1"/>
  <c r="R131" i="21" a="1"/>
  <c r="R131" i="21" s="1"/>
  <c r="R75" i="21" a="1"/>
  <c r="R75" i="21" s="1"/>
  <c r="Y33" i="21" a="1"/>
  <c r="Y33" i="21" s="1"/>
  <c r="V47" i="21" a="1"/>
  <c r="V47" i="21" s="1"/>
  <c r="K18" i="21" a="1"/>
  <c r="K18" i="21" s="1"/>
  <c r="K4" i="21" a="1"/>
  <c r="K4" i="21" s="1"/>
  <c r="T131" i="21" a="1"/>
  <c r="T131" i="21" s="1"/>
  <c r="Y117" i="21" a="1"/>
  <c r="Y117" i="21" s="1"/>
  <c r="AA33" i="21" a="1"/>
  <c r="AA33" i="21" s="1"/>
  <c r="L30" i="14"/>
  <c r="E15" i="10"/>
  <c r="L8" i="21" s="1" a="1"/>
  <c r="L8" i="21" s="1"/>
  <c r="L6" i="21" a="1"/>
  <c r="L6" i="21" s="1"/>
  <c r="D14" i="19"/>
  <c r="L3" i="21" s="1" a="1"/>
  <c r="L3" i="21" s="1"/>
  <c r="E18" i="6"/>
  <c r="K18" i="6" s="1"/>
  <c r="T33" i="21" a="1"/>
  <c r="T33" i="21" s="1"/>
  <c r="W33" i="21" a="1"/>
  <c r="W33" i="21" s="1"/>
  <c r="AB33" i="21" a="1"/>
  <c r="AB33" i="21" s="1"/>
  <c r="L80" i="14"/>
  <c r="N80" i="14" s="1"/>
  <c r="J39" i="6"/>
  <c r="H6" i="21" a="1"/>
  <c r="H6" i="21" s="1"/>
  <c r="D10" i="19"/>
  <c r="H3" i="21" s="1" a="1"/>
  <c r="H3" i="21" s="1"/>
  <c r="O18" i="21" a="1"/>
  <c r="O18" i="21" s="1"/>
  <c r="O4" i="21" a="1"/>
  <c r="O4" i="21" s="1"/>
  <c r="Y89" i="21" a="1"/>
  <c r="Y89" i="21" s="1"/>
  <c r="BD21" i="27"/>
  <c r="AC75" i="21" a="1"/>
  <c r="AC75" i="21" s="1"/>
  <c r="Y75" i="21" a="1"/>
  <c r="Y75" i="21" s="1"/>
  <c r="T103" i="21" a="1"/>
  <c r="T103" i="21" s="1"/>
  <c r="N18" i="21" a="1"/>
  <c r="N18" i="21" s="1"/>
  <c r="N4" i="21" a="1"/>
  <c r="N4" i="21" s="1"/>
  <c r="J7" i="10"/>
  <c r="D6" i="21" a="1"/>
  <c r="D6" i="21" s="1"/>
  <c r="J120" i="6"/>
  <c r="M120" i="6" s="1"/>
  <c r="X33" i="21" a="1"/>
  <c r="X33" i="21" s="1"/>
  <c r="T89" i="21" a="1"/>
  <c r="T89" i="21" s="1"/>
  <c r="T117" i="21" a="1"/>
  <c r="T117" i="21" s="1"/>
  <c r="K9" i="14"/>
  <c r="Y47" i="21" a="1"/>
  <c r="Y47" i="21" s="1"/>
  <c r="P89" i="21"/>
  <c r="AC47" i="21" a="1"/>
  <c r="AC47" i="21" s="1"/>
  <c r="V33" i="21" a="1"/>
  <c r="V33" i="21" s="1"/>
  <c r="R61" i="21" a="1"/>
  <c r="R61" i="21" s="1"/>
  <c r="R103" i="21" a="1"/>
  <c r="R103" i="21" s="1"/>
  <c r="S33" i="21" a="1"/>
  <c r="S33" i="21" s="1"/>
  <c r="R117" i="21" a="1"/>
  <c r="R117" i="21" s="1"/>
  <c r="O6" i="21" a="1"/>
  <c r="O6" i="21" s="1"/>
  <c r="O3" i="21" a="1"/>
  <c r="O3" i="21" s="1"/>
  <c r="E6" i="21" a="1"/>
  <c r="E6" i="21" s="1"/>
  <c r="AB131" i="21" a="1"/>
  <c r="AB131" i="21" s="1"/>
  <c r="P61" i="21"/>
  <c r="F22" i="21" a="1"/>
  <c r="F22" i="21" s="1"/>
  <c r="P22" i="21" s="1"/>
  <c r="E38" i="10"/>
  <c r="AC89" i="21" a="1"/>
  <c r="AC89" i="21" s="1"/>
  <c r="P117" i="21"/>
  <c r="M11" i="14"/>
  <c r="G12" i="21" a="1"/>
  <c r="G12" i="21" s="1"/>
  <c r="J12" i="21" a="1"/>
  <c r="J12" i="21" s="1"/>
  <c r="M17" i="14"/>
  <c r="M12" i="21" a="1"/>
  <c r="M12" i="21" s="1"/>
  <c r="M9" i="14"/>
  <c r="E12" i="21" a="1"/>
  <c r="E12" i="21" s="1"/>
  <c r="AC51" i="21" a="1"/>
  <c r="AC51" i="21" s="1"/>
  <c r="M135" i="21" a="1"/>
  <c r="M135" i="21" s="1"/>
  <c r="I37" i="21" a="1"/>
  <c r="I37" i="21" s="1"/>
  <c r="Z135" i="21" a="1"/>
  <c r="Z135" i="21" s="1"/>
  <c r="E107" i="21" a="1"/>
  <c r="E107" i="21" s="1"/>
  <c r="O79" i="21" a="1"/>
  <c r="O79" i="21" s="1"/>
  <c r="AA65" i="21" a="1"/>
  <c r="AA65" i="21" s="1"/>
  <c r="V93" i="21" a="1"/>
  <c r="V93" i="21" s="1"/>
  <c r="H121" i="21" a="1"/>
  <c r="H121" i="21" s="1"/>
  <c r="I65" i="21" a="1"/>
  <c r="I65" i="21" s="1"/>
  <c r="E79" i="21" a="1"/>
  <c r="E79" i="21" s="1"/>
  <c r="X121" i="21" a="1"/>
  <c r="X121" i="21" s="1"/>
  <c r="U51" i="21" a="1"/>
  <c r="U51" i="21" s="1"/>
  <c r="S51" i="21" a="1"/>
  <c r="S51" i="21" s="1"/>
  <c r="I107" i="21" a="1"/>
  <c r="I107" i="21" s="1"/>
  <c r="U135" i="21" a="1"/>
  <c r="U135" i="21" s="1"/>
  <c r="K93" i="21" a="1"/>
  <c r="K93" i="21" s="1"/>
  <c r="S107" i="21" a="1"/>
  <c r="S107" i="21" s="1"/>
  <c r="F121" i="21" a="1"/>
  <c r="F121" i="21" s="1"/>
  <c r="H37" i="21" a="1"/>
  <c r="H37" i="21" s="1"/>
  <c r="M107" i="21" a="1"/>
  <c r="M107" i="21" s="1"/>
  <c r="G65" i="21" a="1"/>
  <c r="G65" i="21" s="1"/>
  <c r="S79" i="21" a="1"/>
  <c r="S79" i="21" s="1"/>
  <c r="F107" i="21" a="1"/>
  <c r="F107" i="21" s="1"/>
  <c r="K121" i="21" a="1"/>
  <c r="K121" i="21" s="1"/>
  <c r="N37" i="21" a="1"/>
  <c r="N37" i="21" s="1"/>
  <c r="W107" i="21" a="1"/>
  <c r="W107" i="21" s="1"/>
  <c r="K79" i="21" a="1"/>
  <c r="K79" i="21" s="1"/>
  <c r="J37" i="21" a="1"/>
  <c r="J37" i="21" s="1"/>
  <c r="O37" i="21" a="1"/>
  <c r="O37" i="21" s="1"/>
  <c r="U79" i="21" a="1"/>
  <c r="U79" i="21" s="1"/>
  <c r="N79" i="21" a="1"/>
  <c r="N79" i="21" s="1"/>
  <c r="L135" i="21" a="1"/>
  <c r="L135" i="21" s="1"/>
  <c r="O121" i="21" a="1"/>
  <c r="O121" i="21" s="1"/>
  <c r="K37" i="21" a="1"/>
  <c r="K37" i="21" s="1"/>
  <c r="M65" i="21" a="1"/>
  <c r="M65" i="21" s="1"/>
  <c r="H135" i="21" a="1"/>
  <c r="H135" i="21" s="1"/>
  <c r="V121" i="21" a="1"/>
  <c r="V121" i="21" s="1"/>
  <c r="W65" i="21" a="1"/>
  <c r="W65" i="21" s="1"/>
  <c r="D65" i="21" a="1"/>
  <c r="D65" i="21" s="1"/>
  <c r="W93" i="21" a="1"/>
  <c r="W93" i="21" s="1"/>
  <c r="J121" i="21" a="1"/>
  <c r="J121" i="21" s="1"/>
  <c r="K65" i="21" a="1"/>
  <c r="K65" i="21" s="1"/>
  <c r="E135" i="21" a="1"/>
  <c r="E135" i="21" s="1"/>
  <c r="N93" i="21" a="1"/>
  <c r="N93" i="21" s="1"/>
  <c r="AA93" i="21" a="1"/>
  <c r="AA93" i="21" s="1"/>
  <c r="S65" i="21" a="1"/>
  <c r="S65" i="21" s="1"/>
  <c r="X79" i="21" a="1"/>
  <c r="X79" i="21" s="1"/>
  <c r="S121" i="21" a="1"/>
  <c r="S121" i="21" s="1"/>
  <c r="G51" i="21" a="1"/>
  <c r="G51" i="21" s="1"/>
  <c r="W51" i="21" a="1"/>
  <c r="W51" i="21" s="1"/>
  <c r="F51" i="21" a="1"/>
  <c r="F51" i="21" s="1"/>
  <c r="N107" i="21" a="1"/>
  <c r="N107" i="21" s="1"/>
  <c r="V135" i="21" a="1"/>
  <c r="V135" i="21" s="1"/>
  <c r="Y51" i="21" a="1"/>
  <c r="Y51" i="21" s="1"/>
  <c r="K60" i="6"/>
  <c r="AB51" i="21" a="1"/>
  <c r="AB51" i="21" s="1"/>
  <c r="O107" i="21" a="1"/>
  <c r="O107" i="21" s="1"/>
  <c r="D135" i="21" a="1"/>
  <c r="D135" i="21" s="1"/>
  <c r="M109" i="6"/>
  <c r="M121" i="21" a="1"/>
  <c r="M121" i="21" s="1"/>
  <c r="N98" i="14"/>
  <c r="Z121" i="21" a="1"/>
  <c r="Z121" i="21" s="1"/>
  <c r="L65" i="21" a="1"/>
  <c r="L65" i="21" s="1"/>
  <c r="I51" i="21" a="1"/>
  <c r="I51" i="21" s="1"/>
  <c r="E93" i="21" a="1"/>
  <c r="E93" i="21" s="1"/>
  <c r="D121" i="21" a="1"/>
  <c r="D121" i="21" s="1"/>
  <c r="O65" i="21" a="1"/>
  <c r="O65" i="21" s="1"/>
  <c r="K107" i="21" a="1"/>
  <c r="K107" i="21" s="1"/>
  <c r="J65" i="21" a="1"/>
  <c r="J65" i="21" s="1"/>
  <c r="V79" i="21" a="1"/>
  <c r="V79" i="21" s="1"/>
  <c r="D107" i="21" a="1"/>
  <c r="D107" i="21" s="1"/>
  <c r="M93" i="21" a="1"/>
  <c r="M93" i="21" s="1"/>
  <c r="L100" i="14"/>
  <c r="Z51" i="21" a="1"/>
  <c r="Z51" i="21" s="1"/>
  <c r="J79" i="21" a="1"/>
  <c r="J79" i="21" s="1"/>
  <c r="W135" i="21" a="1"/>
  <c r="W135" i="21" s="1"/>
  <c r="G37" i="21" a="1"/>
  <c r="G37" i="21" s="1"/>
  <c r="X51" i="21" a="1"/>
  <c r="X51" i="21" s="1"/>
  <c r="P109" i="21"/>
  <c r="T51" i="21" a="1"/>
  <c r="T51" i="21" s="1"/>
  <c r="Z107" i="21" a="1"/>
  <c r="Z107" i="21" s="1"/>
  <c r="F65" i="21" a="1"/>
  <c r="F65" i="21" s="1"/>
  <c r="M37" i="21" a="1"/>
  <c r="M37" i="21" s="1"/>
  <c r="D79" i="21" a="1"/>
  <c r="D79" i="21" s="1"/>
  <c r="E65" i="21" a="1"/>
  <c r="E65" i="21" s="1"/>
  <c r="E121" i="21" a="1"/>
  <c r="E121" i="21" s="1"/>
  <c r="I93" i="21" a="1"/>
  <c r="I93" i="21" s="1"/>
  <c r="S135" i="21" a="1"/>
  <c r="S135" i="21" s="1"/>
  <c r="N121" i="21" a="1"/>
  <c r="N121" i="21" s="1"/>
  <c r="L107" i="21" a="1"/>
  <c r="L107" i="21" s="1"/>
  <c r="S93" i="21" a="1"/>
  <c r="S93" i="21" s="1"/>
  <c r="D37" i="21" a="1"/>
  <c r="D37" i="21" s="1"/>
  <c r="X65" i="21" a="1"/>
  <c r="X65" i="21" s="1"/>
  <c r="J135" i="21" a="1"/>
  <c r="J135" i="21" s="1"/>
  <c r="AA121" i="21" a="1"/>
  <c r="AA121" i="21" s="1"/>
  <c r="N65" i="21" a="1"/>
  <c r="N65" i="21" s="1"/>
  <c r="L121" i="21" a="1"/>
  <c r="L121" i="21" s="1"/>
  <c r="Z65" i="21" a="1"/>
  <c r="Z65" i="21" s="1"/>
  <c r="J107" i="21" a="1"/>
  <c r="J107" i="21" s="1"/>
  <c r="I79" i="21" a="1"/>
  <c r="I79" i="21" s="1"/>
  <c r="H79" i="21" a="1"/>
  <c r="H79" i="21" s="1"/>
  <c r="Z93" i="21" a="1"/>
  <c r="Z93" i="21" s="1"/>
  <c r="O93" i="21" a="1"/>
  <c r="O93" i="21" s="1"/>
  <c r="F79" i="21" a="1"/>
  <c r="F79" i="21" s="1"/>
  <c r="F93" i="21" a="1"/>
  <c r="F93" i="21" s="1"/>
  <c r="I135" i="21" a="1"/>
  <c r="I135" i="21" s="1"/>
  <c r="N51" i="21" a="1"/>
  <c r="N51" i="21" s="1"/>
  <c r="AA51" i="21" a="1"/>
  <c r="AA51" i="21" s="1"/>
  <c r="O51" i="21" a="1"/>
  <c r="O51" i="21" s="1"/>
  <c r="H93" i="21" a="1"/>
  <c r="H93" i="21" s="1"/>
  <c r="G79" i="21" a="1"/>
  <c r="G79" i="21" s="1"/>
  <c r="G135" i="21" a="1"/>
  <c r="G135" i="21" s="1"/>
  <c r="X135" i="21" a="1"/>
  <c r="X135" i="21" s="1"/>
  <c r="I121" i="21" a="1"/>
  <c r="I121" i="21" s="1"/>
  <c r="D93" i="21" a="1"/>
  <c r="D93" i="21" s="1"/>
  <c r="X107" i="21" a="1"/>
  <c r="X107" i="21" s="1"/>
  <c r="W79" i="21" a="1"/>
  <c r="W79" i="21" s="1"/>
  <c r="L93" i="21" a="1"/>
  <c r="L93" i="21" s="1"/>
  <c r="U107" i="21" a="1"/>
  <c r="U107" i="21" s="1"/>
  <c r="F37" i="21" a="1"/>
  <c r="F37" i="21" s="1"/>
  <c r="M51" i="21" a="1"/>
  <c r="M51" i="21" s="1"/>
  <c r="G93" i="21" a="1"/>
  <c r="G93" i="21" s="1"/>
  <c r="AA79" i="21" a="1"/>
  <c r="AA79" i="21" s="1"/>
  <c r="L37" i="21" a="1"/>
  <c r="L37" i="21" s="1"/>
  <c r="G80" i="6"/>
  <c r="P123" i="21"/>
  <c r="L79" i="21" a="1"/>
  <c r="L79" i="21" s="1"/>
  <c r="K29" i="6"/>
  <c r="W121" i="21" a="1"/>
  <c r="W121" i="21" s="1"/>
  <c r="H51" i="21" a="1"/>
  <c r="H51" i="21" s="1"/>
  <c r="K51" i="21" a="1"/>
  <c r="K51" i="21" s="1"/>
  <c r="G121" i="21" a="1"/>
  <c r="G121" i="21" s="1"/>
  <c r="V107" i="21" a="1"/>
  <c r="V107" i="21" s="1"/>
  <c r="N195" i="14"/>
  <c r="G107" i="21" a="1"/>
  <c r="G107" i="21" s="1"/>
  <c r="J93" i="21" a="1"/>
  <c r="J93" i="21" s="1"/>
  <c r="E37" i="21" a="1"/>
  <c r="E37" i="21" s="1"/>
  <c r="N135" i="21" a="1"/>
  <c r="N135" i="21" s="1"/>
  <c r="M79" i="21" a="1"/>
  <c r="M79" i="21" s="1"/>
  <c r="V65" i="21" a="1"/>
  <c r="V65" i="21" s="1"/>
  <c r="V51" i="21" a="1"/>
  <c r="V51" i="21" s="1"/>
  <c r="P67" i="21"/>
  <c r="Z79" i="21" a="1"/>
  <c r="Z79" i="21" s="1"/>
  <c r="AA135" i="21" a="1"/>
  <c r="AA135" i="21" s="1"/>
  <c r="O135" i="21" a="1"/>
  <c r="O135" i="21" s="1"/>
  <c r="F135" i="21" a="1"/>
  <c r="F135" i="21" s="1"/>
  <c r="U121" i="21" a="1"/>
  <c r="U121" i="21" s="1"/>
  <c r="N135" i="14"/>
  <c r="H107" i="21" a="1"/>
  <c r="H107" i="21" s="1"/>
  <c r="K135" i="21" a="1"/>
  <c r="K135" i="21" s="1"/>
  <c r="X93" i="21" a="1"/>
  <c r="X93" i="21" s="1"/>
  <c r="AA107" i="21" a="1"/>
  <c r="AA107" i="21" s="1"/>
  <c r="U65" i="21" a="1"/>
  <c r="U65" i="21" s="1"/>
  <c r="N198" i="14"/>
  <c r="N150" i="14"/>
  <c r="H65" i="21" a="1"/>
  <c r="H65" i="21" s="1"/>
  <c r="U93" i="21" a="1"/>
  <c r="U93" i="21" s="1"/>
  <c r="E51" i="21" a="1"/>
  <c r="E51" i="21" s="1"/>
  <c r="P81" i="21"/>
  <c r="E11" i="6"/>
  <c r="K11" i="6" s="1"/>
  <c r="M11" i="21" a="1"/>
  <c r="M11" i="21" s="1"/>
  <c r="G140" i="6"/>
  <c r="G200" i="6"/>
  <c r="K15" i="10"/>
  <c r="L7" i="21" a="1"/>
  <c r="L7" i="21" s="1"/>
  <c r="K7" i="10"/>
  <c r="K8" i="10"/>
  <c r="E7" i="21" a="1"/>
  <c r="E7" i="21" s="1"/>
  <c r="G7" i="21" a="1"/>
  <c r="G7" i="21" s="1"/>
  <c r="K12" i="10"/>
  <c r="I7" i="21" a="1"/>
  <c r="I7" i="21" s="1"/>
  <c r="K11" i="10"/>
  <c r="H7" i="21" a="1"/>
  <c r="H7" i="21" s="1"/>
  <c r="K13" i="10"/>
  <c r="L114" i="10"/>
  <c r="L133" i="10"/>
  <c r="L152" i="10"/>
  <c r="L36" i="10"/>
  <c r="AB19" i="21" s="1" a="1"/>
  <c r="AB19" i="21" s="1"/>
  <c r="L95" i="10"/>
  <c r="L28" i="10"/>
  <c r="T19" i="21" s="1" a="1"/>
  <c r="T19" i="21" s="1"/>
  <c r="L37" i="10"/>
  <c r="AC19" i="21" s="1" a="1"/>
  <c r="AC19" i="21" s="1"/>
  <c r="F5" i="21" a="1"/>
  <c r="F5" i="21" s="1"/>
  <c r="K17" i="10"/>
  <c r="N7" i="21" a="1"/>
  <c r="N7" i="21" s="1"/>
  <c r="K18" i="10"/>
  <c r="O7" i="21" a="1"/>
  <c r="O7" i="21" s="1"/>
  <c r="L33" i="10"/>
  <c r="Y19" i="21" s="1" a="1"/>
  <c r="Y19" i="21" s="1"/>
  <c r="E12" i="10"/>
  <c r="I8" i="21" s="1" a="1"/>
  <c r="I8" i="21" s="1"/>
  <c r="G15" i="10"/>
  <c r="G7" i="10"/>
  <c r="E18" i="10"/>
  <c r="O8" i="21" s="1" a="1"/>
  <c r="O8" i="21" s="1"/>
  <c r="G18" i="10"/>
  <c r="K5" i="21" a="1"/>
  <c r="K5" i="21" s="1"/>
  <c r="K8" i="21" a="1"/>
  <c r="K8" i="21" s="1"/>
  <c r="E17" i="10"/>
  <c r="N8" i="21" s="1" a="1"/>
  <c r="N8" i="21" s="1"/>
  <c r="G17" i="10"/>
  <c r="G8" i="10"/>
  <c r="G10" i="10"/>
  <c r="E10" i="10"/>
  <c r="G8" i="21" s="1" a="1"/>
  <c r="G8" i="21" s="1"/>
  <c r="E16" i="10"/>
  <c r="M8" i="21" s="1" a="1"/>
  <c r="M8" i="21" s="1"/>
  <c r="D9" i="19"/>
  <c r="G3" i="21" s="1" a="1"/>
  <c r="G3" i="21" s="1"/>
  <c r="G160" i="6"/>
  <c r="G120" i="6"/>
  <c r="D13" i="6"/>
  <c r="G13" i="6" s="1"/>
  <c r="E40" i="6"/>
  <c r="D9" i="6"/>
  <c r="J9" i="6" s="1"/>
  <c r="E8" i="6"/>
  <c r="K8" i="6" s="1"/>
  <c r="E12" i="6"/>
  <c r="K12" i="6" s="1"/>
  <c r="E10" i="6"/>
  <c r="K10" i="6" s="1"/>
  <c r="E17" i="6"/>
  <c r="K17" i="6" s="1"/>
  <c r="E15" i="6"/>
  <c r="K15" i="6" s="1"/>
  <c r="E14" i="6"/>
  <c r="K14" i="6" s="1"/>
  <c r="K38" i="10"/>
  <c r="L26" i="10"/>
  <c r="R19" i="21" s="1" a="1"/>
  <c r="R19" i="21" s="1"/>
  <c r="L34" i="10"/>
  <c r="Z19" i="21" s="1" a="1"/>
  <c r="Z19" i="21" s="1"/>
  <c r="L160" i="14"/>
  <c r="G40" i="14"/>
  <c r="G180" i="6"/>
  <c r="L38" i="14"/>
  <c r="L39" i="14"/>
  <c r="D18" i="6"/>
  <c r="D16" i="6"/>
  <c r="J16" i="6" s="1"/>
  <c r="D15" i="6"/>
  <c r="J15" i="6" s="1"/>
  <c r="D17" i="6"/>
  <c r="J17" i="6" s="1"/>
  <c r="H80" i="14"/>
  <c r="D40" i="6"/>
  <c r="K180" i="14"/>
  <c r="N168" i="14"/>
  <c r="K140" i="14"/>
  <c r="N128" i="14"/>
  <c r="K37" i="14"/>
  <c r="N37" i="14" s="1"/>
  <c r="AA23" i="21" s="1" a="1"/>
  <c r="AA23" i="21" s="1"/>
  <c r="N57" i="14"/>
  <c r="K33" i="14"/>
  <c r="N33" i="14" s="1"/>
  <c r="W23" i="21" s="1" a="1"/>
  <c r="W23" i="21" s="1"/>
  <c r="N53" i="14"/>
  <c r="N51" i="14"/>
  <c r="K31" i="14"/>
  <c r="N31" i="14" s="1"/>
  <c r="U23" i="21" s="1" a="1"/>
  <c r="U23" i="21" s="1"/>
  <c r="M180" i="6"/>
  <c r="E9" i="6"/>
  <c r="K9" i="6" s="1"/>
  <c r="K34" i="14"/>
  <c r="N34" i="14" s="1"/>
  <c r="X23" i="21" s="1" a="1"/>
  <c r="X23" i="21" s="1"/>
  <c r="N54" i="14"/>
  <c r="H100" i="14"/>
  <c r="N188" i="14"/>
  <c r="K200" i="14"/>
  <c r="L16" i="14"/>
  <c r="L14" i="14"/>
  <c r="L9" i="14"/>
  <c r="L18" i="14"/>
  <c r="L10" i="14"/>
  <c r="L15" i="14"/>
  <c r="L17" i="14"/>
  <c r="L12" i="14"/>
  <c r="H200" i="14"/>
  <c r="H120" i="14"/>
  <c r="N58" i="14"/>
  <c r="K38" i="14"/>
  <c r="N108" i="14"/>
  <c r="K120" i="14"/>
  <c r="M8" i="14"/>
  <c r="G20" i="14"/>
  <c r="D8" i="6"/>
  <c r="J8" i="6" s="1"/>
  <c r="D11" i="6"/>
  <c r="J11" i="6" s="1"/>
  <c r="H160" i="14"/>
  <c r="K100" i="14"/>
  <c r="N88" i="14"/>
  <c r="D40" i="14"/>
  <c r="K160" i="14"/>
  <c r="N148" i="14"/>
  <c r="K30" i="14"/>
  <c r="N68" i="14"/>
  <c r="D10" i="6"/>
  <c r="E19" i="6"/>
  <c r="K19" i="6" s="1"/>
  <c r="E16" i="6"/>
  <c r="K16" i="6" s="1"/>
  <c r="N48" i="14"/>
  <c r="K60" i="14"/>
  <c r="K28" i="14"/>
  <c r="K29" i="14"/>
  <c r="N29" i="14" s="1"/>
  <c r="S23" i="21" s="1" a="1"/>
  <c r="S23" i="21" s="1"/>
  <c r="N49" i="14"/>
  <c r="E40" i="14"/>
  <c r="H140" i="14"/>
  <c r="K36" i="14"/>
  <c r="N36" i="14" s="1"/>
  <c r="Z23" i="21" s="1" a="1"/>
  <c r="Z23" i="21" s="1"/>
  <c r="N56" i="14"/>
  <c r="D19" i="6"/>
  <c r="J19" i="6" s="1"/>
  <c r="N59" i="14"/>
  <c r="K39" i="14"/>
  <c r="H180" i="14"/>
  <c r="N55" i="14"/>
  <c r="K35" i="14"/>
  <c r="N52" i="14"/>
  <c r="K32" i="14"/>
  <c r="N32" i="14" s="1"/>
  <c r="V23" i="21" s="1" a="1"/>
  <c r="V23" i="21" s="1"/>
  <c r="L28" i="14"/>
  <c r="L60" i="14"/>
  <c r="M28" i="14"/>
  <c r="L140" i="14"/>
  <c r="L14" i="10"/>
  <c r="G38" i="10"/>
  <c r="J16" i="10"/>
  <c r="L16" i="10" s="1"/>
  <c r="J38" i="10"/>
  <c r="J9" i="10"/>
  <c r="L9" i="10" s="1"/>
  <c r="J13" i="10"/>
  <c r="F19" i="10"/>
  <c r="J12" i="10"/>
  <c r="D19" i="10"/>
  <c r="J18" i="10"/>
  <c r="J10" i="10"/>
  <c r="J11" i="10"/>
  <c r="J17" i="10"/>
  <c r="J8" i="10"/>
  <c r="L190" i="10"/>
  <c r="L57" i="10"/>
  <c r="J15" i="10"/>
  <c r="L57" i="6"/>
  <c r="F37" i="6"/>
  <c r="G57" i="6"/>
  <c r="L48" i="6"/>
  <c r="L28" i="6" s="1"/>
  <c r="F28" i="6"/>
  <c r="F60" i="6"/>
  <c r="G48" i="6"/>
  <c r="F29" i="6"/>
  <c r="L49" i="6"/>
  <c r="G49" i="6"/>
  <c r="L54" i="6"/>
  <c r="F34" i="6"/>
  <c r="G54" i="6"/>
  <c r="F39" i="6"/>
  <c r="L59" i="6"/>
  <c r="G59" i="6"/>
  <c r="F36" i="6"/>
  <c r="L56" i="6"/>
  <c r="G56" i="6"/>
  <c r="F30" i="6"/>
  <c r="L50" i="6"/>
  <c r="G50" i="6"/>
  <c r="F32" i="6"/>
  <c r="L52" i="6"/>
  <c r="G52" i="6"/>
  <c r="L53" i="6"/>
  <c r="F33" i="6"/>
  <c r="G53" i="6"/>
  <c r="F38" i="6"/>
  <c r="L58" i="6"/>
  <c r="G58" i="6"/>
  <c r="L55" i="6"/>
  <c r="F35" i="6"/>
  <c r="G55" i="6"/>
  <c r="L51" i="6"/>
  <c r="F31" i="6"/>
  <c r="G51" i="6"/>
  <c r="F20" i="6"/>
  <c r="L8" i="6"/>
  <c r="L20" i="6" s="1"/>
  <c r="J12" i="6"/>
  <c r="Z8" i="27" l="1"/>
  <c r="BH8" i="27" s="1"/>
  <c r="AF6" i="27"/>
  <c r="BN6" i="27" s="1"/>
  <c r="AF11" i="27"/>
  <c r="BN11" i="27" s="1"/>
  <c r="Z6" i="27"/>
  <c r="BH6" i="27" s="1"/>
  <c r="AH5" i="27"/>
  <c r="AH7" i="27" s="1"/>
  <c r="Z12" i="27"/>
  <c r="BH12" i="27" s="1"/>
  <c r="H25" i="16"/>
  <c r="I25" i="16" s="1"/>
  <c r="AB11" i="27"/>
  <c r="BJ11" i="27" s="1"/>
  <c r="Z7" i="27"/>
  <c r="BH7" i="27" s="1"/>
  <c r="AB9" i="27"/>
  <c r="BJ9" i="27" s="1"/>
  <c r="Z10" i="27"/>
  <c r="BH10" i="27" s="1"/>
  <c r="AB10" i="27"/>
  <c r="BJ10" i="27" s="1"/>
  <c r="AB12" i="27"/>
  <c r="BJ12" i="27" s="1"/>
  <c r="Z11" i="27"/>
  <c r="BH11" i="27" s="1"/>
  <c r="AH268" i="27"/>
  <c r="BP268" i="27" s="1"/>
  <c r="AH391" i="27"/>
  <c r="BP391" i="27" s="1"/>
  <c r="Z9" i="27"/>
  <c r="BH9" i="27" s="1"/>
  <c r="AH80" i="27"/>
  <c r="BP80" i="27" s="1"/>
  <c r="AH77" i="27"/>
  <c r="BP77" i="27" s="1"/>
  <c r="AH396" i="27"/>
  <c r="BP396" i="27" s="1"/>
  <c r="AH121" i="27"/>
  <c r="BP121" i="27" s="1"/>
  <c r="AH269" i="27"/>
  <c r="BP269" i="27" s="1"/>
  <c r="AH260" i="27"/>
  <c r="BP260" i="27" s="1"/>
  <c r="AH126" i="27"/>
  <c r="BP126" i="27" s="1"/>
  <c r="AH394" i="27"/>
  <c r="BP394" i="27" s="1"/>
  <c r="AH270" i="27"/>
  <c r="BP270" i="27" s="1"/>
  <c r="G10" i="6"/>
  <c r="N12" i="14"/>
  <c r="AH265" i="27"/>
  <c r="BP265" i="27" s="1"/>
  <c r="AH397" i="27"/>
  <c r="BP397" i="27" s="1"/>
  <c r="AH267" i="27"/>
  <c r="BP267" i="27" s="1"/>
  <c r="BE4" i="27"/>
  <c r="AA4" i="27" a="1"/>
  <c r="AA4" i="27" s="1"/>
  <c r="BI4" i="27" s="1"/>
  <c r="AF4" i="27" a="1"/>
  <c r="AF4" i="27" s="1"/>
  <c r="BN4" i="27" s="1"/>
  <c r="AB4" i="27" a="1"/>
  <c r="AB4" i="27" s="1"/>
  <c r="BJ4" i="27" s="1"/>
  <c r="AE4" i="27" a="1"/>
  <c r="AE4" i="27" s="1"/>
  <c r="BM4" i="27" s="1"/>
  <c r="Y4" i="27" a="1"/>
  <c r="Y4" i="27" s="1"/>
  <c r="BG4" i="27" s="1"/>
  <c r="AD4" i="27" a="1"/>
  <c r="AD4" i="27" s="1"/>
  <c r="BL4" i="27" s="1"/>
  <c r="BD4" i="27"/>
  <c r="D5" i="21" a="1"/>
  <c r="D5" i="21" s="1"/>
  <c r="Z4" i="27" a="1"/>
  <c r="Z4" i="27" s="1"/>
  <c r="BH4" i="27" s="1"/>
  <c r="AH76" i="27"/>
  <c r="BP76" i="27" s="1"/>
  <c r="G18" i="6"/>
  <c r="AH262" i="27"/>
  <c r="BP262" i="27" s="1"/>
  <c r="AH356" i="27"/>
  <c r="BP356" i="27" s="1"/>
  <c r="AH213" i="27"/>
  <c r="BP213" i="27" s="1"/>
  <c r="AH360" i="27"/>
  <c r="BP360" i="27" s="1"/>
  <c r="AH79" i="27"/>
  <c r="BP79" i="27" s="1"/>
  <c r="AH82" i="27"/>
  <c r="BP82" i="27" s="1"/>
  <c r="AH395" i="27"/>
  <c r="BP395" i="27" s="1"/>
  <c r="AH256" i="27"/>
  <c r="BP256" i="27" s="1"/>
  <c r="AH355" i="27"/>
  <c r="BP355" i="27" s="1"/>
  <c r="H94" i="16"/>
  <c r="I94" i="16" s="1"/>
  <c r="AH217" i="27"/>
  <c r="BP217" i="27" s="1"/>
  <c r="AH354" i="27"/>
  <c r="BP354" i="27" s="1"/>
  <c r="H52" i="16"/>
  <c r="I52" i="16" s="1"/>
  <c r="AH392" i="27"/>
  <c r="BP392" i="27" s="1"/>
  <c r="AH357" i="27"/>
  <c r="BP357" i="27" s="1"/>
  <c r="AH264" i="27"/>
  <c r="BP264" i="27" s="1"/>
  <c r="AH257" i="27"/>
  <c r="BP257" i="27" s="1"/>
  <c r="AH125" i="27"/>
  <c r="BP125" i="27" s="1"/>
  <c r="AH266" i="27"/>
  <c r="BP266" i="27" s="1"/>
  <c r="AH124" i="27"/>
  <c r="BP124" i="27" s="1"/>
  <c r="AH258" i="27"/>
  <c r="BP258" i="27" s="1"/>
  <c r="AH259" i="27"/>
  <c r="BP259" i="27" s="1"/>
  <c r="AH261" i="27"/>
  <c r="BP261" i="27" s="1"/>
  <c r="AH212" i="27"/>
  <c r="BP212" i="27" s="1"/>
  <c r="AH215" i="27"/>
  <c r="BP215" i="27" s="1"/>
  <c r="AH122" i="27"/>
  <c r="BP122" i="27" s="1"/>
  <c r="AH127" i="27"/>
  <c r="BP127" i="27" s="1"/>
  <c r="E8" i="21" a="1"/>
  <c r="E8" i="21" s="1"/>
  <c r="AH216" i="27"/>
  <c r="BP216" i="27" s="1"/>
  <c r="AA24" i="27"/>
  <c r="BI24" i="27" s="1"/>
  <c r="AH393" i="27"/>
  <c r="BP393" i="27" s="1"/>
  <c r="AH123" i="27"/>
  <c r="BP123" i="27" s="1"/>
  <c r="AH358" i="27"/>
  <c r="BP358" i="27" s="1"/>
  <c r="AH359" i="27"/>
  <c r="BP359" i="27" s="1"/>
  <c r="AA25" i="27"/>
  <c r="BI25" i="27" s="1"/>
  <c r="H20" i="14"/>
  <c r="AH81" i="27"/>
  <c r="BP81" i="27" s="1"/>
  <c r="AH78" i="27"/>
  <c r="BP78" i="27" s="1"/>
  <c r="AA23" i="27"/>
  <c r="BI23" i="27" s="1"/>
  <c r="AH214" i="27"/>
  <c r="BP214" i="27" s="1"/>
  <c r="BP210" i="27"/>
  <c r="N200" i="14"/>
  <c r="BF34" i="27"/>
  <c r="BF30" i="27"/>
  <c r="F40" i="14"/>
  <c r="F23" i="16"/>
  <c r="G23" i="16" s="1"/>
  <c r="E3" i="21" a="1"/>
  <c r="E3" i="21" s="1"/>
  <c r="BD6" i="27"/>
  <c r="BD5" i="27"/>
  <c r="AE29" i="27"/>
  <c r="BM29" i="27" s="1"/>
  <c r="BM22" i="27"/>
  <c r="AD27" i="27"/>
  <c r="BL27" i="27" s="1"/>
  <c r="BL22" i="27"/>
  <c r="AA28" i="27"/>
  <c r="BI28" i="27" s="1"/>
  <c r="BI22" i="27"/>
  <c r="BE24" i="27"/>
  <c r="BE22" i="27"/>
  <c r="Y29" i="27"/>
  <c r="BG29" i="27" s="1"/>
  <c r="BG22" i="27"/>
  <c r="AB24" i="27"/>
  <c r="BJ24" i="27" s="1"/>
  <c r="BJ22" i="27"/>
  <c r="AE26" i="27"/>
  <c r="BM26" i="27" s="1"/>
  <c r="BE29" i="27"/>
  <c r="Y26" i="27"/>
  <c r="BG26" i="27" s="1"/>
  <c r="AB25" i="27"/>
  <c r="BJ25" i="27" s="1"/>
  <c r="BE28" i="27"/>
  <c r="AE23" i="27"/>
  <c r="BM23" i="27" s="1"/>
  <c r="BE23" i="27"/>
  <c r="AD23" i="27"/>
  <c r="BL23" i="27" s="1"/>
  <c r="BE27" i="27"/>
  <c r="AD28" i="27"/>
  <c r="BL28" i="27" s="1"/>
  <c r="AD29" i="27"/>
  <c r="BL29" i="27" s="1"/>
  <c r="AB26" i="27"/>
  <c r="BJ26" i="27" s="1"/>
  <c r="AD25" i="27"/>
  <c r="BL25" i="27" s="1"/>
  <c r="AB23" i="27"/>
  <c r="BJ23" i="27" s="1"/>
  <c r="AD24" i="27"/>
  <c r="BL24" i="27" s="1"/>
  <c r="AB29" i="27"/>
  <c r="BJ29" i="27" s="1"/>
  <c r="Y28" i="27"/>
  <c r="BG28" i="27" s="1"/>
  <c r="AD26" i="27"/>
  <c r="BL26" i="27" s="1"/>
  <c r="AB27" i="27"/>
  <c r="BJ27" i="27" s="1"/>
  <c r="AE25" i="27"/>
  <c r="BM25" i="27" s="1"/>
  <c r="Y23" i="27"/>
  <c r="BG23" i="27" s="1"/>
  <c r="AB28" i="27"/>
  <c r="BJ28" i="27" s="1"/>
  <c r="Y27" i="27"/>
  <c r="BG27" i="27" s="1"/>
  <c r="Y25" i="27"/>
  <c r="BG25" i="27" s="1"/>
  <c r="AE28" i="27"/>
  <c r="BM28" i="27" s="1"/>
  <c r="Y24" i="27"/>
  <c r="BG24" i="27" s="1"/>
  <c r="AE24" i="27"/>
  <c r="BM24" i="27" s="1"/>
  <c r="BE25" i="27"/>
  <c r="BF37" i="27"/>
  <c r="BF36" i="27"/>
  <c r="F20" i="14"/>
  <c r="BF31" i="27"/>
  <c r="AA29" i="27"/>
  <c r="BI29" i="27" s="1"/>
  <c r="BF33" i="27"/>
  <c r="AA27" i="27"/>
  <c r="BI27" i="27" s="1"/>
  <c r="BE26" i="27"/>
  <c r="K40" i="6"/>
  <c r="BF32" i="27"/>
  <c r="BE44" i="27"/>
  <c r="BE41" i="27"/>
  <c r="BE42" i="27"/>
  <c r="BE39" i="27"/>
  <c r="BE45" i="27"/>
  <c r="BE43" i="27"/>
  <c r="BE40" i="27"/>
  <c r="H28" i="16"/>
  <c r="BD10" i="27"/>
  <c r="BD12" i="27"/>
  <c r="BD7" i="27"/>
  <c r="BD11" i="27"/>
  <c r="BE11" i="27"/>
  <c r="BE12" i="27"/>
  <c r="BE8" i="27"/>
  <c r="BE7" i="27"/>
  <c r="BE6" i="27"/>
  <c r="BE10" i="27"/>
  <c r="BE9" i="27"/>
  <c r="Z23" i="27"/>
  <c r="BH23" i="27" s="1"/>
  <c r="Z27" i="27"/>
  <c r="BH27" i="27" s="1"/>
  <c r="Z28" i="27"/>
  <c r="BH28" i="27" s="1"/>
  <c r="Z29" i="27"/>
  <c r="BH29" i="27" s="1"/>
  <c r="Z24" i="27"/>
  <c r="BH24" i="27" s="1"/>
  <c r="Z25" i="27"/>
  <c r="BH25" i="27" s="1"/>
  <c r="Z26" i="27"/>
  <c r="BH26" i="27" s="1"/>
  <c r="H27" i="16"/>
  <c r="I27" i="16" s="1"/>
  <c r="G27" i="16"/>
  <c r="H24" i="16"/>
  <c r="I24" i="16" s="1"/>
  <c r="D3" i="21" a="1"/>
  <c r="D3" i="21" s="1"/>
  <c r="H122" i="16"/>
  <c r="I122" i="16" s="1"/>
  <c r="I123" i="16"/>
  <c r="AH297" i="27"/>
  <c r="BP297" i="27" s="1"/>
  <c r="AH299" i="27"/>
  <c r="BP299" i="27" s="1"/>
  <c r="AH296" i="27"/>
  <c r="BP296" i="27" s="1"/>
  <c r="AH298" i="27"/>
  <c r="BP298" i="27" s="1"/>
  <c r="AH293" i="27"/>
  <c r="BP293" i="27" s="1"/>
  <c r="AH294" i="27"/>
  <c r="BP294" i="27" s="1"/>
  <c r="AH295" i="27"/>
  <c r="BP295" i="27" s="1"/>
  <c r="G21" i="16"/>
  <c r="AH340" i="27"/>
  <c r="BP340" i="27" s="1"/>
  <c r="AH344" i="27"/>
  <c r="BP344" i="27" s="1"/>
  <c r="AH338" i="27"/>
  <c r="BP338" i="27" s="1"/>
  <c r="AH342" i="27"/>
  <c r="BP342" i="27" s="1"/>
  <c r="AH341" i="27"/>
  <c r="BP341" i="27" s="1"/>
  <c r="AH339" i="27"/>
  <c r="BP339" i="27" s="1"/>
  <c r="AH343" i="27"/>
  <c r="BP343" i="27" s="1"/>
  <c r="H80" i="16"/>
  <c r="I80" i="16" s="1"/>
  <c r="I81" i="16"/>
  <c r="AH22" i="27"/>
  <c r="BP22" i="27" s="1"/>
  <c r="AH160" i="27"/>
  <c r="BP160" i="27" s="1"/>
  <c r="AH161" i="27"/>
  <c r="BP161" i="27" s="1"/>
  <c r="AH158" i="27"/>
  <c r="BP158" i="27" s="1"/>
  <c r="AH162" i="27"/>
  <c r="BP162" i="27" s="1"/>
  <c r="AH164" i="27"/>
  <c r="BP164" i="27" s="1"/>
  <c r="AH163" i="27"/>
  <c r="BP163" i="27" s="1"/>
  <c r="AH159" i="27"/>
  <c r="BP159" i="27" s="1"/>
  <c r="AH303" i="27"/>
  <c r="BP303" i="27" s="1"/>
  <c r="AH305" i="27"/>
  <c r="BP305" i="27" s="1"/>
  <c r="AH301" i="27"/>
  <c r="BP301" i="27" s="1"/>
  <c r="AH304" i="27"/>
  <c r="BP304" i="27" s="1"/>
  <c r="AH306" i="27"/>
  <c r="BP306" i="27" s="1"/>
  <c r="AH307" i="27"/>
  <c r="BP307" i="27" s="1"/>
  <c r="AH302" i="27"/>
  <c r="BP302" i="27" s="1"/>
  <c r="H108" i="16"/>
  <c r="I108" i="16" s="1"/>
  <c r="I109" i="16"/>
  <c r="AH208" i="27"/>
  <c r="BP208" i="27" s="1"/>
  <c r="AH207" i="27"/>
  <c r="BP207" i="27" s="1"/>
  <c r="AH203" i="27"/>
  <c r="BP203" i="27" s="1"/>
  <c r="AH205" i="27"/>
  <c r="BP205" i="27" s="1"/>
  <c r="AH206" i="27"/>
  <c r="BP206" i="27" s="1"/>
  <c r="AH209" i="27"/>
  <c r="BP209" i="27" s="1"/>
  <c r="AH204" i="27"/>
  <c r="BP204" i="27" s="1"/>
  <c r="AH386" i="27"/>
  <c r="BP386" i="27" s="1"/>
  <c r="AH388" i="27"/>
  <c r="BP388" i="27" s="1"/>
  <c r="AH385" i="27"/>
  <c r="BP385" i="27" s="1"/>
  <c r="AH389" i="27"/>
  <c r="BP389" i="27" s="1"/>
  <c r="AH387" i="27"/>
  <c r="BP387" i="27" s="1"/>
  <c r="AH383" i="27"/>
  <c r="BP383" i="27" s="1"/>
  <c r="AH384" i="27"/>
  <c r="BP384" i="27" s="1"/>
  <c r="AH74" i="27"/>
  <c r="BP74" i="27" s="1"/>
  <c r="AH72" i="27"/>
  <c r="BP72" i="27" s="1"/>
  <c r="AH71" i="27"/>
  <c r="BP71" i="27" s="1"/>
  <c r="AH68" i="27"/>
  <c r="BP68" i="27" s="1"/>
  <c r="AH73" i="27"/>
  <c r="BP73" i="27" s="1"/>
  <c r="AH69" i="27"/>
  <c r="BP69" i="27" s="1"/>
  <c r="AH70" i="27"/>
  <c r="BP70" i="27" s="1"/>
  <c r="AH38" i="27"/>
  <c r="H66" i="16"/>
  <c r="I66" i="16" s="1"/>
  <c r="I67" i="16"/>
  <c r="H136" i="16"/>
  <c r="I136" i="16" s="1"/>
  <c r="I137" i="16"/>
  <c r="I38" i="16"/>
  <c r="I40" i="16"/>
  <c r="P26" i="21"/>
  <c r="P19" i="21"/>
  <c r="P24" i="21"/>
  <c r="P25" i="21"/>
  <c r="E5" i="21" a="1"/>
  <c r="E5" i="21" s="1"/>
  <c r="O23" i="21" a="1"/>
  <c r="O23" i="21" s="1"/>
  <c r="L23" i="21" a="1"/>
  <c r="L23" i="21" s="1"/>
  <c r="M9" i="21" a="1"/>
  <c r="M9" i="21" s="1"/>
  <c r="AH30" i="27"/>
  <c r="BP30" i="27" s="1"/>
  <c r="G23" i="21" a="1"/>
  <c r="G23" i="21" s="1"/>
  <c r="J5" i="21" a="1"/>
  <c r="J5" i="21" s="1"/>
  <c r="O5" i="21" a="1"/>
  <c r="O5" i="21" s="1"/>
  <c r="AG4" i="27" a="1"/>
  <c r="AG4" i="27" s="1"/>
  <c r="BO4" i="27" s="1"/>
  <c r="M5" i="21" a="1"/>
  <c r="M5" i="21" s="1"/>
  <c r="M23" i="21" a="1"/>
  <c r="M23" i="21" s="1"/>
  <c r="E23" i="21" a="1"/>
  <c r="E23" i="21" s="1"/>
  <c r="H5" i="21" a="1"/>
  <c r="H5" i="21" s="1"/>
  <c r="I23" i="21" a="1"/>
  <c r="I23" i="21" s="1"/>
  <c r="F23" i="21" a="1"/>
  <c r="F23" i="21" s="1"/>
  <c r="D23" i="21" a="1"/>
  <c r="D23" i="21" s="1"/>
  <c r="F9" i="21" a="1"/>
  <c r="F9" i="21" s="1"/>
  <c r="J23" i="21" a="1"/>
  <c r="J23" i="21" s="1"/>
  <c r="L5" i="21" a="1"/>
  <c r="L5" i="21" s="1"/>
  <c r="I5" i="21" a="1"/>
  <c r="I5" i="21" s="1"/>
  <c r="D9" i="21" a="1"/>
  <c r="D9" i="21" s="1"/>
  <c r="AH19" i="27"/>
  <c r="BP19" i="27" s="1"/>
  <c r="AH15" i="27"/>
  <c r="BP15" i="27" s="1"/>
  <c r="AH16" i="27"/>
  <c r="BP16" i="27" s="1"/>
  <c r="AH20" i="27"/>
  <c r="BP20" i="27" s="1"/>
  <c r="AH18" i="27"/>
  <c r="BP18" i="27" s="1"/>
  <c r="AH17" i="27"/>
  <c r="BP17" i="27" s="1"/>
  <c r="AH14" i="27"/>
  <c r="BP14" i="27" s="1"/>
  <c r="H23" i="21" a="1"/>
  <c r="H23" i="21" s="1"/>
  <c r="N23" i="21" a="1"/>
  <c r="N23" i="21" s="1"/>
  <c r="K23" i="21" a="1"/>
  <c r="K23" i="21" s="1"/>
  <c r="AH249" i="27"/>
  <c r="BP249" i="27" s="1"/>
  <c r="AH253" i="27"/>
  <c r="BP253" i="27" s="1"/>
  <c r="AH254" i="27"/>
  <c r="BP254" i="27" s="1"/>
  <c r="AH252" i="27"/>
  <c r="BP252" i="27" s="1"/>
  <c r="AH251" i="27"/>
  <c r="BP251" i="27" s="1"/>
  <c r="AH250" i="27"/>
  <c r="BP250" i="27" s="1"/>
  <c r="AH248" i="27"/>
  <c r="BP248" i="27" s="1"/>
  <c r="G14" i="6"/>
  <c r="M11" i="6"/>
  <c r="J40" i="6"/>
  <c r="G12" i="6"/>
  <c r="M14" i="6"/>
  <c r="M12" i="6"/>
  <c r="J18" i="6"/>
  <c r="M18" i="6" s="1"/>
  <c r="J13" i="6"/>
  <c r="M13" i="6" s="1"/>
  <c r="N180" i="14"/>
  <c r="L15" i="10"/>
  <c r="Z5" i="21" s="1" a="1"/>
  <c r="Z5" i="21" s="1"/>
  <c r="N35" i="14"/>
  <c r="Y23" i="21" s="1" a="1"/>
  <c r="Y23" i="21" s="1"/>
  <c r="T93" i="21" a="1"/>
  <c r="T93" i="21" s="1"/>
  <c r="L10" i="10"/>
  <c r="U5" i="21" s="1" a="1"/>
  <c r="U5" i="21" s="1"/>
  <c r="AD61" i="21"/>
  <c r="M20" i="14"/>
  <c r="N8" i="14"/>
  <c r="N120" i="14"/>
  <c r="N30" i="14"/>
  <c r="T23" i="21" s="1" a="1"/>
  <c r="T23" i="21" s="1"/>
  <c r="N100" i="14"/>
  <c r="M40" i="14"/>
  <c r="Y121" i="21" a="1"/>
  <c r="Y121" i="21" s="1"/>
  <c r="AD19" i="21"/>
  <c r="L8" i="10"/>
  <c r="S5" i="21" s="1" a="1"/>
  <c r="S5" i="21" s="1"/>
  <c r="G29" i="16"/>
  <c r="AD89" i="21"/>
  <c r="P10" i="21"/>
  <c r="Y5" i="21" a="1"/>
  <c r="Y5" i="21" s="1"/>
  <c r="AD103" i="21"/>
  <c r="AD33" i="21"/>
  <c r="P51" i="21"/>
  <c r="D18" i="19"/>
  <c r="L11" i="10"/>
  <c r="V5" i="21" s="1" a="1"/>
  <c r="V5" i="21" s="1"/>
  <c r="P6" i="21"/>
  <c r="P4" i="21"/>
  <c r="G30" i="16"/>
  <c r="D8" i="21" a="1"/>
  <c r="D8" i="21" s="1"/>
  <c r="P18" i="21"/>
  <c r="T5" i="21" a="1"/>
  <c r="T5" i="21" s="1"/>
  <c r="P12" i="21"/>
  <c r="AD75" i="21"/>
  <c r="AD117" i="21"/>
  <c r="AD47" i="21"/>
  <c r="AD131" i="21"/>
  <c r="R51" i="21" a="1"/>
  <c r="R51" i="21" s="1"/>
  <c r="AD51" i="21" s="1"/>
  <c r="P65" i="21"/>
  <c r="T107" i="21" a="1"/>
  <c r="T107" i="21" s="1"/>
  <c r="P37" i="21"/>
  <c r="P79" i="21"/>
  <c r="Y135" i="21" a="1"/>
  <c r="Y135" i="21" s="1"/>
  <c r="P107" i="21"/>
  <c r="P121" i="21"/>
  <c r="AB65" i="21" a="1"/>
  <c r="AB65" i="21" s="1"/>
  <c r="W37" i="21" a="1"/>
  <c r="W37" i="21" s="1"/>
  <c r="Y93" i="21" a="1"/>
  <c r="Y93" i="21" s="1"/>
  <c r="V37" i="21" a="1"/>
  <c r="V37" i="21" s="1"/>
  <c r="R37" i="21" a="1"/>
  <c r="R37" i="21" s="1"/>
  <c r="X37" i="21" a="1"/>
  <c r="X37" i="21" s="1"/>
  <c r="AA37" i="21" a="1"/>
  <c r="AA37" i="21" s="1"/>
  <c r="R121" i="21" a="1"/>
  <c r="R121" i="21" s="1"/>
  <c r="AB135" i="21" a="1"/>
  <c r="AB135" i="21" s="1"/>
  <c r="AC37" i="21" a="1"/>
  <c r="AC37" i="21" s="1"/>
  <c r="T37" i="21" a="1"/>
  <c r="T37" i="21" s="1"/>
  <c r="U37" i="21" a="1"/>
  <c r="U37" i="21" s="1"/>
  <c r="R107" i="21" a="1"/>
  <c r="R107" i="21" s="1"/>
  <c r="R135" i="21" a="1"/>
  <c r="R135" i="21" s="1"/>
  <c r="P135" i="21"/>
  <c r="P93" i="21"/>
  <c r="R79" i="21" a="1"/>
  <c r="R79" i="21" s="1"/>
  <c r="AD79" i="21" s="1"/>
  <c r="Y37" i="21" a="1"/>
  <c r="Y37" i="21" s="1"/>
  <c r="Z37" i="21" a="1"/>
  <c r="Z37" i="21" s="1"/>
  <c r="R65" i="21" a="1"/>
  <c r="R65" i="21" s="1"/>
  <c r="R93" i="21" a="1"/>
  <c r="R93" i="21" s="1"/>
  <c r="S37" i="21" a="1"/>
  <c r="S37" i="21" s="1"/>
  <c r="AB37" i="21" a="1"/>
  <c r="AB37" i="21" s="1"/>
  <c r="L19" i="14"/>
  <c r="L20" i="14" s="1"/>
  <c r="O11" i="21" a="1"/>
  <c r="O11" i="21" s="1"/>
  <c r="G19" i="10"/>
  <c r="G5" i="21" a="1"/>
  <c r="G5" i="21" s="1"/>
  <c r="L12" i="10"/>
  <c r="AA5" i="21" a="1"/>
  <c r="AA5" i="21" s="1"/>
  <c r="L13" i="10"/>
  <c r="L18" i="10"/>
  <c r="K19" i="10"/>
  <c r="P7" i="21"/>
  <c r="L17" i="10"/>
  <c r="N5" i="21" a="1"/>
  <c r="N5" i="21" s="1"/>
  <c r="E19" i="10"/>
  <c r="E18" i="19"/>
  <c r="G15" i="6"/>
  <c r="M17" i="6"/>
  <c r="N160" i="14"/>
  <c r="N39" i="14"/>
  <c r="AC23" i="21" s="1" a="1"/>
  <c r="AC23" i="21" s="1"/>
  <c r="M15" i="6"/>
  <c r="G8" i="6"/>
  <c r="N38" i="14"/>
  <c r="AB23" i="21" s="1" a="1"/>
  <c r="AB23" i="21" s="1"/>
  <c r="L38" i="10"/>
  <c r="M19" i="6"/>
  <c r="M16" i="6"/>
  <c r="L40" i="14"/>
  <c r="N60" i="14"/>
  <c r="G17" i="6"/>
  <c r="G16" i="6"/>
  <c r="K20" i="6"/>
  <c r="G11" i="6"/>
  <c r="K18" i="14"/>
  <c r="N18" i="14" s="1"/>
  <c r="AF21" i="27" a="1"/>
  <c r="AF21" i="27" s="1"/>
  <c r="BN21" i="27" s="1"/>
  <c r="AA21" i="27" a="1"/>
  <c r="AA21" i="27" s="1"/>
  <c r="BI21" i="27" s="1"/>
  <c r="K13" i="14"/>
  <c r="N13" i="14" s="1"/>
  <c r="N11" i="14"/>
  <c r="Y21" i="27" a="1"/>
  <c r="Y21" i="27" s="1"/>
  <c r="BG21" i="27" s="1"/>
  <c r="K15" i="14"/>
  <c r="N15" i="14" s="1"/>
  <c r="D20" i="14"/>
  <c r="E20" i="14"/>
  <c r="N10" i="14"/>
  <c r="K19" i="14"/>
  <c r="AG21" i="27" a="1"/>
  <c r="AG21" i="27" s="1"/>
  <c r="BO21" i="27" s="1"/>
  <c r="K14" i="14"/>
  <c r="N14" i="14" s="1"/>
  <c r="AB21" i="27" a="1"/>
  <c r="AB21" i="27" s="1"/>
  <c r="BJ21" i="27" s="1"/>
  <c r="N140" i="14"/>
  <c r="J10" i="6"/>
  <c r="M10" i="6" s="1"/>
  <c r="D20" i="6"/>
  <c r="E20" i="6"/>
  <c r="M9" i="6"/>
  <c r="K40" i="14"/>
  <c r="N28" i="14"/>
  <c r="R23" i="21" s="1" a="1"/>
  <c r="R23" i="21" s="1"/>
  <c r="Z21" i="27" a="1"/>
  <c r="Z21" i="27" s="1"/>
  <c r="BH21" i="27" s="1"/>
  <c r="K16" i="14"/>
  <c r="N16" i="14" s="1"/>
  <c r="AD21" i="27" a="1"/>
  <c r="AD21" i="27" s="1"/>
  <c r="BL21" i="27" s="1"/>
  <c r="G9" i="6"/>
  <c r="BE21" i="27"/>
  <c r="N9" i="14"/>
  <c r="G19" i="6"/>
  <c r="H40" i="14"/>
  <c r="K17" i="14"/>
  <c r="N17" i="14" s="1"/>
  <c r="M51" i="6"/>
  <c r="L31" i="6"/>
  <c r="M31" i="6" s="1"/>
  <c r="M56" i="6"/>
  <c r="L36" i="6"/>
  <c r="M36" i="6" s="1"/>
  <c r="M55" i="6"/>
  <c r="L35" i="6"/>
  <c r="M35" i="6" s="1"/>
  <c r="M54" i="6"/>
  <c r="L34" i="6"/>
  <c r="M34" i="6" s="1"/>
  <c r="M58" i="6"/>
  <c r="L38" i="6"/>
  <c r="M38" i="6" s="1"/>
  <c r="M57" i="6"/>
  <c r="L37" i="6"/>
  <c r="M37" i="6" s="1"/>
  <c r="M49" i="6"/>
  <c r="L29" i="6"/>
  <c r="M29" i="6" s="1"/>
  <c r="M53" i="6"/>
  <c r="L33" i="6"/>
  <c r="M33" i="6" s="1"/>
  <c r="M59" i="6"/>
  <c r="L39" i="6"/>
  <c r="M39" i="6" s="1"/>
  <c r="M50" i="6"/>
  <c r="L30" i="6"/>
  <c r="M30" i="6" s="1"/>
  <c r="M52" i="6"/>
  <c r="L32" i="6"/>
  <c r="M32" i="6" s="1"/>
  <c r="J19" i="10"/>
  <c r="L7" i="10"/>
  <c r="R5" i="21" s="1" a="1"/>
  <c r="R5" i="21" s="1"/>
  <c r="G39" i="6"/>
  <c r="G34" i="6"/>
  <c r="G33" i="6"/>
  <c r="G28" i="6"/>
  <c r="G30" i="6"/>
  <c r="G38" i="6"/>
  <c r="G32" i="6"/>
  <c r="G29" i="6"/>
  <c r="L60" i="6"/>
  <c r="M60" i="6" s="1"/>
  <c r="M48" i="6"/>
  <c r="G37" i="6"/>
  <c r="G36" i="6"/>
  <c r="F40" i="6"/>
  <c r="G31" i="6"/>
  <c r="G35" i="6"/>
  <c r="G60" i="6"/>
  <c r="M8" i="6"/>
  <c r="I28" i="16" l="1"/>
  <c r="BP5" i="27"/>
  <c r="P11" i="21"/>
  <c r="P8" i="21"/>
  <c r="P3" i="21"/>
  <c r="AH41" i="27"/>
  <c r="BP41" i="27" s="1"/>
  <c r="BP38" i="27"/>
  <c r="AH40" i="27"/>
  <c r="BP40" i="27" s="1"/>
  <c r="AH42" i="27"/>
  <c r="BP42" i="27" s="1"/>
  <c r="AH28" i="27"/>
  <c r="BP28" i="27" s="1"/>
  <c r="AH23" i="27"/>
  <c r="BP23" i="27" s="1"/>
  <c r="AH24" i="27"/>
  <c r="BP24" i="27" s="1"/>
  <c r="AH25" i="27"/>
  <c r="BP25" i="27" s="1"/>
  <c r="AH27" i="27"/>
  <c r="BP27" i="27" s="1"/>
  <c r="AH29" i="27"/>
  <c r="BP29" i="27" s="1"/>
  <c r="AH26" i="27"/>
  <c r="BP26" i="27" s="1"/>
  <c r="AH39" i="27"/>
  <c r="BP39" i="27" s="1"/>
  <c r="AH9" i="27"/>
  <c r="BP9" i="27" s="1"/>
  <c r="AH10" i="27"/>
  <c r="BP10" i="27" s="1"/>
  <c r="AH6" i="27"/>
  <c r="BP6" i="27" s="1"/>
  <c r="BP7" i="27"/>
  <c r="AH11" i="27"/>
  <c r="BP11" i="27" s="1"/>
  <c r="AH12" i="27"/>
  <c r="BP12" i="27" s="1"/>
  <c r="AH8" i="27"/>
  <c r="BP8" i="27" s="1"/>
  <c r="AH44" i="27"/>
  <c r="BP44" i="27" s="1"/>
  <c r="AH43" i="27"/>
  <c r="BP43" i="27" s="1"/>
  <c r="AH45" i="27"/>
  <c r="BP45" i="27" s="1"/>
  <c r="H23" i="16"/>
  <c r="I23" i="16" s="1"/>
  <c r="AH4" i="27"/>
  <c r="BP4" i="27" s="1"/>
  <c r="P23" i="21"/>
  <c r="AH31" i="27"/>
  <c r="BP31" i="27" s="1"/>
  <c r="AH33" i="27"/>
  <c r="BP33" i="27" s="1"/>
  <c r="AH34" i="27"/>
  <c r="BP34" i="27" s="1"/>
  <c r="AH37" i="27"/>
  <c r="BP37" i="27" s="1"/>
  <c r="AH32" i="27"/>
  <c r="BP32" i="27" s="1"/>
  <c r="AH35" i="27"/>
  <c r="BP35" i="27" s="1"/>
  <c r="AH36" i="27"/>
  <c r="BP36" i="27" s="1"/>
  <c r="AH21" i="27"/>
  <c r="BP21" i="27" s="1"/>
  <c r="AD121" i="21"/>
  <c r="AD65" i="21"/>
  <c r="N19" i="14"/>
  <c r="AC9" i="21" s="1" a="1"/>
  <c r="AC9" i="21" s="1"/>
  <c r="AB5" i="21" a="1"/>
  <c r="AB5" i="21" s="1"/>
  <c r="AD107" i="21"/>
  <c r="AC5" i="21" a="1"/>
  <c r="AC5" i="21" s="1"/>
  <c r="AD93" i="21"/>
  <c r="AD37" i="21"/>
  <c r="AD135" i="21"/>
  <c r="Z9" i="21" a="1"/>
  <c r="Z9" i="21" s="1"/>
  <c r="Y9" i="21" a="1"/>
  <c r="Y9" i="21" s="1"/>
  <c r="H9" i="21" a="1"/>
  <c r="H9" i="21" s="1"/>
  <c r="K9" i="21" a="1"/>
  <c r="K9" i="21" s="1"/>
  <c r="V9" i="21" a="1"/>
  <c r="V9" i="21" s="1"/>
  <c r="G9" i="21" a="1"/>
  <c r="G9" i="21" s="1"/>
  <c r="U9" i="21" a="1"/>
  <c r="U9" i="21" s="1"/>
  <c r="I9" i="21" a="1"/>
  <c r="I9" i="21" s="1"/>
  <c r="E9" i="21" a="1"/>
  <c r="E9" i="21" s="1"/>
  <c r="AB9" i="21" a="1"/>
  <c r="AB9" i="21" s="1"/>
  <c r="L9" i="21" a="1"/>
  <c r="L9" i="21" s="1"/>
  <c r="J9" i="21" a="1"/>
  <c r="J9" i="21" s="1"/>
  <c r="X9" i="21" a="1"/>
  <c r="X9" i="21" s="1"/>
  <c r="AA9" i="21" a="1"/>
  <c r="AA9" i="21" s="1"/>
  <c r="O9" i="21" a="1"/>
  <c r="O9" i="21" s="1"/>
  <c r="W9" i="21" a="1"/>
  <c r="W9" i="21" s="1"/>
  <c r="T9" i="21" a="1"/>
  <c r="T9" i="21" s="1"/>
  <c r="S9" i="21" a="1"/>
  <c r="S9" i="21" s="1"/>
  <c r="N9" i="21" a="1"/>
  <c r="N9" i="21" s="1"/>
  <c r="AD23" i="21"/>
  <c r="X5" i="21" a="1"/>
  <c r="X5" i="21" s="1"/>
  <c r="P5" i="21"/>
  <c r="W5" i="21" a="1"/>
  <c r="W5" i="21" s="1"/>
  <c r="N40" i="14"/>
  <c r="L19" i="10"/>
  <c r="G20" i="6"/>
  <c r="J20" i="6"/>
  <c r="R9" i="21" a="1"/>
  <c r="R9" i="21" s="1"/>
  <c r="K20" i="14"/>
  <c r="M20" i="6"/>
  <c r="L40" i="6"/>
  <c r="M40" i="6" s="1"/>
  <c r="M28" i="6"/>
  <c r="G40" i="6"/>
  <c r="AD5" i="21" l="1"/>
  <c r="AD9" i="21"/>
  <c r="P9" i="21"/>
  <c r="N20" i="14"/>
  <c r="G37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<sst xmlns="http://schemas.openxmlformats.org/spreadsheetml/2006/main" count="8450" uniqueCount="383">
  <si>
    <t>Sales (T3 Timeframes)</t>
  </si>
  <si>
    <t>Sales (T1 Timeframes)</t>
  </si>
  <si>
    <t>T1 Site Visits</t>
  </si>
  <si>
    <t>VLPs</t>
  </si>
  <si>
    <t>VLPs | In-Market Only</t>
  </si>
  <si>
    <t>T3 SV + VDPs</t>
  </si>
  <si>
    <t>T3 Sales Visits</t>
  </si>
  <si>
    <t>T3 VDPs</t>
  </si>
  <si>
    <t>2026 T1 HVAs |Total</t>
  </si>
  <si>
    <t>2026 HVAs |T1 to T3 Referrals</t>
  </si>
  <si>
    <t>2026 HVAs |T1 VDP Visits</t>
  </si>
  <si>
    <t>2026 MVAs | (total 5x actions)</t>
  </si>
  <si>
    <t>2026 MVAs | (In-Market Only)</t>
  </si>
  <si>
    <t>Leads</t>
  </si>
  <si>
    <t>Endemic VDPs</t>
  </si>
  <si>
    <t>Total Shop Actions | Total = T3 Referrals + T1 VDPs + Sales Visits | Models = T3 Referrals + T1 VDPs + T3 VDPs</t>
  </si>
  <si>
    <t>Total Research Actions | T1 MVAs + Endemic VDPs</t>
  </si>
  <si>
    <t>Mountain Region</t>
  </si>
  <si>
    <t>Mid Atlantic Region</t>
  </si>
  <si>
    <t>South Region</t>
  </si>
  <si>
    <t>Central Region</t>
  </si>
  <si>
    <t>West Region</t>
  </si>
  <si>
    <t>South Central Region</t>
  </si>
  <si>
    <t>East Region</t>
  </si>
  <si>
    <t>Total</t>
  </si>
  <si>
    <t xml:space="preserve">Total </t>
  </si>
  <si>
    <t>Sum of Regions</t>
  </si>
  <si>
    <t>National</t>
  </si>
  <si>
    <t>Jan - Dec '25</t>
  </si>
  <si>
    <t>25 Sig Even Months</t>
  </si>
  <si>
    <t>25 Non-Sig Even Months</t>
  </si>
  <si>
    <t>Rates:</t>
  </si>
  <si>
    <t>Action - Sales Rates</t>
  </si>
  <si>
    <t>% of total FY:</t>
  </si>
  <si>
    <t>% of total FY '25:</t>
  </si>
  <si>
    <t>2026 HVAs |VDP Visits</t>
  </si>
  <si>
    <t>2026 MVAs | (total 7x actions)</t>
  </si>
  <si>
    <t>Total Shop Goals | Total = T3 Referrals + T1 VDPs + Sales Visits | Models = T3 Referrals + T1 VDPs + T3 VDPs</t>
  </si>
  <si>
    <t>Total Research Goals | T1 MVAs + Endemic VDPs</t>
  </si>
  <si>
    <t>Action to Sales Rates</t>
  </si>
  <si>
    <t>Metric</t>
  </si>
  <si>
    <t>Methodology</t>
  </si>
  <si>
    <t>Consideration</t>
  </si>
  <si>
    <t>Secondary</t>
  </si>
  <si>
    <t>T1 Visits</t>
  </si>
  <si>
    <t>Apply the ’25 sig / non-sig event month MVA-to-Visit ratio to ’26 monthly MVA goals.</t>
  </si>
  <si>
    <t>G.com VLP Vol</t>
  </si>
  <si>
    <t>Apply the ’25 sig / non-sig event month MVA-to-VLP ratio to ’26 monthly MVA goals.</t>
  </si>
  <si>
    <t>Research</t>
  </si>
  <si>
    <t>Primary</t>
  </si>
  <si>
    <t>Qualified Research Volume</t>
  </si>
  <si>
    <t xml:space="preserve">	Calculate the total by summing T1 MVA goals and Endemic VDP goals (Endemic VDPs = sum across models).
Weight the total using ’25 sales correlation (75% T1 MVAs / 25% Endemic VDPs).</t>
  </si>
  <si>
    <t>T1 MVAs</t>
  </si>
  <si>
    <t>Apply the ’25 sig / non-sig event month T1 MVA-to-Sales ratio to ’26 monthly Sales goals.</t>
  </si>
  <si>
    <t>Apply the ’25 sig / non-sig event month Endemic VDP-to-Sales ratio to ’26 monthly Sales goals.</t>
  </si>
  <si>
    <t>INM T1 MVAs</t>
  </si>
  <si>
    <t>Apply the ’25 sig / non-sig event month INM T1 MVA contribution to ’26 monthly T1 MVA goals.</t>
  </si>
  <si>
    <t>Shop</t>
  </si>
  <si>
    <t>Qualified Shopping Volume</t>
  </si>
  <si>
    <t xml:space="preserve">	Calculate the total by summing T3 Referral, T1 VDP (sum across models), and T3 Sales Visit goals.
Weight each component using its respective ’25 Sales correlation.</t>
  </si>
  <si>
    <t xml:space="preserve">T1 to T3 Referral </t>
  </si>
  <si>
    <t>Apply the ’25 sig / non-sig event month T3 Referral-to-Sales ratio to ’26 monthly Sales goals.</t>
  </si>
  <si>
    <t>T1/T3 VDPs (T3 VDPs model level only)</t>
  </si>
  <si>
    <t>Apply the ’25 sig / non-sig event month VDP-to-Sales ratio to ’26 monthly Sales goals. Note: T3 Metrics include July '25 (whereas T1 does not)</t>
  </si>
  <si>
    <t>T3 Sales Visits (total level only)</t>
  </si>
  <si>
    <t>Apply the ’25 sig / non-sig event month T3 Sales Visit-to-Sales ratio to ’26 monthly Sales goals. Note: T3 Metrics include July '25 (whereas T1 does not)</t>
  </si>
  <si>
    <t>Monitoring</t>
  </si>
  <si>
    <t>T1 Unique Leads</t>
  </si>
  <si>
    <t>Apply ’25 sig / non-sig event month close rates and Lead-to-Sales contribution to ’26 monthly Sales goals.</t>
  </si>
  <si>
    <t>Notes</t>
  </si>
  <si>
    <t>Region Breakouts</t>
  </si>
  <si>
    <t>Regional and region–model goals reflect 2025 national conversion performance and 2026 sales allocation and model mix. They do not incorporate historical conversion rate differences at the regional or region–model level.</t>
  </si>
  <si>
    <t>BRAND</t>
  </si>
  <si>
    <t>Model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</si>
  <si>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</si>
  <si>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</si>
  <si>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</si>
  <si>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</si>
  <si>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</si>
  <si>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</si>
  <si>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</si>
  <si>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</si>
  <si>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</si>
  <si>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</si>
  <si>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</si>
  <si>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</si>
  <si>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</si>
  <si>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Region Carflow 2+10 Final</t>
  </si>
  <si>
    <t>G70</t>
  </si>
  <si>
    <t>G80</t>
  </si>
  <si>
    <t>&lt;-- BP</t>
  </si>
  <si>
    <t>GV90</t>
  </si>
  <si>
    <t>G90</t>
  </si>
  <si>
    <t>GV60</t>
  </si>
  <si>
    <t>GV70</t>
  </si>
  <si>
    <t>GV70 EV</t>
  </si>
  <si>
    <t>GV80 Coupe</t>
  </si>
  <si>
    <t>GV80</t>
  </si>
  <si>
    <t>Region</t>
  </si>
  <si>
    <t>CE</t>
  </si>
  <si>
    <t>EA</t>
  </si>
  <si>
    <t>MA</t>
  </si>
  <si>
    <t>MS</t>
  </si>
  <si>
    <t>SC</t>
  </si>
  <si>
    <t>SO</t>
  </si>
  <si>
    <t>WE</t>
  </si>
  <si>
    <t>Non-Fleet Sales BP v6.6 12+0</t>
  </si>
  <si>
    <t>Non-Fleet Sales</t>
  </si>
  <si>
    <t>GV80 SB</t>
  </si>
  <si>
    <t>Change</t>
  </si>
  <si>
    <t>BP</t>
  </si>
  <si>
    <t>GV80 HEV</t>
  </si>
  <si>
    <t>OP</t>
  </si>
  <si>
    <t>G80 EV</t>
  </si>
  <si>
    <t>26CY_OP 6+6  v1.0 (Starting in August)</t>
  </si>
  <si>
    <t>&lt;--- Currently used in workbook</t>
  </si>
  <si>
    <t>prev rundown</t>
  </si>
  <si>
    <t>new rundown</t>
  </si>
  <si>
    <t>&lt;-- OP (not actuals)</t>
  </si>
  <si>
    <t>April = original OP 26CY_OP 2+10 v1.2</t>
  </si>
  <si>
    <t>26CY_OP 5+7 v1.0 (Starting in July)</t>
  </si>
  <si>
    <t>26CY_OP 4+8 v1.2 (Starting in June)</t>
  </si>
  <si>
    <t>26CY_OP 3+9 v1.0 (Starting in May)</t>
  </si>
  <si>
    <t>26CY_OP 2+10 v1.2</t>
  </si>
  <si>
    <t>26CY_OP 1+11 v1.3</t>
  </si>
  <si>
    <t>Non-Fleet Sales BP v6.0</t>
  </si>
  <si>
    <t>2026 BP v5.9</t>
  </si>
  <si>
    <t>Sales</t>
  </si>
  <si>
    <t>2026 T1 HVAs |In-Market (only)</t>
  </si>
  <si>
    <t>2025 HVAs</t>
  </si>
  <si>
    <t>2025 HVAs | In-Market Only</t>
  </si>
  <si>
    <t>Credit Applications</t>
  </si>
  <si>
    <t>eg80</t>
  </si>
  <si>
    <t>egv70</t>
  </si>
  <si>
    <t>genesis_g70</t>
  </si>
  <si>
    <t>genesis_g80</t>
  </si>
  <si>
    <t>genesis_g90</t>
  </si>
  <si>
    <t>genesis_gv60</t>
  </si>
  <si>
    <t>genesis_gv70</t>
  </si>
  <si>
    <t>genesis_gv80</t>
  </si>
  <si>
    <t>genesis_gv80_coupe</t>
  </si>
  <si>
    <t>Grand Total</t>
  </si>
  <si>
    <t>Electrified GV70</t>
  </si>
  <si>
    <t>Electrified G80</t>
  </si>
  <si>
    <t>GV80 Coupe VLP Visits</t>
  </si>
  <si>
    <t>GV80 VLP Visits</t>
  </si>
  <si>
    <t>GV70 VLP Visits</t>
  </si>
  <si>
    <t>G80 VLP Visits</t>
  </si>
  <si>
    <t>Electrified GV70 VLP Visits</t>
  </si>
  <si>
    <t>G90 VLP Visits</t>
  </si>
  <si>
    <t>Electrified G80 VLP Visits</t>
  </si>
  <si>
    <t>GV60 VLP Visits</t>
  </si>
  <si>
    <t>G70 VLP Visits</t>
  </si>
  <si>
    <t>Other</t>
  </si>
  <si>
    <t>Total (sum models)</t>
  </si>
  <si>
    <t>eG80</t>
  </si>
  <si>
    <t>eGV70</t>
  </si>
  <si>
    <t>G80 Electrified</t>
  </si>
  <si>
    <t>GV70 Electrified</t>
  </si>
  <si>
    <t>electrified g80</t>
  </si>
  <si>
    <t>electrified gv70</t>
  </si>
  <si>
    <t>g70</t>
  </si>
  <si>
    <t>g80</t>
  </si>
  <si>
    <t>g90</t>
  </si>
  <si>
    <t>gv60</t>
  </si>
  <si>
    <t>gv70</t>
  </si>
  <si>
    <t>gv80</t>
  </si>
  <si>
    <t>gv80 coupe</t>
  </si>
  <si>
    <t>genesis_electrified_g80</t>
  </si>
  <si>
    <t>genesis_electrified_gv70</t>
  </si>
  <si>
    <t>Spam removed</t>
  </si>
  <si>
    <t>Adjusted using latest data pulls</t>
  </si>
  <si>
    <t>May Adjusted to exclude YouTube Invalid</t>
  </si>
  <si>
    <t>Adjusted for SPN HVAs</t>
  </si>
  <si>
    <t>-</t>
  </si>
  <si>
    <t>WEIGHTED</t>
  </si>
  <si>
    <t>WEIGHTED 2025 SHOP</t>
  </si>
  <si>
    <t>WEIGHTED 2025 RESEARCH</t>
  </si>
  <si>
    <t>2026 T1 HVAs | Total</t>
  </si>
  <si>
    <t>2026 HVAs |T1 to T3 Referrals | Total is VDP + FAR, Models Only VDP Referrals</t>
  </si>
  <si>
    <t>2025 Action - Sales Rates (Sig Event Months)</t>
  </si>
  <si>
    <t>2025 Action - Sales Rates (Non-Sig Months)</t>
  </si>
  <si>
    <t>Correlation Scores (total level)</t>
  </si>
  <si>
    <t>Weighting</t>
  </si>
  <si>
    <t>DON’T TOUCH</t>
  </si>
  <si>
    <t>T1-T3 Referral-Sales Rate</t>
  </si>
  <si>
    <t>T3 Referral</t>
  </si>
  <si>
    <t>T1 VDP-Sales Rate</t>
  </si>
  <si>
    <t>T1 VDP</t>
  </si>
  <si>
    <t>T3 Sales Visits - Sales Rate</t>
  </si>
  <si>
    <t>T1 HVAs INM Contribution</t>
  </si>
  <si>
    <t xml:space="preserve">First we calculate individual HVA goals based on their historic volume to sales rates      ---&gt; </t>
  </si>
  <si>
    <t>T1-T3 Referral Total Goal</t>
  </si>
  <si>
    <t>T1 VDP Visit Total Goal (sum of models)</t>
  </si>
  <si>
    <t>INM T1 HVA Goal</t>
  </si>
  <si>
    <t xml:space="preserve">Then we weight based on sales correlation scores ---&gt; </t>
  </si>
  <si>
    <t>T1 VDP Visit Total Goal</t>
  </si>
  <si>
    <t>Total Models</t>
  </si>
  <si>
    <t>Correlation Scores (model  level)</t>
  </si>
  <si>
    <t>N/A</t>
  </si>
  <si>
    <t>T3 VDP - Sales Rate</t>
  </si>
  <si>
    <t>Total Model Goal</t>
  </si>
  <si>
    <t>T1-T3 Referrals</t>
  </si>
  <si>
    <t>T1 VDPs</t>
  </si>
  <si>
    <t>Shop National</t>
  </si>
  <si>
    <t>T3 VDPs (unique)</t>
  </si>
  <si>
    <t>T1 MVAs INM Contribution</t>
  </si>
  <si>
    <t>Total  Goal</t>
  </si>
  <si>
    <t>In-Market T1 MVAs</t>
  </si>
  <si>
    <t>Endemic VDPs (sum of models)</t>
  </si>
  <si>
    <t>&lt;--- Jan-Mar uses original 2025 Endemic VDPs</t>
  </si>
  <si>
    <t>Correlation</t>
  </si>
  <si>
    <t>Weight</t>
  </si>
  <si>
    <t>Correlation Scores</t>
  </si>
  <si>
    <t>2025 Rates (Sig Event Months)</t>
  </si>
  <si>
    <t>2025 Rates (Non-Sig Months)</t>
  </si>
  <si>
    <t>Visit-MVA Conversion</t>
  </si>
  <si>
    <t>VLP Visit-MVA Conversion</t>
  </si>
  <si>
    <t>Total Visits</t>
  </si>
  <si>
    <t>Total VLPs</t>
  </si>
  <si>
    <t>Total Level</t>
  </si>
  <si>
    <t>2025 Action - Sales Rates (Jan-Nov '25)</t>
  </si>
  <si>
    <t>2026 Sales Targets</t>
  </si>
  <si>
    <t>Total Individual Goal</t>
  </si>
  <si>
    <r>
      <t xml:space="preserve">Lead Goal Methodology:
</t>
    </r>
    <r>
      <rPr>
        <sz val="11"/>
        <color theme="1"/>
        <rFont val="Aptos Narrow"/>
        <scheme val="minor"/>
      </rPr>
      <t xml:space="preserve">	1. Calculate non-sig &amp; sig event month time frames for:
		a. Actual '25 sales
		b. Actual '25 leads
		c. Average '25 close rates
		d. Actual lead sales contribution (leads * close rate)
		e. Lead sales contribution vs total sales (lead sales / total sales)
	2. Calculate lead attributed sales goal ('26 BP sales goal * lead sales contribution)
3. Calculate lead goal (lead attributed sales goal * close rate)</t>
    </r>
    <r>
      <rPr>
        <b/>
        <sz val="11"/>
        <color theme="1"/>
        <rFont val="Aptos Narrow"/>
        <scheme val="minor"/>
      </rPr>
      <t xml:space="preserve">
</t>
    </r>
    <r>
      <rPr>
        <sz val="11"/>
        <color theme="1"/>
        <rFont val="Aptos Narrow"/>
        <scheme val="minor"/>
      </rPr>
      <t>4. Apply sales goal model allocations to total lead goal to get model lead goals</t>
    </r>
  </si>
  <si>
    <t>Sales Goals v6.0</t>
  </si>
  <si>
    <t>ELECTRIFIED G80</t>
  </si>
  <si>
    <t>Sales Goal Allocation</t>
  </si>
  <si>
    <t>Actual Sales</t>
  </si>
  <si>
    <t>Time Frames</t>
  </si>
  <si>
    <t>March</t>
  </si>
  <si>
    <t>Feb/Apr</t>
  </si>
  <si>
    <t>Apr/May</t>
  </si>
  <si>
    <t>May/June</t>
  </si>
  <si>
    <t>June/July</t>
  </si>
  <si>
    <t>July/August</t>
  </si>
  <si>
    <t>August</t>
  </si>
  <si>
    <t>Sales Event Months</t>
  </si>
  <si>
    <t>Non-Sales Event Months</t>
  </si>
  <si>
    <t>Actual Leads</t>
  </si>
  <si>
    <t>Total (excl. Spam)</t>
  </si>
  <si>
    <t>Close Rates</t>
  </si>
  <si>
    <t>Actual Lead Sales Contribution</t>
  </si>
  <si>
    <t>Lead Sales Contribution vs. Total Sales</t>
  </si>
  <si>
    <t>OP Sales Goals</t>
  </si>
  <si>
    <t>OP Lead Atttributed Sales Needed</t>
  </si>
  <si>
    <t>OP Lead goals</t>
  </si>
  <si>
    <t>EG80</t>
  </si>
  <si>
    <t>EGV70</t>
  </si>
  <si>
    <t>GV80 COUPE</t>
  </si>
  <si>
    <t>GV80 Family</t>
  </si>
  <si>
    <t>Models Only</t>
  </si>
  <si>
    <t>January</t>
  </si>
  <si>
    <t>February</t>
  </si>
  <si>
    <t>April</t>
  </si>
  <si>
    <t>June</t>
  </si>
  <si>
    <t>July</t>
  </si>
  <si>
    <t>September</t>
  </si>
  <si>
    <t>October</t>
  </si>
  <si>
    <t>November</t>
  </si>
  <si>
    <t>December</t>
  </si>
  <si>
    <t>SHOP</t>
  </si>
  <si>
    <t>IN-MARKET SHOP</t>
  </si>
  <si>
    <t>MTD</t>
  </si>
  <si>
    <t>T1 HVAs (T1 Only)</t>
  </si>
  <si>
    <t>T1 VDP Visits</t>
  </si>
  <si>
    <t>T3 Sales Visits &amp; T3 VDPs</t>
  </si>
  <si>
    <t>RESEARCH</t>
  </si>
  <si>
    <t>IN-MARKET RESEARCH</t>
  </si>
  <si>
    <t>T1 MVAs (T1 Only)</t>
  </si>
  <si>
    <t>CONSIDERATION</t>
  </si>
  <si>
    <t>IN-MARKET CONSIDERATION</t>
  </si>
  <si>
    <t>Visits</t>
  </si>
  <si>
    <t>VLP Visits</t>
  </si>
  <si>
    <t>SALES</t>
  </si>
  <si>
    <t>Sales FC</t>
  </si>
  <si>
    <t>Date Control</t>
  </si>
  <si>
    <t>Days in Month</t>
  </si>
  <si>
    <t>Current MTD Days</t>
  </si>
  <si>
    <t>T3  MTD Days ---&gt;</t>
  </si>
  <si>
    <t>Current Month</t>
  </si>
  <si>
    <t>Endemic MTD Days ---&gt;</t>
  </si>
  <si>
    <t>NATIONAL</t>
  </si>
  <si>
    <t>T1 CONVERSION RATES</t>
  </si>
  <si>
    <t>MTD Volume</t>
  </si>
  <si>
    <t>Pace</t>
  </si>
  <si>
    <t>Weighted MTD Volume</t>
  </si>
  <si>
    <t>Weighted Pace</t>
  </si>
  <si>
    <t>Pace vs. OP</t>
  </si>
  <si>
    <t>Weighted OP</t>
  </si>
  <si>
    <t>Pace vs. Weighted OP</t>
  </si>
  <si>
    <t>Prev. Month</t>
  </si>
  <si>
    <t>Pace MoM</t>
  </si>
  <si>
    <t>Prev. Year</t>
  </si>
  <si>
    <t>Pace YoY</t>
  </si>
  <si>
    <t>Current Rates</t>
  </si>
  <si>
    <t>Goal Based on</t>
  </si>
  <si>
    <t>HVA CVR</t>
  </si>
  <si>
    <t>MoM</t>
  </si>
  <si>
    <t>YoY</t>
  </si>
  <si>
    <t>INM HVA Contribution</t>
  </si>
  <si>
    <t>July OP Non-Sig Rates</t>
  </si>
  <si>
    <t>July OP Sig Month Rates</t>
  </si>
  <si>
    <t>% Diff</t>
  </si>
  <si>
    <t>vol Diff</t>
  </si>
  <si>
    <t>Total Shop HVAs</t>
  </si>
  <si>
    <t>T1 VDP Visits (sum up models below)</t>
  </si>
  <si>
    <t>In-Market T1 HVAs</t>
  </si>
  <si>
    <t>MVA CVR</t>
  </si>
  <si>
    <t>INM MVA Contribution</t>
  </si>
  <si>
    <t>Total Research MVAs</t>
  </si>
  <si>
    <t xml:space="preserve"> N/A </t>
  </si>
  <si>
    <t>Endemic VDPs (sum up models below)</t>
  </si>
  <si>
    <t>INM Contribution</t>
  </si>
  <si>
    <t>TBD</t>
  </si>
  <si>
    <t>ELECTRIFIED GV70</t>
  </si>
  <si>
    <t>KPI</t>
  </si>
  <si>
    <t>Feb26 Vol. (unweighted)</t>
  </si>
  <si>
    <t>vs. OP</t>
  </si>
  <si>
    <t>Add Bar Charts</t>
  </si>
  <si>
    <t>Non-Weighted</t>
  </si>
  <si>
    <t>Weighted</t>
  </si>
  <si>
    <t>T3 Referrals adjusted starting in March (removed SPN) then again in April (removed Yahoo/typed/bookmarked) | Endemic VDPs adjusted starting in April to use updated 2025 volume</t>
  </si>
  <si>
    <t>TOTAL MODELS</t>
  </si>
  <si>
    <r>
      <t xml:space="preserve">2026 Requirement </t>
    </r>
    <r>
      <rPr>
        <b/>
        <sz val="9"/>
        <color theme="1"/>
        <rFont val="Genesis Sans Head Global"/>
      </rPr>
      <t>(based on Sales target)</t>
    </r>
  </si>
  <si>
    <r>
      <t xml:space="preserve">2026 Goal </t>
    </r>
    <r>
      <rPr>
        <b/>
        <sz val="9"/>
        <color theme="1"/>
        <rFont val="Genesis Sans Head Global"/>
      </rPr>
      <t xml:space="preserve"> (YoY Sales OP Lift)</t>
    </r>
  </si>
  <si>
    <t>YoY % Change</t>
  </si>
  <si>
    <t>YoY PPT Change</t>
  </si>
  <si>
    <t>MVA Rate</t>
  </si>
  <si>
    <t>HVA Rate</t>
  </si>
  <si>
    <t>Sales OP</t>
  </si>
  <si>
    <t>Sales OP YoY Lift</t>
  </si>
  <si>
    <t>2025 ACTUALS | TOTAL</t>
  </si>
  <si>
    <t>TOTAL OP</t>
  </si>
  <si>
    <t>2026 ACTUALS | TOTAL</t>
  </si>
  <si>
    <t>PACING | TOTAL ACTUALS</t>
  </si>
  <si>
    <t>2025 ACTUALS |GV80</t>
  </si>
  <si>
    <t>GV80 OP</t>
  </si>
  <si>
    <t>2026 ACTUALS | GV80</t>
  </si>
  <si>
    <t>PACING |GV80</t>
  </si>
  <si>
    <t>2025 ACTUALS | GV80 COUPE</t>
  </si>
  <si>
    <t>GV80 COUPE OP</t>
  </si>
  <si>
    <t>2026 ACTUALS | GV80 COUPE</t>
  </si>
  <si>
    <t>PACING |GV80 COUPE</t>
  </si>
  <si>
    <t xml:space="preserve"> 2025 ACTUALS | GV70</t>
  </si>
  <si>
    <t>GV70 OP</t>
  </si>
  <si>
    <t>2026 ACTUALS | GV70</t>
  </si>
  <si>
    <t>PACING |GV70</t>
  </si>
  <si>
    <t>2025 ACTUALS | GV70 EV</t>
  </si>
  <si>
    <t>GV70 EV OP</t>
  </si>
  <si>
    <t>2026 ACTUALS | GV70 EV</t>
  </si>
  <si>
    <t>PACING |GV70 EV</t>
  </si>
  <si>
    <t>2025 ACTUALS | G70</t>
  </si>
  <si>
    <t>G70 OP</t>
  </si>
  <si>
    <t>2026 ACTUALS | G70</t>
  </si>
  <si>
    <t>PACING |G70</t>
  </si>
  <si>
    <t>2025 ACTUALS | GV60</t>
  </si>
  <si>
    <t>GV60 OP</t>
  </si>
  <si>
    <t>2026 ACTUALS | GV60</t>
  </si>
  <si>
    <t>PACING |GV60</t>
  </si>
  <si>
    <t>2025 ACTUALS | G80</t>
  </si>
  <si>
    <t>G80 OP</t>
  </si>
  <si>
    <t>2026 ACTUALS | G80</t>
  </si>
  <si>
    <t>PACING |G80</t>
  </si>
  <si>
    <t>2025 ACTUALS | G90</t>
  </si>
  <si>
    <t>G90 OP</t>
  </si>
  <si>
    <t>2026 ACTUALS | G90</t>
  </si>
  <si>
    <t>PACING |G90</t>
  </si>
  <si>
    <t>Find a Retailer T3 Referrals (Final)</t>
  </si>
  <si>
    <t>VDP T3 Referrals (Final)</t>
  </si>
  <si>
    <t>VDP Visits (Final)</t>
  </si>
  <si>
    <t>rate based on visits</t>
  </si>
  <si>
    <t>rate based on vdp visits</t>
  </si>
  <si>
    <t>HVAs</t>
  </si>
  <si>
    <t>HVAs minus FAR T3 Referrals</t>
  </si>
  <si>
    <t>total = sum of models</t>
  </si>
  <si>
    <t>total does not = sum of models and we don’t need model breakouts for visits (only need column AJ)</t>
  </si>
  <si>
    <t>total = sum of models. However, INM breakouts are not included in DBX</t>
  </si>
  <si>
    <t>total does not = sum of models and we don't have INM breakouts in DBX</t>
  </si>
  <si>
    <t>total does not = sum of models</t>
  </si>
  <si>
    <t>total  = sum of models</t>
  </si>
  <si>
    <t>total does not  = sum of models</t>
  </si>
  <si>
    <t>total does not  = sum of models and no INM breakout in DBX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</si>
</sst>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  <numFmt numFmtId="167" formatCode="&quot;$&quot;#,##0.00"/>
    <numFmt numFmtId="168" formatCode="_(* #,##0.000_);_(* \(#,##0.000\);_(* &quot;-&quot;??_);_(@_)"/>
    <numFmt numFmtId="169" formatCode="_(* #,##0.0000_);_(* \(#,##0.0000\);_(* &quot;-&quot;??_);_(@_)"/>
    <numFmt numFmtId="170" formatCode="0.0000"/>
    <numFmt numFmtId="171" formatCode="0.0000%"/>
  </numFmts>
  <fonts count="9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Aptos Narrow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</font>
    <font>
      <b/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0"/>
      <name val="Calibri"/>
      <family val="2"/>
    </font>
    <font>
      <sz val="8"/>
      <name val="Aptos Narrow"/>
      <family val="2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scheme val="minor"/>
    </font>
    <font>
      <sz val="11"/>
      <name val="Calibri"/>
      <family val="2"/>
    </font>
    <font>
      <b/>
      <sz val="10"/>
      <color theme="1"/>
      <name val="Aptos Display"/>
      <family val="2"/>
      <scheme val="major"/>
    </font>
    <font>
      <sz val="14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i/>
      <sz val="10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2"/>
      <color theme="1"/>
      <name val="Calibri"/>
      <family val="2"/>
    </font>
    <font>
      <b/>
      <sz val="10"/>
      <color theme="1"/>
      <name val="Aptos Narrow"/>
      <scheme val="minor"/>
    </font>
    <font>
      <sz val="10"/>
      <color rgb="FF00000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Genesis Sans Text"/>
      <family val="2"/>
    </font>
    <font>
      <sz val="28"/>
      <color theme="0"/>
      <name val="Genesis Sans Text"/>
      <family val="2"/>
    </font>
    <font>
      <sz val="11"/>
      <color theme="0"/>
      <name val="Genesis Sans Text"/>
      <family val="2"/>
    </font>
    <font>
      <b/>
      <sz val="11"/>
      <color theme="0"/>
      <name val="Genesis Sans Text"/>
      <family val="2"/>
    </font>
    <font>
      <b/>
      <sz val="14"/>
      <color rgb="FF000000"/>
      <name val="Genesis Sans Text"/>
      <family val="2"/>
    </font>
    <font>
      <b/>
      <sz val="11"/>
      <color theme="0"/>
      <name val="Aptos Narrow"/>
      <family val="2"/>
      <scheme val="minor"/>
    </font>
    <font>
      <sz val="10"/>
      <color theme="0"/>
      <name val="Genesis Sans Text"/>
      <family val="2"/>
    </font>
    <font>
      <b/>
      <sz val="20"/>
      <color theme="0"/>
      <name val="Aptos Narrow"/>
      <scheme val="minor"/>
    </font>
    <font>
      <sz val="20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0"/>
      <name val="Aptos Display"/>
      <family val="2"/>
      <scheme val="major"/>
    </font>
    <font>
      <sz val="10"/>
      <color theme="0"/>
      <name val="Aptos Narrow"/>
      <family val="2"/>
      <scheme val="minor"/>
    </font>
    <font>
      <i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b/>
      <sz val="15"/>
      <color theme="1"/>
      <name val="Aptos Narrow"/>
      <scheme val="minor"/>
    </font>
    <font>
      <sz val="10"/>
      <color rgb="FF000000"/>
      <name val="Calibri"/>
      <family val="2"/>
    </font>
    <font>
      <sz val="12"/>
      <color theme="1"/>
      <name val="Genesis Sans Text Global"/>
    </font>
    <font>
      <sz val="12"/>
      <color theme="0"/>
      <name val="Genesis Sans Text Global"/>
    </font>
    <font>
      <sz val="8"/>
      <color theme="0"/>
      <name val="Genesis Sans Text Global"/>
    </font>
    <font>
      <b/>
      <sz val="12"/>
      <color theme="1"/>
      <name val="Genesis Sans Text Global"/>
    </font>
    <font>
      <i/>
      <sz val="12"/>
      <color theme="1"/>
      <name val="Genesis Sans Text Global"/>
    </font>
    <font>
      <b/>
      <sz val="11"/>
      <color theme="1"/>
      <name val="Genesis Sans Head Global"/>
    </font>
    <font>
      <b/>
      <sz val="9"/>
      <color theme="1"/>
      <name val="Genesis Sans Head Global"/>
    </font>
    <font>
      <sz val="11"/>
      <color theme="1"/>
      <name val="Genesis Sans Head Global"/>
    </font>
    <font>
      <b/>
      <sz val="11"/>
      <color theme="9"/>
      <name val="Genesis Sans Head Global"/>
    </font>
    <font>
      <sz val="20"/>
      <color rgb="FF000000"/>
      <name val="Genesis Sans Head Global"/>
    </font>
    <font>
      <sz val="9"/>
      <color theme="1"/>
      <name val="Aptos Narrow"/>
      <family val="2"/>
      <scheme val="minor"/>
    </font>
    <font>
      <sz val="11"/>
      <name val="Aptos Narrow"/>
    </font>
    <font>
      <b/>
      <sz val="10"/>
      <color rgb="FF000000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36B4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DFFE9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rgb="FF000000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8">
    <xf numFmtId="0" fontId="0" fillId="0" borderId="0" xfId="0"/>
    <xf numFmtId="0" fontId="18" fillId="0" borderId="0" xfId="42"/>
    <xf numFmtId="0" fontId="20" fillId="0" borderId="0" xfId="42" applyFont="1"/>
    <xf numFmtId="0" fontId="19" fillId="0" borderId="0" xfId="42" applyFont="1" applyAlignment="1">
      <alignment horizontal="center"/>
    </xf>
    <xf numFmtId="0" fontId="19" fillId="0" borderId="0" xfId="42" applyFont="1"/>
    <xf numFmtId="164" fontId="20" fillId="0" borderId="0" xfId="43" applyNumberFormat="1" applyFont="1"/>
    <xf numFmtId="165" fontId="20" fillId="0" borderId="0" xfId="44" applyNumberFormat="1" applyFont="1" applyFill="1"/>
    <xf numFmtId="44" fontId="20" fillId="0" borderId="0" xfId="42" applyNumberFormat="1" applyFont="1"/>
    <xf numFmtId="164" fontId="20" fillId="0" borderId="0" xfId="43" applyNumberFormat="1" applyFont="1" applyFill="1"/>
    <xf numFmtId="164" fontId="20" fillId="0" borderId="0" xfId="42" applyNumberFormat="1" applyFont="1"/>
    <xf numFmtId="164" fontId="20" fillId="0" borderId="0" xfId="43" applyNumberFormat="1" applyFont="1" applyAlignment="1">
      <alignment horizontal="center"/>
    </xf>
    <xf numFmtId="17" fontId="20" fillId="0" borderId="0" xfId="42" applyNumberFormat="1" applyFont="1"/>
    <xf numFmtId="6" fontId="21" fillId="0" borderId="0" xfId="42" applyNumberFormat="1" applyFont="1"/>
    <xf numFmtId="9" fontId="20" fillId="0" borderId="0" xfId="43" applyNumberFormat="1" applyFont="1"/>
    <xf numFmtId="9" fontId="20" fillId="0" borderId="0" xfId="45" applyFont="1"/>
    <xf numFmtId="10" fontId="20" fillId="0" borderId="0" xfId="45" applyNumberFormat="1" applyFont="1"/>
    <xf numFmtId="167" fontId="20" fillId="0" borderId="0" xfId="42" applyNumberFormat="1" applyFont="1"/>
    <xf numFmtId="43" fontId="20" fillId="0" borderId="0" xfId="42" applyNumberFormat="1" applyFont="1"/>
    <xf numFmtId="6" fontId="23" fillId="0" borderId="0" xfId="42" applyNumberFormat="1" applyFont="1"/>
    <xf numFmtId="164" fontId="19" fillId="0" borderId="0" xfId="43" applyNumberFormat="1" applyFont="1"/>
    <xf numFmtId="164" fontId="20" fillId="34" borderId="0" xfId="43" applyNumberFormat="1" applyFont="1" applyFill="1"/>
    <xf numFmtId="17" fontId="20" fillId="34" borderId="0" xfId="42" applyNumberFormat="1" applyFont="1" applyFill="1"/>
    <xf numFmtId="165" fontId="20" fillId="0" borderId="0" xfId="44" applyNumberFormat="1" applyFont="1"/>
    <xf numFmtId="0" fontId="20" fillId="0" borderId="0" xfId="42" applyFont="1" applyAlignment="1">
      <alignment vertical="center" wrapText="1"/>
    </xf>
    <xf numFmtId="164" fontId="20" fillId="34" borderId="0" xfId="43" applyNumberFormat="1" applyFont="1" applyFill="1" applyAlignment="1">
      <alignment horizontal="right"/>
    </xf>
    <xf numFmtId="164" fontId="20" fillId="0" borderId="0" xfId="43" applyNumberFormat="1" applyFont="1" applyAlignment="1"/>
    <xf numFmtId="9" fontId="20" fillId="0" borderId="0" xfId="42" applyNumberFormat="1" applyFont="1"/>
    <xf numFmtId="0" fontId="24" fillId="0" borderId="0" xfId="42" applyFont="1"/>
    <xf numFmtId="165" fontId="19" fillId="0" borderId="0" xfId="44" applyNumberFormat="1" applyFont="1"/>
    <xf numFmtId="164" fontId="22" fillId="0" borderId="0" xfId="43" applyNumberFormat="1" applyFont="1"/>
    <xf numFmtId="165" fontId="20" fillId="0" borderId="0" xfId="42" applyNumberFormat="1" applyFont="1"/>
    <xf numFmtId="164" fontId="24" fillId="0" borderId="0" xfId="43" applyNumberFormat="1" applyFont="1"/>
    <xf numFmtId="14" fontId="20" fillId="0" borderId="0" xfId="42" applyNumberFormat="1" applyFont="1"/>
    <xf numFmtId="1" fontId="20" fillId="0" borderId="0" xfId="42" applyNumberFormat="1" applyFont="1"/>
    <xf numFmtId="165" fontId="20" fillId="0" borderId="0" xfId="44" applyNumberFormat="1" applyFont="1" applyFill="1" applyBorder="1"/>
    <xf numFmtId="9" fontId="20" fillId="0" borderId="0" xfId="44" applyNumberFormat="1" applyFont="1" applyFill="1"/>
    <xf numFmtId="10" fontId="20" fillId="0" borderId="0" xfId="45" applyNumberFormat="1" applyFont="1" applyFill="1"/>
    <xf numFmtId="164" fontId="0" fillId="0" borderId="0" xfId="43" applyNumberFormat="1" applyFont="1"/>
    <xf numFmtId="3" fontId="18" fillId="0" borderId="0" xfId="42" applyNumberFormat="1"/>
    <xf numFmtId="164" fontId="0" fillId="0" borderId="0" xfId="43" applyNumberFormat="1" applyFont="1" applyBorder="1"/>
    <xf numFmtId="0" fontId="18" fillId="0" borderId="0" xfId="42" applyAlignment="1">
      <alignment horizontal="center"/>
    </xf>
    <xf numFmtId="164" fontId="18" fillId="0" borderId="0" xfId="42" applyNumberFormat="1"/>
    <xf numFmtId="3" fontId="0" fillId="0" borderId="14" xfId="0" applyNumberFormat="1" applyBorder="1" applyAlignment="1">
      <alignment horizontal="center"/>
    </xf>
    <xf numFmtId="0" fontId="0" fillId="38" borderId="14" xfId="0" applyFill="1" applyBorder="1" applyAlignment="1">
      <alignment horizontal="center"/>
    </xf>
    <xf numFmtId="0" fontId="0" fillId="38" borderId="13" xfId="0" applyFill="1" applyBorder="1"/>
    <xf numFmtId="0" fontId="0" fillId="0" borderId="13" xfId="0" applyBorder="1"/>
    <xf numFmtId="164" fontId="0" fillId="0" borderId="0" xfId="46" applyNumberFormat="1" applyFont="1"/>
    <xf numFmtId="0" fontId="26" fillId="0" borderId="0" xfId="0" applyFont="1"/>
    <xf numFmtId="0" fontId="18" fillId="38" borderId="19" xfId="42" applyFill="1" applyBorder="1" applyAlignment="1">
      <alignment horizontal="center"/>
    </xf>
    <xf numFmtId="3" fontId="18" fillId="0" borderId="17" xfId="42" applyNumberFormat="1" applyBorder="1" applyAlignment="1">
      <alignment horizontal="center"/>
    </xf>
    <xf numFmtId="0" fontId="0" fillId="0" borderId="15" xfId="0" applyBorder="1"/>
    <xf numFmtId="3" fontId="0" fillId="0" borderId="16" xfId="0" applyNumberFormat="1" applyBorder="1" applyAlignment="1">
      <alignment horizontal="center"/>
    </xf>
    <xf numFmtId="3" fontId="18" fillId="0" borderId="18" xfId="42" applyNumberFormat="1" applyBorder="1" applyAlignment="1">
      <alignment horizontal="center"/>
    </xf>
    <xf numFmtId="17" fontId="19" fillId="0" borderId="0" xfId="42" applyNumberFormat="1" applyFont="1"/>
    <xf numFmtId="10" fontId="20" fillId="0" borderId="0" xfId="47" applyNumberFormat="1" applyFont="1"/>
    <xf numFmtId="164" fontId="20" fillId="0" borderId="0" xfId="46" applyNumberFormat="1" applyFont="1"/>
    <xf numFmtId="164" fontId="26" fillId="0" borderId="0" xfId="46" applyNumberFormat="1" applyFont="1"/>
    <xf numFmtId="10" fontId="20" fillId="0" borderId="0" xfId="47" applyNumberFormat="1" applyFont="1" applyFill="1"/>
    <xf numFmtId="0" fontId="19" fillId="42" borderId="0" xfId="42" applyFont="1" applyFill="1" applyAlignment="1">
      <alignment horizontal="center"/>
    </xf>
    <xf numFmtId="0" fontId="19" fillId="42" borderId="0" xfId="42" applyFont="1" applyFill="1"/>
    <xf numFmtId="0" fontId="0" fillId="0" borderId="20" xfId="0" applyBorder="1"/>
    <xf numFmtId="10" fontId="0" fillId="0" borderId="21" xfId="47" applyNumberFormat="1" applyFont="1" applyBorder="1"/>
    <xf numFmtId="10" fontId="0" fillId="0" borderId="21" xfId="0" applyNumberFormat="1" applyBorder="1"/>
    <xf numFmtId="0" fontId="26" fillId="0" borderId="22" xfId="0" applyFont="1" applyBorder="1"/>
    <xf numFmtId="10" fontId="26" fillId="0" borderId="23" xfId="0" applyNumberFormat="1" applyFont="1" applyBorder="1"/>
    <xf numFmtId="0" fontId="0" fillId="0" borderId="21" xfId="0" applyBorder="1"/>
    <xf numFmtId="9" fontId="0" fillId="0" borderId="21" xfId="47" applyFont="1" applyBorder="1"/>
    <xf numFmtId="9" fontId="26" fillId="0" borderId="23" xfId="47" applyFont="1" applyBorder="1"/>
    <xf numFmtId="164" fontId="0" fillId="0" borderId="14" xfId="0" applyNumberFormat="1" applyBorder="1"/>
    <xf numFmtId="164" fontId="0" fillId="0" borderId="14" xfId="46" applyNumberFormat="1" applyFont="1" applyBorder="1"/>
    <xf numFmtId="0" fontId="26" fillId="39" borderId="24" xfId="0" applyFont="1" applyFill="1" applyBorder="1"/>
    <xf numFmtId="0" fontId="26" fillId="39" borderId="25" xfId="0" applyFont="1" applyFill="1" applyBorder="1"/>
    <xf numFmtId="0" fontId="26" fillId="39" borderId="26" xfId="0" applyFont="1" applyFill="1" applyBorder="1"/>
    <xf numFmtId="0" fontId="0" fillId="0" borderId="27" xfId="0" applyBorder="1"/>
    <xf numFmtId="164" fontId="0" fillId="0" borderId="28" xfId="46" applyNumberFormat="1" applyFont="1" applyBorder="1"/>
    <xf numFmtId="164" fontId="0" fillId="0" borderId="29" xfId="0" applyNumberFormat="1" applyBorder="1"/>
    <xf numFmtId="164" fontId="0" fillId="0" borderId="17" xfId="0" applyNumberFormat="1" applyBorder="1"/>
    <xf numFmtId="0" fontId="26" fillId="0" borderId="15" xfId="0" applyFont="1" applyBorder="1"/>
    <xf numFmtId="164" fontId="26" fillId="0" borderId="16" xfId="46" applyNumberFormat="1" applyFont="1" applyBorder="1"/>
    <xf numFmtId="164" fontId="26" fillId="0" borderId="18" xfId="46" applyNumberFormat="1" applyFont="1" applyBorder="1"/>
    <xf numFmtId="164" fontId="0" fillId="0" borderId="28" xfId="0" applyNumberFormat="1" applyBorder="1"/>
    <xf numFmtId="0" fontId="26" fillId="43" borderId="31" xfId="0" applyFont="1" applyFill="1" applyBorder="1" applyAlignment="1">
      <alignment vertical="center"/>
    </xf>
    <xf numFmtId="0" fontId="26" fillId="43" borderId="30" xfId="0" applyFont="1" applyFill="1" applyBorder="1" applyAlignment="1">
      <alignment vertical="center"/>
    </xf>
    <xf numFmtId="0" fontId="26" fillId="43" borderId="32" xfId="0" applyFont="1" applyFill="1" applyBorder="1" applyAlignment="1">
      <alignment vertical="center"/>
    </xf>
    <xf numFmtId="164" fontId="0" fillId="0" borderId="29" xfId="46" applyNumberFormat="1" applyFont="1" applyBorder="1"/>
    <xf numFmtId="164" fontId="0" fillId="0" borderId="17" xfId="46" applyNumberFormat="1" applyFont="1" applyBorder="1"/>
    <xf numFmtId="2" fontId="0" fillId="0" borderId="21" xfId="0" applyNumberFormat="1" applyBorder="1"/>
    <xf numFmtId="2" fontId="26" fillId="0" borderId="23" xfId="0" applyNumberFormat="1" applyFont="1" applyBorder="1"/>
    <xf numFmtId="9" fontId="0" fillId="0" borderId="0" xfId="47" applyFont="1" applyFill="1" applyBorder="1"/>
    <xf numFmtId="10" fontId="0" fillId="0" borderId="0" xfId="47" applyNumberFormat="1" applyFont="1" applyBorder="1"/>
    <xf numFmtId="0" fontId="0" fillId="0" borderId="0" xfId="0" quotePrefix="1"/>
    <xf numFmtId="10" fontId="0" fillId="0" borderId="21" xfId="47" applyNumberFormat="1" applyFont="1" applyFill="1" applyBorder="1"/>
    <xf numFmtId="0" fontId="0" fillId="0" borderId="34" xfId="0" applyBorder="1"/>
    <xf numFmtId="0" fontId="0" fillId="0" borderId="35" xfId="0" applyBorder="1"/>
    <xf numFmtId="0" fontId="26" fillId="0" borderId="36" xfId="0" applyFont="1" applyBorder="1"/>
    <xf numFmtId="164" fontId="0" fillId="0" borderId="27" xfId="0" applyNumberFormat="1" applyBorder="1"/>
    <xf numFmtId="164" fontId="0" fillId="0" borderId="13" xfId="0" applyNumberFormat="1" applyBorder="1"/>
    <xf numFmtId="164" fontId="26" fillId="0" borderId="15" xfId="46" applyNumberFormat="1" applyFont="1" applyBorder="1"/>
    <xf numFmtId="164" fontId="0" fillId="0" borderId="0" xfId="46" applyNumberFormat="1" applyFont="1" applyFill="1" applyBorder="1"/>
    <xf numFmtId="9" fontId="0" fillId="0" borderId="0" xfId="47" applyFont="1"/>
    <xf numFmtId="0" fontId="32" fillId="39" borderId="0" xfId="42" applyFont="1" applyFill="1" applyAlignment="1">
      <alignment horizontal="right"/>
    </xf>
    <xf numFmtId="0" fontId="33" fillId="0" borderId="0" xfId="42" applyFont="1" applyAlignment="1">
      <alignment horizontal="right"/>
    </xf>
    <xf numFmtId="17" fontId="34" fillId="39" borderId="0" xfId="42" applyNumberFormat="1" applyFont="1" applyFill="1"/>
    <xf numFmtId="0" fontId="31" fillId="0" borderId="0" xfId="42" applyFont="1" applyAlignment="1">
      <alignment horizontal="right"/>
    </xf>
    <xf numFmtId="164" fontId="34" fillId="0" borderId="0" xfId="43" applyNumberFormat="1" applyFont="1" applyFill="1" applyAlignment="1">
      <alignment horizontal="right"/>
    </xf>
    <xf numFmtId="164" fontId="34" fillId="0" borderId="0" xfId="43" applyNumberFormat="1" applyFont="1" applyFill="1"/>
    <xf numFmtId="17" fontId="34" fillId="0" borderId="0" xfId="42" applyNumberFormat="1" applyFont="1" applyAlignment="1">
      <alignment horizontal="right"/>
    </xf>
    <xf numFmtId="0" fontId="32" fillId="44" borderId="0" xfId="42" applyFont="1" applyFill="1" applyAlignment="1">
      <alignment horizontal="right"/>
    </xf>
    <xf numFmtId="17" fontId="34" fillId="44" borderId="0" xfId="42" applyNumberFormat="1" applyFont="1" applyFill="1"/>
    <xf numFmtId="0" fontId="31" fillId="43" borderId="0" xfId="42" applyFont="1" applyFill="1" applyAlignment="1">
      <alignment horizontal="right"/>
    </xf>
    <xf numFmtId="17" fontId="34" fillId="43" borderId="0" xfId="42" applyNumberFormat="1" applyFont="1" applyFill="1"/>
    <xf numFmtId="10" fontId="35" fillId="0" borderId="0" xfId="42" applyNumberFormat="1" applyFont="1"/>
    <xf numFmtId="17" fontId="34" fillId="0" borderId="0" xfId="42" applyNumberFormat="1" applyFont="1"/>
    <xf numFmtId="0" fontId="32" fillId="33" borderId="0" xfId="42" applyFont="1" applyFill="1" applyAlignment="1">
      <alignment horizontal="right"/>
    </xf>
    <xf numFmtId="17" fontId="34" fillId="33" borderId="0" xfId="42" applyNumberFormat="1" applyFont="1" applyFill="1"/>
    <xf numFmtId="0" fontId="36" fillId="0" borderId="0" xfId="42" applyFont="1"/>
    <xf numFmtId="0" fontId="31" fillId="45" borderId="0" xfId="42" applyFont="1" applyFill="1" applyAlignment="1">
      <alignment horizontal="right"/>
    </xf>
    <xf numFmtId="0" fontId="34" fillId="0" borderId="0" xfId="42" applyFont="1"/>
    <xf numFmtId="17" fontId="34" fillId="45" borderId="0" xfId="42" applyNumberFormat="1" applyFont="1" applyFill="1"/>
    <xf numFmtId="17" fontId="37" fillId="0" borderId="0" xfId="42" applyNumberFormat="1" applyFont="1" applyAlignment="1">
      <alignment horizontal="right"/>
    </xf>
    <xf numFmtId="0" fontId="31" fillId="46" borderId="0" xfId="42" applyFont="1" applyFill="1" applyAlignment="1">
      <alignment horizontal="right"/>
    </xf>
    <xf numFmtId="0" fontId="31" fillId="35" borderId="0" xfId="42" applyFont="1" applyFill="1" applyAlignment="1">
      <alignment horizontal="right"/>
    </xf>
    <xf numFmtId="164" fontId="34" fillId="0" borderId="0" xfId="43" applyNumberFormat="1" applyFont="1"/>
    <xf numFmtId="17" fontId="34" fillId="35" borderId="0" xfId="42" applyNumberFormat="1" applyFont="1" applyFill="1"/>
    <xf numFmtId="0" fontId="32" fillId="38" borderId="0" xfId="42" applyFont="1" applyFill="1" applyAlignment="1">
      <alignment horizontal="right"/>
    </xf>
    <xf numFmtId="0" fontId="32" fillId="0" borderId="0" xfId="42" applyFont="1" applyAlignment="1">
      <alignment horizontal="right"/>
    </xf>
    <xf numFmtId="17" fontId="34" fillId="38" borderId="0" xfId="42" applyNumberFormat="1" applyFont="1" applyFill="1" applyAlignment="1">
      <alignment horizontal="right"/>
    </xf>
    <xf numFmtId="164" fontId="32" fillId="0" borderId="0" xfId="42" applyNumberFormat="1" applyFont="1"/>
    <xf numFmtId="9" fontId="20" fillId="0" borderId="0" xfId="47" applyFont="1"/>
    <xf numFmtId="43" fontId="0" fillId="0" borderId="0" xfId="0" applyNumberFormat="1"/>
    <xf numFmtId="0" fontId="38" fillId="0" borderId="0" xfId="42" applyFont="1"/>
    <xf numFmtId="0" fontId="39" fillId="0" borderId="0" xfId="42" applyFont="1"/>
    <xf numFmtId="10" fontId="38" fillId="0" borderId="0" xfId="45" applyNumberFormat="1" applyFont="1"/>
    <xf numFmtId="17" fontId="40" fillId="46" borderId="0" xfId="42" applyNumberFormat="1" applyFont="1" applyFill="1"/>
    <xf numFmtId="17" fontId="40" fillId="46" borderId="0" xfId="42" applyNumberFormat="1" applyFont="1" applyFill="1" applyAlignment="1">
      <alignment horizontal="right"/>
    </xf>
    <xf numFmtId="164" fontId="18" fillId="0" borderId="0" xfId="43" applyNumberFormat="1" applyFont="1"/>
    <xf numFmtId="17" fontId="40" fillId="0" borderId="0" xfId="42" applyNumberFormat="1" applyFont="1"/>
    <xf numFmtId="164" fontId="38" fillId="0" borderId="0" xfId="43" applyNumberFormat="1" applyFont="1" applyBorder="1" applyAlignment="1">
      <alignment horizontal="right"/>
    </xf>
    <xf numFmtId="164" fontId="18" fillId="0" borderId="0" xfId="43" applyNumberFormat="1" applyFont="1" applyBorder="1" applyAlignment="1">
      <alignment horizontal="right"/>
    </xf>
    <xf numFmtId="164" fontId="18" fillId="0" borderId="0" xfId="43" applyNumberFormat="1" applyFont="1" applyFill="1"/>
    <xf numFmtId="10" fontId="18" fillId="0" borderId="0" xfId="45" applyNumberFormat="1" applyFont="1"/>
    <xf numFmtId="10" fontId="18" fillId="0" borderId="0" xfId="42" applyNumberFormat="1"/>
    <xf numFmtId="0" fontId="35" fillId="0" borderId="0" xfId="42" applyFont="1"/>
    <xf numFmtId="43" fontId="18" fillId="0" borderId="0" xfId="42" applyNumberFormat="1"/>
    <xf numFmtId="17" fontId="18" fillId="0" borderId="0" xfId="42" applyNumberFormat="1"/>
    <xf numFmtId="168" fontId="18" fillId="0" borderId="0" xfId="42" applyNumberFormat="1"/>
    <xf numFmtId="9" fontId="18" fillId="0" borderId="0" xfId="45" applyFont="1"/>
    <xf numFmtId="169" fontId="18" fillId="0" borderId="0" xfId="42" applyNumberFormat="1"/>
    <xf numFmtId="6" fontId="18" fillId="0" borderId="0" xfId="42" applyNumberFormat="1"/>
    <xf numFmtId="10" fontId="18" fillId="0" borderId="0" xfId="45" applyNumberFormat="1" applyFont="1" applyFill="1"/>
    <xf numFmtId="164" fontId="18" fillId="0" borderId="0" xfId="43" applyNumberFormat="1" applyFont="1" applyFill="1" applyBorder="1" applyAlignment="1">
      <alignment horizontal="right"/>
    </xf>
    <xf numFmtId="0" fontId="18" fillId="0" borderId="0" xfId="42" applyAlignment="1">
      <alignment horizontal="right"/>
    </xf>
    <xf numFmtId="10" fontId="18" fillId="0" borderId="0" xfId="47" applyNumberFormat="1" applyFont="1"/>
    <xf numFmtId="10" fontId="35" fillId="34" borderId="0" xfId="42" applyNumberFormat="1" applyFont="1" applyFill="1"/>
    <xf numFmtId="17" fontId="33" fillId="38" borderId="0" xfId="42" applyNumberFormat="1" applyFont="1" applyFill="1" applyAlignment="1">
      <alignment horizontal="right"/>
    </xf>
    <xf numFmtId="164" fontId="0" fillId="0" borderId="28" xfId="46" applyNumberFormat="1" applyFont="1" applyFill="1" applyBorder="1"/>
    <xf numFmtId="164" fontId="0" fillId="0" borderId="14" xfId="46" applyNumberFormat="1" applyFont="1" applyFill="1" applyBorder="1"/>
    <xf numFmtId="164" fontId="26" fillId="0" borderId="16" xfId="46" applyNumberFormat="1" applyFont="1" applyFill="1" applyBorder="1"/>
    <xf numFmtId="0" fontId="29" fillId="36" borderId="20" xfId="0" applyFont="1" applyFill="1" applyBorder="1"/>
    <xf numFmtId="10" fontId="29" fillId="36" borderId="21" xfId="47" applyNumberFormat="1" applyFont="1" applyFill="1" applyBorder="1" applyAlignment="1">
      <alignment horizontal="center"/>
    </xf>
    <xf numFmtId="0" fontId="0" fillId="36" borderId="20" xfId="0" applyFill="1" applyBorder="1"/>
    <xf numFmtId="0" fontId="30" fillId="36" borderId="22" xfId="0" applyFont="1" applyFill="1" applyBorder="1"/>
    <xf numFmtId="0" fontId="26" fillId="36" borderId="22" xfId="0" applyFont="1" applyFill="1" applyBorder="1"/>
    <xf numFmtId="17" fontId="19" fillId="0" borderId="0" xfId="42" quotePrefix="1" applyNumberFormat="1" applyFont="1"/>
    <xf numFmtId="0" fontId="26" fillId="39" borderId="10" xfId="0" applyFont="1" applyFill="1" applyBorder="1"/>
    <xf numFmtId="0" fontId="26" fillId="39" borderId="12" xfId="0" applyFont="1" applyFill="1" applyBorder="1"/>
    <xf numFmtId="0" fontId="0" fillId="33" borderId="13" xfId="0" applyFill="1" applyBorder="1"/>
    <xf numFmtId="0" fontId="0" fillId="39" borderId="27" xfId="0" applyFill="1" applyBorder="1"/>
    <xf numFmtId="0" fontId="0" fillId="39" borderId="13" xfId="0" applyFill="1" applyBorder="1"/>
    <xf numFmtId="0" fontId="0" fillId="0" borderId="0" xfId="0" applyAlignment="1">
      <alignment vertical="center" wrapText="1"/>
    </xf>
    <xf numFmtId="10" fontId="30" fillId="36" borderId="21" xfId="47" applyNumberFormat="1" applyFont="1" applyFill="1" applyBorder="1" applyAlignment="1">
      <alignment horizontal="center"/>
    </xf>
    <xf numFmtId="0" fontId="26" fillId="0" borderId="0" xfId="0" applyFont="1" applyAlignment="1">
      <alignment vertical="center"/>
    </xf>
    <xf numFmtId="164" fontId="0" fillId="0" borderId="40" xfId="46" applyNumberFormat="1" applyFont="1" applyBorder="1"/>
    <xf numFmtId="164" fontId="0" fillId="0" borderId="19" xfId="46" applyNumberFormat="1" applyFont="1" applyBorder="1"/>
    <xf numFmtId="0" fontId="0" fillId="0" borderId="41" xfId="0" applyBorder="1"/>
    <xf numFmtId="14" fontId="41" fillId="0" borderId="13" xfId="42" applyNumberFormat="1" applyFont="1" applyBorder="1" applyAlignment="1">
      <alignment horizontal="left"/>
    </xf>
    <xf numFmtId="9" fontId="0" fillId="0" borderId="0" xfId="45" applyFont="1"/>
    <xf numFmtId="0" fontId="22" fillId="0" borderId="13" xfId="42" applyFont="1" applyBorder="1"/>
    <xf numFmtId="164" fontId="22" fillId="0" borderId="14" xfId="42" applyNumberFormat="1" applyFont="1" applyBorder="1" applyAlignment="1">
      <alignment horizontal="right"/>
    </xf>
    <xf numFmtId="164" fontId="22" fillId="0" borderId="14" xfId="42" applyNumberFormat="1" applyFont="1" applyBorder="1"/>
    <xf numFmtId="9" fontId="22" fillId="0" borderId="42" xfId="45" applyFont="1" applyBorder="1"/>
    <xf numFmtId="0" fontId="26" fillId="39" borderId="14" xfId="0" applyFont="1" applyFill="1" applyBorder="1"/>
    <xf numFmtId="0" fontId="26" fillId="33" borderId="14" xfId="0" applyFont="1" applyFill="1" applyBorder="1"/>
    <xf numFmtId="0" fontId="26" fillId="33" borderId="14" xfId="0" quotePrefix="1" applyFont="1" applyFill="1" applyBorder="1"/>
    <xf numFmtId="0" fontId="26" fillId="43" borderId="14" xfId="0" applyFont="1" applyFill="1" applyBorder="1"/>
    <xf numFmtId="0" fontId="26" fillId="43" borderId="14" xfId="0" quotePrefix="1" applyFont="1" applyFill="1" applyBorder="1"/>
    <xf numFmtId="0" fontId="0" fillId="43" borderId="14" xfId="0" applyFill="1" applyBorder="1"/>
    <xf numFmtId="9" fontId="0" fillId="0" borderId="0" xfId="0" applyNumberFormat="1"/>
    <xf numFmtId="0" fontId="46" fillId="39" borderId="14" xfId="0" applyFont="1" applyFill="1" applyBorder="1"/>
    <xf numFmtId="0" fontId="26" fillId="41" borderId="14" xfId="0" applyFont="1" applyFill="1" applyBorder="1"/>
    <xf numFmtId="0" fontId="46" fillId="41" borderId="14" xfId="0" applyFont="1" applyFill="1" applyBorder="1"/>
    <xf numFmtId="0" fontId="26" fillId="48" borderId="14" xfId="0" applyFont="1" applyFill="1" applyBorder="1"/>
    <xf numFmtId="0" fontId="0" fillId="48" borderId="14" xfId="0" applyFill="1" applyBorder="1"/>
    <xf numFmtId="0" fontId="26" fillId="46" borderId="14" xfId="0" applyFont="1" applyFill="1" applyBorder="1"/>
    <xf numFmtId="0" fontId="0" fillId="46" borderId="14" xfId="0" applyFill="1" applyBorder="1"/>
    <xf numFmtId="0" fontId="47" fillId="0" borderId="13" xfId="42" applyFont="1" applyBorder="1" applyAlignment="1">
      <alignment horizontal="right"/>
    </xf>
    <xf numFmtId="0" fontId="43" fillId="51" borderId="27" xfId="42" applyFont="1" applyFill="1" applyBorder="1" applyAlignment="1">
      <alignment horizontal="center"/>
    </xf>
    <xf numFmtId="0" fontId="43" fillId="51" borderId="28" xfId="42" applyFont="1" applyFill="1" applyBorder="1" applyAlignment="1">
      <alignment horizontal="center"/>
    </xf>
    <xf numFmtId="0" fontId="43" fillId="51" borderId="28" xfId="42" applyFont="1" applyFill="1" applyBorder="1" applyAlignment="1">
      <alignment horizontal="right"/>
    </xf>
    <xf numFmtId="0" fontId="43" fillId="51" borderId="27" xfId="42" applyFont="1" applyFill="1" applyBorder="1"/>
    <xf numFmtId="0" fontId="43" fillId="51" borderId="29" xfId="42" applyFont="1" applyFill="1" applyBorder="1" applyAlignment="1">
      <alignment horizontal="right"/>
    </xf>
    <xf numFmtId="17" fontId="40" fillId="0" borderId="0" xfId="42" applyNumberFormat="1" applyFont="1" applyAlignment="1">
      <alignment horizontal="right"/>
    </xf>
    <xf numFmtId="164" fontId="18" fillId="0" borderId="0" xfId="46" applyNumberFormat="1" applyFont="1"/>
    <xf numFmtId="0" fontId="49" fillId="0" borderId="20" xfId="0" applyFont="1" applyBorder="1"/>
    <xf numFmtId="10" fontId="49" fillId="0" borderId="21" xfId="0" applyNumberFormat="1" applyFont="1" applyBorder="1"/>
    <xf numFmtId="10" fontId="49" fillId="0" borderId="0" xfId="0" applyNumberFormat="1" applyFont="1"/>
    <xf numFmtId="166" fontId="22" fillId="0" borderId="0" xfId="42" applyNumberFormat="1" applyFont="1"/>
    <xf numFmtId="164" fontId="23" fillId="0" borderId="0" xfId="46" applyNumberFormat="1" applyFont="1" applyFill="1"/>
    <xf numFmtId="164" fontId="21" fillId="0" borderId="0" xfId="46" applyNumberFormat="1" applyFont="1" applyFill="1"/>
    <xf numFmtId="164" fontId="22" fillId="0" borderId="0" xfId="46" applyNumberFormat="1" applyFont="1" applyFill="1"/>
    <xf numFmtId="164" fontId="20" fillId="0" borderId="0" xfId="46" applyNumberFormat="1" applyFont="1" applyFill="1"/>
    <xf numFmtId="164" fontId="20" fillId="0" borderId="0" xfId="46" applyNumberFormat="1" applyFont="1" applyFill="1" applyBorder="1"/>
    <xf numFmtId="164" fontId="0" fillId="0" borderId="19" xfId="0" applyNumberFormat="1" applyBorder="1"/>
    <xf numFmtId="0" fontId="0" fillId="39" borderId="52" xfId="0" applyFill="1" applyBorder="1"/>
    <xf numFmtId="0" fontId="0" fillId="39" borderId="35" xfId="0" applyFill="1" applyBorder="1"/>
    <xf numFmtId="0" fontId="0" fillId="33" borderId="35" xfId="0" applyFill="1" applyBorder="1"/>
    <xf numFmtId="164" fontId="0" fillId="0" borderId="14" xfId="46" applyNumberFormat="1" applyFont="1" applyBorder="1" applyAlignment="1"/>
    <xf numFmtId="164" fontId="0" fillId="0" borderId="40" xfId="46" applyNumberFormat="1" applyFont="1" applyBorder="1" applyAlignment="1"/>
    <xf numFmtId="164" fontId="26" fillId="0" borderId="16" xfId="46" applyNumberFormat="1" applyFont="1" applyBorder="1" applyAlignment="1"/>
    <xf numFmtId="10" fontId="49" fillId="0" borderId="21" xfId="0" applyNumberFormat="1" applyFont="1" applyBorder="1" applyAlignment="1">
      <alignment horizontal="right"/>
    </xf>
    <xf numFmtId="10" fontId="49" fillId="0" borderId="0" xfId="0" applyNumberFormat="1" applyFont="1" applyAlignment="1">
      <alignment horizontal="right"/>
    </xf>
    <xf numFmtId="0" fontId="0" fillId="35" borderId="20" xfId="0" applyFill="1" applyBorder="1"/>
    <xf numFmtId="0" fontId="29" fillId="35" borderId="20" xfId="0" applyFont="1" applyFill="1" applyBorder="1"/>
    <xf numFmtId="10" fontId="29" fillId="35" borderId="21" xfId="47" applyNumberFormat="1" applyFont="1" applyFill="1" applyBorder="1" applyAlignment="1">
      <alignment horizontal="center"/>
    </xf>
    <xf numFmtId="0" fontId="49" fillId="35" borderId="20" xfId="0" applyFont="1" applyFill="1" applyBorder="1"/>
    <xf numFmtId="10" fontId="30" fillId="35" borderId="21" xfId="47" applyNumberFormat="1" applyFont="1" applyFill="1" applyBorder="1" applyAlignment="1">
      <alignment horizontal="center"/>
    </xf>
    <xf numFmtId="0" fontId="26" fillId="35" borderId="20" xfId="0" applyFont="1" applyFill="1" applyBorder="1"/>
    <xf numFmtId="10" fontId="46" fillId="0" borderId="23" xfId="0" applyNumberFormat="1" applyFont="1" applyBorder="1"/>
    <xf numFmtId="0" fontId="0" fillId="0" borderId="14" xfId="0" applyBorder="1"/>
    <xf numFmtId="0" fontId="0" fillId="35" borderId="14" xfId="0" applyFill="1" applyBorder="1"/>
    <xf numFmtId="0" fontId="26" fillId="35" borderId="14" xfId="0" applyFont="1" applyFill="1" applyBorder="1"/>
    <xf numFmtId="164" fontId="26" fillId="35" borderId="14" xfId="46" applyNumberFormat="1" applyFont="1" applyFill="1" applyBorder="1"/>
    <xf numFmtId="164" fontId="26" fillId="35" borderId="14" xfId="0" applyNumberFormat="1" applyFont="1" applyFill="1" applyBorder="1"/>
    <xf numFmtId="0" fontId="50" fillId="35" borderId="14" xfId="0" applyFont="1" applyFill="1" applyBorder="1" applyAlignment="1">
      <alignment horizontal="center" vertical="center"/>
    </xf>
    <xf numFmtId="0" fontId="0" fillId="39" borderId="14" xfId="0" applyFill="1" applyBorder="1"/>
    <xf numFmtId="10" fontId="0" fillId="0" borderId="0" xfId="47" applyNumberFormat="1" applyFont="1"/>
    <xf numFmtId="0" fontId="0" fillId="0" borderId="40" xfId="0" applyBorder="1"/>
    <xf numFmtId="0" fontId="52" fillId="34" borderId="24" xfId="0" applyFont="1" applyFill="1" applyBorder="1"/>
    <xf numFmtId="0" fontId="26" fillId="0" borderId="41" xfId="0" applyFont="1" applyBorder="1"/>
    <xf numFmtId="0" fontId="0" fillId="0" borderId="19" xfId="0" applyBorder="1"/>
    <xf numFmtId="0" fontId="26" fillId="0" borderId="13" xfId="0" applyFont="1" applyBorder="1"/>
    <xf numFmtId="0" fontId="0" fillId="0" borderId="17" xfId="0" applyBorder="1"/>
    <xf numFmtId="0" fontId="26" fillId="0" borderId="53" xfId="0" applyFont="1" applyBorder="1"/>
    <xf numFmtId="0" fontId="0" fillId="0" borderId="43" xfId="0" applyBorder="1"/>
    <xf numFmtId="0" fontId="0" fillId="0" borderId="54" xfId="0" applyBorder="1"/>
    <xf numFmtId="0" fontId="26" fillId="35" borderId="24" xfId="0" applyFont="1" applyFill="1" applyBorder="1"/>
    <xf numFmtId="0" fontId="0" fillId="35" borderId="25" xfId="0" applyFill="1" applyBorder="1"/>
    <xf numFmtId="0" fontId="0" fillId="35" borderId="26" xfId="0" applyFill="1" applyBorder="1"/>
    <xf numFmtId="0" fontId="26" fillId="35" borderId="25" xfId="0" applyFont="1" applyFill="1" applyBorder="1"/>
    <xf numFmtId="0" fontId="26" fillId="35" borderId="26" xfId="0" applyFont="1" applyFill="1" applyBorder="1"/>
    <xf numFmtId="0" fontId="26" fillId="33" borderId="26" xfId="0" applyFont="1" applyFill="1" applyBorder="1" applyAlignment="1">
      <alignment horizontal="center" vertical="center"/>
    </xf>
    <xf numFmtId="0" fontId="53" fillId="0" borderId="17" xfId="0" applyFont="1" applyBorder="1" applyAlignment="1">
      <alignment horizontal="left"/>
    </xf>
    <xf numFmtId="0" fontId="54" fillId="0" borderId="17" xfId="0" applyFont="1" applyBorder="1" applyAlignment="1">
      <alignment horizontal="left" wrapText="1"/>
    </xf>
    <xf numFmtId="0" fontId="26" fillId="0" borderId="17" xfId="0" applyFont="1" applyBorder="1" applyAlignment="1">
      <alignment horizontal="left" wrapText="1"/>
    </xf>
    <xf numFmtId="17" fontId="19" fillId="34" borderId="0" xfId="42" quotePrefix="1" applyNumberFormat="1" applyFont="1" applyFill="1"/>
    <xf numFmtId="10" fontId="20" fillId="34" borderId="0" xfId="47" applyNumberFormat="1" applyFont="1" applyFill="1"/>
    <xf numFmtId="0" fontId="0" fillId="44" borderId="13" xfId="0" applyFill="1" applyBorder="1"/>
    <xf numFmtId="164" fontId="0" fillId="0" borderId="0" xfId="0" applyNumberFormat="1"/>
    <xf numFmtId="0" fontId="19" fillId="33" borderId="0" xfId="42" applyFont="1" applyFill="1" applyAlignment="1">
      <alignment horizontal="center"/>
    </xf>
    <xf numFmtId="0" fontId="19" fillId="44" borderId="0" xfId="42" applyFont="1" applyFill="1" applyAlignment="1">
      <alignment horizontal="center"/>
    </xf>
    <xf numFmtId="0" fontId="19" fillId="48" borderId="0" xfId="42" applyFont="1" applyFill="1" applyAlignment="1">
      <alignment horizontal="center"/>
    </xf>
    <xf numFmtId="0" fontId="19" fillId="41" borderId="0" xfId="42" applyFont="1" applyFill="1" applyAlignment="1">
      <alignment horizontal="center"/>
    </xf>
    <xf numFmtId="0" fontId="0" fillId="39" borderId="41" xfId="0" applyFill="1" applyBorder="1"/>
    <xf numFmtId="9" fontId="20" fillId="0" borderId="0" xfId="45" applyFont="1" applyFill="1"/>
    <xf numFmtId="17" fontId="55" fillId="0" borderId="0" xfId="42" quotePrefix="1" applyNumberFormat="1" applyFont="1"/>
    <xf numFmtId="9" fontId="20" fillId="0" borderId="0" xfId="47" applyFont="1" applyFill="1"/>
    <xf numFmtId="10" fontId="0" fillId="0" borderId="0" xfId="47" applyNumberFormat="1" applyFont="1" applyFill="1"/>
    <xf numFmtId="0" fontId="1" fillId="0" borderId="0" xfId="0" applyFont="1"/>
    <xf numFmtId="0" fontId="1" fillId="0" borderId="14" xfId="0" applyFont="1" applyBorder="1"/>
    <xf numFmtId="164" fontId="1" fillId="0" borderId="14" xfId="46" applyNumberFormat="1" applyFont="1" applyFill="1" applyBorder="1"/>
    <xf numFmtId="10" fontId="1" fillId="0" borderId="14" xfId="47" applyNumberFormat="1" applyFont="1" applyFill="1" applyBorder="1"/>
    <xf numFmtId="0" fontId="1" fillId="0" borderId="13" xfId="0" applyFont="1" applyBorder="1"/>
    <xf numFmtId="17" fontId="54" fillId="0" borderId="13" xfId="42" applyNumberFormat="1" applyFont="1" applyBorder="1"/>
    <xf numFmtId="164" fontId="1" fillId="0" borderId="17" xfId="46" applyNumberFormat="1" applyFont="1" applyFill="1" applyBorder="1"/>
    <xf numFmtId="17" fontId="54" fillId="0" borderId="13" xfId="42" quotePrefix="1" applyNumberFormat="1" applyFont="1" applyBorder="1"/>
    <xf numFmtId="17" fontId="56" fillId="0" borderId="13" xfId="42" quotePrefix="1" applyNumberFormat="1" applyFont="1" applyBorder="1"/>
    <xf numFmtId="10" fontId="1" fillId="0" borderId="17" xfId="47" applyNumberFormat="1" applyFont="1" applyFill="1" applyBorder="1"/>
    <xf numFmtId="17" fontId="54" fillId="0" borderId="15" xfId="42" quotePrefix="1" applyNumberFormat="1" applyFont="1" applyBorder="1"/>
    <xf numFmtId="10" fontId="1" fillId="0" borderId="16" xfId="47" applyNumberFormat="1" applyFont="1" applyFill="1" applyBorder="1"/>
    <xf numFmtId="10" fontId="1" fillId="0" borderId="18" xfId="47" applyNumberFormat="1" applyFont="1" applyFill="1" applyBorder="1"/>
    <xf numFmtId="0" fontId="26" fillId="0" borderId="14" xfId="0" applyFont="1" applyBorder="1"/>
    <xf numFmtId="0" fontId="26" fillId="0" borderId="17" xfId="0" applyFont="1" applyBorder="1"/>
    <xf numFmtId="0" fontId="50" fillId="35" borderId="43" xfId="0" applyFont="1" applyFill="1" applyBorder="1" applyAlignment="1">
      <alignment horizontal="center" vertical="center"/>
    </xf>
    <xf numFmtId="0" fontId="53" fillId="0" borderId="29" xfId="0" applyFont="1" applyBorder="1" applyAlignment="1">
      <alignment horizontal="left"/>
    </xf>
    <xf numFmtId="0" fontId="53" fillId="0" borderId="54" xfId="0" applyFont="1" applyBorder="1" applyAlignment="1">
      <alignment horizontal="left"/>
    </xf>
    <xf numFmtId="0" fontId="26" fillId="35" borderId="61" xfId="0" applyFont="1" applyFill="1" applyBorder="1" applyAlignment="1">
      <alignment horizontal="center" vertical="center"/>
    </xf>
    <xf numFmtId="0" fontId="53" fillId="0" borderId="64" xfId="0" applyFont="1" applyBorder="1" applyAlignment="1">
      <alignment horizontal="left" wrapText="1"/>
    </xf>
    <xf numFmtId="0" fontId="26" fillId="51" borderId="14" xfId="0" applyFont="1" applyFill="1" applyBorder="1" applyAlignment="1">
      <alignment horizontal="center" vertical="center"/>
    </xf>
    <xf numFmtId="0" fontId="50" fillId="51" borderId="14" xfId="0" applyFont="1" applyFill="1" applyBorder="1" applyAlignment="1">
      <alignment horizontal="center" vertical="center"/>
    </xf>
    <xf numFmtId="0" fontId="0" fillId="51" borderId="14" xfId="0" applyFill="1" applyBorder="1"/>
    <xf numFmtId="164" fontId="0" fillId="51" borderId="14" xfId="46" applyNumberFormat="1" applyFont="1" applyFill="1" applyBorder="1"/>
    <xf numFmtId="164" fontId="0" fillId="51" borderId="14" xfId="0" applyNumberFormat="1" applyFill="1" applyBorder="1"/>
    <xf numFmtId="0" fontId="50" fillId="35" borderId="14" xfId="0" applyFont="1" applyFill="1" applyBorder="1" applyAlignment="1">
      <alignment horizontal="right"/>
    </xf>
    <xf numFmtId="0" fontId="57" fillId="0" borderId="13" xfId="42" applyFont="1" applyBorder="1"/>
    <xf numFmtId="0" fontId="57" fillId="33" borderId="13" xfId="42" applyFont="1" applyFill="1" applyBorder="1"/>
    <xf numFmtId="164" fontId="58" fillId="0" borderId="14" xfId="0" applyNumberFormat="1" applyFont="1" applyBorder="1" applyAlignment="1">
      <alignment horizontal="right"/>
    </xf>
    <xf numFmtId="3" fontId="57" fillId="33" borderId="14" xfId="42" applyNumberFormat="1" applyFont="1" applyFill="1" applyBorder="1"/>
    <xf numFmtId="9" fontId="57" fillId="33" borderId="42" xfId="45" applyFont="1" applyFill="1" applyBorder="1"/>
    <xf numFmtId="0" fontId="61" fillId="0" borderId="0" xfId="48" applyFont="1"/>
    <xf numFmtId="0" fontId="63" fillId="57" borderId="37" xfId="48" applyFont="1" applyFill="1" applyBorder="1" applyAlignment="1">
      <alignment horizontal="center" vertical="center"/>
    </xf>
    <xf numFmtId="0" fontId="64" fillId="58" borderId="66" xfId="48" applyFont="1" applyFill="1" applyBorder="1" applyAlignment="1">
      <alignment horizontal="center"/>
    </xf>
    <xf numFmtId="0" fontId="64" fillId="58" borderId="67" xfId="48" applyFont="1" applyFill="1" applyBorder="1" applyAlignment="1">
      <alignment horizontal="center"/>
    </xf>
    <xf numFmtId="0" fontId="61" fillId="36" borderId="13" xfId="48" applyFont="1" applyFill="1" applyBorder="1" applyAlignment="1">
      <alignment horizontal="center" vertical="center"/>
    </xf>
    <xf numFmtId="3" fontId="61" fillId="0" borderId="14" xfId="48" applyNumberFormat="1" applyFont="1" applyBorder="1" applyAlignment="1">
      <alignment horizontal="center" vertical="center"/>
    </xf>
    <xf numFmtId="3" fontId="61" fillId="0" borderId="17" xfId="48" applyNumberFormat="1" applyFont="1" applyBorder="1" applyAlignment="1">
      <alignment horizontal="center" vertical="center"/>
    </xf>
    <xf numFmtId="0" fontId="63" fillId="59" borderId="15" xfId="48" applyFont="1" applyFill="1" applyBorder="1" applyAlignment="1">
      <alignment horizontal="center" vertical="center"/>
    </xf>
    <xf numFmtId="3" fontId="63" fillId="59" borderId="16" xfId="48" applyNumberFormat="1" applyFont="1" applyFill="1" applyBorder="1" applyAlignment="1">
      <alignment horizontal="center" vertical="center"/>
    </xf>
    <xf numFmtId="3" fontId="63" fillId="59" borderId="18" xfId="48" applyNumberFormat="1" applyFont="1" applyFill="1" applyBorder="1" applyAlignment="1">
      <alignment horizontal="center" vertical="center"/>
    </xf>
    <xf numFmtId="0" fontId="63" fillId="0" borderId="0" xfId="48" applyFont="1" applyAlignment="1">
      <alignment horizontal="center" vertical="center"/>
    </xf>
    <xf numFmtId="3" fontId="63" fillId="0" borderId="0" xfId="48" applyNumberFormat="1" applyFont="1" applyAlignment="1">
      <alignment horizontal="center" vertical="center"/>
    </xf>
    <xf numFmtId="0" fontId="64" fillId="58" borderId="66" xfId="48" applyFont="1" applyFill="1" applyBorder="1" applyAlignment="1">
      <alignment horizontal="center" vertical="center"/>
    </xf>
    <xf numFmtId="0" fontId="64" fillId="58" borderId="68" xfId="48" applyFont="1" applyFill="1" applyBorder="1" applyAlignment="1">
      <alignment horizontal="center" vertical="center"/>
    </xf>
    <xf numFmtId="3" fontId="61" fillId="0" borderId="42" xfId="48" applyNumberFormat="1" applyFont="1" applyBorder="1" applyAlignment="1">
      <alignment horizontal="center" vertical="center"/>
    </xf>
    <xf numFmtId="3" fontId="63" fillId="59" borderId="69" xfId="48" applyNumberFormat="1" applyFont="1" applyFill="1" applyBorder="1" applyAlignment="1">
      <alignment horizontal="center" vertical="center"/>
    </xf>
    <xf numFmtId="0" fontId="63" fillId="57" borderId="33" xfId="48" applyFont="1" applyFill="1" applyBorder="1" applyAlignment="1">
      <alignment horizontal="center" vertical="center"/>
    </xf>
    <xf numFmtId="0" fontId="61" fillId="36" borderId="45" xfId="48" applyFont="1" applyFill="1" applyBorder="1" applyAlignment="1">
      <alignment horizontal="center" vertical="center"/>
    </xf>
    <xf numFmtId="0" fontId="61" fillId="0" borderId="14" xfId="48" applyFont="1" applyBorder="1" applyAlignment="1">
      <alignment horizontal="center"/>
    </xf>
    <xf numFmtId="0" fontId="25" fillId="59" borderId="49" xfId="48" applyFont="1" applyFill="1" applyBorder="1" applyAlignment="1">
      <alignment horizontal="center" vertical="center"/>
    </xf>
    <xf numFmtId="0" fontId="65" fillId="0" borderId="0" xfId="48" applyFont="1" applyAlignment="1">
      <alignment horizontal="center" vertical="center" textRotation="90" wrapText="1"/>
    </xf>
    <xf numFmtId="0" fontId="25" fillId="0" borderId="0" xfId="48" applyFont="1" applyAlignment="1">
      <alignment horizontal="center" vertical="center"/>
    </xf>
    <xf numFmtId="0" fontId="64" fillId="58" borderId="67" xfId="48" applyFont="1" applyFill="1" applyBorder="1" applyAlignment="1">
      <alignment horizontal="center" vertical="center"/>
    </xf>
    <xf numFmtId="3" fontId="46" fillId="39" borderId="14" xfId="0" applyNumberFormat="1" applyFont="1" applyFill="1" applyBorder="1"/>
    <xf numFmtId="3" fontId="46" fillId="41" borderId="14" xfId="0" applyNumberFormat="1" applyFont="1" applyFill="1" applyBorder="1"/>
    <xf numFmtId="3" fontId="0" fillId="48" borderId="14" xfId="0" applyNumberFormat="1" applyFill="1" applyBorder="1"/>
    <xf numFmtId="3" fontId="0" fillId="43" borderId="14" xfId="0" applyNumberFormat="1" applyFill="1" applyBorder="1"/>
    <xf numFmtId="3" fontId="0" fillId="46" borderId="14" xfId="0" applyNumberFormat="1" applyFill="1" applyBorder="1"/>
    <xf numFmtId="164" fontId="22" fillId="65" borderId="14" xfId="42" applyNumberFormat="1" applyFont="1" applyFill="1" applyBorder="1" applyAlignment="1">
      <alignment horizontal="right"/>
    </xf>
    <xf numFmtId="164" fontId="22" fillId="65" borderId="14" xfId="42" quotePrefix="1" applyNumberFormat="1" applyFont="1" applyFill="1" applyBorder="1" applyAlignment="1">
      <alignment horizontal="right"/>
    </xf>
    <xf numFmtId="3" fontId="22" fillId="65" borderId="14" xfId="42" applyNumberFormat="1" applyFont="1" applyFill="1" applyBorder="1"/>
    <xf numFmtId="3" fontId="22" fillId="0" borderId="14" xfId="42" applyNumberFormat="1" applyFont="1" applyBorder="1"/>
    <xf numFmtId="164" fontId="22" fillId="0" borderId="14" xfId="42" quotePrefix="1" applyNumberFormat="1" applyFont="1" applyBorder="1" applyAlignment="1">
      <alignment horizontal="right"/>
    </xf>
    <xf numFmtId="164" fontId="22" fillId="0" borderId="14" xfId="43" applyNumberFormat="1" applyFont="1" applyFill="1" applyBorder="1" applyAlignment="1">
      <alignment horizontal="right"/>
    </xf>
    <xf numFmtId="0" fontId="66" fillId="58" borderId="28" xfId="48" applyFont="1" applyFill="1" applyBorder="1" applyAlignment="1">
      <alignment horizontal="center"/>
    </xf>
    <xf numFmtId="0" fontId="66" fillId="58" borderId="29" xfId="48" applyFont="1" applyFill="1" applyBorder="1" applyAlignment="1">
      <alignment horizontal="center"/>
    </xf>
    <xf numFmtId="0" fontId="61" fillId="45" borderId="17" xfId="48" applyFont="1" applyFill="1" applyBorder="1" applyAlignment="1">
      <alignment horizontal="center"/>
    </xf>
    <xf numFmtId="3" fontId="25" fillId="59" borderId="16" xfId="48" applyNumberFormat="1" applyFont="1" applyFill="1" applyBorder="1" applyAlignment="1">
      <alignment horizontal="center" vertical="center"/>
    </xf>
    <xf numFmtId="3" fontId="25" fillId="59" borderId="18" xfId="48" applyNumberFormat="1" applyFont="1" applyFill="1" applyBorder="1" applyAlignment="1">
      <alignment horizontal="center" vertical="center"/>
    </xf>
    <xf numFmtId="0" fontId="61" fillId="42" borderId="17" xfId="48" applyFont="1" applyFill="1" applyBorder="1" applyAlignment="1">
      <alignment horizontal="center"/>
    </xf>
    <xf numFmtId="0" fontId="63" fillId="59" borderId="49" xfId="48" applyFont="1" applyFill="1" applyBorder="1" applyAlignment="1">
      <alignment horizontal="center" vertical="center"/>
    </xf>
    <xf numFmtId="9" fontId="61" fillId="0" borderId="14" xfId="47" applyFont="1" applyBorder="1" applyAlignment="1">
      <alignment horizontal="center" vertical="center"/>
    </xf>
    <xf numFmtId="9" fontId="67" fillId="51" borderId="16" xfId="47" applyFont="1" applyFill="1" applyBorder="1" applyAlignment="1">
      <alignment horizontal="center" vertical="center"/>
    </xf>
    <xf numFmtId="164" fontId="26" fillId="33" borderId="14" xfId="46" applyNumberFormat="1" applyFont="1" applyFill="1" applyBorder="1"/>
    <xf numFmtId="164" fontId="26" fillId="33" borderId="14" xfId="0" applyNumberFormat="1" applyFont="1" applyFill="1" applyBorder="1"/>
    <xf numFmtId="0" fontId="26" fillId="55" borderId="14" xfId="0" applyFont="1" applyFill="1" applyBorder="1"/>
    <xf numFmtId="164" fontId="26" fillId="55" borderId="14" xfId="46" applyNumberFormat="1" applyFont="1" applyFill="1" applyBorder="1"/>
    <xf numFmtId="164" fontId="26" fillId="55" borderId="14" xfId="0" applyNumberFormat="1" applyFont="1" applyFill="1" applyBorder="1"/>
    <xf numFmtId="0" fontId="69" fillId="0" borderId="0" xfId="0" applyFont="1" applyAlignment="1">
      <alignment vertical="center"/>
    </xf>
    <xf numFmtId="0" fontId="18" fillId="44" borderId="0" xfId="42" applyFill="1"/>
    <xf numFmtId="0" fontId="18" fillId="44" borderId="0" xfId="42" applyFill="1" applyAlignment="1">
      <alignment horizontal="center"/>
    </xf>
    <xf numFmtId="9" fontId="70" fillId="33" borderId="42" xfId="45" applyFont="1" applyFill="1" applyBorder="1"/>
    <xf numFmtId="164" fontId="70" fillId="0" borderId="14" xfId="42" applyNumberFormat="1" applyFont="1" applyBorder="1" applyAlignment="1">
      <alignment horizontal="right"/>
    </xf>
    <xf numFmtId="9" fontId="70" fillId="0" borderId="42" xfId="45" applyFont="1" applyBorder="1"/>
    <xf numFmtId="14" fontId="41" fillId="0" borderId="15" xfId="42" applyNumberFormat="1" applyFont="1" applyBorder="1" applyAlignment="1">
      <alignment horizontal="left"/>
    </xf>
    <xf numFmtId="17" fontId="22" fillId="0" borderId="69" xfId="42" applyNumberFormat="1" applyFont="1" applyBorder="1" applyAlignment="1">
      <alignment horizontal="right"/>
    </xf>
    <xf numFmtId="0" fontId="22" fillId="0" borderId="14" xfId="42" applyFont="1" applyBorder="1" applyAlignment="1">
      <alignment horizontal="right"/>
    </xf>
    <xf numFmtId="0" fontId="22" fillId="0" borderId="42" xfId="42" applyFont="1" applyBorder="1"/>
    <xf numFmtId="14" fontId="71" fillId="51" borderId="13" xfId="42" applyNumberFormat="1" applyFont="1" applyFill="1" applyBorder="1" applyAlignment="1">
      <alignment horizontal="left"/>
    </xf>
    <xf numFmtId="0" fontId="42" fillId="0" borderId="0" xfId="42" applyFont="1" applyAlignment="1">
      <alignment vertical="top" wrapText="1"/>
    </xf>
    <xf numFmtId="164" fontId="0" fillId="33" borderId="14" xfId="46" applyNumberFormat="1" applyFont="1" applyFill="1" applyBorder="1"/>
    <xf numFmtId="0" fontId="22" fillId="0" borderId="17" xfId="42" applyFont="1" applyBorder="1"/>
    <xf numFmtId="0" fontId="22" fillId="0" borderId="18" xfId="42" applyFont="1" applyBorder="1"/>
    <xf numFmtId="0" fontId="26" fillId="42" borderId="14" xfId="0" applyFont="1" applyFill="1" applyBorder="1"/>
    <xf numFmtId="0" fontId="26" fillId="42" borderId="14" xfId="0" quotePrefix="1" applyFont="1" applyFill="1" applyBorder="1"/>
    <xf numFmtId="3" fontId="46" fillId="42" borderId="14" xfId="0" quotePrefix="1" applyNumberFormat="1" applyFont="1" applyFill="1" applyBorder="1"/>
    <xf numFmtId="3" fontId="20" fillId="0" borderId="0" xfId="42" applyNumberFormat="1" applyFont="1"/>
    <xf numFmtId="0" fontId="74" fillId="0" borderId="0" xfId="42" applyFont="1" applyAlignment="1">
      <alignment horizontal="right"/>
    </xf>
    <xf numFmtId="0" fontId="74" fillId="0" borderId="0" xfId="42" applyFont="1"/>
    <xf numFmtId="164" fontId="74" fillId="0" borderId="0" xfId="46" applyNumberFormat="1" applyFont="1"/>
    <xf numFmtId="0" fontId="26" fillId="39" borderId="11" xfId="0" applyFont="1" applyFill="1" applyBorder="1"/>
    <xf numFmtId="0" fontId="0" fillId="39" borderId="73" xfId="0" applyFill="1" applyBorder="1"/>
    <xf numFmtId="0" fontId="0" fillId="39" borderId="44" xfId="0" applyFill="1" applyBorder="1"/>
    <xf numFmtId="0" fontId="0" fillId="33" borderId="44" xfId="0" applyFill="1" applyBorder="1"/>
    <xf numFmtId="0" fontId="26" fillId="0" borderId="72" xfId="0" applyFont="1" applyBorder="1"/>
    <xf numFmtId="0" fontId="43" fillId="51" borderId="29" xfId="42" applyFont="1" applyFill="1" applyBorder="1" applyAlignment="1">
      <alignment horizontal="center"/>
    </xf>
    <xf numFmtId="9" fontId="18" fillId="0" borderId="0" xfId="47" applyFont="1"/>
    <xf numFmtId="14" fontId="0" fillId="0" borderId="0" xfId="0" applyNumberFormat="1"/>
    <xf numFmtId="0" fontId="18" fillId="0" borderId="0" xfId="0" applyFont="1"/>
    <xf numFmtId="0" fontId="43" fillId="51" borderId="14" xfId="42" applyFont="1" applyFill="1" applyBorder="1" applyAlignment="1">
      <alignment horizontal="center"/>
    </xf>
    <xf numFmtId="10" fontId="18" fillId="0" borderId="13" xfId="47" applyNumberFormat="1" applyFont="1" applyBorder="1" applyAlignment="1"/>
    <xf numFmtId="0" fontId="43" fillId="51" borderId="17" xfId="42" applyFont="1" applyFill="1" applyBorder="1" applyAlignment="1">
      <alignment horizontal="center"/>
    </xf>
    <xf numFmtId="10" fontId="18" fillId="0" borderId="15" xfId="47" applyNumberFormat="1" applyFont="1" applyBorder="1" applyAlignment="1"/>
    <xf numFmtId="9" fontId="70" fillId="0" borderId="17" xfId="45" applyFont="1" applyBorder="1"/>
    <xf numFmtId="9" fontId="57" fillId="0" borderId="17" xfId="45" applyFont="1" applyBorder="1"/>
    <xf numFmtId="0" fontId="47" fillId="0" borderId="15" xfId="42" applyFont="1" applyBorder="1" applyAlignment="1">
      <alignment horizontal="right"/>
    </xf>
    <xf numFmtId="3" fontId="22" fillId="0" borderId="16" xfId="42" applyNumberFormat="1" applyFont="1" applyBorder="1"/>
    <xf numFmtId="164" fontId="22" fillId="0" borderId="16" xfId="42" applyNumberFormat="1" applyFont="1" applyBorder="1" applyAlignment="1">
      <alignment horizontal="right"/>
    </xf>
    <xf numFmtId="164" fontId="22" fillId="65" borderId="16" xfId="42" applyNumberFormat="1" applyFont="1" applyFill="1" applyBorder="1" applyAlignment="1">
      <alignment horizontal="right"/>
    </xf>
    <xf numFmtId="9" fontId="70" fillId="0" borderId="69" xfId="45" applyFont="1" applyBorder="1"/>
    <xf numFmtId="164" fontId="22" fillId="0" borderId="16" xfId="42" applyNumberFormat="1" applyFont="1" applyBorder="1"/>
    <xf numFmtId="9" fontId="70" fillId="33" borderId="69" xfId="45" applyFont="1" applyFill="1" applyBorder="1"/>
    <xf numFmtId="9" fontId="70" fillId="0" borderId="18" xfId="45" applyFont="1" applyBorder="1"/>
    <xf numFmtId="49" fontId="59" fillId="0" borderId="0" xfId="42" applyNumberFormat="1" applyFont="1" applyAlignment="1">
      <alignment horizontal="center" vertical="center"/>
    </xf>
    <xf numFmtId="0" fontId="43" fillId="0" borderId="0" xfId="42" applyFont="1" applyAlignment="1">
      <alignment horizontal="right"/>
    </xf>
    <xf numFmtId="9" fontId="70" fillId="0" borderId="0" xfId="45" applyFont="1" applyFill="1" applyBorder="1"/>
    <xf numFmtId="9" fontId="57" fillId="0" borderId="0" xfId="45" applyFont="1" applyFill="1" applyBorder="1"/>
    <xf numFmtId="0" fontId="57" fillId="0" borderId="0" xfId="42" applyFont="1" applyAlignment="1">
      <alignment horizontal="center"/>
    </xf>
    <xf numFmtId="9" fontId="22" fillId="0" borderId="69" xfId="45" applyFont="1" applyBorder="1"/>
    <xf numFmtId="10" fontId="18" fillId="0" borderId="17" xfId="47" applyNumberFormat="1" applyFont="1" applyBorder="1" applyAlignment="1"/>
    <xf numFmtId="10" fontId="18" fillId="0" borderId="18" xfId="47" applyNumberFormat="1" applyFont="1" applyBorder="1" applyAlignment="1"/>
    <xf numFmtId="10" fontId="18" fillId="0" borderId="41" xfId="47" applyNumberFormat="1" applyFont="1" applyBorder="1" applyAlignment="1"/>
    <xf numFmtId="10" fontId="18" fillId="0" borderId="19" xfId="47" applyNumberFormat="1" applyFont="1" applyBorder="1" applyAlignment="1"/>
    <xf numFmtId="0" fontId="43" fillId="51" borderId="75" xfId="42" applyFont="1" applyFill="1" applyBorder="1" applyAlignment="1">
      <alignment horizontal="center"/>
    </xf>
    <xf numFmtId="0" fontId="43" fillId="51" borderId="59" xfId="42" applyFont="1" applyFill="1" applyBorder="1" applyAlignment="1">
      <alignment horizontal="center"/>
    </xf>
    <xf numFmtId="0" fontId="43" fillId="51" borderId="78" xfId="42" applyFont="1" applyFill="1" applyBorder="1" applyAlignment="1">
      <alignment horizontal="center"/>
    </xf>
    <xf numFmtId="0" fontId="43" fillId="51" borderId="77" xfId="42" applyFont="1" applyFill="1" applyBorder="1" applyAlignment="1">
      <alignment horizontal="center"/>
    </xf>
    <xf numFmtId="0" fontId="43" fillId="51" borderId="13" xfId="42" applyFont="1" applyFill="1" applyBorder="1" applyAlignment="1">
      <alignment horizontal="center"/>
    </xf>
    <xf numFmtId="10" fontId="18" fillId="0" borderId="59" xfId="47" applyNumberFormat="1" applyFont="1" applyBorder="1" applyAlignment="1"/>
    <xf numFmtId="10" fontId="18" fillId="0" borderId="42" xfId="47" applyNumberFormat="1" applyFont="1" applyBorder="1" applyAlignment="1"/>
    <xf numFmtId="10" fontId="18" fillId="0" borderId="69" xfId="47" applyNumberFormat="1" applyFont="1" applyBorder="1" applyAlignment="1"/>
    <xf numFmtId="0" fontId="59" fillId="50" borderId="37" xfId="42" applyFont="1" applyFill="1" applyBorder="1" applyAlignment="1">
      <alignment vertical="center"/>
    </xf>
    <xf numFmtId="0" fontId="59" fillId="50" borderId="33" xfId="42" applyFont="1" applyFill="1" applyBorder="1" applyAlignment="1">
      <alignment vertical="center"/>
    </xf>
    <xf numFmtId="0" fontId="59" fillId="50" borderId="22" xfId="42" applyFont="1" applyFill="1" applyBorder="1" applyAlignment="1">
      <alignment vertical="center"/>
    </xf>
    <xf numFmtId="0" fontId="59" fillId="50" borderId="39" xfId="42" applyFont="1" applyFill="1" applyBorder="1" applyAlignment="1">
      <alignment vertical="center"/>
    </xf>
    <xf numFmtId="14" fontId="41" fillId="0" borderId="20" xfId="42" applyNumberFormat="1" applyFont="1" applyBorder="1" applyAlignment="1">
      <alignment horizontal="left"/>
    </xf>
    <xf numFmtId="17" fontId="22" fillId="0" borderId="0" xfId="42" applyNumberFormat="1" applyFont="1" applyAlignment="1">
      <alignment horizontal="right"/>
    </xf>
    <xf numFmtId="0" fontId="22" fillId="0" borderId="0" xfId="42" applyFont="1" applyAlignment="1">
      <alignment horizontal="right"/>
    </xf>
    <xf numFmtId="0" fontId="22" fillId="0" borderId="0" xfId="42" applyFont="1"/>
    <xf numFmtId="0" fontId="73" fillId="0" borderId="0" xfId="42" applyFont="1"/>
    <xf numFmtId="14" fontId="41" fillId="35" borderId="73" xfId="42" applyNumberFormat="1" applyFont="1" applyFill="1" applyBorder="1" applyAlignment="1">
      <alignment horizontal="center" vertical="center"/>
    </xf>
    <xf numFmtId="14" fontId="41" fillId="35" borderId="79" xfId="42" applyNumberFormat="1" applyFont="1" applyFill="1" applyBorder="1" applyAlignment="1">
      <alignment horizontal="center" vertical="center"/>
    </xf>
    <xf numFmtId="17" fontId="22" fillId="35" borderId="14" xfId="42" applyNumberFormat="1" applyFont="1" applyFill="1" applyBorder="1" applyAlignment="1">
      <alignment horizontal="right"/>
    </xf>
    <xf numFmtId="0" fontId="0" fillId="35" borderId="28" xfId="0" applyFill="1" applyBorder="1"/>
    <xf numFmtId="0" fontId="0" fillId="35" borderId="43" xfId="0" applyFill="1" applyBorder="1"/>
    <xf numFmtId="3" fontId="0" fillId="0" borderId="0" xfId="0" applyNumberFormat="1" applyAlignment="1">
      <alignment horizontal="center"/>
    </xf>
    <xf numFmtId="3" fontId="18" fillId="0" borderId="0" xfId="42" applyNumberFormat="1" applyAlignment="1">
      <alignment horizontal="center"/>
    </xf>
    <xf numFmtId="0" fontId="0" fillId="33" borderId="14" xfId="0" applyFill="1" applyBorder="1" applyAlignment="1">
      <alignment horizontal="center"/>
    </xf>
    <xf numFmtId="0" fontId="18" fillId="33" borderId="19" xfId="42" applyFill="1" applyBorder="1" applyAlignment="1">
      <alignment horizontal="center"/>
    </xf>
    <xf numFmtId="3" fontId="0" fillId="41" borderId="14" xfId="0" applyNumberFormat="1" applyFill="1" applyBorder="1" applyAlignment="1">
      <alignment horizontal="center"/>
    </xf>
    <xf numFmtId="3" fontId="0" fillId="41" borderId="16" xfId="0" applyNumberFormat="1" applyFill="1" applyBorder="1" applyAlignment="1">
      <alignment horizontal="center"/>
    </xf>
    <xf numFmtId="0" fontId="18" fillId="41" borderId="0" xfId="42" applyFill="1"/>
    <xf numFmtId="0" fontId="18" fillId="47" borderId="0" xfId="42" applyFill="1"/>
    <xf numFmtId="3" fontId="0" fillId="47" borderId="14" xfId="0" applyNumberFormat="1" applyFill="1" applyBorder="1" applyAlignment="1">
      <alignment horizontal="center"/>
    </xf>
    <xf numFmtId="3" fontId="0" fillId="47" borderId="16" xfId="0" applyNumberFormat="1" applyFill="1" applyBorder="1" applyAlignment="1">
      <alignment horizontal="center"/>
    </xf>
    <xf numFmtId="0" fontId="46" fillId="0" borderId="22" xfId="0" applyFont="1" applyBorder="1"/>
    <xf numFmtId="0" fontId="46" fillId="0" borderId="39" xfId="0" applyFont="1" applyBorder="1"/>
    <xf numFmtId="0" fontId="29" fillId="36" borderId="0" xfId="0" applyFont="1" applyFill="1"/>
    <xf numFmtId="0" fontId="30" fillId="36" borderId="0" xfId="0" applyFont="1" applyFill="1"/>
    <xf numFmtId="0" fontId="26" fillId="0" borderId="39" xfId="0" applyFont="1" applyBorder="1"/>
    <xf numFmtId="164" fontId="20" fillId="0" borderId="0" xfId="47" applyNumberFormat="1" applyFont="1" applyFill="1"/>
    <xf numFmtId="9" fontId="0" fillId="0" borderId="56" xfId="47" applyFont="1" applyFill="1" applyBorder="1"/>
    <xf numFmtId="164" fontId="76" fillId="0" borderId="0" xfId="0" applyNumberFormat="1" applyFont="1"/>
    <xf numFmtId="0" fontId="77" fillId="0" borderId="0" xfId="0" applyFont="1"/>
    <xf numFmtId="0" fontId="78" fillId="51" borderId="27" xfId="0" applyFont="1" applyFill="1" applyBorder="1" applyAlignment="1">
      <alignment horizontal="center" vertical="center"/>
    </xf>
    <xf numFmtId="0" fontId="78" fillId="51" borderId="28" xfId="0" applyFont="1" applyFill="1" applyBorder="1" applyAlignment="1">
      <alignment horizontal="center" vertical="center"/>
    </xf>
    <xf numFmtId="0" fontId="79" fillId="51" borderId="28" xfId="0" applyFont="1" applyFill="1" applyBorder="1" applyAlignment="1">
      <alignment horizontal="center" vertical="center" wrapText="1"/>
    </xf>
    <xf numFmtId="0" fontId="78" fillId="51" borderId="29" xfId="0" applyFont="1" applyFill="1" applyBorder="1" applyAlignment="1">
      <alignment horizontal="center" vertical="center"/>
    </xf>
    <xf numFmtId="14" fontId="80" fillId="35" borderId="14" xfId="0" applyNumberFormat="1" applyFont="1" applyFill="1" applyBorder="1"/>
    <xf numFmtId="164" fontId="80" fillId="35" borderId="14" xfId="46" applyNumberFormat="1" applyFont="1" applyFill="1" applyBorder="1" applyAlignment="1">
      <alignment horizontal="center" vertical="center"/>
    </xf>
    <xf numFmtId="9" fontId="80" fillId="0" borderId="17" xfId="45" applyFont="1" applyBorder="1"/>
    <xf numFmtId="14" fontId="81" fillId="35" borderId="14" xfId="0" applyNumberFormat="1" applyFont="1" applyFill="1" applyBorder="1" applyAlignment="1">
      <alignment horizontal="right"/>
    </xf>
    <xf numFmtId="164" fontId="77" fillId="35" borderId="14" xfId="46" applyNumberFormat="1" applyFont="1" applyFill="1" applyBorder="1" applyAlignment="1">
      <alignment horizontal="center" vertical="center"/>
    </xf>
    <xf numFmtId="9" fontId="77" fillId="0" borderId="17" xfId="45" applyFont="1" applyBorder="1"/>
    <xf numFmtId="0" fontId="81" fillId="35" borderId="14" xfId="0" applyFont="1" applyFill="1" applyBorder="1" applyAlignment="1">
      <alignment horizontal="right"/>
    </xf>
    <xf numFmtId="164" fontId="16" fillId="35" borderId="14" xfId="46" applyNumberFormat="1" applyFont="1" applyFill="1" applyBorder="1" applyAlignment="1">
      <alignment horizontal="center" vertical="center"/>
    </xf>
    <xf numFmtId="164" fontId="0" fillId="35" borderId="14" xfId="46" applyNumberFormat="1" applyFont="1" applyFill="1" applyBorder="1" applyAlignment="1">
      <alignment horizontal="center" vertical="center"/>
    </xf>
    <xf numFmtId="14" fontId="81" fillId="35" borderId="16" xfId="0" applyNumberFormat="1" applyFont="1" applyFill="1" applyBorder="1" applyAlignment="1">
      <alignment horizontal="right"/>
    </xf>
    <xf numFmtId="164" fontId="0" fillId="35" borderId="16" xfId="46" applyNumberFormat="1" applyFont="1" applyFill="1" applyBorder="1" applyAlignment="1">
      <alignment horizontal="center" vertical="center"/>
    </xf>
    <xf numFmtId="9" fontId="77" fillId="0" borderId="18" xfId="45" applyFont="1" applyBorder="1"/>
    <xf numFmtId="0" fontId="78" fillId="51" borderId="53" xfId="0" applyFont="1" applyFill="1" applyBorder="1" applyAlignment="1">
      <alignment horizontal="center" vertical="center"/>
    </xf>
    <xf numFmtId="0" fontId="78" fillId="51" borderId="55" xfId="0" applyFont="1" applyFill="1" applyBorder="1" applyAlignment="1">
      <alignment horizontal="center" vertical="center"/>
    </xf>
    <xf numFmtId="0" fontId="78" fillId="51" borderId="41" xfId="0" applyFont="1" applyFill="1" applyBorder="1" applyAlignment="1">
      <alignment horizontal="center" vertical="center"/>
    </xf>
    <xf numFmtId="0" fontId="81" fillId="35" borderId="16" xfId="0" applyFont="1" applyFill="1" applyBorder="1" applyAlignment="1">
      <alignment horizontal="right"/>
    </xf>
    <xf numFmtId="0" fontId="78" fillId="51" borderId="61" xfId="0" applyFont="1" applyFill="1" applyBorder="1" applyAlignment="1">
      <alignment horizontal="center" vertical="center"/>
    </xf>
    <xf numFmtId="9" fontId="26" fillId="55" borderId="14" xfId="47" applyFont="1" applyFill="1" applyBorder="1"/>
    <xf numFmtId="9" fontId="26" fillId="33" borderId="14" xfId="47" applyFont="1" applyFill="1" applyBorder="1"/>
    <xf numFmtId="9" fontId="0" fillId="0" borderId="14" xfId="47" applyFont="1" applyBorder="1"/>
    <xf numFmtId="10" fontId="26" fillId="0" borderId="0" xfId="47" applyNumberFormat="1" applyFont="1"/>
    <xf numFmtId="0" fontId="82" fillId="35" borderId="24" xfId="42" applyFont="1" applyFill="1" applyBorder="1"/>
    <xf numFmtId="0" fontId="82" fillId="35" borderId="25" xfId="42" applyFont="1" applyFill="1" applyBorder="1" applyAlignment="1">
      <alignment horizontal="center" vertical="center"/>
    </xf>
    <xf numFmtId="0" fontId="82" fillId="35" borderId="25" xfId="42" applyFont="1" applyFill="1" applyBorder="1" applyAlignment="1">
      <alignment horizontal="center" vertical="center" wrapText="1"/>
    </xf>
    <xf numFmtId="0" fontId="82" fillId="35" borderId="26" xfId="42" applyFont="1" applyFill="1" applyBorder="1" applyAlignment="1">
      <alignment horizontal="center" vertical="center"/>
    </xf>
    <xf numFmtId="0" fontId="84" fillId="0" borderId="41" xfId="42" applyFont="1" applyBorder="1"/>
    <xf numFmtId="10" fontId="84" fillId="0" borderId="40" xfId="47" applyNumberFormat="1" applyFont="1" applyBorder="1"/>
    <xf numFmtId="0" fontId="84" fillId="0" borderId="13" xfId="42" applyFont="1" applyBorder="1"/>
    <xf numFmtId="10" fontId="84" fillId="0" borderId="14" xfId="47" applyNumberFormat="1" applyFont="1" applyBorder="1"/>
    <xf numFmtId="164" fontId="84" fillId="0" borderId="14" xfId="46" applyNumberFormat="1" applyFont="1" applyBorder="1"/>
    <xf numFmtId="0" fontId="84" fillId="0" borderId="14" xfId="42" applyFont="1" applyBorder="1"/>
    <xf numFmtId="0" fontId="84" fillId="0" borderId="17" xfId="42" applyFont="1" applyBorder="1"/>
    <xf numFmtId="0" fontId="84" fillId="0" borderId="16" xfId="42" applyFont="1" applyBorder="1"/>
    <xf numFmtId="10" fontId="84" fillId="0" borderId="16" xfId="47" applyNumberFormat="1" applyFont="1" applyBorder="1"/>
    <xf numFmtId="0" fontId="84" fillId="0" borderId="18" xfId="42" applyFont="1" applyBorder="1"/>
    <xf numFmtId="0" fontId="84" fillId="0" borderId="15" xfId="42" applyFont="1" applyBorder="1" applyAlignment="1">
      <alignment horizontal="left"/>
    </xf>
    <xf numFmtId="10" fontId="84" fillId="43" borderId="19" xfId="42" applyNumberFormat="1" applyFont="1" applyFill="1" applyBorder="1"/>
    <xf numFmtId="10" fontId="84" fillId="43" borderId="17" xfId="42" applyNumberFormat="1" applyFont="1" applyFill="1" applyBorder="1"/>
    <xf numFmtId="10" fontId="84" fillId="43" borderId="40" xfId="42" applyNumberFormat="1" applyFont="1" applyFill="1" applyBorder="1"/>
    <xf numFmtId="10" fontId="84" fillId="43" borderId="14" xfId="42" applyNumberFormat="1" applyFont="1" applyFill="1" applyBorder="1"/>
    <xf numFmtId="10" fontId="85" fillId="43" borderId="40" xfId="42" applyNumberFormat="1" applyFont="1" applyFill="1" applyBorder="1"/>
    <xf numFmtId="10" fontId="85" fillId="43" borderId="14" xfId="42" applyNumberFormat="1" applyFont="1" applyFill="1" applyBorder="1"/>
    <xf numFmtId="0" fontId="18" fillId="0" borderId="14" xfId="42" applyBorder="1"/>
    <xf numFmtId="9" fontId="18" fillId="0" borderId="17" xfId="47" applyFont="1" applyBorder="1"/>
    <xf numFmtId="0" fontId="18" fillId="0" borderId="16" xfId="42" applyBorder="1"/>
    <xf numFmtId="10" fontId="18" fillId="0" borderId="18" xfId="47" applyNumberFormat="1" applyFont="1" applyBorder="1"/>
    <xf numFmtId="0" fontId="31" fillId="0" borderId="27" xfId="42" applyFont="1" applyBorder="1"/>
    <xf numFmtId="0" fontId="31" fillId="0" borderId="28" xfId="42" applyFont="1" applyBorder="1"/>
    <xf numFmtId="0" fontId="31" fillId="0" borderId="29" xfId="42" applyFont="1" applyBorder="1"/>
    <xf numFmtId="0" fontId="31" fillId="0" borderId="13" xfId="42" applyFont="1" applyBorder="1"/>
    <xf numFmtId="0" fontId="31" fillId="0" borderId="15" xfId="42" applyFont="1" applyBorder="1"/>
    <xf numFmtId="164" fontId="0" fillId="56" borderId="14" xfId="46" applyNumberFormat="1" applyFont="1" applyFill="1" applyBorder="1"/>
    <xf numFmtId="164" fontId="0" fillId="0" borderId="0" xfId="46" applyNumberFormat="1" applyFont="1" applyFill="1"/>
    <xf numFmtId="0" fontId="61" fillId="39" borderId="0" xfId="48" applyFont="1" applyFill="1"/>
    <xf numFmtId="3" fontId="61" fillId="39" borderId="14" xfId="48" applyNumberFormat="1" applyFont="1" applyFill="1" applyBorder="1" applyAlignment="1">
      <alignment horizontal="center" vertical="center"/>
    </xf>
    <xf numFmtId="0" fontId="61" fillId="39" borderId="14" xfId="48" applyFont="1" applyFill="1" applyBorder="1" applyAlignment="1">
      <alignment horizontal="center"/>
    </xf>
    <xf numFmtId="9" fontId="61" fillId="39" borderId="14" xfId="47" applyFont="1" applyFill="1" applyBorder="1" applyAlignment="1">
      <alignment horizontal="center" vertical="center"/>
    </xf>
    <xf numFmtId="10" fontId="61" fillId="0" borderId="0" xfId="47" applyNumberFormat="1" applyFont="1"/>
    <xf numFmtId="0" fontId="0" fillId="34" borderId="42" xfId="0" applyFill="1" applyBorder="1"/>
    <xf numFmtId="0" fontId="0" fillId="34" borderId="44" xfId="0" applyFill="1" applyBorder="1"/>
    <xf numFmtId="0" fontId="0" fillId="34" borderId="45" xfId="0" applyFill="1" applyBorder="1"/>
    <xf numFmtId="0" fontId="50" fillId="0" borderId="0" xfId="0" applyFont="1"/>
    <xf numFmtId="164" fontId="0" fillId="34" borderId="14" xfId="46" applyNumberFormat="1" applyFont="1" applyFill="1" applyBorder="1"/>
    <xf numFmtId="164" fontId="0" fillId="35" borderId="28" xfId="46" applyNumberFormat="1" applyFont="1" applyFill="1" applyBorder="1"/>
    <xf numFmtId="164" fontId="0" fillId="35" borderId="14" xfId="46" applyNumberFormat="1" applyFont="1" applyFill="1" applyBorder="1"/>
    <xf numFmtId="164" fontId="0" fillId="35" borderId="40" xfId="46" applyNumberFormat="1" applyFont="1" applyFill="1" applyBorder="1"/>
    <xf numFmtId="9" fontId="50" fillId="0" borderId="0" xfId="47" applyFont="1" applyFill="1" applyBorder="1"/>
    <xf numFmtId="164" fontId="0" fillId="42" borderId="14" xfId="46" applyNumberFormat="1" applyFont="1" applyFill="1" applyBorder="1"/>
    <xf numFmtId="164" fontId="50" fillId="0" borderId="0" xfId="46" applyNumberFormat="1" applyFont="1" applyFill="1"/>
    <xf numFmtId="9" fontId="0" fillId="35" borderId="40" xfId="47" applyFont="1" applyFill="1" applyBorder="1"/>
    <xf numFmtId="44" fontId="42" fillId="0" borderId="0" xfId="50" applyFont="1" applyAlignment="1">
      <alignment vertical="top" wrapText="1"/>
    </xf>
    <xf numFmtId="165" fontId="42" fillId="0" borderId="0" xfId="42" applyNumberFormat="1" applyFont="1" applyAlignment="1">
      <alignment vertical="top" wrapText="1"/>
    </xf>
    <xf numFmtId="9" fontId="57" fillId="33" borderId="42" xfId="45" applyFont="1" applyFill="1" applyBorder="1" applyAlignment="1">
      <alignment vertical="center"/>
    </xf>
    <xf numFmtId="0" fontId="0" fillId="0" borderId="22" xfId="0" applyBorder="1"/>
    <xf numFmtId="3" fontId="0" fillId="0" borderId="39" xfId="0" applyNumberFormat="1" applyBorder="1" applyAlignment="1">
      <alignment horizontal="center"/>
    </xf>
    <xf numFmtId="3" fontId="18" fillId="0" borderId="23" xfId="42" applyNumberFormat="1" applyBorder="1" applyAlignment="1">
      <alignment horizontal="center"/>
    </xf>
    <xf numFmtId="9" fontId="18" fillId="0" borderId="0" xfId="47" applyFont="1" applyFill="1"/>
    <xf numFmtId="3" fontId="0" fillId="34" borderId="16" xfId="0" applyNumberFormat="1" applyFill="1" applyBorder="1" applyAlignment="1">
      <alignment horizontal="center"/>
    </xf>
    <xf numFmtId="43" fontId="19" fillId="0" borderId="0" xfId="47" applyNumberFormat="1" applyFont="1" applyFill="1"/>
    <xf numFmtId="164" fontId="0" fillId="0" borderId="0" xfId="46" applyNumberFormat="1" applyFont="1" applyBorder="1"/>
    <xf numFmtId="0" fontId="87" fillId="0" borderId="16" xfId="42" applyFont="1" applyBorder="1" applyAlignment="1">
      <alignment horizontal="right"/>
    </xf>
    <xf numFmtId="17" fontId="0" fillId="0" borderId="0" xfId="0" applyNumberFormat="1"/>
    <xf numFmtId="3" fontId="46" fillId="43" borderId="14" xfId="0" applyNumberFormat="1" applyFont="1" applyFill="1" applyBorder="1"/>
    <xf numFmtId="9" fontId="22" fillId="0" borderId="0" xfId="47" applyFont="1"/>
    <xf numFmtId="3" fontId="88" fillId="0" borderId="0" xfId="0" applyNumberFormat="1" applyFont="1"/>
    <xf numFmtId="9" fontId="42" fillId="0" borderId="0" xfId="42" applyNumberFormat="1" applyFont="1" applyAlignment="1">
      <alignment vertical="top" wrapText="1"/>
    </xf>
    <xf numFmtId="9" fontId="42" fillId="0" borderId="0" xfId="47" applyFont="1" applyAlignment="1">
      <alignment vertical="top" wrapText="1"/>
    </xf>
    <xf numFmtId="10" fontId="42" fillId="0" borderId="0" xfId="47" applyNumberFormat="1" applyFont="1" applyAlignment="1">
      <alignment vertical="top" wrapText="1"/>
    </xf>
    <xf numFmtId="0" fontId="0" fillId="0" borderId="0" xfId="0" applyAlignment="1">
      <alignment vertical="center"/>
    </xf>
    <xf numFmtId="164" fontId="0" fillId="0" borderId="0" xfId="46" applyNumberFormat="1" applyFont="1" applyAlignment="1"/>
    <xf numFmtId="2" fontId="0" fillId="0" borderId="0" xfId="0" applyNumberFormat="1"/>
    <xf numFmtId="0" fontId="49" fillId="0" borderId="0" xfId="0" applyFont="1"/>
    <xf numFmtId="2" fontId="49" fillId="0" borderId="0" xfId="0" applyNumberFormat="1" applyFont="1"/>
    <xf numFmtId="171" fontId="49" fillId="0" borderId="0" xfId="0" applyNumberFormat="1" applyFont="1"/>
    <xf numFmtId="170" fontId="0" fillId="0" borderId="0" xfId="0" applyNumberFormat="1"/>
    <xf numFmtId="10" fontId="0" fillId="34" borderId="21" xfId="47" applyNumberFormat="1" applyFont="1" applyFill="1" applyBorder="1"/>
    <xf numFmtId="9" fontId="0" fillId="0" borderId="14" xfId="47" applyFont="1" applyFill="1" applyBorder="1"/>
    <xf numFmtId="10" fontId="18" fillId="0" borderId="0" xfId="47" applyNumberFormat="1" applyFont="1" applyFill="1"/>
    <xf numFmtId="165" fontId="19" fillId="0" borderId="0" xfId="44" applyNumberFormat="1" applyFont="1" applyFill="1" applyAlignment="1">
      <alignment horizontal="center"/>
    </xf>
    <xf numFmtId="1" fontId="18" fillId="0" borderId="0" xfId="42" applyNumberFormat="1"/>
    <xf numFmtId="9" fontId="22" fillId="0" borderId="59" xfId="45" applyFont="1" applyBorder="1"/>
    <xf numFmtId="9" fontId="70" fillId="0" borderId="14" xfId="45" applyFont="1" applyBorder="1"/>
    <xf numFmtId="164" fontId="20" fillId="0" borderId="0" xfId="47" applyNumberFormat="1" applyFont="1"/>
    <xf numFmtId="0" fontId="20" fillId="34" borderId="0" xfId="42" applyFont="1" applyFill="1" applyAlignment="1">
      <alignment horizontal="center" vertical="center" wrapText="1"/>
    </xf>
    <xf numFmtId="164" fontId="20" fillId="34" borderId="0" xfId="43" applyNumberFormat="1" applyFont="1" applyFill="1" applyAlignment="1">
      <alignment horizontal="center" vertical="center" wrapText="1"/>
    </xf>
    <xf numFmtId="0" fontId="19" fillId="49" borderId="0" xfId="42" applyFont="1" applyFill="1" applyAlignment="1">
      <alignment horizontal="center"/>
    </xf>
    <xf numFmtId="0" fontId="19" fillId="47" borderId="0" xfId="42" applyFont="1" applyFill="1" applyAlignment="1">
      <alignment horizontal="center"/>
    </xf>
    <xf numFmtId="0" fontId="19" fillId="41" borderId="0" xfId="42" applyFont="1" applyFill="1" applyAlignment="1">
      <alignment horizontal="center"/>
    </xf>
    <xf numFmtId="0" fontId="19" fillId="42" borderId="0" xfId="42" applyFont="1" applyFill="1" applyAlignment="1">
      <alignment horizontal="center"/>
    </xf>
    <xf numFmtId="0" fontId="19" fillId="33" borderId="0" xfId="42" applyFont="1" applyFill="1" applyAlignment="1">
      <alignment horizontal="center"/>
    </xf>
    <xf numFmtId="0" fontId="27" fillId="40" borderId="0" xfId="42" applyFont="1" applyFill="1" applyAlignment="1">
      <alignment horizontal="center"/>
    </xf>
    <xf numFmtId="0" fontId="19" fillId="44" borderId="0" xfId="42" applyFont="1" applyFill="1" applyAlignment="1">
      <alignment horizontal="center"/>
    </xf>
    <xf numFmtId="0" fontId="19" fillId="48" borderId="0" xfId="42" applyFont="1" applyFill="1" applyAlignment="1">
      <alignment horizontal="center"/>
    </xf>
    <xf numFmtId="0" fontId="19" fillId="34" borderId="0" xfId="42" applyFont="1" applyFill="1" applyAlignment="1">
      <alignment horizontal="center"/>
    </xf>
    <xf numFmtId="17" fontId="54" fillId="35" borderId="13" xfId="42" quotePrefix="1" applyNumberFormat="1" applyFont="1" applyFill="1" applyBorder="1" applyAlignment="1">
      <alignment horizontal="center"/>
    </xf>
    <xf numFmtId="17" fontId="54" fillId="35" borderId="14" xfId="42" quotePrefix="1" applyNumberFormat="1" applyFont="1" applyFill="1" applyBorder="1" applyAlignment="1">
      <alignment horizontal="center"/>
    </xf>
    <xf numFmtId="17" fontId="54" fillId="35" borderId="17" xfId="42" quotePrefix="1" applyNumberFormat="1" applyFont="1" applyFill="1" applyBorder="1" applyAlignment="1">
      <alignment horizontal="center"/>
    </xf>
    <xf numFmtId="10" fontId="26" fillId="33" borderId="27" xfId="47" applyNumberFormat="1" applyFont="1" applyFill="1" applyBorder="1" applyAlignment="1">
      <alignment horizontal="center"/>
    </xf>
    <xf numFmtId="10" fontId="26" fillId="33" borderId="28" xfId="47" applyNumberFormat="1" applyFont="1" applyFill="1" applyBorder="1" applyAlignment="1">
      <alignment horizontal="center"/>
    </xf>
    <xf numFmtId="10" fontId="26" fillId="33" borderId="29" xfId="47" applyNumberFormat="1" applyFont="1" applyFill="1" applyBorder="1" applyAlignment="1">
      <alignment horizontal="center"/>
    </xf>
    <xf numFmtId="10" fontId="26" fillId="55" borderId="27" xfId="47" applyNumberFormat="1" applyFont="1" applyFill="1" applyBorder="1" applyAlignment="1">
      <alignment horizontal="center"/>
    </xf>
    <xf numFmtId="10" fontId="26" fillId="55" borderId="28" xfId="47" applyNumberFormat="1" applyFont="1" applyFill="1" applyBorder="1" applyAlignment="1">
      <alignment horizontal="center"/>
    </xf>
    <xf numFmtId="10" fontId="26" fillId="55" borderId="29" xfId="47" applyNumberFormat="1" applyFont="1" applyFill="1" applyBorder="1" applyAlignment="1">
      <alignment horizontal="center"/>
    </xf>
    <xf numFmtId="10" fontId="26" fillId="38" borderId="27" xfId="47" applyNumberFormat="1" applyFont="1" applyFill="1" applyBorder="1" applyAlignment="1">
      <alignment horizontal="center"/>
    </xf>
    <xf numFmtId="10" fontId="26" fillId="38" borderId="28" xfId="47" applyNumberFormat="1" applyFont="1" applyFill="1" applyBorder="1" applyAlignment="1">
      <alignment horizontal="center"/>
    </xf>
    <xf numFmtId="10" fontId="26" fillId="38" borderId="29" xfId="47" applyNumberFormat="1" applyFont="1" applyFill="1" applyBorder="1" applyAlignment="1">
      <alignment horizontal="center"/>
    </xf>
    <xf numFmtId="0" fontId="26" fillId="51" borderId="10" xfId="0" applyFont="1" applyFill="1" applyBorder="1" applyAlignment="1">
      <alignment horizontal="center" vertical="center"/>
    </xf>
    <xf numFmtId="0" fontId="26" fillId="51" borderId="11" xfId="0" applyFont="1" applyFill="1" applyBorder="1" applyAlignment="1">
      <alignment horizontal="center" vertical="center"/>
    </xf>
    <xf numFmtId="0" fontId="26" fillId="51" borderId="12" xfId="0" applyFont="1" applyFill="1" applyBorder="1" applyAlignment="1">
      <alignment horizontal="center" vertical="center"/>
    </xf>
    <xf numFmtId="0" fontId="0" fillId="35" borderId="62" xfId="0" applyFill="1" applyBorder="1" applyAlignment="1">
      <alignment horizontal="center" vertical="center"/>
    </xf>
    <xf numFmtId="0" fontId="0" fillId="35" borderId="63" xfId="0" applyFill="1" applyBorder="1" applyAlignment="1">
      <alignment horizontal="center" vertical="center"/>
    </xf>
    <xf numFmtId="0" fontId="26" fillId="35" borderId="13" xfId="0" applyFont="1" applyFill="1" applyBorder="1" applyAlignment="1">
      <alignment horizontal="center" vertical="center"/>
    </xf>
    <xf numFmtId="0" fontId="26" fillId="35" borderId="60" xfId="0" applyFont="1" applyFill="1" applyBorder="1" applyAlignment="1">
      <alignment horizontal="center" vertical="center"/>
    </xf>
    <xf numFmtId="0" fontId="50" fillId="35" borderId="14" xfId="0" applyFont="1" applyFill="1" applyBorder="1" applyAlignment="1">
      <alignment horizontal="center" vertical="center"/>
    </xf>
    <xf numFmtId="0" fontId="26" fillId="33" borderId="24" xfId="0" applyFont="1" applyFill="1" applyBorder="1" applyAlignment="1">
      <alignment horizontal="center" vertical="center"/>
    </xf>
    <xf numFmtId="0" fontId="26" fillId="33" borderId="25" xfId="0" applyFont="1" applyFill="1" applyBorder="1" applyAlignment="1">
      <alignment horizontal="center" vertical="center"/>
    </xf>
    <xf numFmtId="0" fontId="26" fillId="35" borderId="27" xfId="0" applyFont="1" applyFill="1" applyBorder="1" applyAlignment="1">
      <alignment horizontal="center" vertical="center"/>
    </xf>
    <xf numFmtId="0" fontId="50" fillId="35" borderId="28" xfId="0" applyFont="1" applyFill="1" applyBorder="1" applyAlignment="1">
      <alignment horizontal="center" vertical="center"/>
    </xf>
    <xf numFmtId="0" fontId="86" fillId="39" borderId="37" xfId="48" applyFont="1" applyFill="1" applyBorder="1" applyAlignment="1">
      <alignment horizontal="center" vertical="center"/>
    </xf>
    <xf numFmtId="0" fontId="86" fillId="39" borderId="33" xfId="48" applyFont="1" applyFill="1" applyBorder="1" applyAlignment="1">
      <alignment horizontal="center" vertical="center"/>
    </xf>
    <xf numFmtId="0" fontId="86" fillId="39" borderId="38" xfId="48" applyFont="1" applyFill="1" applyBorder="1" applyAlignment="1">
      <alignment horizontal="center" vertical="center"/>
    </xf>
    <xf numFmtId="0" fontId="86" fillId="39" borderId="20" xfId="48" applyFont="1" applyFill="1" applyBorder="1" applyAlignment="1">
      <alignment horizontal="center" vertical="center"/>
    </xf>
    <xf numFmtId="0" fontId="86" fillId="39" borderId="0" xfId="48" applyFont="1" applyFill="1" applyAlignment="1">
      <alignment horizontal="center" vertical="center"/>
    </xf>
    <xf numFmtId="0" fontId="86" fillId="39" borderId="21" xfId="48" applyFont="1" applyFill="1" applyBorder="1" applyAlignment="1">
      <alignment horizontal="center" vertical="center"/>
    </xf>
    <xf numFmtId="0" fontId="86" fillId="39" borderId="22" xfId="48" applyFont="1" applyFill="1" applyBorder="1" applyAlignment="1">
      <alignment horizontal="center" vertical="center"/>
    </xf>
    <xf numFmtId="0" fontId="86" fillId="39" borderId="39" xfId="48" applyFont="1" applyFill="1" applyBorder="1" applyAlignment="1">
      <alignment horizontal="center" vertical="center"/>
    </xf>
    <xf numFmtId="0" fontId="86" fillId="39" borderId="23" xfId="48" applyFont="1" applyFill="1" applyBorder="1" applyAlignment="1">
      <alignment horizontal="center" vertical="center"/>
    </xf>
    <xf numFmtId="0" fontId="62" fillId="57" borderId="31" xfId="48" applyFont="1" applyFill="1" applyBorder="1" applyAlignment="1">
      <alignment horizontal="center" vertical="center" textRotation="90"/>
    </xf>
    <xf numFmtId="0" fontId="62" fillId="57" borderId="30" xfId="48" applyFont="1" applyFill="1" applyBorder="1" applyAlignment="1">
      <alignment horizontal="center" vertical="center" textRotation="90"/>
    </xf>
    <xf numFmtId="0" fontId="62" fillId="57" borderId="32" xfId="48" applyFont="1" applyFill="1" applyBorder="1" applyAlignment="1">
      <alignment horizontal="center" vertical="center" textRotation="90"/>
    </xf>
    <xf numFmtId="0" fontId="65" fillId="43" borderId="31" xfId="48" applyFont="1" applyFill="1" applyBorder="1" applyAlignment="1">
      <alignment horizontal="center" vertical="center" textRotation="90" wrapText="1"/>
    </xf>
    <xf numFmtId="0" fontId="65" fillId="43" borderId="30" xfId="48" applyFont="1" applyFill="1" applyBorder="1" applyAlignment="1">
      <alignment horizontal="center" vertical="center" textRotation="90" wrapText="1"/>
    </xf>
    <xf numFmtId="0" fontId="65" fillId="43" borderId="32" xfId="48" applyFont="1" applyFill="1" applyBorder="1" applyAlignment="1">
      <alignment horizontal="center" vertical="center" textRotation="90" wrapText="1"/>
    </xf>
    <xf numFmtId="0" fontId="65" fillId="38" borderId="31" xfId="48" applyFont="1" applyFill="1" applyBorder="1" applyAlignment="1">
      <alignment horizontal="center" vertical="center" textRotation="90" wrapText="1"/>
    </xf>
    <xf numFmtId="0" fontId="65" fillId="38" borderId="30" xfId="48" applyFont="1" applyFill="1" applyBorder="1" applyAlignment="1">
      <alignment horizontal="center" vertical="center" textRotation="90" wrapText="1"/>
    </xf>
    <xf numFmtId="0" fontId="65" fillId="38" borderId="32" xfId="48" applyFont="1" applyFill="1" applyBorder="1" applyAlignment="1">
      <alignment horizontal="center" vertical="center" textRotation="90" wrapText="1"/>
    </xf>
    <xf numFmtId="0" fontId="65" fillId="64" borderId="31" xfId="48" applyFont="1" applyFill="1" applyBorder="1" applyAlignment="1">
      <alignment horizontal="center" vertical="center" textRotation="90" wrapText="1"/>
    </xf>
    <xf numFmtId="0" fontId="65" fillId="64" borderId="30" xfId="48" applyFont="1" applyFill="1" applyBorder="1" applyAlignment="1">
      <alignment horizontal="center" vertical="center" textRotation="90" wrapText="1"/>
    </xf>
    <xf numFmtId="0" fontId="65" fillId="64" borderId="32" xfId="48" applyFont="1" applyFill="1" applyBorder="1" applyAlignment="1">
      <alignment horizontal="center" vertical="center" textRotation="90" wrapText="1"/>
    </xf>
    <xf numFmtId="0" fontId="65" fillId="60" borderId="31" xfId="48" applyFont="1" applyFill="1" applyBorder="1" applyAlignment="1">
      <alignment horizontal="center" vertical="center" textRotation="90" wrapText="1"/>
    </xf>
    <xf numFmtId="0" fontId="65" fillId="60" borderId="30" xfId="48" applyFont="1" applyFill="1" applyBorder="1" applyAlignment="1">
      <alignment horizontal="center" vertical="center" textRotation="90" wrapText="1"/>
    </xf>
    <xf numFmtId="0" fontId="65" fillId="60" borderId="32" xfId="48" applyFont="1" applyFill="1" applyBorder="1" applyAlignment="1">
      <alignment horizontal="center" vertical="center" textRotation="90" wrapText="1"/>
    </xf>
    <xf numFmtId="0" fontId="65" fillId="62" borderId="31" xfId="48" applyFont="1" applyFill="1" applyBorder="1" applyAlignment="1">
      <alignment horizontal="center" vertical="center" textRotation="90" wrapText="1"/>
    </xf>
    <xf numFmtId="0" fontId="65" fillId="62" borderId="30" xfId="48" applyFont="1" applyFill="1" applyBorder="1" applyAlignment="1">
      <alignment horizontal="center" vertical="center" textRotation="90" wrapText="1"/>
    </xf>
    <xf numFmtId="0" fontId="65" fillId="62" borderId="32" xfId="48" applyFont="1" applyFill="1" applyBorder="1" applyAlignment="1">
      <alignment horizontal="center" vertical="center" textRotation="90" wrapText="1"/>
    </xf>
    <xf numFmtId="0" fontId="65" fillId="63" borderId="31" xfId="48" applyFont="1" applyFill="1" applyBorder="1" applyAlignment="1">
      <alignment horizontal="center" vertical="center" textRotation="90" wrapText="1"/>
    </xf>
    <xf numFmtId="0" fontId="65" fillId="63" borderId="30" xfId="48" applyFont="1" applyFill="1" applyBorder="1" applyAlignment="1">
      <alignment horizontal="center" vertical="center" textRotation="90" wrapText="1"/>
    </xf>
    <xf numFmtId="0" fontId="65" fillId="63" borderId="32" xfId="48" applyFont="1" applyFill="1" applyBorder="1" applyAlignment="1">
      <alignment horizontal="center" vertical="center" textRotation="90" wrapText="1"/>
    </xf>
    <xf numFmtId="0" fontId="65" fillId="33" borderId="31" xfId="48" applyFont="1" applyFill="1" applyBorder="1" applyAlignment="1">
      <alignment horizontal="center" vertical="center" textRotation="90" wrapText="1"/>
    </xf>
    <xf numFmtId="0" fontId="65" fillId="33" borderId="30" xfId="48" applyFont="1" applyFill="1" applyBorder="1" applyAlignment="1">
      <alignment horizontal="center" vertical="center" textRotation="90" wrapText="1"/>
    </xf>
    <xf numFmtId="0" fontId="65" fillId="33" borderId="32" xfId="48" applyFont="1" applyFill="1" applyBorder="1" applyAlignment="1">
      <alignment horizontal="center" vertical="center" textRotation="90" wrapText="1"/>
    </xf>
    <xf numFmtId="0" fontId="65" fillId="39" borderId="31" xfId="48" applyFont="1" applyFill="1" applyBorder="1" applyAlignment="1">
      <alignment horizontal="center" vertical="center" textRotation="90" wrapText="1"/>
    </xf>
    <xf numFmtId="0" fontId="65" fillId="39" borderId="30" xfId="48" applyFont="1" applyFill="1" applyBorder="1" applyAlignment="1">
      <alignment horizontal="center" vertical="center" textRotation="90" wrapText="1"/>
    </xf>
    <xf numFmtId="0" fontId="65" fillId="39" borderId="32" xfId="48" applyFont="1" applyFill="1" applyBorder="1" applyAlignment="1">
      <alignment horizontal="center" vertical="center" textRotation="90" wrapText="1"/>
    </xf>
    <xf numFmtId="0" fontId="65" fillId="61" borderId="31" xfId="48" applyFont="1" applyFill="1" applyBorder="1" applyAlignment="1">
      <alignment horizontal="center" vertical="center" textRotation="90" wrapText="1"/>
    </xf>
    <xf numFmtId="0" fontId="65" fillId="61" borderId="30" xfId="48" applyFont="1" applyFill="1" applyBorder="1" applyAlignment="1">
      <alignment horizontal="center" vertical="center" textRotation="90" wrapText="1"/>
    </xf>
    <xf numFmtId="0" fontId="65" fillId="61" borderId="32" xfId="48" applyFont="1" applyFill="1" applyBorder="1" applyAlignment="1">
      <alignment horizontal="center" vertical="center" textRotation="90" wrapText="1"/>
    </xf>
    <xf numFmtId="0" fontId="25" fillId="66" borderId="10" xfId="42" applyFont="1" applyFill="1" applyBorder="1" applyAlignment="1">
      <alignment horizontal="center"/>
    </xf>
    <xf numFmtId="0" fontId="25" fillId="66" borderId="11" xfId="42" applyFont="1" applyFill="1" applyBorder="1" applyAlignment="1">
      <alignment horizontal="center"/>
    </xf>
    <xf numFmtId="0" fontId="25" fillId="66" borderId="12" xfId="42" applyFont="1" applyFill="1" applyBorder="1" applyAlignment="1">
      <alignment horizontal="center"/>
    </xf>
    <xf numFmtId="0" fontId="25" fillId="37" borderId="10" xfId="42" applyFont="1" applyFill="1" applyBorder="1" applyAlignment="1">
      <alignment horizontal="center"/>
    </xf>
    <xf numFmtId="0" fontId="25" fillId="37" borderId="11" xfId="42" applyFont="1" applyFill="1" applyBorder="1" applyAlignment="1">
      <alignment horizontal="center"/>
    </xf>
    <xf numFmtId="0" fontId="25" fillId="37" borderId="12" xfId="42" applyFont="1" applyFill="1" applyBorder="1" applyAlignment="1">
      <alignment horizontal="center"/>
    </xf>
    <xf numFmtId="0" fontId="19" fillId="54" borderId="0" xfId="42" applyFont="1" applyFill="1" applyAlignment="1">
      <alignment horizontal="center"/>
    </xf>
    <xf numFmtId="164" fontId="19" fillId="54" borderId="0" xfId="43" applyNumberFormat="1" applyFont="1" applyFill="1" applyAlignment="1">
      <alignment horizontal="center"/>
    </xf>
    <xf numFmtId="165" fontId="19" fillId="54" borderId="0" xfId="44" applyNumberFormat="1" applyFont="1" applyFill="1" applyAlignment="1">
      <alignment horizontal="center"/>
    </xf>
    <xf numFmtId="0" fontId="26" fillId="33" borderId="10" xfId="0" applyFont="1" applyFill="1" applyBorder="1" applyAlignment="1">
      <alignment horizontal="center" vertical="center"/>
    </xf>
    <xf numFmtId="0" fontId="26" fillId="33" borderId="12" xfId="0" applyFont="1" applyFill="1" applyBorder="1" applyAlignment="1">
      <alignment horizontal="center" vertical="center"/>
    </xf>
    <xf numFmtId="0" fontId="26" fillId="39" borderId="10" xfId="0" applyFont="1" applyFill="1" applyBorder="1" applyAlignment="1">
      <alignment horizontal="center" vertical="center"/>
    </xf>
    <xf numFmtId="0" fontId="26" fillId="39" borderId="11" xfId="0" applyFont="1" applyFill="1" applyBorder="1" applyAlignment="1">
      <alignment horizontal="center" vertical="center"/>
    </xf>
    <xf numFmtId="0" fontId="26" fillId="39" borderId="12" xfId="0" applyFont="1" applyFill="1" applyBorder="1" applyAlignment="1">
      <alignment horizontal="center" vertical="center"/>
    </xf>
    <xf numFmtId="0" fontId="26" fillId="43" borderId="31" xfId="0" applyFont="1" applyFill="1" applyBorder="1" applyAlignment="1">
      <alignment horizontal="center" vertical="center" wrapText="1"/>
    </xf>
    <xf numFmtId="0" fontId="26" fillId="43" borderId="30" xfId="0" applyFont="1" applyFill="1" applyBorder="1" applyAlignment="1">
      <alignment horizontal="center" vertical="center" wrapText="1"/>
    </xf>
    <xf numFmtId="0" fontId="26" fillId="43" borderId="32" xfId="0" applyFont="1" applyFill="1" applyBorder="1" applyAlignment="1">
      <alignment horizontal="center" vertical="center" wrapText="1"/>
    </xf>
    <xf numFmtId="0" fontId="26" fillId="41" borderId="31" xfId="0" applyFont="1" applyFill="1" applyBorder="1" applyAlignment="1">
      <alignment horizontal="center" vertical="center"/>
    </xf>
    <xf numFmtId="0" fontId="26" fillId="41" borderId="30" xfId="0" applyFont="1" applyFill="1" applyBorder="1" applyAlignment="1">
      <alignment horizontal="center" vertical="center"/>
    </xf>
    <xf numFmtId="0" fontId="26" fillId="41" borderId="32" xfId="0" applyFont="1" applyFill="1" applyBorder="1" applyAlignment="1">
      <alignment horizontal="center" vertical="center"/>
    </xf>
    <xf numFmtId="0" fontId="26" fillId="41" borderId="31" xfId="0" applyFont="1" applyFill="1" applyBorder="1" applyAlignment="1">
      <alignment horizontal="center" vertical="center" wrapText="1"/>
    </xf>
    <xf numFmtId="0" fontId="26" fillId="41" borderId="30" xfId="0" applyFont="1" applyFill="1" applyBorder="1" applyAlignment="1">
      <alignment horizontal="center" vertical="center" wrapText="1"/>
    </xf>
    <xf numFmtId="0" fontId="26" fillId="41" borderId="32" xfId="0" applyFont="1" applyFill="1" applyBorder="1" applyAlignment="1">
      <alignment horizontal="center" vertical="center" wrapText="1"/>
    </xf>
    <xf numFmtId="0" fontId="26" fillId="43" borderId="31" xfId="0" applyFont="1" applyFill="1" applyBorder="1" applyAlignment="1">
      <alignment horizontal="center" vertical="center"/>
    </xf>
    <xf numFmtId="0" fontId="26" fillId="43" borderId="30" xfId="0" applyFont="1" applyFill="1" applyBorder="1" applyAlignment="1">
      <alignment horizontal="center" vertical="center"/>
    </xf>
    <xf numFmtId="0" fontId="26" fillId="43" borderId="32" xfId="0" applyFont="1" applyFill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26" fillId="33" borderId="11" xfId="0" applyFont="1" applyFill="1" applyBorder="1" applyAlignment="1">
      <alignment horizontal="center" vertical="center"/>
    </xf>
    <xf numFmtId="10" fontId="0" fillId="0" borderId="33" xfId="47" applyNumberFormat="1" applyFont="1" applyFill="1" applyBorder="1" applyAlignment="1">
      <alignment horizontal="center"/>
    </xf>
    <xf numFmtId="10" fontId="0" fillId="0" borderId="38" xfId="47" applyNumberFormat="1" applyFont="1" applyFill="1" applyBorder="1" applyAlignment="1">
      <alignment horizontal="center"/>
    </xf>
    <xf numFmtId="10" fontId="0" fillId="0" borderId="0" xfId="47" applyNumberFormat="1" applyFont="1" applyFill="1" applyBorder="1" applyAlignment="1">
      <alignment horizontal="center"/>
    </xf>
    <xf numFmtId="10" fontId="0" fillId="0" borderId="21" xfId="47" applyNumberFormat="1" applyFont="1" applyFill="1" applyBorder="1" applyAlignment="1">
      <alignment horizontal="center"/>
    </xf>
    <xf numFmtId="0" fontId="26" fillId="43" borderId="38" xfId="0" applyFont="1" applyFill="1" applyBorder="1" applyAlignment="1">
      <alignment horizontal="center" vertical="center" wrapText="1"/>
    </xf>
    <xf numFmtId="0" fontId="26" fillId="43" borderId="21" xfId="0" applyFont="1" applyFill="1" applyBorder="1" applyAlignment="1">
      <alignment horizontal="center" vertical="center" wrapText="1"/>
    </xf>
    <xf numFmtId="0" fontId="26" fillId="43" borderId="23" xfId="0" applyFont="1" applyFill="1" applyBorder="1" applyAlignment="1">
      <alignment horizontal="center" vertical="center" wrapText="1"/>
    </xf>
    <xf numFmtId="10" fontId="0" fillId="35" borderId="33" xfId="47" applyNumberFormat="1" applyFont="1" applyFill="1" applyBorder="1" applyAlignment="1">
      <alignment horizontal="center"/>
    </xf>
    <xf numFmtId="10" fontId="0" fillId="35" borderId="38" xfId="47" applyNumberFormat="1" applyFont="1" applyFill="1" applyBorder="1" applyAlignment="1">
      <alignment horizontal="center"/>
    </xf>
    <xf numFmtId="10" fontId="0" fillId="35" borderId="0" xfId="47" applyNumberFormat="1" applyFont="1" applyFill="1" applyBorder="1" applyAlignment="1">
      <alignment horizontal="center"/>
    </xf>
    <xf numFmtId="10" fontId="0" fillId="35" borderId="21" xfId="47" applyNumberFormat="1" applyFont="1" applyFill="1" applyBorder="1" applyAlignment="1">
      <alignment horizontal="center"/>
    </xf>
    <xf numFmtId="0" fontId="26" fillId="41" borderId="37" xfId="0" applyFont="1" applyFill="1" applyBorder="1" applyAlignment="1">
      <alignment horizontal="center" vertical="center" wrapText="1"/>
    </xf>
    <xf numFmtId="0" fontId="26" fillId="41" borderId="20" xfId="0" applyFont="1" applyFill="1" applyBorder="1" applyAlignment="1">
      <alignment horizontal="center" vertical="center" wrapText="1"/>
    </xf>
    <xf numFmtId="0" fontId="26" fillId="41" borderId="22" xfId="0" applyFont="1" applyFill="1" applyBorder="1" applyAlignment="1">
      <alignment horizontal="center" vertical="center" wrapText="1"/>
    </xf>
    <xf numFmtId="0" fontId="26" fillId="39" borderId="22" xfId="0" applyFont="1" applyFill="1" applyBorder="1" applyAlignment="1">
      <alignment horizontal="center" vertical="center"/>
    </xf>
    <xf numFmtId="0" fontId="48" fillId="52" borderId="10" xfId="0" applyFont="1" applyFill="1" applyBorder="1" applyAlignment="1">
      <alignment horizontal="center" vertical="center"/>
    </xf>
    <xf numFmtId="0" fontId="48" fillId="52" borderId="50" xfId="0" applyFont="1" applyFill="1" applyBorder="1" applyAlignment="1">
      <alignment horizontal="center" vertical="center"/>
    </xf>
    <xf numFmtId="0" fontId="48" fillId="53" borderId="51" xfId="0" applyFont="1" applyFill="1" applyBorder="1" applyAlignment="1">
      <alignment horizontal="center" vertical="center"/>
    </xf>
    <xf numFmtId="0" fontId="48" fillId="53" borderId="50" xfId="0" applyFont="1" applyFill="1" applyBorder="1" applyAlignment="1">
      <alignment horizontal="center" vertical="center"/>
    </xf>
    <xf numFmtId="0" fontId="26" fillId="39" borderId="10" xfId="0" applyFont="1" applyFill="1" applyBorder="1" applyAlignment="1">
      <alignment horizontal="center"/>
    </xf>
    <xf numFmtId="0" fontId="26" fillId="39" borderId="12" xfId="0" applyFont="1" applyFill="1" applyBorder="1" applyAlignment="1">
      <alignment horizontal="center"/>
    </xf>
    <xf numFmtId="0" fontId="31" fillId="35" borderId="37" xfId="42" applyFont="1" applyFill="1" applyBorder="1" applyAlignment="1">
      <alignment horizontal="left" vertical="top" wrapText="1"/>
    </xf>
    <xf numFmtId="0" fontId="31" fillId="35" borderId="33" xfId="42" applyFont="1" applyFill="1" applyBorder="1" applyAlignment="1">
      <alignment horizontal="left" vertical="top"/>
    </xf>
    <xf numFmtId="0" fontId="31" fillId="35" borderId="38" xfId="42" applyFont="1" applyFill="1" applyBorder="1" applyAlignment="1">
      <alignment horizontal="left" vertical="top"/>
    </xf>
    <xf numFmtId="0" fontId="31" fillId="35" borderId="20" xfId="42" applyFont="1" applyFill="1" applyBorder="1" applyAlignment="1">
      <alignment horizontal="left" vertical="top"/>
    </xf>
    <xf numFmtId="0" fontId="31" fillId="35" borderId="0" xfId="42" applyFont="1" applyFill="1" applyAlignment="1">
      <alignment horizontal="left" vertical="top"/>
    </xf>
    <xf numFmtId="0" fontId="31" fillId="35" borderId="21" xfId="42" applyFont="1" applyFill="1" applyBorder="1" applyAlignment="1">
      <alignment horizontal="left" vertical="top"/>
    </xf>
    <xf numFmtId="0" fontId="31" fillId="35" borderId="22" xfId="42" applyFont="1" applyFill="1" applyBorder="1" applyAlignment="1">
      <alignment horizontal="left" vertical="top"/>
    </xf>
    <xf numFmtId="0" fontId="31" fillId="35" borderId="39" xfId="42" applyFont="1" applyFill="1" applyBorder="1" applyAlignment="1">
      <alignment horizontal="left" vertical="top"/>
    </xf>
    <xf numFmtId="0" fontId="31" fillId="35" borderId="23" xfId="42" applyFont="1" applyFill="1" applyBorder="1" applyAlignment="1">
      <alignment horizontal="left" vertical="top"/>
    </xf>
    <xf numFmtId="0" fontId="31" fillId="41" borderId="0" xfId="42" applyFont="1" applyFill="1" applyAlignment="1">
      <alignment horizontal="center" vertical="center"/>
    </xf>
    <xf numFmtId="0" fontId="45" fillId="51" borderId="42" xfId="0" applyFont="1" applyFill="1" applyBorder="1" applyAlignment="1">
      <alignment horizontal="center"/>
    </xf>
    <xf numFmtId="0" fontId="45" fillId="51" borderId="44" xfId="0" applyFont="1" applyFill="1" applyBorder="1" applyAlignment="1">
      <alignment horizontal="center"/>
    </xf>
    <xf numFmtId="0" fontId="45" fillId="51" borderId="45" xfId="0" applyFont="1" applyFill="1" applyBorder="1" applyAlignment="1">
      <alignment horizontal="center"/>
    </xf>
    <xf numFmtId="0" fontId="26" fillId="42" borderId="14" xfId="0" applyFont="1" applyFill="1" applyBorder="1" applyAlignment="1">
      <alignment horizontal="center" vertical="center"/>
    </xf>
    <xf numFmtId="0" fontId="26" fillId="43" borderId="46" xfId="0" applyFont="1" applyFill="1" applyBorder="1" applyAlignment="1">
      <alignment horizontal="center" vertical="center"/>
    </xf>
    <xf numFmtId="0" fontId="26" fillId="43" borderId="58" xfId="0" applyFont="1" applyFill="1" applyBorder="1" applyAlignment="1">
      <alignment horizontal="center" vertical="center"/>
    </xf>
    <xf numFmtId="0" fontId="26" fillId="43" borderId="59" xfId="0" applyFont="1" applyFill="1" applyBorder="1" applyAlignment="1">
      <alignment horizontal="center" vertical="center"/>
    </xf>
    <xf numFmtId="0" fontId="45" fillId="51" borderId="14" xfId="0" applyFont="1" applyFill="1" applyBorder="1" applyAlignment="1">
      <alignment horizontal="center"/>
    </xf>
    <xf numFmtId="0" fontId="45" fillId="51" borderId="46" xfId="0" applyFont="1" applyFill="1" applyBorder="1" applyAlignment="1">
      <alignment horizontal="center"/>
    </xf>
    <xf numFmtId="0" fontId="45" fillId="51" borderId="47" xfId="0" applyFont="1" applyFill="1" applyBorder="1" applyAlignment="1">
      <alignment horizontal="center"/>
    </xf>
    <xf numFmtId="0" fontId="45" fillId="51" borderId="48" xfId="0" applyFont="1" applyFill="1" applyBorder="1" applyAlignment="1">
      <alignment horizontal="center"/>
    </xf>
    <xf numFmtId="0" fontId="26" fillId="39" borderId="14" xfId="0" applyFont="1" applyFill="1" applyBorder="1" applyAlignment="1">
      <alignment horizontal="center" vertical="center"/>
    </xf>
    <xf numFmtId="0" fontId="26" fillId="33" borderId="14" xfId="0" applyFont="1" applyFill="1" applyBorder="1" applyAlignment="1">
      <alignment horizontal="center" vertical="center"/>
    </xf>
    <xf numFmtId="0" fontId="43" fillId="51" borderId="66" xfId="42" applyFont="1" applyFill="1" applyBorder="1" applyAlignment="1">
      <alignment horizontal="center"/>
    </xf>
    <xf numFmtId="0" fontId="43" fillId="51" borderId="40" xfId="42" applyFont="1" applyFill="1" applyBorder="1" applyAlignment="1">
      <alignment horizontal="center"/>
    </xf>
    <xf numFmtId="0" fontId="43" fillId="51" borderId="67" xfId="42" applyFont="1" applyFill="1" applyBorder="1" applyAlignment="1">
      <alignment horizontal="center"/>
    </xf>
    <xf numFmtId="0" fontId="43" fillId="51" borderId="19" xfId="42" applyFont="1" applyFill="1" applyBorder="1" applyAlignment="1">
      <alignment horizontal="center"/>
    </xf>
    <xf numFmtId="9" fontId="44" fillId="0" borderId="17" xfId="45" applyFont="1" applyFill="1" applyBorder="1" applyAlignment="1">
      <alignment horizontal="center" vertical="center"/>
    </xf>
    <xf numFmtId="9" fontId="44" fillId="0" borderId="14" xfId="45" applyFont="1" applyFill="1" applyBorder="1" applyAlignment="1">
      <alignment horizontal="center" vertical="center"/>
    </xf>
    <xf numFmtId="9" fontId="44" fillId="0" borderId="16" xfId="45" applyFont="1" applyFill="1" applyBorder="1" applyAlignment="1">
      <alignment horizontal="center" vertical="center"/>
    </xf>
    <xf numFmtId="9" fontId="75" fillId="0" borderId="14" xfId="45" applyFont="1" applyFill="1" applyBorder="1" applyAlignment="1">
      <alignment horizontal="center" vertical="center"/>
    </xf>
    <xf numFmtId="9" fontId="75" fillId="0" borderId="16" xfId="45" applyFont="1" applyFill="1" applyBorder="1" applyAlignment="1">
      <alignment horizontal="center" vertical="center"/>
    </xf>
    <xf numFmtId="9" fontId="44" fillId="0" borderId="43" xfId="45" applyFont="1" applyFill="1" applyBorder="1" applyAlignment="1">
      <alignment horizontal="center" vertical="center"/>
    </xf>
    <xf numFmtId="9" fontId="44" fillId="0" borderId="56" xfId="45" applyFont="1" applyFill="1" applyBorder="1" applyAlignment="1">
      <alignment horizontal="center" vertical="center"/>
    </xf>
    <xf numFmtId="9" fontId="44" fillId="0" borderId="76" xfId="45" applyFont="1" applyFill="1" applyBorder="1" applyAlignment="1">
      <alignment horizontal="center" vertical="center"/>
    </xf>
    <xf numFmtId="9" fontId="44" fillId="0" borderId="18" xfId="45" applyFont="1" applyFill="1" applyBorder="1" applyAlignment="1">
      <alignment horizontal="center" vertical="center"/>
    </xf>
    <xf numFmtId="0" fontId="43" fillId="51" borderId="74" xfId="42" applyFont="1" applyFill="1" applyBorder="1" applyAlignment="1">
      <alignment horizontal="center"/>
    </xf>
    <xf numFmtId="0" fontId="43" fillId="51" borderId="41" xfId="42" applyFont="1" applyFill="1" applyBorder="1" applyAlignment="1">
      <alignment horizontal="center"/>
    </xf>
    <xf numFmtId="9" fontId="75" fillId="0" borderId="43" xfId="45" applyFont="1" applyFill="1" applyBorder="1" applyAlignment="1">
      <alignment horizontal="center" vertical="center"/>
    </xf>
    <xf numFmtId="9" fontId="75" fillId="0" borderId="56" xfId="45" applyFont="1" applyFill="1" applyBorder="1" applyAlignment="1">
      <alignment horizontal="center" vertical="center"/>
    </xf>
    <xf numFmtId="9" fontId="75" fillId="0" borderId="40" xfId="45" applyFont="1" applyFill="1" applyBorder="1" applyAlignment="1">
      <alignment horizontal="center" vertical="center"/>
    </xf>
    <xf numFmtId="9" fontId="44" fillId="0" borderId="40" xfId="45" applyFont="1" applyFill="1" applyBorder="1" applyAlignment="1">
      <alignment horizontal="center" vertical="center"/>
    </xf>
    <xf numFmtId="9" fontId="44" fillId="0" borderId="54" xfId="45" applyFont="1" applyFill="1" applyBorder="1" applyAlignment="1">
      <alignment horizontal="center" vertical="center"/>
    </xf>
    <xf numFmtId="9" fontId="44" fillId="0" borderId="57" xfId="45" applyFont="1" applyFill="1" applyBorder="1" applyAlignment="1">
      <alignment horizontal="center" vertical="center"/>
    </xf>
    <xf numFmtId="9" fontId="44" fillId="0" borderId="19" xfId="45" applyFont="1" applyFill="1" applyBorder="1" applyAlignment="1">
      <alignment horizontal="center" vertical="center"/>
    </xf>
    <xf numFmtId="49" fontId="59" fillId="50" borderId="37" xfId="42" applyNumberFormat="1" applyFont="1" applyFill="1" applyBorder="1" applyAlignment="1">
      <alignment horizontal="center" vertical="center"/>
    </xf>
    <xf numFmtId="49" fontId="59" fillId="50" borderId="33" xfId="42" applyNumberFormat="1" applyFont="1" applyFill="1" applyBorder="1" applyAlignment="1">
      <alignment horizontal="center" vertical="center"/>
    </xf>
    <xf numFmtId="49" fontId="59" fillId="50" borderId="38" xfId="42" applyNumberFormat="1" applyFont="1" applyFill="1" applyBorder="1" applyAlignment="1">
      <alignment horizontal="center" vertical="center"/>
    </xf>
    <xf numFmtId="49" fontId="59" fillId="50" borderId="22" xfId="42" applyNumberFormat="1" applyFont="1" applyFill="1" applyBorder="1" applyAlignment="1">
      <alignment horizontal="center" vertical="center"/>
    </xf>
    <xf numFmtId="49" fontId="59" fillId="50" borderId="39" xfId="42" applyNumberFormat="1" applyFont="1" applyFill="1" applyBorder="1" applyAlignment="1">
      <alignment horizontal="center" vertical="center"/>
    </xf>
    <xf numFmtId="49" fontId="59" fillId="50" borderId="23" xfId="42" applyNumberFormat="1" applyFont="1" applyFill="1" applyBorder="1" applyAlignment="1">
      <alignment horizontal="center" vertical="center"/>
    </xf>
    <xf numFmtId="0" fontId="72" fillId="51" borderId="42" xfId="42" applyFont="1" applyFill="1" applyBorder="1" applyAlignment="1">
      <alignment horizontal="center"/>
    </xf>
    <xf numFmtId="0" fontId="72" fillId="51" borderId="44" xfId="42" applyFont="1" applyFill="1" applyBorder="1" applyAlignment="1">
      <alignment horizontal="center"/>
    </xf>
    <xf numFmtId="0" fontId="72" fillId="51" borderId="65" xfId="42" applyFont="1" applyFill="1" applyBorder="1" applyAlignment="1">
      <alignment horizontal="center"/>
    </xf>
    <xf numFmtId="14" fontId="41" fillId="35" borderId="34" xfId="42" applyNumberFormat="1" applyFont="1" applyFill="1" applyBorder="1" applyAlignment="1">
      <alignment horizontal="center" vertical="center"/>
    </xf>
    <xf numFmtId="14" fontId="41" fillId="35" borderId="70" xfId="42" applyNumberFormat="1" applyFont="1" applyFill="1" applyBorder="1" applyAlignment="1">
      <alignment horizontal="center" vertical="center"/>
    </xf>
    <xf numFmtId="14" fontId="41" fillId="35" borderId="71" xfId="42" applyNumberFormat="1" applyFont="1" applyFill="1" applyBorder="1" applyAlignment="1">
      <alignment horizontal="center" vertical="center"/>
    </xf>
    <xf numFmtId="0" fontId="57" fillId="56" borderId="35" xfId="42" applyFont="1" applyFill="1" applyBorder="1" applyAlignment="1">
      <alignment horizontal="center"/>
    </xf>
    <xf numFmtId="0" fontId="57" fillId="56" borderId="44" xfId="42" applyFont="1" applyFill="1" applyBorder="1" applyAlignment="1">
      <alignment horizontal="center"/>
    </xf>
    <xf numFmtId="0" fontId="57" fillId="56" borderId="65" xfId="42" applyFont="1" applyFill="1" applyBorder="1" applyAlignment="1">
      <alignment horizontal="center"/>
    </xf>
    <xf numFmtId="9" fontId="44" fillId="0" borderId="35" xfId="45" applyFont="1" applyFill="1" applyBorder="1" applyAlignment="1">
      <alignment horizontal="center" vertical="center"/>
    </xf>
    <xf numFmtId="10" fontId="18" fillId="51" borderId="35" xfId="47" applyNumberFormat="1" applyFont="1" applyFill="1" applyBorder="1" applyAlignment="1">
      <alignment horizontal="center"/>
    </xf>
    <xf numFmtId="10" fontId="18" fillId="51" borderId="44" xfId="47" applyNumberFormat="1" applyFont="1" applyFill="1" applyBorder="1" applyAlignment="1">
      <alignment horizontal="center"/>
    </xf>
    <xf numFmtId="9" fontId="44" fillId="0" borderId="13" xfId="45" applyFont="1" applyFill="1" applyBorder="1" applyAlignment="1">
      <alignment horizontal="center" vertical="center"/>
    </xf>
    <xf numFmtId="10" fontId="18" fillId="51" borderId="65" xfId="47" applyNumberFormat="1" applyFont="1" applyFill="1" applyBorder="1" applyAlignment="1">
      <alignment horizontal="center"/>
    </xf>
    <xf numFmtId="9" fontId="44" fillId="0" borderId="15" xfId="45" applyFont="1" applyFill="1" applyBorder="1" applyAlignment="1">
      <alignment horizontal="center" vertical="center"/>
    </xf>
    <xf numFmtId="0" fontId="59" fillId="50" borderId="37" xfId="42" applyFont="1" applyFill="1" applyBorder="1" applyAlignment="1">
      <alignment horizontal="center" vertical="center"/>
    </xf>
    <xf numFmtId="0" fontId="59" fillId="50" borderId="33" xfId="42" applyFont="1" applyFill="1" applyBorder="1" applyAlignment="1">
      <alignment horizontal="center" vertical="center"/>
    </xf>
    <xf numFmtId="0" fontId="59" fillId="50" borderId="38" xfId="42" applyFont="1" applyFill="1" applyBorder="1" applyAlignment="1">
      <alignment horizontal="center" vertical="center"/>
    </xf>
    <xf numFmtId="0" fontId="59" fillId="50" borderId="22" xfId="42" applyFont="1" applyFill="1" applyBorder="1" applyAlignment="1">
      <alignment horizontal="center" vertical="center"/>
    </xf>
    <xf numFmtId="0" fontId="59" fillId="50" borderId="39" xfId="42" applyFont="1" applyFill="1" applyBorder="1" applyAlignment="1">
      <alignment horizontal="center" vertical="center"/>
    </xf>
    <xf numFmtId="0" fontId="59" fillId="50" borderId="23" xfId="42" applyFont="1" applyFill="1" applyBorder="1" applyAlignment="1">
      <alignment horizontal="center" vertical="center"/>
    </xf>
    <xf numFmtId="0" fontId="43" fillId="51" borderId="68" xfId="42" applyFont="1" applyFill="1" applyBorder="1" applyAlignment="1">
      <alignment horizontal="center"/>
    </xf>
    <xf numFmtId="0" fontId="43" fillId="51" borderId="59" xfId="42" applyFont="1" applyFill="1" applyBorder="1" applyAlignment="1">
      <alignment horizontal="center"/>
    </xf>
    <xf numFmtId="9" fontId="44" fillId="0" borderId="53" xfId="45" applyFont="1" applyFill="1" applyBorder="1" applyAlignment="1">
      <alignment horizontal="center" vertical="center"/>
    </xf>
    <xf numFmtId="9" fontId="44" fillId="0" borderId="55" xfId="45" applyFont="1" applyFill="1" applyBorder="1" applyAlignment="1">
      <alignment horizontal="center" vertical="center"/>
    </xf>
    <xf numFmtId="9" fontId="44" fillId="0" borderId="61" xfId="45" applyFont="1" applyFill="1" applyBorder="1" applyAlignment="1">
      <alignment horizontal="center" vertical="center"/>
    </xf>
    <xf numFmtId="9" fontId="75" fillId="0" borderId="76" xfId="45" applyFont="1" applyFill="1" applyBorder="1" applyAlignment="1">
      <alignment horizontal="center" vertical="center"/>
    </xf>
    <xf numFmtId="9" fontId="44" fillId="0" borderId="64" xfId="45" applyFont="1" applyFill="1" applyBorder="1" applyAlignment="1">
      <alignment horizontal="center" vertical="center"/>
    </xf>
    <xf numFmtId="0" fontId="78" fillId="51" borderId="0" xfId="0" applyFont="1" applyFill="1" applyAlignment="1">
      <alignment horizontal="center" vertical="center"/>
    </xf>
    <xf numFmtId="0" fontId="78" fillId="51" borderId="53" xfId="0" applyFont="1" applyFill="1" applyBorder="1" applyAlignment="1">
      <alignment horizontal="center" vertical="center"/>
    </xf>
    <xf numFmtId="0" fontId="78" fillId="51" borderId="55" xfId="0" applyFont="1" applyFill="1" applyBorder="1" applyAlignment="1">
      <alignment horizontal="center" vertical="center"/>
    </xf>
    <xf numFmtId="0" fontId="78" fillId="51" borderId="41" xfId="0" applyFont="1" applyFill="1" applyBorder="1" applyAlignment="1">
      <alignment horizontal="center" vertical="center"/>
    </xf>
    <xf numFmtId="0" fontId="78" fillId="51" borderId="13" xfId="0" applyFont="1" applyFill="1" applyBorder="1" applyAlignment="1">
      <alignment horizontal="center" vertical="center"/>
    </xf>
    <xf numFmtId="0" fontId="78" fillId="51" borderId="15" xfId="0" applyFont="1" applyFill="1" applyBorder="1" applyAlignment="1">
      <alignment horizontal="center" vertical="center"/>
    </xf>
    <xf numFmtId="0" fontId="26" fillId="35" borderId="14" xfId="0" applyFont="1" applyFill="1" applyBorder="1" applyAlignment="1">
      <alignment horizontal="center" vertical="center"/>
    </xf>
    <xf numFmtId="0" fontId="26" fillId="33" borderId="42" xfId="0" applyFont="1" applyFill="1" applyBorder="1" applyAlignment="1">
      <alignment horizontal="center"/>
    </xf>
    <xf numFmtId="0" fontId="26" fillId="33" borderId="44" xfId="0" applyFont="1" applyFill="1" applyBorder="1" applyAlignment="1">
      <alignment horizontal="center"/>
    </xf>
    <xf numFmtId="0" fontId="26" fillId="33" borderId="45" xfId="0" applyFont="1" applyFill="1" applyBorder="1" applyAlignment="1">
      <alignment horizontal="center"/>
    </xf>
    <xf numFmtId="0" fontId="17" fillId="51" borderId="14" xfId="0" applyFont="1" applyFill="1" applyBorder="1" applyAlignment="1">
      <alignment horizontal="center"/>
    </xf>
    <xf numFmtId="0" fontId="17" fillId="51" borderId="42" xfId="0" applyFont="1" applyFill="1" applyBorder="1" applyAlignment="1">
      <alignment horizontal="center"/>
    </xf>
    <xf numFmtId="0" fontId="17" fillId="51" borderId="44" xfId="0" applyFont="1" applyFill="1" applyBorder="1" applyAlignment="1">
      <alignment horizontal="center"/>
    </xf>
    <xf numFmtId="0" fontId="17" fillId="51" borderId="45" xfId="0" applyFont="1" applyFill="1" applyBorder="1" applyAlignment="1">
      <alignment horizontal="center"/>
    </xf>
    <xf numFmtId="0" fontId="26" fillId="39" borderId="42" xfId="0" applyFont="1" applyFill="1" applyBorder="1" applyAlignment="1">
      <alignment horizontal="center"/>
    </xf>
    <xf numFmtId="0" fontId="26" fillId="39" borderId="44" xfId="0" applyFont="1" applyFill="1" applyBorder="1" applyAlignment="1">
      <alignment horizontal="center"/>
    </xf>
    <xf numFmtId="0" fontId="26" fillId="39" borderId="45" xfId="0" applyFont="1" applyFill="1" applyBorder="1" applyAlignment="1">
      <alignment horizontal="center"/>
    </xf>
    <xf numFmtId="0" fontId="26" fillId="35" borderId="43" xfId="0" applyFont="1" applyFill="1" applyBorder="1" applyAlignment="1">
      <alignment horizontal="center" vertical="center"/>
    </xf>
    <xf numFmtId="0" fontId="26" fillId="35" borderId="56" xfId="0" applyFont="1" applyFill="1" applyBorder="1" applyAlignment="1">
      <alignment horizontal="center" vertical="center"/>
    </xf>
    <xf numFmtId="0" fontId="26" fillId="35" borderId="40" xfId="0" applyFont="1" applyFill="1" applyBorder="1" applyAlignment="1">
      <alignment horizontal="center" vertical="center"/>
    </xf>
    <xf numFmtId="0" fontId="68" fillId="51" borderId="42" xfId="0" applyFont="1" applyFill="1" applyBorder="1" applyAlignment="1">
      <alignment horizontal="center" vertical="center"/>
    </xf>
    <xf numFmtId="0" fontId="68" fillId="51" borderId="44" xfId="0" applyFont="1" applyFill="1" applyBorder="1" applyAlignment="1">
      <alignment horizontal="center" vertical="center"/>
    </xf>
    <xf numFmtId="0" fontId="68" fillId="51" borderId="45" xfId="0" applyFont="1" applyFill="1" applyBorder="1" applyAlignment="1">
      <alignment horizontal="center" vertical="center"/>
    </xf>
    <xf numFmtId="0" fontId="19" fillId="34" borderId="0" xfId="42" applyFont="1" applyFill="1" applyAlignment="1">
      <alignment horizontal="center" vertical="center"/>
    </xf>
    <xf numFmtId="0" fontId="19" fillId="34" borderId="0" xfId="42" applyFont="1" applyFill="1" applyAlignment="1">
      <alignment horizontal="center" vertical="center" wrapText="1"/>
    </xf>
    <xf numFmtId="0" fontId="89" fillId="67" borderId="0" xfId="0" applyFont="1" applyFill="1" applyAlignment="1">
      <alignment horizontal="center" vertical="center"/>
    </xf>
    <xf numFmtId="0" fontId="89" fillId="67" borderId="0" xfId="0" applyFont="1" applyFill="1" applyAlignment="1">
      <alignment horizontal="center" vertical="center" wrapText="1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3" xr:uid="{26947410-98D6-4148-9D57-BCA4F1576393}"/>
    <cellStyle name="Currency" xfId="50" builtinId="4"/>
    <cellStyle name="Currency 2" xfId="44" xr:uid="{16E479BD-2F9F-144D-9753-13FA472F7F43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F88EE5D-645D-AE48-8F8B-8859BD7D77C5}"/>
    <cellStyle name="Normal 3" xfId="48" xr:uid="{421DB57C-38F2-BF4D-A4AD-5CC1229EC3B7}"/>
    <cellStyle name="Note" xfId="15" builtinId="10" customBuiltin="1"/>
    <cellStyle name="Output" xfId="10" builtinId="21" customBuiltin="1"/>
    <cellStyle name="Percent" xfId="47" builtinId="5"/>
    <cellStyle name="Percent 2" xfId="45" xr:uid="{63114500-4C3D-A84C-B404-2AE76B00A88D}"/>
    <cellStyle name="Percent 3" xfId="49" xr:uid="{704E3DBD-D964-6945-B14E-8AB8818E8C28}"/>
    <cellStyle name="Title" xfId="1" builtinId="15" customBuiltin="1"/>
    <cellStyle name="Total" xfId="17" builtinId="25" customBuiltin="1"/>
    <cellStyle name="Warning Text" xfId="14" builtinId="11" customBuiltin="1"/>
  </cellStyles>
  <dxfs count="1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mruColors>
      <color rgb="FFFFD4B9"/>
      <color rgb="FFFFB9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CF5D-1E53-AB47-87BB-25C56C22238C}">
  <sheetPr>
    <tabColor theme="0" tint="-0.34998626667073579"/>
  </sheetPr>
  <dimension ref="B1:FK106"/>
  <sheetViews>
    <sheetView zoomScaleNormal="100" workbookViewId="0">
      <pane ySplit="2" topLeftCell="A27" activePane="bottomLeft" state="frozen"/>
      <selection activeCell="X1" sqref="X1"/>
      <selection pane="bottomLeft" activeCell="W66" sqref="W66"/>
    </sheetView>
  </sheetViews>
  <sheetFormatPr baseColWidth="10" defaultColWidth="8.83203125" defaultRowHeight="14"/>
  <cols>
    <col min="1" max="1" width="3.1640625" style="2" customWidth="1"/>
    <col min="2" max="2" width="19" style="2" bestFit="1" customWidth="1"/>
    <col min="3" max="10" width="11.1640625" style="2" customWidth="1"/>
    <col min="11" max="11" width="3.1640625" style="2" customWidth="1"/>
    <col min="12" max="12" width="19" style="2" bestFit="1" customWidth="1"/>
    <col min="13" max="20" width="11.1640625" style="2" customWidth="1"/>
    <col min="21" max="21" width="3.5" style="2" customWidth="1"/>
    <col min="22" max="22" width="19" style="2" bestFit="1" customWidth="1"/>
    <col min="23" max="25" width="11.5" style="2" customWidth="1"/>
    <col min="26" max="26" width="10.5" style="2" customWidth="1"/>
    <col min="27" max="27" width="13.5" style="2" customWidth="1"/>
    <col min="28" max="28" width="10.5" style="2" customWidth="1"/>
    <col min="29" max="29" width="12.5" style="2" customWidth="1"/>
    <col min="30" max="30" width="11.5" style="2" customWidth="1"/>
    <col min="31" max="31" width="3.83203125" style="2" customWidth="1"/>
    <col min="32" max="32" width="19" style="2" bestFit="1" customWidth="1"/>
    <col min="33" max="40" width="11.6640625" style="2" customWidth="1"/>
    <col min="41" max="41" width="4.6640625" style="2" customWidth="1"/>
    <col min="42" max="42" width="19" style="2" bestFit="1" customWidth="1"/>
    <col min="43" max="50" width="11.33203125" style="2" customWidth="1"/>
    <col min="51" max="51" width="3.5" style="2" customWidth="1"/>
    <col min="52" max="53" width="11.1640625" style="2" customWidth="1"/>
    <col min="54" max="54" width="2.83203125" style="2" customWidth="1"/>
    <col min="55" max="63" width="11.5" style="2" customWidth="1"/>
    <col min="64" max="64" width="2.6640625" style="2" customWidth="1"/>
    <col min="65" max="67" width="11.5" style="2" customWidth="1"/>
    <col min="68" max="68" width="11.33203125" style="2" customWidth="1"/>
    <col min="69" max="73" width="11.5" style="2" customWidth="1"/>
    <col min="74" max="74" width="3.5" style="2" customWidth="1"/>
    <col min="75" max="75" width="19" style="2" bestFit="1" customWidth="1"/>
    <col min="76" max="84" width="11.33203125" style="2" customWidth="1"/>
    <col min="85" max="85" width="2.83203125" style="2" customWidth="1"/>
    <col min="86" max="86" width="19" style="2" bestFit="1" customWidth="1"/>
    <col min="87" max="95" width="11.33203125" style="2" customWidth="1"/>
    <col min="96" max="96" width="3.5" style="2" customWidth="1"/>
    <col min="97" max="97" width="19" style="2" bestFit="1" customWidth="1"/>
    <col min="98" max="106" width="11.33203125" style="2" customWidth="1"/>
    <col min="107" max="107" width="3.6640625" style="2" customWidth="1"/>
    <col min="108" max="108" width="19" style="2" bestFit="1" customWidth="1"/>
    <col min="109" max="117" width="11.33203125" style="2" customWidth="1"/>
    <col min="118" max="118" width="3.6640625" style="2" customWidth="1"/>
    <col min="119" max="119" width="19" style="2" bestFit="1" customWidth="1"/>
    <col min="120" max="127" width="11.33203125" style="2" customWidth="1"/>
    <col min="128" max="128" width="3.5" style="2" customWidth="1"/>
    <col min="129" max="129" width="19" style="2" bestFit="1" customWidth="1"/>
    <col min="130" max="137" width="11.1640625" style="2" customWidth="1"/>
    <col min="138" max="138" width="3.5" style="2" customWidth="1"/>
    <col min="139" max="139" width="19" style="2" bestFit="1" customWidth="1"/>
    <col min="140" max="141" width="11.1640625" style="2" customWidth="1"/>
    <col min="142" max="147" width="8.83203125" style="2"/>
    <col min="148" max="148" width="4.33203125" style="2" customWidth="1"/>
    <col min="149" max="149" width="19" style="2" bestFit="1" customWidth="1"/>
    <col min="150" max="150" width="9.5" style="2" bestFit="1" customWidth="1"/>
    <col min="151" max="157" width="8.83203125" style="2"/>
    <col min="158" max="158" width="3.83203125" style="2" customWidth="1"/>
    <col min="159" max="159" width="19" style="2" bestFit="1" customWidth="1"/>
    <col min="160" max="16384" width="8.83203125" style="2"/>
  </cols>
  <sheetData>
    <row r="1" spans="2:167" ht="16" customHeight="1">
      <c r="B1" s="551" t="s">
        <v>0</v>
      </c>
      <c r="C1" s="551"/>
      <c r="D1" s="551"/>
      <c r="E1" s="551"/>
      <c r="F1" s="551"/>
      <c r="G1" s="551"/>
      <c r="H1" s="551"/>
      <c r="I1" s="551"/>
      <c r="J1" s="551"/>
      <c r="L1" s="551" t="s">
        <v>1</v>
      </c>
      <c r="M1" s="551"/>
      <c r="N1" s="551"/>
      <c r="O1" s="551"/>
      <c r="P1" s="551"/>
      <c r="Q1" s="551"/>
      <c r="R1" s="551"/>
      <c r="S1" s="551"/>
      <c r="T1" s="551"/>
      <c r="U1" s="3"/>
      <c r="V1" s="555" t="s">
        <v>2</v>
      </c>
      <c r="W1" s="555"/>
      <c r="X1" s="555"/>
      <c r="Y1" s="555"/>
      <c r="Z1" s="555"/>
      <c r="AA1" s="555"/>
      <c r="AB1" s="555"/>
      <c r="AC1" s="555"/>
      <c r="AD1" s="555"/>
      <c r="AF1" s="552" t="s">
        <v>3</v>
      </c>
      <c r="AG1" s="552"/>
      <c r="AH1" s="552"/>
      <c r="AI1" s="552"/>
      <c r="AJ1" s="552"/>
      <c r="AK1" s="552"/>
      <c r="AL1" s="552"/>
      <c r="AM1" s="552"/>
      <c r="AN1" s="552"/>
      <c r="AO1" s="3"/>
      <c r="AP1" s="555" t="s">
        <v>4</v>
      </c>
      <c r="AQ1" s="555"/>
      <c r="AR1" s="555"/>
      <c r="AS1" s="555"/>
      <c r="AT1" s="555"/>
      <c r="AU1" s="555"/>
      <c r="AV1" s="555"/>
      <c r="AW1" s="555"/>
      <c r="AX1" s="555"/>
      <c r="AY1" s="3"/>
      <c r="AZ1" s="554" t="s">
        <v>5</v>
      </c>
      <c r="BA1" s="554"/>
      <c r="BB1" s="4"/>
      <c r="BC1" s="554" t="s">
        <v>6</v>
      </c>
      <c r="BD1" s="554"/>
      <c r="BE1" s="554"/>
      <c r="BF1" s="554"/>
      <c r="BG1" s="554"/>
      <c r="BH1" s="554"/>
      <c r="BI1" s="554"/>
      <c r="BJ1" s="554"/>
      <c r="BK1" s="58"/>
      <c r="BL1" s="4"/>
      <c r="BM1" s="554" t="s">
        <v>7</v>
      </c>
      <c r="BN1" s="554"/>
      <c r="BO1" s="554"/>
      <c r="BP1" s="554"/>
      <c r="BQ1" s="554"/>
      <c r="BR1" s="554"/>
      <c r="BS1" s="554"/>
      <c r="BT1" s="554"/>
      <c r="BU1" s="58"/>
      <c r="BV1" s="4"/>
      <c r="BW1" s="555" t="s">
        <v>8</v>
      </c>
      <c r="BX1" s="555"/>
      <c r="BY1" s="555"/>
      <c r="BZ1" s="555"/>
      <c r="CA1" s="555"/>
      <c r="CB1" s="555"/>
      <c r="CC1" s="555"/>
      <c r="CD1" s="555"/>
      <c r="CE1" s="555"/>
      <c r="CF1" s="258"/>
      <c r="CG1" s="3"/>
      <c r="CH1" s="557" t="s">
        <v>9</v>
      </c>
      <c r="CI1" s="557"/>
      <c r="CJ1" s="557"/>
      <c r="CK1" s="557"/>
      <c r="CL1" s="557"/>
      <c r="CM1" s="557"/>
      <c r="CN1" s="557"/>
      <c r="CO1" s="557"/>
      <c r="CP1" s="557"/>
      <c r="CQ1" s="259"/>
      <c r="CR1" s="3"/>
      <c r="CS1" s="558" t="s">
        <v>10</v>
      </c>
      <c r="CT1" s="558"/>
      <c r="CU1" s="558"/>
      <c r="CV1" s="558"/>
      <c r="CW1" s="558"/>
      <c r="CX1" s="558"/>
      <c r="CY1" s="558"/>
      <c r="CZ1" s="558"/>
      <c r="DA1" s="558"/>
      <c r="DB1" s="260"/>
      <c r="DC1" s="3"/>
      <c r="DD1" s="553" t="s">
        <v>11</v>
      </c>
      <c r="DE1" s="553"/>
      <c r="DF1" s="553"/>
      <c r="DG1" s="553"/>
      <c r="DH1" s="553"/>
      <c r="DI1" s="553"/>
      <c r="DJ1" s="553"/>
      <c r="DK1" s="553"/>
      <c r="DL1" s="553"/>
      <c r="DM1" s="261"/>
      <c r="DN1" s="3"/>
      <c r="DO1" s="553" t="s">
        <v>12</v>
      </c>
      <c r="DP1" s="553"/>
      <c r="DQ1" s="553"/>
      <c r="DR1" s="553"/>
      <c r="DS1" s="553"/>
      <c r="DT1" s="553"/>
      <c r="DU1" s="553"/>
      <c r="DV1" s="553"/>
      <c r="DW1" s="553"/>
      <c r="DX1" s="3"/>
      <c r="DY1" s="555" t="s">
        <v>13</v>
      </c>
      <c r="DZ1" s="555"/>
      <c r="EA1" s="555"/>
      <c r="EB1" s="555"/>
      <c r="EC1" s="555"/>
      <c r="ED1" s="555"/>
      <c r="EE1" s="555"/>
      <c r="EF1" s="555"/>
      <c r="EG1" s="555"/>
      <c r="EI1" s="557" t="s">
        <v>14</v>
      </c>
      <c r="EJ1" s="557"/>
      <c r="EK1" s="557"/>
      <c r="EL1" s="557"/>
      <c r="EM1" s="557"/>
      <c r="EN1" s="557"/>
      <c r="EO1" s="557"/>
      <c r="EP1" s="557"/>
      <c r="EQ1" s="557"/>
      <c r="ES1" s="559" t="s">
        <v>15</v>
      </c>
      <c r="ET1" s="559"/>
      <c r="EU1" s="559"/>
      <c r="EV1" s="559"/>
      <c r="EW1" s="559"/>
      <c r="EX1" s="559"/>
      <c r="EY1" s="559"/>
      <c r="EZ1" s="559"/>
      <c r="FA1" s="559"/>
      <c r="FC1" s="559" t="s">
        <v>16</v>
      </c>
      <c r="FD1" s="559"/>
      <c r="FE1" s="559"/>
      <c r="FF1" s="559"/>
      <c r="FG1" s="559"/>
      <c r="FH1" s="559"/>
      <c r="FI1" s="559"/>
      <c r="FJ1" s="559"/>
      <c r="FK1" s="559"/>
    </row>
    <row r="2" spans="2:167"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G2" s="2" t="s">
        <v>17</v>
      </c>
      <c r="AH2" s="2" t="s">
        <v>18</v>
      </c>
      <c r="AI2" s="2" t="s">
        <v>19</v>
      </c>
      <c r="AJ2" s="2" t="s">
        <v>20</v>
      </c>
      <c r="AK2" s="2" t="s">
        <v>21</v>
      </c>
      <c r="AL2" s="2" t="s">
        <v>22</v>
      </c>
      <c r="AM2" s="2" t="s">
        <v>23</v>
      </c>
      <c r="AN2" s="2" t="s">
        <v>24</v>
      </c>
      <c r="AQ2" s="2" t="s">
        <v>17</v>
      </c>
      <c r="AR2" s="2" t="s">
        <v>18</v>
      </c>
      <c r="AS2" s="2" t="s">
        <v>19</v>
      </c>
      <c r="AT2" s="2" t="s">
        <v>20</v>
      </c>
      <c r="AU2" s="2" t="s">
        <v>21</v>
      </c>
      <c r="AV2" s="2" t="s">
        <v>22</v>
      </c>
      <c r="AW2" s="2" t="s">
        <v>23</v>
      </c>
      <c r="AX2" s="2" t="s">
        <v>24</v>
      </c>
      <c r="BA2" s="2" t="s">
        <v>25</v>
      </c>
      <c r="BC2" s="2" t="s">
        <v>17</v>
      </c>
      <c r="BD2" s="2" t="s">
        <v>18</v>
      </c>
      <c r="BE2" s="2" t="s">
        <v>19</v>
      </c>
      <c r="BF2" s="2" t="s">
        <v>20</v>
      </c>
      <c r="BG2" s="2" t="s">
        <v>21</v>
      </c>
      <c r="BH2" s="2" t="s">
        <v>22</v>
      </c>
      <c r="BI2" s="2" t="s">
        <v>23</v>
      </c>
      <c r="BJ2" s="2" t="s">
        <v>26</v>
      </c>
      <c r="BK2" s="2" t="s">
        <v>27</v>
      </c>
      <c r="BM2" s="2" t="s">
        <v>17</v>
      </c>
      <c r="BN2" s="2" t="s">
        <v>18</v>
      </c>
      <c r="BO2" s="2" t="s">
        <v>19</v>
      </c>
      <c r="BP2" s="2" t="s">
        <v>20</v>
      </c>
      <c r="BQ2" s="2" t="s">
        <v>21</v>
      </c>
      <c r="BR2" s="2" t="s">
        <v>22</v>
      </c>
      <c r="BS2" s="2" t="s">
        <v>23</v>
      </c>
      <c r="BT2" s="2" t="s">
        <v>26</v>
      </c>
      <c r="BU2" s="2" t="s">
        <v>27</v>
      </c>
      <c r="BX2" s="2" t="s">
        <v>17</v>
      </c>
      <c r="BY2" s="2" t="s">
        <v>18</v>
      </c>
      <c r="BZ2" s="2" t="s">
        <v>19</v>
      </c>
      <c r="CA2" s="2" t="s">
        <v>20</v>
      </c>
      <c r="CB2" s="2" t="s">
        <v>21</v>
      </c>
      <c r="CC2" s="2" t="s">
        <v>22</v>
      </c>
      <c r="CD2" s="2" t="s">
        <v>23</v>
      </c>
      <c r="CE2" s="2" t="s">
        <v>26</v>
      </c>
      <c r="CF2" s="2" t="s">
        <v>27</v>
      </c>
      <c r="CI2" s="2" t="s">
        <v>17</v>
      </c>
      <c r="CJ2" s="2" t="s">
        <v>18</v>
      </c>
      <c r="CK2" s="2" t="s">
        <v>19</v>
      </c>
      <c r="CL2" s="2" t="s">
        <v>20</v>
      </c>
      <c r="CM2" s="2" t="s">
        <v>21</v>
      </c>
      <c r="CN2" s="2" t="s">
        <v>22</v>
      </c>
      <c r="CO2" s="2" t="s">
        <v>23</v>
      </c>
      <c r="CP2" s="2" t="s">
        <v>26</v>
      </c>
      <c r="CQ2" s="2" t="s">
        <v>27</v>
      </c>
      <c r="CT2" s="2" t="s">
        <v>17</v>
      </c>
      <c r="CU2" s="2" t="s">
        <v>18</v>
      </c>
      <c r="CV2" s="2" t="s">
        <v>19</v>
      </c>
      <c r="CW2" s="2" t="s">
        <v>20</v>
      </c>
      <c r="CX2" s="2" t="s">
        <v>21</v>
      </c>
      <c r="CY2" s="2" t="s">
        <v>22</v>
      </c>
      <c r="CZ2" s="2" t="s">
        <v>23</v>
      </c>
      <c r="DA2" s="2" t="s">
        <v>26</v>
      </c>
      <c r="DB2" s="2" t="s">
        <v>27</v>
      </c>
      <c r="DE2" s="2" t="s">
        <v>17</v>
      </c>
      <c r="DF2" s="2" t="s">
        <v>18</v>
      </c>
      <c r="DG2" s="2" t="s">
        <v>19</v>
      </c>
      <c r="DH2" s="2" t="s">
        <v>20</v>
      </c>
      <c r="DI2" s="2" t="s">
        <v>21</v>
      </c>
      <c r="DJ2" s="2" t="s">
        <v>22</v>
      </c>
      <c r="DK2" s="2" t="s">
        <v>23</v>
      </c>
      <c r="DL2" s="2" t="s">
        <v>26</v>
      </c>
      <c r="DM2" s="2" t="s">
        <v>27</v>
      </c>
      <c r="DP2" s="2" t="s">
        <v>17</v>
      </c>
      <c r="DQ2" s="2" t="s">
        <v>18</v>
      </c>
      <c r="DR2" s="2" t="s">
        <v>19</v>
      </c>
      <c r="DS2" s="2" t="s">
        <v>20</v>
      </c>
      <c r="DT2" s="2" t="s">
        <v>21</v>
      </c>
      <c r="DU2" s="2" t="s">
        <v>22</v>
      </c>
      <c r="DV2" s="2" t="s">
        <v>23</v>
      </c>
      <c r="DW2" s="2" t="s">
        <v>24</v>
      </c>
      <c r="DZ2" s="2" t="s">
        <v>17</v>
      </c>
      <c r="EA2" s="2" t="s">
        <v>18</v>
      </c>
      <c r="EB2" s="2" t="s">
        <v>19</v>
      </c>
      <c r="EC2" s="2" t="s">
        <v>20</v>
      </c>
      <c r="ED2" s="2" t="s">
        <v>21</v>
      </c>
      <c r="EE2" s="2" t="s">
        <v>22</v>
      </c>
      <c r="EF2" s="2" t="s">
        <v>23</v>
      </c>
      <c r="EG2" s="2" t="s">
        <v>24</v>
      </c>
      <c r="EJ2" s="2" t="s">
        <v>17</v>
      </c>
      <c r="EK2" s="2" t="s">
        <v>18</v>
      </c>
      <c r="EL2" s="2" t="s">
        <v>19</v>
      </c>
      <c r="EM2" s="2" t="s">
        <v>20</v>
      </c>
      <c r="EN2" s="2" t="s">
        <v>21</v>
      </c>
      <c r="EO2" s="2" t="s">
        <v>22</v>
      </c>
      <c r="EP2" s="2" t="s">
        <v>23</v>
      </c>
      <c r="EQ2" s="2" t="s">
        <v>24</v>
      </c>
      <c r="ET2" s="2" t="s">
        <v>17</v>
      </c>
      <c r="EU2" s="2" t="s">
        <v>18</v>
      </c>
      <c r="EV2" s="2" t="s">
        <v>19</v>
      </c>
      <c r="EW2" s="2" t="s">
        <v>20</v>
      </c>
      <c r="EX2" s="2" t="s">
        <v>21</v>
      </c>
      <c r="EY2" s="2" t="s">
        <v>22</v>
      </c>
      <c r="EZ2" s="2" t="s">
        <v>23</v>
      </c>
      <c r="FA2" s="2" t="s">
        <v>24</v>
      </c>
      <c r="FD2" s="2" t="s">
        <v>17</v>
      </c>
      <c r="FE2" s="2" t="s">
        <v>18</v>
      </c>
      <c r="FF2" s="2" t="s">
        <v>19</v>
      </c>
      <c r="FG2" s="2" t="s">
        <v>20</v>
      </c>
      <c r="FH2" s="2" t="s">
        <v>21</v>
      </c>
      <c r="FI2" s="2" t="s">
        <v>22</v>
      </c>
      <c r="FJ2" s="2" t="s">
        <v>23</v>
      </c>
      <c r="FK2" s="2" t="s">
        <v>24</v>
      </c>
    </row>
    <row r="3" spans="2:167">
      <c r="B3" s="53" t="s">
        <v>28</v>
      </c>
      <c r="C3" s="5">
        <f t="shared" ref="C3:J3" si="0">SUM(C50:C61)</f>
        <v>4330</v>
      </c>
      <c r="D3" s="5">
        <f t="shared" si="0"/>
        <v>6539</v>
      </c>
      <c r="E3" s="5">
        <f t="shared" si="0"/>
        <v>18728</v>
      </c>
      <c r="F3" s="5">
        <f t="shared" si="0"/>
        <v>9217</v>
      </c>
      <c r="G3" s="5">
        <f t="shared" si="0"/>
        <v>11336</v>
      </c>
      <c r="H3" s="5">
        <f t="shared" si="0"/>
        <v>9177</v>
      </c>
      <c r="I3" s="5">
        <f t="shared" si="0"/>
        <v>14171</v>
      </c>
      <c r="J3" s="5">
        <f t="shared" si="0"/>
        <v>74084</v>
      </c>
      <c r="L3" s="53" t="s">
        <v>28</v>
      </c>
      <c r="M3" s="5">
        <f t="shared" ref="M3:T3" si="1">SUM(M50:M61)</f>
        <v>4330</v>
      </c>
      <c r="N3" s="5">
        <f t="shared" si="1"/>
        <v>6539</v>
      </c>
      <c r="O3" s="5">
        <f t="shared" si="1"/>
        <v>18728</v>
      </c>
      <c r="P3" s="5">
        <f t="shared" si="1"/>
        <v>9217</v>
      </c>
      <c r="Q3" s="5">
        <f t="shared" si="1"/>
        <v>11336</v>
      </c>
      <c r="R3" s="5">
        <f t="shared" si="1"/>
        <v>9177</v>
      </c>
      <c r="S3" s="5">
        <f t="shared" si="1"/>
        <v>14171</v>
      </c>
      <c r="T3" s="5">
        <f t="shared" si="1"/>
        <v>74084</v>
      </c>
      <c r="U3" s="5"/>
      <c r="V3" s="53" t="s">
        <v>28</v>
      </c>
      <c r="W3" s="5">
        <f t="shared" ref="W3:AD3" si="2">SUM(W50:W61)</f>
        <v>2035880</v>
      </c>
      <c r="X3" s="5">
        <f t="shared" si="2"/>
        <v>3351262</v>
      </c>
      <c r="Y3" s="5">
        <f t="shared" si="2"/>
        <v>6304361</v>
      </c>
      <c r="Z3" s="5">
        <f t="shared" si="2"/>
        <v>6052241</v>
      </c>
      <c r="AA3" s="5">
        <f t="shared" si="2"/>
        <v>5503121</v>
      </c>
      <c r="AB3" s="5">
        <f t="shared" si="2"/>
        <v>5109111</v>
      </c>
      <c r="AC3" s="5">
        <f t="shared" si="2"/>
        <v>7209596</v>
      </c>
      <c r="AD3" s="5">
        <f t="shared" si="2"/>
        <v>36706663</v>
      </c>
      <c r="AE3" s="7"/>
      <c r="AF3" s="53" t="s">
        <v>28</v>
      </c>
      <c r="AG3" s="5">
        <f t="shared" ref="AG3:AN3" si="3">SUM(AG50:AG61)</f>
        <v>1592067</v>
      </c>
      <c r="AH3" s="5">
        <f t="shared" si="3"/>
        <v>2550908</v>
      </c>
      <c r="AI3" s="5">
        <f t="shared" si="3"/>
        <v>4849250</v>
      </c>
      <c r="AJ3" s="5">
        <f t="shared" si="3"/>
        <v>4598493</v>
      </c>
      <c r="AK3" s="5">
        <f t="shared" si="3"/>
        <v>4347201</v>
      </c>
      <c r="AL3" s="5">
        <f t="shared" si="3"/>
        <v>3969124</v>
      </c>
      <c r="AM3" s="5">
        <f t="shared" si="3"/>
        <v>5568814</v>
      </c>
      <c r="AN3" s="5">
        <f t="shared" si="3"/>
        <v>28207432</v>
      </c>
      <c r="AO3" s="5"/>
      <c r="AP3" s="53" t="s">
        <v>28</v>
      </c>
      <c r="AQ3" s="5">
        <f t="shared" ref="AQ3:AX3" si="4">SUM(AQ50:AQ61)</f>
        <v>0</v>
      </c>
      <c r="AR3" s="5">
        <f t="shared" si="4"/>
        <v>0</v>
      </c>
      <c r="AS3" s="5">
        <f t="shared" si="4"/>
        <v>0</v>
      </c>
      <c r="AT3" s="5">
        <f t="shared" si="4"/>
        <v>0</v>
      </c>
      <c r="AU3" s="5">
        <f t="shared" si="4"/>
        <v>0</v>
      </c>
      <c r="AV3" s="5">
        <f t="shared" si="4"/>
        <v>0</v>
      </c>
      <c r="AW3" s="5">
        <f t="shared" si="4"/>
        <v>0</v>
      </c>
      <c r="AX3" s="5">
        <f t="shared" si="4"/>
        <v>0</v>
      </c>
      <c r="AY3" s="8"/>
      <c r="AZ3" s="53" t="s">
        <v>28</v>
      </c>
      <c r="BA3" s="5">
        <f>SUM(BA50:BA61)</f>
        <v>2165412</v>
      </c>
      <c r="BB3" s="8"/>
      <c r="BC3" s="5">
        <f>SUM(BC50:BC61)</f>
        <v>1382533</v>
      </c>
      <c r="BD3" s="5">
        <f t="shared" ref="BD3:BJ3" si="5">SUM(BD50:BD61)</f>
        <v>2100926</v>
      </c>
      <c r="BE3" s="5">
        <f t="shared" si="5"/>
        <v>5302232</v>
      </c>
      <c r="BF3" s="5">
        <f t="shared" si="5"/>
        <v>2574418</v>
      </c>
      <c r="BG3" s="5">
        <f t="shared" si="5"/>
        <v>2473390</v>
      </c>
      <c r="BH3" s="5">
        <f t="shared" si="5"/>
        <v>3576439</v>
      </c>
      <c r="BI3" s="5">
        <f t="shared" si="5"/>
        <v>3338475</v>
      </c>
      <c r="BJ3" s="5">
        <f t="shared" si="5"/>
        <v>20748413</v>
      </c>
      <c r="BK3" s="5">
        <f>SUM(BK50:BK61)</f>
        <v>20758263</v>
      </c>
      <c r="BL3" s="8"/>
      <c r="BM3" s="5">
        <f t="shared" ref="BM3:BU3" si="6">SUM(BM50:BM61)</f>
        <v>782879</v>
      </c>
      <c r="BN3" s="5">
        <f t="shared" si="6"/>
        <v>1502872</v>
      </c>
      <c r="BO3" s="5">
        <f t="shared" si="6"/>
        <v>3410524</v>
      </c>
      <c r="BP3" s="5">
        <f t="shared" si="6"/>
        <v>1670443</v>
      </c>
      <c r="BQ3" s="5">
        <f t="shared" si="6"/>
        <v>1621384</v>
      </c>
      <c r="BR3" s="5">
        <f t="shared" si="6"/>
        <v>1960699</v>
      </c>
      <c r="BS3" s="5">
        <f t="shared" si="6"/>
        <v>2225417</v>
      </c>
      <c r="BT3" s="5">
        <f t="shared" si="6"/>
        <v>13174218</v>
      </c>
      <c r="BU3" s="5">
        <f t="shared" si="6"/>
        <v>13177283</v>
      </c>
      <c r="BV3" s="8"/>
      <c r="BW3" s="53" t="s">
        <v>28</v>
      </c>
      <c r="BX3" s="5">
        <f t="shared" ref="BX3:CF3" si="7">SUM(BX50:BX61)</f>
        <v>89194</v>
      </c>
      <c r="BY3" s="5">
        <f t="shared" si="7"/>
        <v>182613</v>
      </c>
      <c r="BZ3" s="5">
        <f t="shared" si="7"/>
        <v>339902</v>
      </c>
      <c r="CA3" s="5">
        <f t="shared" si="7"/>
        <v>320129</v>
      </c>
      <c r="CB3" s="5">
        <f t="shared" si="7"/>
        <v>238169</v>
      </c>
      <c r="CC3" s="5">
        <f t="shared" si="7"/>
        <v>249571</v>
      </c>
      <c r="CD3" s="5">
        <f t="shared" si="7"/>
        <v>394247</v>
      </c>
      <c r="CE3" s="5">
        <f t="shared" si="7"/>
        <v>1813825</v>
      </c>
      <c r="CF3" s="5">
        <f t="shared" si="7"/>
        <v>1728761</v>
      </c>
      <c r="CG3" s="8"/>
      <c r="CH3" s="53" t="s">
        <v>28</v>
      </c>
      <c r="CI3" s="5">
        <f t="shared" ref="CI3:CQ3" si="8">SUM(CI50:CI61)</f>
        <v>42281</v>
      </c>
      <c r="CJ3" s="5">
        <f t="shared" si="8"/>
        <v>92549</v>
      </c>
      <c r="CK3" s="5">
        <f t="shared" si="8"/>
        <v>170076</v>
      </c>
      <c r="CL3" s="5">
        <f t="shared" si="8"/>
        <v>161651</v>
      </c>
      <c r="CM3" s="5">
        <f t="shared" si="8"/>
        <v>113588</v>
      </c>
      <c r="CN3" s="5">
        <f t="shared" si="8"/>
        <v>121094</v>
      </c>
      <c r="CO3" s="5">
        <f t="shared" si="8"/>
        <v>197822</v>
      </c>
      <c r="CP3" s="5">
        <f t="shared" si="8"/>
        <v>899061</v>
      </c>
      <c r="CQ3" s="5">
        <f t="shared" si="8"/>
        <v>768740</v>
      </c>
      <c r="CR3" s="8"/>
      <c r="CS3" s="53" t="s">
        <v>28</v>
      </c>
      <c r="CT3" s="5">
        <f t="shared" ref="CT3:DB3" si="9">SUM(CT50:CT61)</f>
        <v>46913</v>
      </c>
      <c r="CU3" s="5">
        <f t="shared" si="9"/>
        <v>90064</v>
      </c>
      <c r="CV3" s="5">
        <f t="shared" si="9"/>
        <v>169826</v>
      </c>
      <c r="CW3" s="5">
        <f t="shared" si="9"/>
        <v>158478</v>
      </c>
      <c r="CX3" s="5">
        <f t="shared" si="9"/>
        <v>124581</v>
      </c>
      <c r="CY3" s="5">
        <f t="shared" si="9"/>
        <v>128477</v>
      </c>
      <c r="CZ3" s="5">
        <f t="shared" si="9"/>
        <v>196425</v>
      </c>
      <c r="DA3" s="5">
        <f t="shared" si="9"/>
        <v>914764</v>
      </c>
      <c r="DB3" s="5">
        <f t="shared" si="9"/>
        <v>960021</v>
      </c>
      <c r="DC3" s="8"/>
      <c r="DD3" s="53" t="s">
        <v>28</v>
      </c>
      <c r="DE3" s="5">
        <f t="shared" ref="DE3:DM3" si="10">SUM(DE50:DE61)</f>
        <v>359856</v>
      </c>
      <c r="DF3" s="5">
        <f t="shared" si="10"/>
        <v>584457</v>
      </c>
      <c r="DG3" s="5">
        <f t="shared" si="10"/>
        <v>1103246</v>
      </c>
      <c r="DH3" s="5">
        <f t="shared" si="10"/>
        <v>1032905</v>
      </c>
      <c r="DI3" s="5">
        <f t="shared" si="10"/>
        <v>879558</v>
      </c>
      <c r="DJ3" s="5">
        <f t="shared" si="10"/>
        <v>844887</v>
      </c>
      <c r="DK3" s="5">
        <f t="shared" si="10"/>
        <v>1410224</v>
      </c>
      <c r="DL3" s="5">
        <f t="shared" si="10"/>
        <v>6215133</v>
      </c>
      <c r="DM3" s="5">
        <f t="shared" si="10"/>
        <v>6374314</v>
      </c>
      <c r="DN3" s="8"/>
      <c r="DO3" s="53" t="s">
        <v>28</v>
      </c>
      <c r="DP3" s="5">
        <f t="shared" ref="DP3:DW3" si="11">SUM(DP50:DP61)</f>
        <v>0</v>
      </c>
      <c r="DQ3" s="5">
        <f t="shared" si="11"/>
        <v>0</v>
      </c>
      <c r="DR3" s="5">
        <f t="shared" si="11"/>
        <v>0</v>
      </c>
      <c r="DS3" s="5">
        <f t="shared" si="11"/>
        <v>0</v>
      </c>
      <c r="DT3" s="5">
        <f t="shared" si="11"/>
        <v>0</v>
      </c>
      <c r="DU3" s="5">
        <f t="shared" si="11"/>
        <v>0</v>
      </c>
      <c r="DV3" s="5">
        <f t="shared" si="11"/>
        <v>0</v>
      </c>
      <c r="DW3" s="5">
        <f t="shared" si="11"/>
        <v>0</v>
      </c>
      <c r="DX3" s="8"/>
      <c r="DY3" s="53" t="s">
        <v>28</v>
      </c>
      <c r="DZ3" s="5">
        <f t="shared" ref="DZ3:EG3" si="12">SUM(DZ50:DZ61)</f>
        <v>0</v>
      </c>
      <c r="EA3" s="5">
        <f t="shared" si="12"/>
        <v>0</v>
      </c>
      <c r="EB3" s="5">
        <f t="shared" si="12"/>
        <v>0</v>
      </c>
      <c r="EC3" s="5">
        <f t="shared" si="12"/>
        <v>0</v>
      </c>
      <c r="ED3" s="5">
        <f t="shared" si="12"/>
        <v>0</v>
      </c>
      <c r="EE3" s="5">
        <f t="shared" si="12"/>
        <v>0</v>
      </c>
      <c r="EF3" s="5">
        <f t="shared" si="12"/>
        <v>0</v>
      </c>
      <c r="EG3" s="5">
        <f t="shared" si="12"/>
        <v>0</v>
      </c>
      <c r="EI3" s="53" t="s">
        <v>28</v>
      </c>
      <c r="EJ3" s="5">
        <f t="shared" ref="EJ3:EQ3" si="13">SUM(EJ50:EJ61)</f>
        <v>0</v>
      </c>
      <c r="EK3" s="5">
        <f t="shared" si="13"/>
        <v>0</v>
      </c>
      <c r="EL3" s="5">
        <f t="shared" si="13"/>
        <v>0</v>
      </c>
      <c r="EM3" s="5">
        <f t="shared" si="13"/>
        <v>0</v>
      </c>
      <c r="EN3" s="5">
        <f t="shared" si="13"/>
        <v>0</v>
      </c>
      <c r="EO3" s="5">
        <f t="shared" si="13"/>
        <v>0</v>
      </c>
      <c r="EP3" s="5">
        <f t="shared" si="13"/>
        <v>0</v>
      </c>
      <c r="EQ3" s="5">
        <f t="shared" si="13"/>
        <v>0</v>
      </c>
      <c r="ES3" s="53" t="s">
        <v>28</v>
      </c>
      <c r="ET3" s="5">
        <f t="shared" ref="ET3:FA3" si="14">SUM(ET50:ET61)</f>
        <v>0</v>
      </c>
      <c r="EU3" s="5">
        <f t="shared" si="14"/>
        <v>0</v>
      </c>
      <c r="EV3" s="5">
        <f t="shared" si="14"/>
        <v>0</v>
      </c>
      <c r="EW3" s="5">
        <f t="shared" si="14"/>
        <v>0</v>
      </c>
      <c r="EX3" s="5">
        <f t="shared" si="14"/>
        <v>0</v>
      </c>
      <c r="EY3" s="5">
        <f t="shared" si="14"/>
        <v>0</v>
      </c>
      <c r="EZ3" s="5">
        <f t="shared" si="14"/>
        <v>0</v>
      </c>
      <c r="FA3" s="5">
        <f t="shared" si="14"/>
        <v>0</v>
      </c>
      <c r="FC3" s="53" t="s">
        <v>28</v>
      </c>
      <c r="FD3" s="5">
        <f t="shared" ref="FD3:FK3" si="15">SUM(FD50:FD61)</f>
        <v>0</v>
      </c>
      <c r="FE3" s="5">
        <f t="shared" si="15"/>
        <v>0</v>
      </c>
      <c r="FF3" s="5">
        <f t="shared" si="15"/>
        <v>0</v>
      </c>
      <c r="FG3" s="5">
        <f t="shared" si="15"/>
        <v>0</v>
      </c>
      <c r="FH3" s="5">
        <f t="shared" si="15"/>
        <v>0</v>
      </c>
      <c r="FI3" s="5">
        <f t="shared" si="15"/>
        <v>0</v>
      </c>
      <c r="FJ3" s="5">
        <f t="shared" si="15"/>
        <v>0</v>
      </c>
      <c r="FK3" s="5">
        <f t="shared" si="15"/>
        <v>0</v>
      </c>
    </row>
    <row r="4" spans="2:167">
      <c r="B4" s="264" t="s">
        <v>29</v>
      </c>
      <c r="C4" s="20">
        <f t="shared" ref="C4:J4" si="16">SUM(C52,C56,C57,C60:C61)</f>
        <v>1954</v>
      </c>
      <c r="D4" s="20">
        <f t="shared" si="16"/>
        <v>3078</v>
      </c>
      <c r="E4" s="20">
        <f t="shared" si="16"/>
        <v>8917</v>
      </c>
      <c r="F4" s="20">
        <f t="shared" si="16"/>
        <v>4222</v>
      </c>
      <c r="G4" s="20">
        <f t="shared" si="16"/>
        <v>5422</v>
      </c>
      <c r="H4" s="20">
        <f t="shared" si="16"/>
        <v>4368</v>
      </c>
      <c r="I4" s="20">
        <f t="shared" si="16"/>
        <v>6790</v>
      </c>
      <c r="J4" s="20">
        <f t="shared" si="16"/>
        <v>34917</v>
      </c>
      <c r="L4" s="163" t="s">
        <v>29</v>
      </c>
      <c r="M4" s="5">
        <f>SUM(M52,M57,M60:M61)</f>
        <v>1623</v>
      </c>
      <c r="N4" s="5">
        <f t="shared" ref="N4:T4" si="17">SUM(N52,N57,N60:N61)</f>
        <v>2493</v>
      </c>
      <c r="O4" s="5">
        <f t="shared" si="17"/>
        <v>7412</v>
      </c>
      <c r="P4" s="5">
        <f t="shared" si="17"/>
        <v>3412</v>
      </c>
      <c r="Q4" s="5">
        <f t="shared" si="17"/>
        <v>4488</v>
      </c>
      <c r="R4" s="5">
        <f t="shared" si="17"/>
        <v>3674</v>
      </c>
      <c r="S4" s="5">
        <f t="shared" si="17"/>
        <v>5585</v>
      </c>
      <c r="T4" s="5">
        <f t="shared" si="17"/>
        <v>28817</v>
      </c>
      <c r="U4" s="5"/>
      <c r="V4" s="163" t="s">
        <v>29</v>
      </c>
      <c r="W4" s="5">
        <f t="shared" ref="W4:AD4" si="18">SUM(W52,W57,W60:W61)</f>
        <v>743117</v>
      </c>
      <c r="X4" s="5">
        <f t="shared" si="18"/>
        <v>1195036</v>
      </c>
      <c r="Y4" s="5">
        <f t="shared" si="18"/>
        <v>2294121</v>
      </c>
      <c r="Z4" s="5">
        <f t="shared" si="18"/>
        <v>2117717</v>
      </c>
      <c r="AA4" s="5">
        <f t="shared" si="18"/>
        <v>2034315</v>
      </c>
      <c r="AB4" s="5">
        <f t="shared" si="18"/>
        <v>1832174</v>
      </c>
      <c r="AC4" s="5">
        <f t="shared" si="18"/>
        <v>2537458</v>
      </c>
      <c r="AD4" s="5">
        <f t="shared" si="18"/>
        <v>13126705</v>
      </c>
      <c r="AE4" s="7"/>
      <c r="AF4" s="163" t="s">
        <v>29</v>
      </c>
      <c r="AG4" s="5">
        <f t="shared" ref="AG4:AN4" si="19">SUM(AG52,AG57,AG60:AG61)</f>
        <v>591201</v>
      </c>
      <c r="AH4" s="5">
        <f t="shared" si="19"/>
        <v>931638</v>
      </c>
      <c r="AI4" s="5">
        <f t="shared" si="19"/>
        <v>1808606</v>
      </c>
      <c r="AJ4" s="5">
        <f t="shared" si="19"/>
        <v>1648861</v>
      </c>
      <c r="AK4" s="5">
        <f t="shared" si="19"/>
        <v>1618605</v>
      </c>
      <c r="AL4" s="5">
        <f t="shared" si="19"/>
        <v>1470063</v>
      </c>
      <c r="AM4" s="5">
        <f t="shared" si="19"/>
        <v>1991434</v>
      </c>
      <c r="AN4" s="5">
        <f t="shared" si="19"/>
        <v>10291299</v>
      </c>
      <c r="AO4" s="5"/>
      <c r="AP4" s="163" t="s">
        <v>29</v>
      </c>
      <c r="AQ4" s="5">
        <f t="shared" ref="AQ4:AX4" si="20">SUM(AQ52,AQ57,AQ60:AQ61)</f>
        <v>0</v>
      </c>
      <c r="AR4" s="5">
        <f t="shared" si="20"/>
        <v>0</v>
      </c>
      <c r="AS4" s="5">
        <f t="shared" si="20"/>
        <v>0</v>
      </c>
      <c r="AT4" s="5">
        <f t="shared" si="20"/>
        <v>0</v>
      </c>
      <c r="AU4" s="5">
        <f t="shared" si="20"/>
        <v>0</v>
      </c>
      <c r="AV4" s="5">
        <f t="shared" si="20"/>
        <v>0</v>
      </c>
      <c r="AW4" s="5">
        <f t="shared" si="20"/>
        <v>0</v>
      </c>
      <c r="AX4" s="5">
        <f t="shared" si="20"/>
        <v>0</v>
      </c>
      <c r="AY4" s="8"/>
      <c r="AZ4" s="254" t="s">
        <v>29</v>
      </c>
      <c r="BA4" s="20">
        <f>SUM(BA52,BA56,BA57,BA60:BA61)</f>
        <v>946497</v>
      </c>
      <c r="BB4" s="57"/>
      <c r="BC4" s="20">
        <f>SUM(BC52,BC56,BC57,BC60:BC61)</f>
        <v>607242</v>
      </c>
      <c r="BD4" s="20">
        <f t="shared" ref="BD4:BJ4" si="21">SUM(BD52,BD56,BD57,BD60:BD61)</f>
        <v>920836</v>
      </c>
      <c r="BE4" s="20">
        <f t="shared" si="21"/>
        <v>2361144</v>
      </c>
      <c r="BF4" s="20">
        <f t="shared" si="21"/>
        <v>1109115</v>
      </c>
      <c r="BG4" s="20">
        <f t="shared" si="21"/>
        <v>1071680</v>
      </c>
      <c r="BH4" s="20">
        <f t="shared" si="21"/>
        <v>1585955</v>
      </c>
      <c r="BI4" s="20">
        <f t="shared" si="21"/>
        <v>1418404</v>
      </c>
      <c r="BJ4" s="20">
        <f t="shared" si="21"/>
        <v>9074376</v>
      </c>
      <c r="BK4" s="20">
        <f t="shared" ref="BK4" si="22">SUM(BK52,BK56,BK57,BK60:BK61)</f>
        <v>9082638</v>
      </c>
      <c r="BL4" s="57"/>
      <c r="BM4" s="20">
        <f t="shared" ref="BM4:BU4" si="23">SUM(BM52,BM56,BM57,BM60:BM61)</f>
        <v>339255</v>
      </c>
      <c r="BN4" s="20">
        <f t="shared" si="23"/>
        <v>653047</v>
      </c>
      <c r="BO4" s="20">
        <f t="shared" si="23"/>
        <v>1547497</v>
      </c>
      <c r="BP4" s="20">
        <f t="shared" si="23"/>
        <v>729763</v>
      </c>
      <c r="BQ4" s="20">
        <f t="shared" si="23"/>
        <v>691721</v>
      </c>
      <c r="BR4" s="20">
        <f t="shared" si="23"/>
        <v>874382</v>
      </c>
      <c r="BS4" s="20">
        <f t="shared" si="23"/>
        <v>946814</v>
      </c>
      <c r="BT4" s="20">
        <f t="shared" si="23"/>
        <v>5782479</v>
      </c>
      <c r="BU4" s="20">
        <f t="shared" si="23"/>
        <v>5784968</v>
      </c>
      <c r="BV4" s="8"/>
      <c r="BW4" s="163" t="s">
        <v>29</v>
      </c>
      <c r="BX4" s="5">
        <f t="shared" ref="BX4:CF4" si="24">SUM(BX52,BX57,BX60:BX61)</f>
        <v>32433</v>
      </c>
      <c r="BY4" s="5">
        <f t="shared" si="24"/>
        <v>62967</v>
      </c>
      <c r="BZ4" s="5">
        <f t="shared" si="24"/>
        <v>121423</v>
      </c>
      <c r="CA4" s="5">
        <f t="shared" si="24"/>
        <v>107647</v>
      </c>
      <c r="CB4" s="5">
        <f t="shared" si="24"/>
        <v>82990</v>
      </c>
      <c r="CC4" s="5">
        <f t="shared" si="24"/>
        <v>86052</v>
      </c>
      <c r="CD4" s="5">
        <f t="shared" si="24"/>
        <v>133470</v>
      </c>
      <c r="CE4" s="5">
        <f t="shared" si="24"/>
        <v>626982</v>
      </c>
      <c r="CF4" s="5">
        <f t="shared" si="24"/>
        <v>622333</v>
      </c>
      <c r="CG4" s="8"/>
      <c r="CH4" s="163" t="s">
        <v>29</v>
      </c>
      <c r="CI4" s="5">
        <f t="shared" ref="CI4:CQ4" si="25">SUM(CI52,CI57,CI60:CI61)</f>
        <v>14554</v>
      </c>
      <c r="CJ4" s="5">
        <f t="shared" si="25"/>
        <v>30387</v>
      </c>
      <c r="CK4" s="5">
        <f t="shared" si="25"/>
        <v>57719</v>
      </c>
      <c r="CL4" s="5">
        <f t="shared" si="25"/>
        <v>51260</v>
      </c>
      <c r="CM4" s="5">
        <f t="shared" si="25"/>
        <v>37094</v>
      </c>
      <c r="CN4" s="5">
        <f t="shared" si="25"/>
        <v>39100</v>
      </c>
      <c r="CO4" s="5">
        <f t="shared" si="25"/>
        <v>63190</v>
      </c>
      <c r="CP4" s="5">
        <f t="shared" si="25"/>
        <v>293304</v>
      </c>
      <c r="CQ4" s="5">
        <f t="shared" si="25"/>
        <v>267840</v>
      </c>
      <c r="CR4" s="8"/>
      <c r="CS4" s="163" t="s">
        <v>29</v>
      </c>
      <c r="CT4" s="5">
        <f t="shared" ref="CT4:DB4" si="26">SUM(CT52,CT57,CT60:CT61)</f>
        <v>17879</v>
      </c>
      <c r="CU4" s="5">
        <f t="shared" si="26"/>
        <v>32580</v>
      </c>
      <c r="CV4" s="5">
        <f t="shared" si="26"/>
        <v>63704</v>
      </c>
      <c r="CW4" s="5">
        <f t="shared" si="26"/>
        <v>56387</v>
      </c>
      <c r="CX4" s="5">
        <f t="shared" si="26"/>
        <v>45896</v>
      </c>
      <c r="CY4" s="5">
        <f t="shared" si="26"/>
        <v>46952</v>
      </c>
      <c r="CZ4" s="5">
        <f t="shared" si="26"/>
        <v>70280</v>
      </c>
      <c r="DA4" s="5">
        <f t="shared" si="26"/>
        <v>333678</v>
      </c>
      <c r="DB4" s="5">
        <f t="shared" si="26"/>
        <v>354493</v>
      </c>
      <c r="DC4" s="8"/>
      <c r="DD4" s="163" t="s">
        <v>29</v>
      </c>
      <c r="DE4" s="5">
        <f t="shared" ref="DE4:DM4" si="27">SUM(DE52,DE57,DE60:DE61)</f>
        <v>139243</v>
      </c>
      <c r="DF4" s="5">
        <f t="shared" si="27"/>
        <v>220667</v>
      </c>
      <c r="DG4" s="5">
        <f t="shared" si="27"/>
        <v>430789</v>
      </c>
      <c r="DH4" s="5">
        <f t="shared" si="27"/>
        <v>385348</v>
      </c>
      <c r="DI4" s="5">
        <f t="shared" si="27"/>
        <v>332040</v>
      </c>
      <c r="DJ4" s="5">
        <f t="shared" si="27"/>
        <v>323709</v>
      </c>
      <c r="DK4" s="5">
        <f t="shared" si="27"/>
        <v>511648</v>
      </c>
      <c r="DL4" s="5">
        <f t="shared" si="27"/>
        <v>2343444</v>
      </c>
      <c r="DM4" s="5">
        <f t="shared" si="27"/>
        <v>2395842</v>
      </c>
      <c r="DN4" s="8"/>
      <c r="DO4" s="163" t="s">
        <v>29</v>
      </c>
      <c r="DP4" s="5">
        <f t="shared" ref="DP4:DW4" si="28">SUM(DP52,DP57,DP60:DP61)</f>
        <v>0</v>
      </c>
      <c r="DQ4" s="5">
        <f t="shared" si="28"/>
        <v>0</v>
      </c>
      <c r="DR4" s="5">
        <f t="shared" si="28"/>
        <v>0</v>
      </c>
      <c r="DS4" s="5">
        <f t="shared" si="28"/>
        <v>0</v>
      </c>
      <c r="DT4" s="5">
        <f t="shared" si="28"/>
        <v>0</v>
      </c>
      <c r="DU4" s="5">
        <f t="shared" si="28"/>
        <v>0</v>
      </c>
      <c r="DV4" s="5">
        <f t="shared" si="28"/>
        <v>0</v>
      </c>
      <c r="DW4" s="5">
        <f t="shared" si="28"/>
        <v>0</v>
      </c>
      <c r="DX4" s="8"/>
      <c r="DY4" s="163" t="s">
        <v>29</v>
      </c>
      <c r="DZ4" s="5">
        <f t="shared" ref="DZ4:EG4" si="29">SUM(DZ52,DZ57,DZ60:DZ61)</f>
        <v>0</v>
      </c>
      <c r="EA4" s="5">
        <f t="shared" si="29"/>
        <v>0</v>
      </c>
      <c r="EB4" s="5">
        <f t="shared" si="29"/>
        <v>0</v>
      </c>
      <c r="EC4" s="5">
        <f t="shared" si="29"/>
        <v>0</v>
      </c>
      <c r="ED4" s="5">
        <f t="shared" si="29"/>
        <v>0</v>
      </c>
      <c r="EE4" s="5">
        <f t="shared" si="29"/>
        <v>0</v>
      </c>
      <c r="EF4" s="5">
        <f t="shared" si="29"/>
        <v>0</v>
      </c>
      <c r="EG4" s="5">
        <f t="shared" si="29"/>
        <v>0</v>
      </c>
      <c r="EI4" s="163" t="s">
        <v>29</v>
      </c>
      <c r="EJ4" s="5">
        <f t="shared" ref="EJ4:EQ4" si="30">SUM(EJ52,EJ57,EJ60:EJ61)</f>
        <v>0</v>
      </c>
      <c r="EK4" s="5">
        <f t="shared" si="30"/>
        <v>0</v>
      </c>
      <c r="EL4" s="5">
        <f t="shared" si="30"/>
        <v>0</v>
      </c>
      <c r="EM4" s="5">
        <f t="shared" si="30"/>
        <v>0</v>
      </c>
      <c r="EN4" s="5">
        <f t="shared" si="30"/>
        <v>0</v>
      </c>
      <c r="EO4" s="5">
        <f t="shared" si="30"/>
        <v>0</v>
      </c>
      <c r="EP4" s="5">
        <f t="shared" si="30"/>
        <v>0</v>
      </c>
      <c r="EQ4" s="5">
        <f t="shared" si="30"/>
        <v>0</v>
      </c>
      <c r="ES4" s="163" t="s">
        <v>29</v>
      </c>
      <c r="ET4" s="5">
        <f t="shared" ref="ET4:FA4" si="31">SUM(ET52,ET57,ET60:ET61)</f>
        <v>0</v>
      </c>
      <c r="EU4" s="5">
        <f t="shared" si="31"/>
        <v>0</v>
      </c>
      <c r="EV4" s="5">
        <f t="shared" si="31"/>
        <v>0</v>
      </c>
      <c r="EW4" s="5">
        <f t="shared" si="31"/>
        <v>0</v>
      </c>
      <c r="EX4" s="5">
        <f t="shared" si="31"/>
        <v>0</v>
      </c>
      <c r="EY4" s="5">
        <f t="shared" si="31"/>
        <v>0</v>
      </c>
      <c r="EZ4" s="5">
        <f t="shared" si="31"/>
        <v>0</v>
      </c>
      <c r="FA4" s="5">
        <f t="shared" si="31"/>
        <v>0</v>
      </c>
      <c r="FC4" s="163" t="s">
        <v>29</v>
      </c>
      <c r="FD4" s="5">
        <f t="shared" ref="FD4:FK4" si="32">SUM(FD52,FD57,FD60:FD61)</f>
        <v>0</v>
      </c>
      <c r="FE4" s="5">
        <f t="shared" si="32"/>
        <v>0</v>
      </c>
      <c r="FF4" s="5">
        <f t="shared" si="32"/>
        <v>0</v>
      </c>
      <c r="FG4" s="5">
        <f t="shared" si="32"/>
        <v>0</v>
      </c>
      <c r="FH4" s="5">
        <f t="shared" si="32"/>
        <v>0</v>
      </c>
      <c r="FI4" s="5">
        <f t="shared" si="32"/>
        <v>0</v>
      </c>
      <c r="FJ4" s="5">
        <f t="shared" si="32"/>
        <v>0</v>
      </c>
      <c r="FK4" s="5">
        <f t="shared" si="32"/>
        <v>0</v>
      </c>
    </row>
    <row r="5" spans="2:167">
      <c r="B5" s="264" t="s">
        <v>30</v>
      </c>
      <c r="C5" s="20">
        <f t="shared" ref="C5:J5" si="33">SUM(C50,C51,C53,C54,C55,C58,C59)</f>
        <v>2376</v>
      </c>
      <c r="D5" s="20">
        <f t="shared" si="33"/>
        <v>3461</v>
      </c>
      <c r="E5" s="20">
        <f t="shared" si="33"/>
        <v>9811</v>
      </c>
      <c r="F5" s="20">
        <f t="shared" si="33"/>
        <v>4995</v>
      </c>
      <c r="G5" s="20">
        <f t="shared" si="33"/>
        <v>5914</v>
      </c>
      <c r="H5" s="20">
        <f t="shared" si="33"/>
        <v>4809</v>
      </c>
      <c r="I5" s="20">
        <f t="shared" si="33"/>
        <v>7381</v>
      </c>
      <c r="J5" s="20">
        <f t="shared" si="33"/>
        <v>39167</v>
      </c>
      <c r="L5" s="163" t="s">
        <v>30</v>
      </c>
      <c r="M5" s="5">
        <f t="shared" ref="M5:T5" si="34">SUM(M50,M51,M53,M54,M55,M56,M58,M59)</f>
        <v>2707</v>
      </c>
      <c r="N5" s="5">
        <f t="shared" si="34"/>
        <v>4046</v>
      </c>
      <c r="O5" s="5">
        <f t="shared" si="34"/>
        <v>11316</v>
      </c>
      <c r="P5" s="5">
        <f t="shared" si="34"/>
        <v>5805</v>
      </c>
      <c r="Q5" s="5">
        <f t="shared" si="34"/>
        <v>6848</v>
      </c>
      <c r="R5" s="5">
        <f t="shared" si="34"/>
        <v>5503</v>
      </c>
      <c r="S5" s="5">
        <f t="shared" si="34"/>
        <v>8586</v>
      </c>
      <c r="T5" s="5">
        <f t="shared" si="34"/>
        <v>45267</v>
      </c>
      <c r="U5" s="5"/>
      <c r="V5" s="163" t="s">
        <v>30</v>
      </c>
      <c r="W5" s="5">
        <f t="shared" ref="W5:AD5" si="35">SUM(W50,W51,W53,W54,W55,W56,W58,W59)</f>
        <v>1292763</v>
      </c>
      <c r="X5" s="5">
        <f t="shared" si="35"/>
        <v>2156226</v>
      </c>
      <c r="Y5" s="5">
        <f t="shared" si="35"/>
        <v>4010240</v>
      </c>
      <c r="Z5" s="5">
        <f t="shared" si="35"/>
        <v>3934524</v>
      </c>
      <c r="AA5" s="5">
        <f t="shared" si="35"/>
        <v>3468806</v>
      </c>
      <c r="AB5" s="5">
        <f t="shared" si="35"/>
        <v>3276937</v>
      </c>
      <c r="AC5" s="5">
        <f t="shared" si="35"/>
        <v>4672138</v>
      </c>
      <c r="AD5" s="5">
        <f t="shared" si="35"/>
        <v>23579958</v>
      </c>
      <c r="AE5" s="7"/>
      <c r="AF5" s="163" t="s">
        <v>30</v>
      </c>
      <c r="AG5" s="5">
        <f t="shared" ref="AG5:AN5" si="36">SUM(AG50,AG51,AG53,AG54,AG55,AG56,AG58,AG59)</f>
        <v>1000866</v>
      </c>
      <c r="AH5" s="5">
        <f t="shared" si="36"/>
        <v>1619270</v>
      </c>
      <c r="AI5" s="5">
        <f t="shared" si="36"/>
        <v>3040644</v>
      </c>
      <c r="AJ5" s="5">
        <f t="shared" si="36"/>
        <v>2949632</v>
      </c>
      <c r="AK5" s="5">
        <f t="shared" si="36"/>
        <v>2728596</v>
      </c>
      <c r="AL5" s="5">
        <f t="shared" si="36"/>
        <v>2499061</v>
      </c>
      <c r="AM5" s="5">
        <f t="shared" si="36"/>
        <v>3577380</v>
      </c>
      <c r="AN5" s="5">
        <f t="shared" si="36"/>
        <v>17916133</v>
      </c>
      <c r="AO5" s="5"/>
      <c r="AP5" s="163" t="s">
        <v>30</v>
      </c>
      <c r="AQ5" s="5">
        <f t="shared" ref="AQ5:AX5" si="37">SUM(AQ50,AQ51,AQ53,AQ54,AQ55,AQ56,AQ58,AQ59)</f>
        <v>0</v>
      </c>
      <c r="AR5" s="5">
        <f t="shared" si="37"/>
        <v>0</v>
      </c>
      <c r="AS5" s="5">
        <f t="shared" si="37"/>
        <v>0</v>
      </c>
      <c r="AT5" s="5">
        <f t="shared" si="37"/>
        <v>0</v>
      </c>
      <c r="AU5" s="5">
        <f t="shared" si="37"/>
        <v>0</v>
      </c>
      <c r="AV5" s="5">
        <f t="shared" si="37"/>
        <v>0</v>
      </c>
      <c r="AW5" s="5">
        <f t="shared" si="37"/>
        <v>0</v>
      </c>
      <c r="AX5" s="5">
        <f t="shared" si="37"/>
        <v>0</v>
      </c>
      <c r="AY5" s="8"/>
      <c r="AZ5" s="254" t="s">
        <v>30</v>
      </c>
      <c r="BA5" s="20">
        <f>SUM(BA50,BA51,BA53,BA54,BA55,BA58,BA59)</f>
        <v>1218915</v>
      </c>
      <c r="BB5" s="57"/>
      <c r="BC5" s="20">
        <f>SUM(BC50,BC51,BC53,BC54,BC55,BC58,BC59)</f>
        <v>775291</v>
      </c>
      <c r="BD5" s="20">
        <f t="shared" ref="BD5:BJ5" si="38">SUM(BD50,BD51,BD53,BD54,BD55,BD58,BD59)</f>
        <v>1180090</v>
      </c>
      <c r="BE5" s="20">
        <f t="shared" si="38"/>
        <v>2941088</v>
      </c>
      <c r="BF5" s="20">
        <f t="shared" si="38"/>
        <v>1465303</v>
      </c>
      <c r="BG5" s="20">
        <f t="shared" si="38"/>
        <v>1401710</v>
      </c>
      <c r="BH5" s="20">
        <f t="shared" si="38"/>
        <v>1990484</v>
      </c>
      <c r="BI5" s="20">
        <f t="shared" si="38"/>
        <v>1920071</v>
      </c>
      <c r="BJ5" s="20">
        <f t="shared" si="38"/>
        <v>11674037</v>
      </c>
      <c r="BK5" s="20">
        <f>SUM(BK50,BK51,BK53,BK54,BK55,BK58,BK59)</f>
        <v>11675625</v>
      </c>
      <c r="BL5" s="57"/>
      <c r="BM5" s="20">
        <f t="shared" ref="BM5:BU5" si="39">SUM(BM50,BM51,BM53,BM54,BM55,BM58,BM59)</f>
        <v>443624</v>
      </c>
      <c r="BN5" s="20">
        <f t="shared" si="39"/>
        <v>849825</v>
      </c>
      <c r="BO5" s="20">
        <f t="shared" si="39"/>
        <v>1863027</v>
      </c>
      <c r="BP5" s="20">
        <f t="shared" si="39"/>
        <v>940680</v>
      </c>
      <c r="BQ5" s="20">
        <f t="shared" si="39"/>
        <v>929663</v>
      </c>
      <c r="BR5" s="20">
        <f t="shared" si="39"/>
        <v>1086317</v>
      </c>
      <c r="BS5" s="20">
        <f t="shared" si="39"/>
        <v>1278603</v>
      </c>
      <c r="BT5" s="20">
        <f t="shared" si="39"/>
        <v>7391739</v>
      </c>
      <c r="BU5" s="20">
        <f t="shared" si="39"/>
        <v>7392315</v>
      </c>
      <c r="BV5" s="8"/>
      <c r="BW5" s="163" t="s">
        <v>30</v>
      </c>
      <c r="BX5" s="5">
        <f t="shared" ref="BX5:CF5" si="40">SUM(BX50,BX51,BX53,BX54,BX55,BX56,BX58,BX59)</f>
        <v>56761</v>
      </c>
      <c r="BY5" s="5">
        <f t="shared" si="40"/>
        <v>119646</v>
      </c>
      <c r="BZ5" s="5">
        <f t="shared" si="40"/>
        <v>218479</v>
      </c>
      <c r="CA5" s="5">
        <f t="shared" si="40"/>
        <v>212482</v>
      </c>
      <c r="CB5" s="5">
        <f t="shared" si="40"/>
        <v>155179</v>
      </c>
      <c r="CC5" s="5">
        <f t="shared" si="40"/>
        <v>163519</v>
      </c>
      <c r="CD5" s="5">
        <f t="shared" si="40"/>
        <v>260777</v>
      </c>
      <c r="CE5" s="5">
        <f t="shared" si="40"/>
        <v>1186843</v>
      </c>
      <c r="CF5" s="5">
        <f t="shared" si="40"/>
        <v>1106428</v>
      </c>
      <c r="CG5" s="8"/>
      <c r="CH5" s="163" t="s">
        <v>30</v>
      </c>
      <c r="CI5" s="5">
        <f t="shared" ref="CI5:CQ5" si="41">SUM(CI50,CI51,CI53,CI54,CI55,CI56,CI58,CI59)</f>
        <v>27727</v>
      </c>
      <c r="CJ5" s="5">
        <f t="shared" si="41"/>
        <v>62162</v>
      </c>
      <c r="CK5" s="5">
        <f t="shared" si="41"/>
        <v>112357</v>
      </c>
      <c r="CL5" s="5">
        <f t="shared" si="41"/>
        <v>110391</v>
      </c>
      <c r="CM5" s="5">
        <f t="shared" si="41"/>
        <v>76494</v>
      </c>
      <c r="CN5" s="5">
        <f t="shared" si="41"/>
        <v>81994</v>
      </c>
      <c r="CO5" s="5">
        <f t="shared" si="41"/>
        <v>134632</v>
      </c>
      <c r="CP5" s="5">
        <f t="shared" si="41"/>
        <v>605757</v>
      </c>
      <c r="CQ5" s="5">
        <f t="shared" si="41"/>
        <v>500900</v>
      </c>
      <c r="CR5" s="8"/>
      <c r="CS5" s="163" t="s">
        <v>30</v>
      </c>
      <c r="CT5" s="5">
        <f t="shared" ref="CT5:DB5" si="42">SUM(CT50,CT51,CT53,CT54,CT55,CT56,CT58,CT59)</f>
        <v>29034</v>
      </c>
      <c r="CU5" s="5">
        <f t="shared" si="42"/>
        <v>57484</v>
      </c>
      <c r="CV5" s="5">
        <f t="shared" si="42"/>
        <v>106122</v>
      </c>
      <c r="CW5" s="5">
        <f t="shared" si="42"/>
        <v>102091</v>
      </c>
      <c r="CX5" s="5">
        <f t="shared" si="42"/>
        <v>78685</v>
      </c>
      <c r="CY5" s="5">
        <f t="shared" si="42"/>
        <v>81525</v>
      </c>
      <c r="CZ5" s="5">
        <f t="shared" si="42"/>
        <v>126145</v>
      </c>
      <c r="DA5" s="5">
        <f t="shared" si="42"/>
        <v>581086</v>
      </c>
      <c r="DB5" s="5">
        <f t="shared" si="42"/>
        <v>605528</v>
      </c>
      <c r="DC5" s="8"/>
      <c r="DD5" s="163" t="s">
        <v>30</v>
      </c>
      <c r="DE5" s="5">
        <f t="shared" ref="DE5:DM5" si="43">SUM(DE50,DE51,DE53,DE54,DE55,DE56,DE58,DE59)</f>
        <v>220613</v>
      </c>
      <c r="DF5" s="5">
        <f t="shared" si="43"/>
        <v>363790</v>
      </c>
      <c r="DG5" s="5">
        <f t="shared" si="43"/>
        <v>672457</v>
      </c>
      <c r="DH5" s="5">
        <f t="shared" si="43"/>
        <v>647557</v>
      </c>
      <c r="DI5" s="5">
        <f t="shared" si="43"/>
        <v>547518</v>
      </c>
      <c r="DJ5" s="5">
        <f t="shared" si="43"/>
        <v>521178</v>
      </c>
      <c r="DK5" s="5">
        <f t="shared" si="43"/>
        <v>898576</v>
      </c>
      <c r="DL5" s="5">
        <f t="shared" si="43"/>
        <v>3871689</v>
      </c>
      <c r="DM5" s="5">
        <f t="shared" si="43"/>
        <v>3978472</v>
      </c>
      <c r="DN5" s="8"/>
      <c r="DO5" s="163" t="s">
        <v>30</v>
      </c>
      <c r="DP5" s="5">
        <f t="shared" ref="DP5:DW5" si="44">SUM(DP50,DP51,DP53,DP54,DP55,DP56,DP58,DP59)</f>
        <v>0</v>
      </c>
      <c r="DQ5" s="5">
        <f t="shared" si="44"/>
        <v>0</v>
      </c>
      <c r="DR5" s="5">
        <f t="shared" si="44"/>
        <v>0</v>
      </c>
      <c r="DS5" s="5">
        <f t="shared" si="44"/>
        <v>0</v>
      </c>
      <c r="DT5" s="5">
        <f t="shared" si="44"/>
        <v>0</v>
      </c>
      <c r="DU5" s="5">
        <f t="shared" si="44"/>
        <v>0</v>
      </c>
      <c r="DV5" s="5">
        <f t="shared" si="44"/>
        <v>0</v>
      </c>
      <c r="DW5" s="5">
        <f t="shared" si="44"/>
        <v>0</v>
      </c>
      <c r="DX5" s="8"/>
      <c r="DY5" s="163" t="s">
        <v>30</v>
      </c>
      <c r="DZ5" s="5">
        <f t="shared" ref="DZ5:EG5" si="45">SUM(DZ50,DZ51,DZ53,DZ54,DZ55,DZ56,DZ58,DZ59)</f>
        <v>0</v>
      </c>
      <c r="EA5" s="5">
        <f t="shared" si="45"/>
        <v>0</v>
      </c>
      <c r="EB5" s="5">
        <f t="shared" si="45"/>
        <v>0</v>
      </c>
      <c r="EC5" s="5">
        <f t="shared" si="45"/>
        <v>0</v>
      </c>
      <c r="ED5" s="5">
        <f t="shared" si="45"/>
        <v>0</v>
      </c>
      <c r="EE5" s="5">
        <f t="shared" si="45"/>
        <v>0</v>
      </c>
      <c r="EF5" s="5">
        <f t="shared" si="45"/>
        <v>0</v>
      </c>
      <c r="EG5" s="5">
        <f t="shared" si="45"/>
        <v>0</v>
      </c>
      <c r="EI5" s="163" t="s">
        <v>30</v>
      </c>
      <c r="EJ5" s="5">
        <f t="shared" ref="EJ5:EQ5" si="46">SUM(EJ50,EJ51,EJ53,EJ54,EJ55,EJ56,EJ58,EJ59)</f>
        <v>0</v>
      </c>
      <c r="EK5" s="5">
        <f t="shared" si="46"/>
        <v>0</v>
      </c>
      <c r="EL5" s="5">
        <f t="shared" si="46"/>
        <v>0</v>
      </c>
      <c r="EM5" s="5">
        <f t="shared" si="46"/>
        <v>0</v>
      </c>
      <c r="EN5" s="5">
        <f t="shared" si="46"/>
        <v>0</v>
      </c>
      <c r="EO5" s="5">
        <f t="shared" si="46"/>
        <v>0</v>
      </c>
      <c r="EP5" s="5">
        <f t="shared" si="46"/>
        <v>0</v>
      </c>
      <c r="EQ5" s="5">
        <f t="shared" si="46"/>
        <v>0</v>
      </c>
      <c r="ES5" s="163" t="s">
        <v>30</v>
      </c>
      <c r="ET5" s="5">
        <f t="shared" ref="ET5:FA5" si="47">SUM(ET50,ET51,ET53,ET54,ET55,ET56,ET58,ET59)</f>
        <v>0</v>
      </c>
      <c r="EU5" s="5">
        <f t="shared" si="47"/>
        <v>0</v>
      </c>
      <c r="EV5" s="5">
        <f t="shared" si="47"/>
        <v>0</v>
      </c>
      <c r="EW5" s="5">
        <f t="shared" si="47"/>
        <v>0</v>
      </c>
      <c r="EX5" s="5">
        <f t="shared" si="47"/>
        <v>0</v>
      </c>
      <c r="EY5" s="5">
        <f t="shared" si="47"/>
        <v>0</v>
      </c>
      <c r="EZ5" s="5">
        <f t="shared" si="47"/>
        <v>0</v>
      </c>
      <c r="FA5" s="5">
        <f t="shared" si="47"/>
        <v>0</v>
      </c>
      <c r="FC5" s="163" t="s">
        <v>30</v>
      </c>
      <c r="FD5" s="5">
        <f t="shared" ref="FD5:FK5" si="48">SUM(FD50,FD51,FD53,FD54,FD55,FD56,FD58,FD59)</f>
        <v>0</v>
      </c>
      <c r="FE5" s="5">
        <f t="shared" si="48"/>
        <v>0</v>
      </c>
      <c r="FF5" s="5">
        <f t="shared" si="48"/>
        <v>0</v>
      </c>
      <c r="FG5" s="5">
        <f t="shared" si="48"/>
        <v>0</v>
      </c>
      <c r="FH5" s="5">
        <f t="shared" si="48"/>
        <v>0</v>
      </c>
      <c r="FI5" s="5">
        <f t="shared" si="48"/>
        <v>0</v>
      </c>
      <c r="FJ5" s="5">
        <f t="shared" si="48"/>
        <v>0</v>
      </c>
      <c r="FK5" s="5">
        <f t="shared" si="48"/>
        <v>0</v>
      </c>
    </row>
    <row r="6" spans="2:167">
      <c r="B6" s="163" t="s">
        <v>31</v>
      </c>
      <c r="C6" s="8"/>
      <c r="D6" s="8"/>
      <c r="E6" s="8"/>
      <c r="F6" s="8"/>
      <c r="G6" s="8"/>
      <c r="H6" s="8"/>
      <c r="I6" s="8"/>
      <c r="J6" s="8"/>
      <c r="L6" s="163" t="s">
        <v>31</v>
      </c>
      <c r="M6" s="8"/>
      <c r="N6" s="8"/>
      <c r="O6" s="8"/>
      <c r="P6" s="8"/>
      <c r="Q6" s="8"/>
      <c r="R6" s="8"/>
      <c r="S6" s="8"/>
      <c r="T6" s="8"/>
      <c r="U6" s="5"/>
      <c r="V6" s="163" t="s">
        <v>31</v>
      </c>
      <c r="W6" s="8"/>
      <c r="X6" s="8"/>
      <c r="Y6" s="8"/>
      <c r="Z6" s="8"/>
      <c r="AA6" s="8"/>
      <c r="AB6" s="8"/>
      <c r="AC6" s="8"/>
      <c r="AD6" s="8"/>
      <c r="AE6" s="7"/>
      <c r="AF6" s="163" t="s">
        <v>31</v>
      </c>
      <c r="AG6" s="8"/>
      <c r="AH6" s="8"/>
      <c r="AI6" s="8"/>
      <c r="AJ6" s="8"/>
      <c r="AK6" s="8"/>
      <c r="AL6" s="8"/>
      <c r="AM6" s="8"/>
      <c r="AN6" s="8"/>
      <c r="AO6" s="5"/>
      <c r="AP6" s="163" t="s">
        <v>31</v>
      </c>
      <c r="AQ6" s="8"/>
      <c r="AR6" s="8"/>
      <c r="AS6" s="8"/>
      <c r="AT6" s="8"/>
      <c r="AU6" s="8"/>
      <c r="AV6" s="8"/>
      <c r="AW6" s="8"/>
      <c r="AX6" s="8"/>
      <c r="AY6" s="8"/>
      <c r="AZ6" s="163" t="s">
        <v>31</v>
      </c>
      <c r="BA6" s="8"/>
      <c r="BB6" s="57"/>
      <c r="BC6" s="554" t="s">
        <v>32</v>
      </c>
      <c r="BD6" s="554"/>
      <c r="BE6" s="554"/>
      <c r="BF6" s="554"/>
      <c r="BG6" s="554"/>
      <c r="BH6" s="554"/>
      <c r="BI6" s="554"/>
      <c r="BJ6" s="554"/>
      <c r="BK6" s="58"/>
      <c r="BL6" s="57"/>
      <c r="BM6" s="554" t="s">
        <v>32</v>
      </c>
      <c r="BN6" s="554"/>
      <c r="BO6" s="554"/>
      <c r="BP6" s="554"/>
      <c r="BQ6" s="554"/>
      <c r="BR6" s="554"/>
      <c r="BS6" s="554"/>
      <c r="BT6" s="554"/>
      <c r="BU6" s="58"/>
      <c r="BV6" s="8"/>
      <c r="BW6" s="555" t="s">
        <v>32</v>
      </c>
      <c r="BX6" s="555"/>
      <c r="BY6" s="555"/>
      <c r="BZ6" s="555"/>
      <c r="CA6" s="555"/>
      <c r="CB6" s="555"/>
      <c r="CC6" s="555"/>
      <c r="CD6" s="555"/>
      <c r="CE6" s="555"/>
      <c r="CF6" s="258"/>
      <c r="CG6" s="8"/>
      <c r="CH6" s="557" t="s">
        <v>32</v>
      </c>
      <c r="CI6" s="557"/>
      <c r="CJ6" s="557"/>
      <c r="CK6" s="557"/>
      <c r="CL6" s="557"/>
      <c r="CM6" s="557"/>
      <c r="CN6" s="557"/>
      <c r="CO6" s="557"/>
      <c r="CP6" s="557"/>
      <c r="CQ6" s="259"/>
      <c r="CR6" s="8"/>
      <c r="CS6" s="558" t="s">
        <v>32</v>
      </c>
      <c r="CT6" s="558"/>
      <c r="CU6" s="558"/>
      <c r="CV6" s="558"/>
      <c r="CW6" s="558"/>
      <c r="CX6" s="558"/>
      <c r="CY6" s="558"/>
      <c r="CZ6" s="558"/>
      <c r="DA6" s="558"/>
      <c r="DB6" s="260"/>
      <c r="DC6" s="8"/>
      <c r="DD6" s="553" t="s">
        <v>32</v>
      </c>
      <c r="DE6" s="553"/>
      <c r="DF6" s="553"/>
      <c r="DG6" s="553"/>
      <c r="DH6" s="553"/>
      <c r="DI6" s="553"/>
      <c r="DJ6" s="553"/>
      <c r="DK6" s="553"/>
      <c r="DL6" s="553"/>
      <c r="DM6" s="261"/>
      <c r="DN6" s="8"/>
      <c r="DO6" s="163" t="s">
        <v>31</v>
      </c>
      <c r="DP6" s="8"/>
      <c r="DQ6" s="8"/>
      <c r="DR6" s="8"/>
      <c r="DS6" s="8"/>
      <c r="DT6" s="8"/>
      <c r="DU6" s="8"/>
      <c r="DV6" s="8"/>
      <c r="DW6" s="8"/>
      <c r="DX6" s="8"/>
      <c r="DY6" s="163" t="s">
        <v>31</v>
      </c>
      <c r="DZ6" s="8"/>
      <c r="EA6" s="8"/>
      <c r="EB6" s="8"/>
      <c r="EC6" s="8"/>
      <c r="ED6" s="8"/>
      <c r="EE6" s="8"/>
      <c r="EF6" s="8"/>
      <c r="EG6" s="8"/>
      <c r="EI6" s="163" t="s">
        <v>31</v>
      </c>
      <c r="EJ6" s="8"/>
      <c r="EK6" s="8"/>
      <c r="EL6" s="8"/>
      <c r="EM6" s="8"/>
      <c r="EN6" s="8"/>
      <c r="EO6" s="8"/>
      <c r="EP6" s="8"/>
      <c r="EQ6" s="8"/>
      <c r="ES6" s="163" t="s">
        <v>31</v>
      </c>
      <c r="ET6" s="8"/>
      <c r="EU6" s="8"/>
      <c r="EV6" s="8"/>
      <c r="EW6" s="8"/>
      <c r="EX6" s="8"/>
      <c r="EY6" s="8"/>
      <c r="EZ6" s="8"/>
      <c r="FA6" s="8"/>
      <c r="FC6" s="163" t="s">
        <v>31</v>
      </c>
      <c r="FD6" s="8"/>
      <c r="FE6" s="8"/>
      <c r="FF6" s="8"/>
      <c r="FG6" s="8"/>
      <c r="FH6" s="8"/>
      <c r="FI6" s="8"/>
      <c r="FJ6" s="8"/>
      <c r="FK6" s="8"/>
    </row>
    <row r="7" spans="2:167">
      <c r="B7" s="264" t="s">
        <v>29</v>
      </c>
      <c r="C7" s="8"/>
      <c r="D7" s="8"/>
      <c r="E7" s="8"/>
      <c r="F7" s="8"/>
      <c r="G7" s="8"/>
      <c r="H7" s="8"/>
      <c r="I7" s="8"/>
      <c r="J7" s="8"/>
      <c r="L7" s="264" t="s">
        <v>29</v>
      </c>
      <c r="M7" s="8"/>
      <c r="N7" s="8"/>
      <c r="O7" s="8"/>
      <c r="P7" s="8"/>
      <c r="Q7" s="8"/>
      <c r="R7" s="8"/>
      <c r="S7" s="8"/>
      <c r="T7" s="8"/>
      <c r="U7" s="5"/>
      <c r="V7" s="264" t="s">
        <v>29</v>
      </c>
      <c r="W7" s="8"/>
      <c r="X7" s="8"/>
      <c r="Y7" s="8"/>
      <c r="Z7" s="8"/>
      <c r="AA7" s="8"/>
      <c r="AB7" s="8"/>
      <c r="AC7" s="8"/>
      <c r="AD7" s="8"/>
      <c r="AE7" s="7"/>
      <c r="AF7" s="264" t="s">
        <v>29</v>
      </c>
      <c r="AG7" s="8"/>
      <c r="AH7" s="8"/>
      <c r="AI7" s="8"/>
      <c r="AJ7" s="8"/>
      <c r="AK7" s="8"/>
      <c r="AL7" s="8"/>
      <c r="AM7" s="8"/>
      <c r="AN7" s="8"/>
      <c r="AO7" s="5"/>
      <c r="AP7" s="264" t="s">
        <v>29</v>
      </c>
      <c r="AQ7" s="8"/>
      <c r="AR7" s="8"/>
      <c r="AS7" s="8"/>
      <c r="AT7" s="8"/>
      <c r="AU7" s="8"/>
      <c r="AV7" s="8"/>
      <c r="AW7" s="8"/>
      <c r="AX7" s="8"/>
      <c r="AY7" s="8"/>
      <c r="AZ7" s="264" t="s">
        <v>29</v>
      </c>
      <c r="BA7" s="8"/>
      <c r="BB7" s="57"/>
      <c r="BC7" s="57">
        <f>C4/BC4</f>
        <v>3.217827488875934E-3</v>
      </c>
      <c r="BD7" s="57">
        <f t="shared" ref="BD7:BJ7" si="49">D4/BD4</f>
        <v>3.3426147544188107E-3</v>
      </c>
      <c r="BE7" s="57">
        <f t="shared" si="49"/>
        <v>3.7765591594582965E-3</v>
      </c>
      <c r="BF7" s="57">
        <f t="shared" si="49"/>
        <v>3.8066386262921338E-3</v>
      </c>
      <c r="BG7" s="57">
        <f t="shared" si="49"/>
        <v>5.0593460734547624E-3</v>
      </c>
      <c r="BH7" s="57">
        <f t="shared" si="49"/>
        <v>2.7541765056385585E-3</v>
      </c>
      <c r="BI7" s="57">
        <f t="shared" si="49"/>
        <v>4.7870705384361577E-3</v>
      </c>
      <c r="BJ7" s="57">
        <f t="shared" si="49"/>
        <v>3.8478678864530191E-3</v>
      </c>
      <c r="BK7" s="57">
        <f>J4/BK4</f>
        <v>3.8443676826049877E-3</v>
      </c>
      <c r="BL7" s="57"/>
      <c r="BM7" s="57">
        <f t="shared" ref="BM7:BT7" si="50">C4/BM4</f>
        <v>5.7596792972837542E-3</v>
      </c>
      <c r="BN7" s="57">
        <f t="shared" si="50"/>
        <v>4.7132901613513266E-3</v>
      </c>
      <c r="BO7" s="57">
        <f t="shared" si="50"/>
        <v>5.7622082627623835E-3</v>
      </c>
      <c r="BP7" s="57">
        <f t="shared" si="50"/>
        <v>5.7854399304979832E-3</v>
      </c>
      <c r="BQ7" s="57">
        <f t="shared" si="50"/>
        <v>7.8384204036020307E-3</v>
      </c>
      <c r="BR7" s="57">
        <f t="shared" si="50"/>
        <v>4.9955282702525902E-3</v>
      </c>
      <c r="BS7" s="57">
        <f t="shared" si="50"/>
        <v>7.1714190960420945E-3</v>
      </c>
      <c r="BT7" s="57">
        <f t="shared" si="50"/>
        <v>6.0384136284801033E-3</v>
      </c>
      <c r="BU7" s="57">
        <f>J4/BU4</f>
        <v>6.0358155827309676E-3</v>
      </c>
      <c r="BV7" s="8"/>
      <c r="BW7" s="264" t="s">
        <v>29</v>
      </c>
      <c r="BX7" s="57">
        <f t="shared" ref="BX7:CE7" si="51">M4/BX4</f>
        <v>5.0041624271575248E-2</v>
      </c>
      <c r="BY7" s="57">
        <f t="shared" si="51"/>
        <v>3.9592167325742056E-2</v>
      </c>
      <c r="BZ7" s="57">
        <f t="shared" si="51"/>
        <v>6.1042800787330244E-2</v>
      </c>
      <c r="CA7" s="57">
        <f t="shared" si="51"/>
        <v>3.1696192183711579E-2</v>
      </c>
      <c r="CB7" s="57">
        <f t="shared" si="51"/>
        <v>5.4078804675262077E-2</v>
      </c>
      <c r="CC7" s="57">
        <f t="shared" si="51"/>
        <v>4.2695114581880723E-2</v>
      </c>
      <c r="CD7" s="57">
        <f t="shared" si="51"/>
        <v>4.184460927549262E-2</v>
      </c>
      <c r="CE7" s="57">
        <f t="shared" si="51"/>
        <v>4.5961447059086225E-2</v>
      </c>
      <c r="CF7" s="57">
        <f>T4/CF4</f>
        <v>4.6304791807601393E-2</v>
      </c>
      <c r="CG7" s="8"/>
      <c r="CH7" s="264" t="s">
        <v>29</v>
      </c>
      <c r="CI7" s="57">
        <f t="shared" ref="CI7:CP8" si="52">M4/CI4</f>
        <v>0.11151573450597774</v>
      </c>
      <c r="CJ7" s="57">
        <f t="shared" si="52"/>
        <v>8.2041662553065456E-2</v>
      </c>
      <c r="CK7" s="57">
        <f t="shared" si="52"/>
        <v>0.12841525320951505</v>
      </c>
      <c r="CL7" s="57">
        <f t="shared" si="52"/>
        <v>6.6562621927428789E-2</v>
      </c>
      <c r="CM7" s="57">
        <f t="shared" si="52"/>
        <v>0.12098991750687443</v>
      </c>
      <c r="CN7" s="57">
        <f t="shared" si="52"/>
        <v>9.3964194373401533E-2</v>
      </c>
      <c r="CO7" s="57">
        <f t="shared" si="52"/>
        <v>8.8384238012343727E-2</v>
      </c>
      <c r="CP7" s="57">
        <f t="shared" si="52"/>
        <v>9.8249597687041432E-2</v>
      </c>
      <c r="CQ7" s="57">
        <f>T4/CQ4</f>
        <v>0.10759035244922342</v>
      </c>
      <c r="CR7" s="8"/>
      <c r="CS7" s="264" t="s">
        <v>29</v>
      </c>
      <c r="CT7" s="57">
        <f t="shared" ref="CT7:DA7" si="53">M4/CT4</f>
        <v>9.0776889087756579E-2</v>
      </c>
      <c r="CU7" s="57">
        <f t="shared" si="53"/>
        <v>7.6519337016574582E-2</v>
      </c>
      <c r="CV7" s="57">
        <f t="shared" si="53"/>
        <v>0.11635062162501569</v>
      </c>
      <c r="CW7" s="57">
        <f t="shared" si="53"/>
        <v>6.0510401333640731E-2</v>
      </c>
      <c r="CX7" s="57">
        <f t="shared" si="53"/>
        <v>9.7786299459647896E-2</v>
      </c>
      <c r="CY7" s="57">
        <f t="shared" si="53"/>
        <v>7.8250127790083487E-2</v>
      </c>
      <c r="CZ7" s="57">
        <f t="shared" si="53"/>
        <v>7.9467842914058048E-2</v>
      </c>
      <c r="DA7" s="57">
        <f t="shared" si="53"/>
        <v>8.6361702000131865E-2</v>
      </c>
      <c r="DB7" s="57">
        <f>T4/DB4</f>
        <v>8.1290744810193716E-2</v>
      </c>
      <c r="DC7" s="8"/>
      <c r="DD7" s="264" t="s">
        <v>29</v>
      </c>
      <c r="DE7" s="57">
        <f t="shared" ref="DE7:DL7" si="54">M4/DE4</f>
        <v>1.165588216283763E-2</v>
      </c>
      <c r="DF7" s="57">
        <f t="shared" si="54"/>
        <v>1.1297566015761306E-2</v>
      </c>
      <c r="DG7" s="57">
        <f t="shared" si="54"/>
        <v>1.7205638955497937E-2</v>
      </c>
      <c r="DH7" s="57">
        <f t="shared" si="54"/>
        <v>8.854334264093754E-3</v>
      </c>
      <c r="DI7" s="57">
        <f t="shared" si="54"/>
        <v>1.3516443801951572E-2</v>
      </c>
      <c r="DJ7" s="57">
        <f t="shared" si="54"/>
        <v>1.1349699884773053E-2</v>
      </c>
      <c r="DK7" s="57">
        <f t="shared" si="54"/>
        <v>1.0915707674025893E-2</v>
      </c>
      <c r="DL7" s="57">
        <f t="shared" si="54"/>
        <v>1.2296858811219726E-2</v>
      </c>
      <c r="DM7" s="57">
        <f>T4/DM4</f>
        <v>1.2027921707691909E-2</v>
      </c>
      <c r="DN7" s="8"/>
      <c r="DO7" s="264" t="s">
        <v>29</v>
      </c>
      <c r="DP7" s="8"/>
      <c r="DQ7" s="8"/>
      <c r="DR7" s="8"/>
      <c r="DS7" s="8"/>
      <c r="DT7" s="8"/>
      <c r="DU7" s="8"/>
      <c r="DV7" s="8"/>
      <c r="DW7" s="8"/>
      <c r="DX7" s="8"/>
      <c r="DY7" s="264" t="s">
        <v>29</v>
      </c>
      <c r="DZ7" s="8"/>
      <c r="EA7" s="8"/>
      <c r="EB7" s="8"/>
      <c r="EC7" s="8"/>
      <c r="ED7" s="8"/>
      <c r="EE7" s="8"/>
      <c r="EF7" s="8"/>
      <c r="EG7" s="8"/>
      <c r="EI7" s="264" t="s">
        <v>29</v>
      </c>
      <c r="EJ7" s="8"/>
      <c r="EK7" s="8"/>
      <c r="EL7" s="8"/>
      <c r="EM7" s="8"/>
      <c r="EN7" s="8"/>
      <c r="EO7" s="8"/>
      <c r="EP7" s="8"/>
      <c r="EQ7" s="8"/>
      <c r="ES7" s="264" t="s">
        <v>29</v>
      </c>
      <c r="ET7" s="8"/>
      <c r="EU7" s="8"/>
      <c r="EV7" s="8"/>
      <c r="EW7" s="8"/>
      <c r="EX7" s="8"/>
      <c r="EY7" s="8"/>
      <c r="EZ7" s="8"/>
      <c r="FA7" s="8"/>
      <c r="FC7" s="264" t="s">
        <v>29</v>
      </c>
      <c r="FD7" s="8"/>
      <c r="FE7" s="8"/>
      <c r="FF7" s="8"/>
      <c r="FG7" s="8"/>
      <c r="FH7" s="8"/>
      <c r="FI7" s="8"/>
      <c r="FJ7" s="8"/>
      <c r="FK7" s="8"/>
    </row>
    <row r="8" spans="2:167">
      <c r="B8" s="264" t="s">
        <v>30</v>
      </c>
      <c r="C8" s="8"/>
      <c r="D8" s="8"/>
      <c r="E8" s="8"/>
      <c r="F8" s="8"/>
      <c r="G8" s="8"/>
      <c r="H8" s="8"/>
      <c r="I8" s="8"/>
      <c r="J8" s="8"/>
      <c r="L8" s="264" t="s">
        <v>30</v>
      </c>
      <c r="M8" s="8"/>
      <c r="N8" s="8"/>
      <c r="O8" s="8"/>
      <c r="P8" s="8"/>
      <c r="Q8" s="8"/>
      <c r="R8" s="8"/>
      <c r="S8" s="8"/>
      <c r="T8" s="8"/>
      <c r="U8" s="5"/>
      <c r="V8" s="264" t="s">
        <v>30</v>
      </c>
      <c r="W8" s="8"/>
      <c r="X8" s="8"/>
      <c r="Y8" s="8"/>
      <c r="Z8" s="8"/>
      <c r="AA8" s="8"/>
      <c r="AB8" s="8"/>
      <c r="AC8" s="8"/>
      <c r="AD8" s="8"/>
      <c r="AE8" s="7"/>
      <c r="AF8" s="264" t="s">
        <v>30</v>
      </c>
      <c r="AG8" s="8"/>
      <c r="AH8" s="8"/>
      <c r="AI8" s="8"/>
      <c r="AJ8" s="8"/>
      <c r="AK8" s="8"/>
      <c r="AL8" s="8"/>
      <c r="AM8" s="8"/>
      <c r="AN8" s="8"/>
      <c r="AO8" s="5"/>
      <c r="AP8" s="264" t="s">
        <v>30</v>
      </c>
      <c r="AQ8" s="8"/>
      <c r="AR8" s="8"/>
      <c r="AS8" s="8"/>
      <c r="AT8" s="8"/>
      <c r="AU8" s="8"/>
      <c r="AV8" s="8"/>
      <c r="AW8" s="8"/>
      <c r="AX8" s="8"/>
      <c r="AY8" s="8"/>
      <c r="AZ8" s="264" t="s">
        <v>30</v>
      </c>
      <c r="BA8" s="8"/>
      <c r="BB8" s="57"/>
      <c r="BC8" s="57">
        <f>C5/BC5</f>
        <v>3.0646557228189157E-3</v>
      </c>
      <c r="BD8" s="57">
        <f t="shared" ref="BD8" si="55">D5/BD5</f>
        <v>2.9328271572507184E-3</v>
      </c>
      <c r="BE8" s="57">
        <f t="shared" ref="BE8" si="56">E5/BE5</f>
        <v>3.3358403420774897E-3</v>
      </c>
      <c r="BF8" s="57">
        <f t="shared" ref="BF8" si="57">F5/BF5</f>
        <v>3.4088512751287619E-3</v>
      </c>
      <c r="BG8" s="57">
        <f t="shared" ref="BG8" si="58">G5/BG5</f>
        <v>4.2191323454922915E-3</v>
      </c>
      <c r="BH8" s="57">
        <f t="shared" ref="BH8" si="59">H5/BH5</f>
        <v>2.4159953056643508E-3</v>
      </c>
      <c r="BI8" s="57">
        <f t="shared" ref="BI8" si="60">I5/BI5</f>
        <v>3.8441286806581631E-3</v>
      </c>
      <c r="BJ8" s="57">
        <f t="shared" ref="BJ8" si="61">J5/BJ5</f>
        <v>3.3550518984992081E-3</v>
      </c>
      <c r="BK8" s="57">
        <f>J5/BK5</f>
        <v>3.3545955783951609E-3</v>
      </c>
      <c r="BL8" s="57"/>
      <c r="BM8" s="57">
        <f>C5/BM5</f>
        <v>5.3558869673417126E-3</v>
      </c>
      <c r="BN8" s="57">
        <f>D5/BN5</f>
        <v>4.0726031830082667E-3</v>
      </c>
      <c r="BO8" s="57">
        <f t="shared" ref="BO8" si="62">E5/BO5</f>
        <v>5.2661609305715909E-3</v>
      </c>
      <c r="BP8" s="57">
        <f t="shared" ref="BP8" si="63">F5/BP5</f>
        <v>5.3099885189437429E-3</v>
      </c>
      <c r="BQ8" s="57">
        <f t="shared" ref="BQ8" si="64">G5/BQ5</f>
        <v>6.3614449537090318E-3</v>
      </c>
      <c r="BR8" s="57">
        <f t="shared" ref="BR8" si="65">H5/BR5</f>
        <v>4.4268846018243289E-3</v>
      </c>
      <c r="BS8" s="57">
        <f t="shared" ref="BS8" si="66">I5/BS5</f>
        <v>5.7727066180823915E-3</v>
      </c>
      <c r="BT8" s="57">
        <f t="shared" ref="BT8" si="67">J5/BT5</f>
        <v>5.2987531080304646E-3</v>
      </c>
      <c r="BU8" s="57">
        <f>J5/BU5</f>
        <v>5.2983402357718789E-3</v>
      </c>
      <c r="BV8" s="8"/>
      <c r="BW8" s="264" t="s">
        <v>30</v>
      </c>
      <c r="BX8" s="57">
        <f>M5/BX5</f>
        <v>4.7691196420077166E-2</v>
      </c>
      <c r="BY8" s="57">
        <f t="shared" ref="BY8" si="68">N5/BY5</f>
        <v>3.3816425120772944E-2</v>
      </c>
      <c r="BZ8" s="57">
        <f t="shared" ref="BZ8" si="69">O5/BZ5</f>
        <v>5.1794451640661113E-2</v>
      </c>
      <c r="CA8" s="57">
        <f t="shared" ref="CA8" si="70">P5/CA5</f>
        <v>2.7319961220244538E-2</v>
      </c>
      <c r="CB8" s="57">
        <f t="shared" ref="CB8" si="71">Q5/CB5</f>
        <v>4.4129682495698513E-2</v>
      </c>
      <c r="CC8" s="57">
        <f t="shared" ref="CC8" si="72">R5/CC5</f>
        <v>3.3653581540983003E-2</v>
      </c>
      <c r="CD8" s="57">
        <f t="shared" ref="CD8" si="73">S5/CD5</f>
        <v>3.2924682774937972E-2</v>
      </c>
      <c r="CE8" s="57">
        <f t="shared" ref="CE8" si="74">T5/CE5</f>
        <v>3.8140680780861497E-2</v>
      </c>
      <c r="CF8" s="57">
        <f>T5/CF5</f>
        <v>4.0912739012389419E-2</v>
      </c>
      <c r="CG8" s="8"/>
      <c r="CH8" s="264" t="s">
        <v>30</v>
      </c>
      <c r="CI8" s="57">
        <f t="shared" si="52"/>
        <v>9.7630468496411438E-2</v>
      </c>
      <c r="CJ8" s="57">
        <f t="shared" si="52"/>
        <v>6.508799588172838E-2</v>
      </c>
      <c r="CK8" s="57">
        <f t="shared" si="52"/>
        <v>0.10071468622337727</v>
      </c>
      <c r="CL8" s="57">
        <f t="shared" si="52"/>
        <v>5.2585808625703181E-2</v>
      </c>
      <c r="CM8" s="57">
        <f t="shared" si="52"/>
        <v>8.9523361309383737E-2</v>
      </c>
      <c r="CN8" s="57">
        <f t="shared" si="52"/>
        <v>6.711466692684831E-2</v>
      </c>
      <c r="CO8" s="57">
        <f t="shared" si="52"/>
        <v>6.3773842771406505E-2</v>
      </c>
      <c r="CP8" s="57">
        <f t="shared" si="52"/>
        <v>7.4727984984077775E-2</v>
      </c>
      <c r="CQ8" s="57">
        <f>T5/CQ5</f>
        <v>9.0371331603114391E-2</v>
      </c>
      <c r="CR8" s="8"/>
      <c r="CS8" s="264" t="s">
        <v>30</v>
      </c>
      <c r="CT8" s="57">
        <f>M5/CT5</f>
        <v>9.3235516980092303E-2</v>
      </c>
      <c r="CU8" s="57">
        <f t="shared" ref="CU8" si="75">N5/CU5</f>
        <v>7.0384802727715537E-2</v>
      </c>
      <c r="CV8" s="57">
        <f t="shared" ref="CV8" si="76">O5/CV5</f>
        <v>0.10663198959687907</v>
      </c>
      <c r="CW8" s="57">
        <f t="shared" ref="CW8" si="77">P5/CW5</f>
        <v>5.6861035742621781E-2</v>
      </c>
      <c r="CX8" s="57">
        <f t="shared" ref="CX8" si="78">Q5/CX5</f>
        <v>8.7030564910719962E-2</v>
      </c>
      <c r="CY8" s="57">
        <f>R5/CY5</f>
        <v>6.7500766636001228E-2</v>
      </c>
      <c r="CZ8" s="57">
        <f t="shared" ref="CZ8" si="79">S5/CZ5</f>
        <v>6.806452891513734E-2</v>
      </c>
      <c r="DA8" s="57">
        <f t="shared" ref="DA8" si="80">T5/DA5</f>
        <v>7.7900689398815323E-2</v>
      </c>
      <c r="DB8" s="57">
        <f>T5/DB5</f>
        <v>7.4756245788799192E-2</v>
      </c>
      <c r="DC8" s="8"/>
      <c r="DD8" s="264" t="s">
        <v>30</v>
      </c>
      <c r="DE8" s="57">
        <f>M5/DE5</f>
        <v>1.2270355781390942E-2</v>
      </c>
      <c r="DF8" s="57">
        <f t="shared" ref="DF8" si="81">N5/DF5</f>
        <v>1.1121801039060996E-2</v>
      </c>
      <c r="DG8" s="57">
        <f t="shared" ref="DG8" si="82">O5/DG5</f>
        <v>1.6827841780217918E-2</v>
      </c>
      <c r="DH8" s="57">
        <f t="shared" ref="DH8" si="83">P5/DH5</f>
        <v>8.9644618157166088E-3</v>
      </c>
      <c r="DI8" s="57">
        <f t="shared" ref="DI8" si="84">Q5/DI5</f>
        <v>1.2507351356485084E-2</v>
      </c>
      <c r="DJ8" s="57">
        <f t="shared" ref="DJ8" si="85">R5/DJ5</f>
        <v>1.0558772626626604E-2</v>
      </c>
      <c r="DK8" s="57">
        <f t="shared" ref="DK8" si="86">S5/DK5</f>
        <v>9.5551183205427256E-3</v>
      </c>
      <c r="DL8" s="57">
        <f>T5/DL5</f>
        <v>1.169179652601229E-2</v>
      </c>
      <c r="DM8" s="57">
        <f>T5/DM5</f>
        <v>1.1377986322387087E-2</v>
      </c>
      <c r="DN8" s="8"/>
      <c r="DO8" s="264" t="s">
        <v>30</v>
      </c>
      <c r="DP8" s="8"/>
      <c r="DQ8" s="8"/>
      <c r="DR8" s="8"/>
      <c r="DS8" s="8"/>
      <c r="DT8" s="8"/>
      <c r="DU8" s="8"/>
      <c r="DV8" s="8"/>
      <c r="DW8" s="8"/>
      <c r="DX8" s="8"/>
      <c r="DY8" s="264" t="s">
        <v>30</v>
      </c>
      <c r="DZ8" s="8"/>
      <c r="EA8" s="8"/>
      <c r="EB8" s="8"/>
      <c r="EC8" s="8"/>
      <c r="ED8" s="8"/>
      <c r="EE8" s="8"/>
      <c r="EF8" s="8"/>
      <c r="EG8" s="8"/>
      <c r="EI8" s="264" t="s">
        <v>30</v>
      </c>
      <c r="EJ8" s="8"/>
      <c r="EK8" s="8"/>
      <c r="EL8" s="8"/>
      <c r="EM8" s="8"/>
      <c r="EN8" s="8"/>
      <c r="EO8" s="8"/>
      <c r="EP8" s="8"/>
      <c r="EQ8" s="8"/>
      <c r="ES8" s="264" t="s">
        <v>30</v>
      </c>
      <c r="ET8" s="8"/>
      <c r="EU8" s="8"/>
      <c r="EV8" s="8"/>
      <c r="EW8" s="8"/>
      <c r="EX8" s="8"/>
      <c r="EY8" s="8"/>
      <c r="EZ8" s="8"/>
      <c r="FA8" s="8"/>
      <c r="FC8" s="264" t="s">
        <v>30</v>
      </c>
      <c r="FD8" s="8"/>
      <c r="FE8" s="8"/>
      <c r="FF8" s="8"/>
      <c r="FG8" s="8"/>
      <c r="FH8" s="8"/>
      <c r="FI8" s="8"/>
      <c r="FJ8" s="8"/>
      <c r="FK8" s="8"/>
    </row>
    <row r="9" spans="2:167">
      <c r="B9" s="163" t="s">
        <v>33</v>
      </c>
      <c r="C9" s="265">
        <f>C3/$J3</f>
        <v>5.8447168079477349E-2</v>
      </c>
      <c r="D9" s="265">
        <f>D3/$J3</f>
        <v>8.8264672533880456E-2</v>
      </c>
      <c r="E9" s="265">
        <f t="shared" ref="E9:H9" si="87">E3/$J3</f>
        <v>0.25279412558717129</v>
      </c>
      <c r="F9" s="265">
        <f t="shared" si="87"/>
        <v>0.12441282868095675</v>
      </c>
      <c r="G9" s="265">
        <f t="shared" si="87"/>
        <v>0.15301549592354624</v>
      </c>
      <c r="H9" s="265">
        <f t="shared" si="87"/>
        <v>0.12387290103126181</v>
      </c>
      <c r="I9" s="265">
        <f>I3/$J3</f>
        <v>0.19128286809567518</v>
      </c>
      <c r="J9" s="265">
        <f>J3/$J3</f>
        <v>1</v>
      </c>
      <c r="L9" s="163" t="s">
        <v>33</v>
      </c>
      <c r="M9" s="265">
        <f>M3/T3</f>
        <v>5.8447168079477349E-2</v>
      </c>
      <c r="N9" s="265">
        <f>N3/T3</f>
        <v>8.8264672533880456E-2</v>
      </c>
      <c r="O9" s="265">
        <f>O3/T3</f>
        <v>0.25279412558717129</v>
      </c>
      <c r="P9" s="265">
        <f>P3/T3</f>
        <v>0.12441282868095675</v>
      </c>
      <c r="Q9" s="265">
        <f>Q3/T3</f>
        <v>0.15301549592354624</v>
      </c>
      <c r="R9" s="265">
        <f>R3/T3</f>
        <v>0.12387290103126181</v>
      </c>
      <c r="S9" s="265">
        <f>S3/T3</f>
        <v>0.19128286809567518</v>
      </c>
      <c r="T9" s="265">
        <f>T3/T3</f>
        <v>1</v>
      </c>
      <c r="U9" s="5"/>
      <c r="V9" s="163" t="s">
        <v>33</v>
      </c>
      <c r="W9" s="265">
        <f>W3/AD3</f>
        <v>5.5463499910084445E-2</v>
      </c>
      <c r="X9" s="265">
        <f>X3/AD3</f>
        <v>9.1298465349465299E-2</v>
      </c>
      <c r="Y9" s="265">
        <f>Y3/AD3</f>
        <v>0.17174977196919261</v>
      </c>
      <c r="Z9" s="265">
        <f>Z3/AD3</f>
        <v>0.16488126419990834</v>
      </c>
      <c r="AA9" s="265">
        <f>AA3/AD3</f>
        <v>0.14992158235685984</v>
      </c>
      <c r="AB9" s="265">
        <f>AB3/AD3</f>
        <v>0.13918756384910283</v>
      </c>
      <c r="AC9" s="265">
        <f>AC3/AD3</f>
        <v>0.1964110984428086</v>
      </c>
      <c r="AD9" s="265">
        <f>AD3/AD3</f>
        <v>1</v>
      </c>
      <c r="AE9" s="7"/>
      <c r="AF9" s="163" t="s">
        <v>33</v>
      </c>
      <c r="AG9" s="265">
        <f>AG3/AN3</f>
        <v>5.6441401684492229E-2</v>
      </c>
      <c r="AH9" s="265">
        <f>AH3/AN3</f>
        <v>9.0433896995657029E-2</v>
      </c>
      <c r="AI9" s="265">
        <f>AI3/AN3</f>
        <v>0.17191391261707198</v>
      </c>
      <c r="AJ9" s="265">
        <f>AJ3/AN3</f>
        <v>0.16302416327725261</v>
      </c>
      <c r="AK9" s="265">
        <f>AK3/AN3</f>
        <v>0.15411544730480961</v>
      </c>
      <c r="AL9" s="265">
        <f>AL3/AN3</f>
        <v>0.14071199391706413</v>
      </c>
      <c r="AM9" s="265">
        <f>AM3/AN3</f>
        <v>0.19742364352770575</v>
      </c>
      <c r="AN9" s="265">
        <f>AN3/AN3</f>
        <v>1</v>
      </c>
      <c r="AO9" s="5"/>
      <c r="AP9" s="163" t="s">
        <v>33</v>
      </c>
      <c r="AQ9" s="265" t="e">
        <f>AQ3/AX3</f>
        <v>#DIV/0!</v>
      </c>
      <c r="AR9" s="265" t="e">
        <f>AR3/AX3</f>
        <v>#DIV/0!</v>
      </c>
      <c r="AS9" s="265" t="e">
        <f>AS3/AX3</f>
        <v>#DIV/0!</v>
      </c>
      <c r="AT9" s="265" t="e">
        <f>AT3/AX3</f>
        <v>#DIV/0!</v>
      </c>
      <c r="AU9" s="265" t="e">
        <f>AU3/AX3</f>
        <v>#DIV/0!</v>
      </c>
      <c r="AV9" s="265" t="e">
        <f>AV3/AX3</f>
        <v>#DIV/0!</v>
      </c>
      <c r="AW9" s="265" t="e">
        <f>AW3/AX3</f>
        <v>#DIV/0!</v>
      </c>
      <c r="AX9" s="265" t="e">
        <f>AX3/AX3</f>
        <v>#DIV/0!</v>
      </c>
      <c r="AY9" s="8"/>
      <c r="AZ9" s="163" t="s">
        <v>33</v>
      </c>
      <c r="BA9" s="8"/>
      <c r="BB9" s="57"/>
      <c r="BC9" s="265">
        <f>BC3/BJ3</f>
        <v>6.6633192620563317E-2</v>
      </c>
      <c r="BD9" s="265">
        <f>BD3/BJ3</f>
        <v>0.10125719012822812</v>
      </c>
      <c r="BE9" s="265">
        <f>BE3/BJ3</f>
        <v>0.25554879787673401</v>
      </c>
      <c r="BF9" s="265">
        <f>BF3/BJ3</f>
        <v>0.12407782706079737</v>
      </c>
      <c r="BG9" s="265">
        <f>BG3/BJ3</f>
        <v>0.11920863537852268</v>
      </c>
      <c r="BH9" s="265">
        <f>BH3/BJ3</f>
        <v>0.17237168934318012</v>
      </c>
      <c r="BI9" s="265">
        <f>BI3/BJ3</f>
        <v>0.16090266759197439</v>
      </c>
      <c r="BJ9" s="265">
        <f>BJ3/BJ3</f>
        <v>1</v>
      </c>
      <c r="BK9" s="265">
        <f>BK3/BK3</f>
        <v>1</v>
      </c>
      <c r="BL9" s="57"/>
      <c r="BM9" s="265">
        <f>BM3/BT3</f>
        <v>5.942508314345489E-2</v>
      </c>
      <c r="BN9" s="265">
        <f>BN3/BT3</f>
        <v>0.1140767520318853</v>
      </c>
      <c r="BO9" s="265">
        <f>BO3/BT3</f>
        <v>0.25887866740932935</v>
      </c>
      <c r="BP9" s="265">
        <f>BP3/BT3</f>
        <v>0.12679636848274409</v>
      </c>
      <c r="BQ9" s="265">
        <f>BQ3/BT3</f>
        <v>0.12307250418962248</v>
      </c>
      <c r="BR9" s="265">
        <f>BR3/BT3</f>
        <v>0.14882849213516886</v>
      </c>
      <c r="BS9" s="265">
        <f>BS3/BT3</f>
        <v>0.16892213260779501</v>
      </c>
      <c r="BT9" s="265">
        <f>BT3/BT3</f>
        <v>1</v>
      </c>
      <c r="BU9" s="265">
        <f>BU3/BU3</f>
        <v>1</v>
      </c>
      <c r="BV9" s="8"/>
      <c r="BW9" s="163" t="s">
        <v>33</v>
      </c>
      <c r="BX9" s="265">
        <f>BX3/CE3</f>
        <v>4.9174534478243492E-2</v>
      </c>
      <c r="BY9" s="265">
        <f>BY3/CE3</f>
        <v>0.10067840061747964</v>
      </c>
      <c r="BZ9" s="265">
        <f>BZ3/CE3</f>
        <v>0.18739514561768639</v>
      </c>
      <c r="CA9" s="265">
        <f>CA3/CE3</f>
        <v>0.17649387344424075</v>
      </c>
      <c r="CB9" s="265">
        <f>CB3/CE3</f>
        <v>0.13130759582649926</v>
      </c>
      <c r="CC9" s="265">
        <f>CC3/CE3</f>
        <v>0.13759375904511184</v>
      </c>
      <c r="CD9" s="265">
        <f>CD3/CE3</f>
        <v>0.21735669097073862</v>
      </c>
      <c r="CE9" s="265">
        <f>CE3/CE3</f>
        <v>1</v>
      </c>
      <c r="CF9" s="265">
        <f>CF3/CF3</f>
        <v>1</v>
      </c>
      <c r="CG9" s="8"/>
      <c r="CH9" s="163" t="s">
        <v>33</v>
      </c>
      <c r="CI9" s="265">
        <f>CI3/CP3</f>
        <v>4.7027954721648474E-2</v>
      </c>
      <c r="CJ9" s="265">
        <f>CJ3/CP3</f>
        <v>0.10293962256176166</v>
      </c>
      <c r="CK9" s="265">
        <f>CK3/CP3</f>
        <v>0.18917070143182721</v>
      </c>
      <c r="CL9" s="265">
        <f>CL3/CP3</f>
        <v>0.17979981336082868</v>
      </c>
      <c r="CM9" s="265">
        <f>CM3/CP3</f>
        <v>0.12634070435710146</v>
      </c>
      <c r="CN9" s="265">
        <f>CN3/CP3</f>
        <v>0.13468941484504388</v>
      </c>
      <c r="CO9" s="265">
        <f>CO3/CP3</f>
        <v>0.22003178872178863</v>
      </c>
      <c r="CP9" s="265">
        <f>CP3/CP3</f>
        <v>1</v>
      </c>
      <c r="CQ9" s="265">
        <f>CQ3/CQ3</f>
        <v>1</v>
      </c>
      <c r="CR9" s="8"/>
      <c r="CS9" s="163" t="s">
        <v>33</v>
      </c>
      <c r="CT9" s="265">
        <f>CT3/DA3</f>
        <v>5.1284265668522157E-2</v>
      </c>
      <c r="CU9" s="265">
        <f>CU3/DA3</f>
        <v>9.8455995207507072E-2</v>
      </c>
      <c r="CV9" s="265">
        <f>CV3/DA3</f>
        <v>0.1856500693074935</v>
      </c>
      <c r="CW9" s="265">
        <f>CW3/DA3</f>
        <v>0.17324468387474803</v>
      </c>
      <c r="CX9" s="265">
        <f>CX3/DA3</f>
        <v>0.13618922476179648</v>
      </c>
      <c r="CY9" s="265">
        <f>CY3/DA3</f>
        <v>0.14044824676091319</v>
      </c>
      <c r="CZ9" s="265">
        <f>CZ3/DA3</f>
        <v>0.21472751441901955</v>
      </c>
      <c r="DA9" s="265">
        <f>DA3/DA3</f>
        <v>1</v>
      </c>
      <c r="DB9" s="265">
        <f>DB3/DB3</f>
        <v>1</v>
      </c>
      <c r="DC9" s="8"/>
      <c r="DD9" s="163" t="s">
        <v>34</v>
      </c>
      <c r="DE9" s="265">
        <f>DE3/DL3</f>
        <v>5.7899967707851142E-2</v>
      </c>
      <c r="DF9" s="265">
        <f>DF3/DL3</f>
        <v>9.4037730166031841E-2</v>
      </c>
      <c r="DG9" s="265">
        <f>DG3/DL3</f>
        <v>0.17750963655966814</v>
      </c>
      <c r="DH9" s="265">
        <f>DH3/DL3</f>
        <v>0.16619193828997705</v>
      </c>
      <c r="DI9" s="265">
        <f>DI3/DL3</f>
        <v>0.1415187736127288</v>
      </c>
      <c r="DJ9" s="265">
        <f>DJ3/DL3</f>
        <v>0.13594029283041892</v>
      </c>
      <c r="DK9" s="265">
        <f>DK3/DL3</f>
        <v>0.22690166083332408</v>
      </c>
      <c r="DL9" s="265">
        <f>DL3/DL3</f>
        <v>1</v>
      </c>
      <c r="DM9" s="265">
        <f>DM3/DM3</f>
        <v>1</v>
      </c>
      <c r="DN9" s="8"/>
      <c r="DO9" s="163" t="s">
        <v>33</v>
      </c>
      <c r="DP9" s="265" t="e">
        <f>DP3/DW3</f>
        <v>#DIV/0!</v>
      </c>
      <c r="DQ9" s="265" t="e">
        <f>DQ3/DW3</f>
        <v>#DIV/0!</v>
      </c>
      <c r="DR9" s="265" t="e">
        <f>DR3/DW3</f>
        <v>#DIV/0!</v>
      </c>
      <c r="DS9" s="265" t="e">
        <f>DS3/DW3</f>
        <v>#DIV/0!</v>
      </c>
      <c r="DT9" s="265" t="e">
        <f>DT3/DW3</f>
        <v>#DIV/0!</v>
      </c>
      <c r="DU9" s="265" t="e">
        <f>DU3/DW3</f>
        <v>#DIV/0!</v>
      </c>
      <c r="DV9" s="265" t="e">
        <f>DV3/DW3</f>
        <v>#DIV/0!</v>
      </c>
      <c r="DW9" s="265" t="e">
        <f>DW3/DW3</f>
        <v>#DIV/0!</v>
      </c>
      <c r="DX9" s="8"/>
      <c r="DY9" s="163" t="s">
        <v>33</v>
      </c>
      <c r="DZ9" s="265" t="e">
        <f>DZ3/EG3</f>
        <v>#DIV/0!</v>
      </c>
      <c r="EA9" s="265" t="e">
        <f>EA3/EG3</f>
        <v>#DIV/0!</v>
      </c>
      <c r="EB9" s="265" t="e">
        <f>EB3/EG3</f>
        <v>#DIV/0!</v>
      </c>
      <c r="EC9" s="265" t="e">
        <f>EC3/EG3</f>
        <v>#DIV/0!</v>
      </c>
      <c r="ED9" s="265" t="e">
        <f>ED3/EG3</f>
        <v>#DIV/0!</v>
      </c>
      <c r="EE9" s="265" t="e">
        <f>EE3/EG3</f>
        <v>#DIV/0!</v>
      </c>
      <c r="EF9" s="265" t="e">
        <f>EF3/EG3</f>
        <v>#DIV/0!</v>
      </c>
      <c r="EG9" s="265" t="e">
        <f>EG3/EG3</f>
        <v>#DIV/0!</v>
      </c>
      <c r="EI9" s="163" t="s">
        <v>33</v>
      </c>
      <c r="EJ9" s="265" t="e">
        <f>EJ3/EQ3</f>
        <v>#DIV/0!</v>
      </c>
      <c r="EK9" s="265" t="e">
        <f>EK3/EQ3</f>
        <v>#DIV/0!</v>
      </c>
      <c r="EL9" s="265" t="e">
        <f>EL3/EQ3</f>
        <v>#DIV/0!</v>
      </c>
      <c r="EM9" s="265" t="e">
        <f>EM3/EQ3</f>
        <v>#DIV/0!</v>
      </c>
      <c r="EN9" s="265" t="e">
        <f>EN3/EQ3</f>
        <v>#DIV/0!</v>
      </c>
      <c r="EO9" s="265" t="e">
        <f>EO3/EQ3</f>
        <v>#DIV/0!</v>
      </c>
      <c r="EP9" s="265" t="e">
        <f>EP3/EQ3</f>
        <v>#DIV/0!</v>
      </c>
      <c r="EQ9" s="265" t="e">
        <f>EQ3/EQ3</f>
        <v>#DIV/0!</v>
      </c>
      <c r="ES9" s="163" t="s">
        <v>33</v>
      </c>
      <c r="ET9" s="265" t="e">
        <f>ET3/FA3</f>
        <v>#DIV/0!</v>
      </c>
      <c r="EU9" s="265" t="e">
        <f>EU3/FA3</f>
        <v>#DIV/0!</v>
      </c>
      <c r="EV9" s="265" t="e">
        <f>EV3/FA3</f>
        <v>#DIV/0!</v>
      </c>
      <c r="EW9" s="265" t="e">
        <f>EW3/FA3</f>
        <v>#DIV/0!</v>
      </c>
      <c r="EX9" s="265" t="e">
        <f>EX3/FA3</f>
        <v>#DIV/0!</v>
      </c>
      <c r="EY9" s="265" t="e">
        <f>EY3/FA3</f>
        <v>#DIV/0!</v>
      </c>
      <c r="EZ9" s="265" t="e">
        <f>EZ3/FA3</f>
        <v>#DIV/0!</v>
      </c>
      <c r="FA9" s="265" t="e">
        <f>FA3/FA3</f>
        <v>#DIV/0!</v>
      </c>
      <c r="FC9" s="163" t="s">
        <v>33</v>
      </c>
      <c r="FD9" s="265" t="e">
        <f>FD3/FK3</f>
        <v>#DIV/0!</v>
      </c>
      <c r="FE9" s="265" t="e">
        <f>FE3/FK3</f>
        <v>#DIV/0!</v>
      </c>
      <c r="FF9" s="265" t="e">
        <f>FF3/FK3</f>
        <v>#DIV/0!</v>
      </c>
      <c r="FG9" s="265" t="e">
        <f>FG3/FK3</f>
        <v>#DIV/0!</v>
      </c>
      <c r="FH9" s="265" t="e">
        <f>FH3/FK3</f>
        <v>#DIV/0!</v>
      </c>
      <c r="FI9" s="265" t="e">
        <f>FI3/FK3</f>
        <v>#DIV/0!</v>
      </c>
      <c r="FJ9" s="265" t="e">
        <f>FJ3/FK3</f>
        <v>#DIV/0!</v>
      </c>
      <c r="FK9" s="265" t="e">
        <f>FK3/FK3</f>
        <v>#DIV/0!</v>
      </c>
    </row>
    <row r="10" spans="2:167">
      <c r="B10" s="163"/>
      <c r="C10" s="8"/>
      <c r="D10" s="8"/>
      <c r="E10" s="8"/>
      <c r="F10" s="8"/>
      <c r="G10" s="8"/>
      <c r="H10" s="8"/>
      <c r="I10" s="8"/>
      <c r="J10" s="8"/>
      <c r="L10" s="163"/>
      <c r="M10" s="5"/>
      <c r="N10" s="5"/>
      <c r="O10" s="5"/>
      <c r="P10" s="5"/>
      <c r="Q10" s="5"/>
      <c r="R10" s="5"/>
      <c r="S10" s="5"/>
      <c r="T10" s="5"/>
      <c r="U10" s="5"/>
      <c r="V10" s="163"/>
      <c r="W10" s="5"/>
      <c r="X10" s="5"/>
      <c r="Y10" s="5"/>
      <c r="Z10" s="5"/>
      <c r="AA10" s="5"/>
      <c r="AB10" s="5"/>
      <c r="AC10" s="5"/>
      <c r="AD10" s="5"/>
      <c r="AE10" s="7"/>
      <c r="AF10" s="163"/>
      <c r="AG10" s="5"/>
      <c r="AH10" s="5"/>
      <c r="AI10" s="5"/>
      <c r="AJ10" s="5"/>
      <c r="AK10" s="5"/>
      <c r="AL10" s="5"/>
      <c r="AM10" s="5"/>
      <c r="AN10" s="5"/>
      <c r="AO10" s="5"/>
      <c r="AP10" s="163"/>
      <c r="AQ10" s="5"/>
      <c r="AR10" s="5"/>
      <c r="AS10" s="5"/>
      <c r="AT10" s="5"/>
      <c r="AU10" s="5"/>
      <c r="AV10" s="5"/>
      <c r="AW10" s="5"/>
      <c r="AX10" s="5"/>
      <c r="AY10" s="8"/>
      <c r="AZ10" s="163"/>
      <c r="BA10" s="8"/>
      <c r="BB10" s="57"/>
      <c r="BC10" s="8"/>
      <c r="BD10" s="8"/>
      <c r="BE10" s="8"/>
      <c r="BF10" s="8"/>
      <c r="BG10" s="8"/>
      <c r="BH10" s="8"/>
      <c r="BI10" s="8"/>
      <c r="BJ10" s="8"/>
      <c r="BK10" s="8"/>
      <c r="BL10" s="57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163"/>
      <c r="BX10" s="5"/>
      <c r="BY10" s="5"/>
      <c r="BZ10" s="5"/>
      <c r="CA10" s="5"/>
      <c r="CB10" s="5"/>
      <c r="CC10" s="5"/>
      <c r="CD10" s="5"/>
      <c r="CE10" s="5"/>
      <c r="CF10" s="5"/>
      <c r="CG10" s="8"/>
      <c r="CH10" s="163"/>
      <c r="CI10" s="5"/>
      <c r="CJ10" s="5"/>
      <c r="CK10" s="5"/>
      <c r="CL10" s="5"/>
      <c r="CM10" s="5"/>
      <c r="CN10" s="5"/>
      <c r="CO10" s="5"/>
      <c r="CP10" s="5"/>
      <c r="CQ10" s="5"/>
      <c r="CR10" s="8"/>
      <c r="CS10" s="163"/>
      <c r="CT10" s="5"/>
      <c r="CU10" s="5"/>
      <c r="CV10" s="5"/>
      <c r="CW10" s="5"/>
      <c r="CX10" s="5"/>
      <c r="CY10" s="5"/>
      <c r="CZ10" s="5"/>
      <c r="DA10" s="5"/>
      <c r="DB10" s="5"/>
      <c r="DC10" s="8"/>
      <c r="DD10" s="163"/>
      <c r="DE10" s="5"/>
      <c r="DF10" s="5"/>
      <c r="DG10" s="5"/>
      <c r="DH10" s="5"/>
      <c r="DI10" s="5"/>
      <c r="DJ10" s="5"/>
      <c r="DK10" s="5"/>
      <c r="DL10" s="5"/>
      <c r="DM10" s="5"/>
      <c r="DN10" s="8"/>
      <c r="DO10" s="163"/>
      <c r="DP10" s="5"/>
      <c r="DQ10" s="5"/>
      <c r="DR10" s="5"/>
      <c r="DS10" s="5"/>
      <c r="DT10" s="5"/>
      <c r="DU10" s="5"/>
      <c r="DV10" s="5"/>
      <c r="DW10" s="5"/>
      <c r="DX10" s="8"/>
      <c r="DY10" s="163"/>
      <c r="DZ10" s="5"/>
      <c r="EA10" s="5"/>
      <c r="EB10" s="5"/>
      <c r="EC10" s="5"/>
      <c r="ED10" s="5"/>
      <c r="EE10" s="5"/>
      <c r="EF10" s="5"/>
      <c r="EG10" s="5"/>
      <c r="EI10" s="163"/>
      <c r="EJ10" s="5"/>
      <c r="EK10" s="5"/>
      <c r="EL10" s="5"/>
      <c r="EM10" s="5"/>
      <c r="EN10" s="5"/>
      <c r="EO10" s="5"/>
      <c r="EP10" s="5"/>
      <c r="EQ10" s="5"/>
      <c r="ES10" s="163"/>
      <c r="ET10" s="5"/>
      <c r="EU10" s="5"/>
      <c r="EV10" s="5"/>
      <c r="EW10" s="5"/>
      <c r="EX10" s="5"/>
      <c r="EY10" s="5"/>
      <c r="EZ10" s="5"/>
      <c r="FA10" s="5"/>
      <c r="FC10" s="163"/>
      <c r="FD10" s="5"/>
      <c r="FE10" s="5"/>
      <c r="FF10" s="5"/>
      <c r="FG10" s="5"/>
      <c r="FH10" s="5"/>
      <c r="FI10" s="5"/>
      <c r="FJ10" s="5"/>
      <c r="FK10" s="5"/>
    </row>
    <row r="11" spans="2:167">
      <c r="B11" s="53"/>
      <c r="C11" s="8"/>
      <c r="D11" s="8"/>
      <c r="E11" s="8"/>
      <c r="F11" s="8"/>
      <c r="G11" s="8"/>
      <c r="H11" s="8"/>
      <c r="I11" s="8"/>
      <c r="J11" s="8"/>
      <c r="L11" s="53"/>
      <c r="M11" s="5"/>
      <c r="N11" s="5"/>
      <c r="O11" s="5"/>
      <c r="P11" s="5"/>
      <c r="Q11" s="5"/>
      <c r="R11" s="5"/>
      <c r="S11" s="5"/>
      <c r="T11" s="5"/>
      <c r="U11" s="5"/>
      <c r="V11" s="53"/>
      <c r="W11" s="5"/>
      <c r="X11" s="5"/>
      <c r="Y11" s="5"/>
      <c r="Z11" s="5"/>
      <c r="AA11" s="5"/>
      <c r="AB11" s="5"/>
      <c r="AC11" s="5"/>
      <c r="AD11" s="5"/>
      <c r="AE11" s="7"/>
      <c r="AF11" s="53"/>
      <c r="AG11" s="5"/>
      <c r="AH11" s="5"/>
      <c r="AI11" s="5"/>
      <c r="AJ11" s="5"/>
      <c r="AK11" s="5"/>
      <c r="AL11" s="5"/>
      <c r="AM11" s="5"/>
      <c r="AN11" s="5"/>
      <c r="AO11" s="5"/>
      <c r="AP11" s="53"/>
      <c r="AQ11" s="5"/>
      <c r="AR11" s="5"/>
      <c r="AS11" s="5"/>
      <c r="AT11" s="5"/>
      <c r="AU11" s="5"/>
      <c r="AV11" s="5"/>
      <c r="AW11" s="5"/>
      <c r="AX11" s="5"/>
      <c r="AY11" s="8"/>
      <c r="AZ11" s="53"/>
      <c r="BA11" s="53"/>
      <c r="BB11" s="53"/>
      <c r="BC11" s="5"/>
      <c r="BD11" s="5"/>
      <c r="BE11" s="5"/>
      <c r="BF11" s="5"/>
      <c r="BG11" s="5"/>
      <c r="BH11" s="5"/>
      <c r="BI11" s="5"/>
      <c r="BJ11" s="5"/>
      <c r="BK11" s="5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53"/>
      <c r="BX11" s="5"/>
      <c r="BY11" s="5"/>
      <c r="BZ11" s="5"/>
      <c r="CA11" s="5"/>
      <c r="CB11" s="5"/>
      <c r="CC11" s="5"/>
      <c r="CD11" s="5"/>
      <c r="CE11" s="5"/>
      <c r="CF11" s="5"/>
      <c r="CG11" s="8"/>
      <c r="CH11" s="53"/>
      <c r="CI11" s="5"/>
      <c r="CJ11" s="5"/>
      <c r="CK11" s="5"/>
      <c r="CL11" s="5"/>
      <c r="CM11" s="5"/>
      <c r="CN11" s="5"/>
      <c r="CO11" s="5"/>
      <c r="CP11" s="5"/>
      <c r="CQ11" s="5"/>
      <c r="CR11" s="8"/>
      <c r="CS11" s="53"/>
      <c r="CT11" s="5"/>
      <c r="CU11" s="5"/>
      <c r="CV11" s="5"/>
      <c r="CW11" s="5"/>
      <c r="CX11" s="5"/>
      <c r="CY11" s="5"/>
      <c r="CZ11" s="5"/>
      <c r="DA11" s="5"/>
      <c r="DB11" s="5"/>
      <c r="DC11" s="8"/>
      <c r="DD11" s="53"/>
      <c r="DE11" s="5"/>
      <c r="DF11" s="5"/>
      <c r="DG11" s="5"/>
      <c r="DH11" s="5"/>
      <c r="DI11" s="5"/>
      <c r="DJ11" s="5"/>
      <c r="DK11" s="5"/>
      <c r="DL11" s="5"/>
      <c r="DM11" s="5"/>
      <c r="DN11" s="8"/>
      <c r="DO11" s="53"/>
      <c r="DP11" s="5"/>
      <c r="DQ11" s="5"/>
      <c r="DR11" s="5"/>
      <c r="DS11" s="5"/>
      <c r="DT11" s="5"/>
      <c r="DU11" s="5"/>
      <c r="DV11" s="5"/>
      <c r="DW11" s="5"/>
      <c r="DX11" s="8"/>
      <c r="DY11" s="53"/>
      <c r="DZ11" s="5"/>
      <c r="EA11" s="5"/>
      <c r="EB11" s="5"/>
      <c r="EC11" s="5"/>
      <c r="ED11" s="5"/>
      <c r="EE11" s="5"/>
      <c r="EF11" s="5"/>
      <c r="EG11" s="5"/>
      <c r="ES11" s="53"/>
      <c r="ET11" s="5"/>
      <c r="EU11" s="5"/>
      <c r="EV11" s="5"/>
      <c r="EW11" s="5"/>
      <c r="EX11" s="5"/>
      <c r="EY11" s="5"/>
      <c r="EZ11" s="5"/>
      <c r="FA11" s="5"/>
      <c r="FC11" s="53"/>
      <c r="FD11" s="5"/>
      <c r="FE11" s="5"/>
      <c r="FF11" s="5"/>
      <c r="FG11" s="5"/>
      <c r="FH11" s="5"/>
      <c r="FI11" s="5"/>
      <c r="FJ11" s="5"/>
      <c r="FK11" s="5"/>
    </row>
    <row r="12" spans="2:167">
      <c r="B12" s="551" t="s">
        <v>0</v>
      </c>
      <c r="C12" s="551"/>
      <c r="D12" s="551"/>
      <c r="E12" s="551"/>
      <c r="F12" s="551"/>
      <c r="G12" s="551"/>
      <c r="H12" s="551"/>
      <c r="I12" s="551"/>
      <c r="J12" s="551"/>
      <c r="L12" s="551" t="s">
        <v>1</v>
      </c>
      <c r="M12" s="551"/>
      <c r="N12" s="551"/>
      <c r="O12" s="551"/>
      <c r="P12" s="551"/>
      <c r="Q12" s="551"/>
      <c r="R12" s="551"/>
      <c r="S12" s="551"/>
      <c r="T12" s="551"/>
      <c r="U12" s="3"/>
      <c r="V12" s="555" t="s">
        <v>2</v>
      </c>
      <c r="W12" s="555"/>
      <c r="X12" s="555"/>
      <c r="Y12" s="555"/>
      <c r="Z12" s="555"/>
      <c r="AA12" s="555"/>
      <c r="AB12" s="555"/>
      <c r="AC12" s="555"/>
      <c r="AD12" s="555"/>
      <c r="AF12" s="552" t="s">
        <v>3</v>
      </c>
      <c r="AG12" s="552"/>
      <c r="AH12" s="552"/>
      <c r="AI12" s="552"/>
      <c r="AJ12" s="552"/>
      <c r="AK12" s="552"/>
      <c r="AL12" s="552"/>
      <c r="AM12" s="552"/>
      <c r="AN12" s="552"/>
      <c r="AO12" s="3"/>
      <c r="AP12" s="555" t="s">
        <v>4</v>
      </c>
      <c r="AQ12" s="555"/>
      <c r="AR12" s="555"/>
      <c r="AS12" s="555"/>
      <c r="AT12" s="555"/>
      <c r="AU12" s="555"/>
      <c r="AV12" s="555"/>
      <c r="AW12" s="555"/>
      <c r="AX12" s="555"/>
      <c r="AY12" s="3"/>
      <c r="AZ12" s="554" t="s">
        <v>5</v>
      </c>
      <c r="BA12" s="554"/>
      <c r="BB12" s="4"/>
      <c r="BC12" s="554" t="s">
        <v>6</v>
      </c>
      <c r="BD12" s="554"/>
      <c r="BE12" s="554"/>
      <c r="BF12" s="554"/>
      <c r="BG12" s="554"/>
      <c r="BH12" s="554"/>
      <c r="BI12" s="554"/>
      <c r="BJ12" s="554"/>
      <c r="BK12" s="58"/>
      <c r="BL12" s="4"/>
      <c r="BM12" s="554" t="s">
        <v>7</v>
      </c>
      <c r="BN12" s="554"/>
      <c r="BO12" s="554"/>
      <c r="BP12" s="554"/>
      <c r="BQ12" s="554"/>
      <c r="BR12" s="554"/>
      <c r="BS12" s="554"/>
      <c r="BT12" s="554"/>
      <c r="BU12" s="58"/>
      <c r="BV12" s="4"/>
      <c r="BW12" s="555" t="s">
        <v>8</v>
      </c>
      <c r="BX12" s="555"/>
      <c r="BY12" s="555"/>
      <c r="BZ12" s="555"/>
      <c r="CA12" s="555"/>
      <c r="CB12" s="555"/>
      <c r="CC12" s="555"/>
      <c r="CD12" s="555"/>
      <c r="CE12" s="555"/>
      <c r="CF12" s="258"/>
      <c r="CG12" s="3"/>
      <c r="CH12" s="557" t="s">
        <v>9</v>
      </c>
      <c r="CI12" s="557"/>
      <c r="CJ12" s="557"/>
      <c r="CK12" s="557"/>
      <c r="CL12" s="557"/>
      <c r="CM12" s="557"/>
      <c r="CN12" s="557"/>
      <c r="CO12" s="557"/>
      <c r="CP12" s="557"/>
      <c r="CQ12" s="259"/>
      <c r="CR12" s="3"/>
      <c r="CS12" s="558" t="s">
        <v>35</v>
      </c>
      <c r="CT12" s="558"/>
      <c r="CU12" s="558"/>
      <c r="CV12" s="558"/>
      <c r="CW12" s="558"/>
      <c r="CX12" s="558"/>
      <c r="CY12" s="558"/>
      <c r="CZ12" s="558"/>
      <c r="DA12" s="558"/>
      <c r="DB12" s="260"/>
      <c r="DC12" s="3"/>
      <c r="DD12" s="553" t="s">
        <v>36</v>
      </c>
      <c r="DE12" s="553"/>
      <c r="DF12" s="553"/>
      <c r="DG12" s="553"/>
      <c r="DH12" s="553"/>
      <c r="DI12" s="553"/>
      <c r="DJ12" s="553"/>
      <c r="DK12" s="553"/>
      <c r="DL12" s="553"/>
      <c r="DM12" s="261"/>
      <c r="DN12" s="3"/>
      <c r="DO12" s="553" t="s">
        <v>12</v>
      </c>
      <c r="DP12" s="553"/>
      <c r="DQ12" s="553"/>
      <c r="DR12" s="553"/>
      <c r="DS12" s="553"/>
      <c r="DT12" s="553"/>
      <c r="DU12" s="553"/>
      <c r="DV12" s="553"/>
      <c r="DW12" s="553"/>
      <c r="DX12" s="3"/>
      <c r="DY12" s="555" t="s">
        <v>13</v>
      </c>
      <c r="DZ12" s="555"/>
      <c r="EA12" s="555"/>
      <c r="EB12" s="555"/>
      <c r="EC12" s="555"/>
      <c r="ED12" s="555"/>
      <c r="EE12" s="555"/>
      <c r="EF12" s="555"/>
      <c r="EG12" s="555"/>
      <c r="EI12" s="557" t="s">
        <v>14</v>
      </c>
      <c r="EJ12" s="557"/>
      <c r="EK12" s="557"/>
      <c r="EL12" s="557"/>
      <c r="EM12" s="557"/>
      <c r="EN12" s="557"/>
      <c r="EO12" s="557"/>
      <c r="EP12" s="557"/>
      <c r="EQ12" s="557"/>
      <c r="ES12" s="559" t="s">
        <v>37</v>
      </c>
      <c r="ET12" s="559"/>
      <c r="EU12" s="559"/>
      <c r="EV12" s="559"/>
      <c r="EW12" s="559"/>
      <c r="EX12" s="559"/>
      <c r="EY12" s="559"/>
      <c r="EZ12" s="559"/>
      <c r="FA12" s="559"/>
      <c r="FC12" s="559" t="s">
        <v>38</v>
      </c>
      <c r="FD12" s="559"/>
      <c r="FE12" s="559"/>
      <c r="FF12" s="559"/>
      <c r="FG12" s="559"/>
      <c r="FH12" s="559"/>
      <c r="FI12" s="559"/>
      <c r="FJ12" s="559"/>
      <c r="FK12" s="559"/>
    </row>
    <row r="13" spans="2:167"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24</v>
      </c>
      <c r="M13" s="2" t="s">
        <v>17</v>
      </c>
      <c r="N13" s="2" t="s">
        <v>18</v>
      </c>
      <c r="O13" s="2" t="s">
        <v>19</v>
      </c>
      <c r="P13" s="2" t="s">
        <v>20</v>
      </c>
      <c r="Q13" s="2" t="s">
        <v>21</v>
      </c>
      <c r="R13" s="2" t="s">
        <v>22</v>
      </c>
      <c r="S13" s="2" t="s">
        <v>23</v>
      </c>
      <c r="T13" s="2" t="s">
        <v>24</v>
      </c>
      <c r="W13" s="2" t="s">
        <v>17</v>
      </c>
      <c r="X13" s="2" t="s">
        <v>18</v>
      </c>
      <c r="Y13" s="2" t="s">
        <v>19</v>
      </c>
      <c r="Z13" s="2" t="s">
        <v>20</v>
      </c>
      <c r="AA13" s="2" t="s">
        <v>21</v>
      </c>
      <c r="AB13" s="2" t="s">
        <v>22</v>
      </c>
      <c r="AC13" s="2" t="s">
        <v>23</v>
      </c>
      <c r="AD13" s="2" t="s">
        <v>24</v>
      </c>
      <c r="AG13" s="2" t="s">
        <v>17</v>
      </c>
      <c r="AH13" s="2" t="s">
        <v>18</v>
      </c>
      <c r="AI13" s="2" t="s">
        <v>19</v>
      </c>
      <c r="AJ13" s="2" t="s">
        <v>20</v>
      </c>
      <c r="AK13" s="2" t="s">
        <v>21</v>
      </c>
      <c r="AL13" s="2" t="s">
        <v>22</v>
      </c>
      <c r="AM13" s="2" t="s">
        <v>23</v>
      </c>
      <c r="AN13" s="2" t="s">
        <v>24</v>
      </c>
      <c r="AQ13" s="2" t="s">
        <v>17</v>
      </c>
      <c r="AR13" s="2" t="s">
        <v>18</v>
      </c>
      <c r="AS13" s="2" t="s">
        <v>19</v>
      </c>
      <c r="AT13" s="2" t="s">
        <v>20</v>
      </c>
      <c r="AU13" s="2" t="s">
        <v>21</v>
      </c>
      <c r="AV13" s="2" t="s">
        <v>22</v>
      </c>
      <c r="AW13" s="2" t="s">
        <v>23</v>
      </c>
      <c r="AX13" s="2" t="s">
        <v>24</v>
      </c>
      <c r="BA13" s="2" t="s">
        <v>25</v>
      </c>
      <c r="BC13" s="2" t="s">
        <v>17</v>
      </c>
      <c r="BD13" s="2" t="s">
        <v>18</v>
      </c>
      <c r="BE13" s="2" t="s">
        <v>19</v>
      </c>
      <c r="BF13" s="2" t="s">
        <v>20</v>
      </c>
      <c r="BG13" s="2" t="s">
        <v>21</v>
      </c>
      <c r="BH13" s="2" t="s">
        <v>22</v>
      </c>
      <c r="BI13" s="2" t="s">
        <v>23</v>
      </c>
      <c r="BJ13" s="2" t="s">
        <v>26</v>
      </c>
      <c r="BK13" s="2" t="s">
        <v>27</v>
      </c>
      <c r="BM13" s="2" t="s">
        <v>17</v>
      </c>
      <c r="BN13" s="2" t="s">
        <v>18</v>
      </c>
      <c r="BO13" s="2" t="s">
        <v>19</v>
      </c>
      <c r="BP13" s="2" t="s">
        <v>20</v>
      </c>
      <c r="BQ13" s="2" t="s">
        <v>21</v>
      </c>
      <c r="BR13" s="2" t="s">
        <v>22</v>
      </c>
      <c r="BS13" s="2" t="s">
        <v>23</v>
      </c>
      <c r="BT13" s="2" t="s">
        <v>26</v>
      </c>
      <c r="BU13" s="2" t="s">
        <v>27</v>
      </c>
      <c r="BX13" s="2" t="s">
        <v>17</v>
      </c>
      <c r="BY13" s="2" t="s">
        <v>18</v>
      </c>
      <c r="BZ13" s="2" t="s">
        <v>19</v>
      </c>
      <c r="CA13" s="2" t="s">
        <v>20</v>
      </c>
      <c r="CB13" s="2" t="s">
        <v>21</v>
      </c>
      <c r="CC13" s="2" t="s">
        <v>22</v>
      </c>
      <c r="CD13" s="2" t="s">
        <v>23</v>
      </c>
      <c r="CE13" s="2" t="s">
        <v>26</v>
      </c>
      <c r="CF13" s="2" t="s">
        <v>27</v>
      </c>
      <c r="CI13" s="2" t="s">
        <v>17</v>
      </c>
      <c r="CJ13" s="2" t="s">
        <v>18</v>
      </c>
      <c r="CK13" s="2" t="s">
        <v>19</v>
      </c>
      <c r="CL13" s="2" t="s">
        <v>20</v>
      </c>
      <c r="CM13" s="2" t="s">
        <v>21</v>
      </c>
      <c r="CN13" s="2" t="s">
        <v>22</v>
      </c>
      <c r="CO13" s="2" t="s">
        <v>23</v>
      </c>
      <c r="CP13" s="2" t="s">
        <v>26</v>
      </c>
      <c r="CQ13" s="2" t="s">
        <v>27</v>
      </c>
      <c r="CT13" s="2" t="s">
        <v>17</v>
      </c>
      <c r="CU13" s="2" t="s">
        <v>18</v>
      </c>
      <c r="CV13" s="2" t="s">
        <v>19</v>
      </c>
      <c r="CW13" s="2" t="s">
        <v>20</v>
      </c>
      <c r="CX13" s="2" t="s">
        <v>21</v>
      </c>
      <c r="CY13" s="2" t="s">
        <v>22</v>
      </c>
      <c r="CZ13" s="2" t="s">
        <v>23</v>
      </c>
      <c r="DA13" s="2" t="s">
        <v>26</v>
      </c>
      <c r="DB13" s="2" t="s">
        <v>27</v>
      </c>
      <c r="DE13" s="2" t="s">
        <v>17</v>
      </c>
      <c r="DF13" s="2" t="s">
        <v>18</v>
      </c>
      <c r="DG13" s="2" t="s">
        <v>19</v>
      </c>
      <c r="DH13" s="2" t="s">
        <v>20</v>
      </c>
      <c r="DI13" s="2" t="s">
        <v>21</v>
      </c>
      <c r="DJ13" s="2" t="s">
        <v>22</v>
      </c>
      <c r="DK13" s="2" t="s">
        <v>23</v>
      </c>
      <c r="DL13" s="2" t="s">
        <v>26</v>
      </c>
      <c r="DM13" s="2" t="s">
        <v>27</v>
      </c>
      <c r="DP13" s="2" t="s">
        <v>17</v>
      </c>
      <c r="DQ13" s="2" t="s">
        <v>18</v>
      </c>
      <c r="DR13" s="2" t="s">
        <v>19</v>
      </c>
      <c r="DS13" s="2" t="s">
        <v>20</v>
      </c>
      <c r="DT13" s="2" t="s">
        <v>21</v>
      </c>
      <c r="DU13" s="2" t="s">
        <v>22</v>
      </c>
      <c r="DV13" s="2" t="s">
        <v>23</v>
      </c>
      <c r="DW13" s="2" t="s">
        <v>24</v>
      </c>
      <c r="DZ13" s="2" t="s">
        <v>17</v>
      </c>
      <c r="EA13" s="2" t="s">
        <v>18</v>
      </c>
      <c r="EB13" s="2" t="s">
        <v>19</v>
      </c>
      <c r="EC13" s="2" t="s">
        <v>20</v>
      </c>
      <c r="ED13" s="2" t="s">
        <v>21</v>
      </c>
      <c r="EE13" s="2" t="s">
        <v>22</v>
      </c>
      <c r="EF13" s="2" t="s">
        <v>23</v>
      </c>
      <c r="EG13" s="2" t="s">
        <v>24</v>
      </c>
      <c r="EJ13" s="2" t="s">
        <v>17</v>
      </c>
      <c r="EK13" s="2" t="s">
        <v>18</v>
      </c>
      <c r="EL13" s="2" t="s">
        <v>19</v>
      </c>
      <c r="EM13" s="2" t="s">
        <v>20</v>
      </c>
      <c r="EN13" s="2" t="s">
        <v>21</v>
      </c>
      <c r="EO13" s="2" t="s">
        <v>22</v>
      </c>
      <c r="EP13" s="2" t="s">
        <v>23</v>
      </c>
      <c r="EQ13" s="2" t="s">
        <v>24</v>
      </c>
      <c r="ET13" s="2" t="s">
        <v>17</v>
      </c>
      <c r="EU13" s="2" t="s">
        <v>18</v>
      </c>
      <c r="EV13" s="2" t="s">
        <v>19</v>
      </c>
      <c r="EW13" s="2" t="s">
        <v>20</v>
      </c>
      <c r="EX13" s="2" t="s">
        <v>21</v>
      </c>
      <c r="EY13" s="2" t="s">
        <v>22</v>
      </c>
      <c r="EZ13" s="2" t="s">
        <v>23</v>
      </c>
      <c r="FA13" s="2" t="s">
        <v>24</v>
      </c>
      <c r="FD13" s="2" t="s">
        <v>17</v>
      </c>
      <c r="FE13" s="2" t="s">
        <v>18</v>
      </c>
      <c r="FF13" s="2" t="s">
        <v>19</v>
      </c>
      <c r="FG13" s="2" t="s">
        <v>20</v>
      </c>
      <c r="FH13" s="2" t="s">
        <v>21</v>
      </c>
      <c r="FI13" s="2" t="s">
        <v>22</v>
      </c>
      <c r="FJ13" s="2" t="s">
        <v>23</v>
      </c>
      <c r="FK13" s="2" t="s">
        <v>24</v>
      </c>
    </row>
    <row r="14" spans="2:167">
      <c r="B14" s="11">
        <v>44562</v>
      </c>
      <c r="C14" s="5"/>
      <c r="D14" s="5"/>
      <c r="E14" s="5"/>
      <c r="F14" s="5"/>
      <c r="G14" s="5"/>
      <c r="H14" s="5"/>
      <c r="I14" s="5"/>
      <c r="J14" s="5">
        <f t="shared" ref="J14:J49" si="88">SUM(C14:I14)</f>
        <v>0</v>
      </c>
      <c r="L14" s="11">
        <v>44562</v>
      </c>
      <c r="M14" s="5"/>
      <c r="N14" s="5"/>
      <c r="O14" s="5"/>
      <c r="P14" s="5"/>
      <c r="Q14" s="5"/>
      <c r="R14" s="5"/>
      <c r="S14" s="5"/>
      <c r="T14" s="5"/>
      <c r="U14" s="5"/>
      <c r="V14" s="11">
        <v>44562</v>
      </c>
      <c r="X14" s="12"/>
      <c r="Y14" s="12"/>
      <c r="Z14" s="12"/>
      <c r="AB14" s="12"/>
      <c r="AD14" s="12"/>
      <c r="AF14" s="11">
        <v>44562</v>
      </c>
      <c r="AG14" s="5"/>
      <c r="AH14" s="5"/>
      <c r="AI14" s="5"/>
      <c r="AJ14" s="5"/>
      <c r="AK14" s="5"/>
      <c r="AL14" s="5"/>
      <c r="AM14" s="5"/>
      <c r="AN14" s="5"/>
      <c r="AO14" s="5"/>
      <c r="AP14" s="11">
        <v>44562</v>
      </c>
      <c r="AQ14" s="8"/>
      <c r="AR14" s="8"/>
      <c r="AS14" s="8"/>
      <c r="AT14" s="8"/>
      <c r="AU14" s="8"/>
      <c r="AV14" s="8"/>
      <c r="AW14" s="8"/>
      <c r="AX14" s="8"/>
      <c r="AY14" s="8"/>
      <c r="AZ14" s="11">
        <v>44562</v>
      </c>
      <c r="BA14" s="11"/>
      <c r="BB14" s="11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1">
        <v>44562</v>
      </c>
      <c r="BX14" s="5"/>
      <c r="BY14" s="5"/>
      <c r="BZ14" s="5"/>
      <c r="CA14" s="5"/>
      <c r="CB14" s="5"/>
      <c r="CC14" s="5"/>
      <c r="CD14" s="5"/>
      <c r="CE14" s="5"/>
      <c r="CF14" s="5"/>
      <c r="CG14" s="8"/>
      <c r="CH14" s="11">
        <v>44562</v>
      </c>
      <c r="CI14" s="5"/>
      <c r="CJ14" s="5"/>
      <c r="CK14" s="5"/>
      <c r="CL14" s="5"/>
      <c r="CM14" s="5"/>
      <c r="CN14" s="5"/>
      <c r="CO14" s="5"/>
      <c r="CP14" s="5"/>
      <c r="CQ14" s="5"/>
      <c r="CR14" s="8"/>
      <c r="CS14" s="11">
        <v>44562</v>
      </c>
      <c r="CT14" s="5"/>
      <c r="CU14" s="5"/>
      <c r="CV14" s="5"/>
      <c r="CW14" s="5"/>
      <c r="CX14" s="5"/>
      <c r="CY14" s="5"/>
      <c r="CZ14" s="5"/>
      <c r="DA14" s="5"/>
      <c r="DB14" s="5"/>
      <c r="DC14" s="8"/>
      <c r="DD14" s="11">
        <v>44562</v>
      </c>
      <c r="DE14" s="5"/>
      <c r="DF14" s="5"/>
      <c r="DG14" s="5"/>
      <c r="DH14" s="5"/>
      <c r="DI14" s="5"/>
      <c r="DJ14" s="5"/>
      <c r="DK14" s="5"/>
      <c r="DL14" s="5"/>
      <c r="DM14" s="5"/>
      <c r="DN14" s="8"/>
      <c r="DO14" s="11">
        <v>44562</v>
      </c>
      <c r="DP14" s="5"/>
      <c r="DQ14" s="5"/>
      <c r="DR14" s="5"/>
      <c r="DS14" s="5"/>
      <c r="DT14" s="5"/>
      <c r="DU14" s="5"/>
      <c r="DV14" s="5"/>
      <c r="DW14" s="5"/>
      <c r="DX14" s="8"/>
      <c r="DY14" s="11">
        <v>44562</v>
      </c>
      <c r="DZ14" s="5"/>
      <c r="EA14" s="5"/>
      <c r="EB14" s="5"/>
      <c r="EC14" s="5"/>
      <c r="ED14" s="5"/>
      <c r="EE14" s="5"/>
      <c r="EF14" s="5"/>
      <c r="EG14" s="5"/>
      <c r="EI14" s="11">
        <v>44562</v>
      </c>
      <c r="ES14" s="11">
        <v>44562</v>
      </c>
      <c r="ET14" s="5"/>
      <c r="EU14" s="5"/>
      <c r="EV14" s="5"/>
      <c r="EW14" s="5"/>
      <c r="EX14" s="5"/>
      <c r="EY14" s="5"/>
      <c r="EZ14" s="5"/>
      <c r="FA14" s="5"/>
      <c r="FC14" s="11">
        <v>44562</v>
      </c>
      <c r="FD14" s="5"/>
      <c r="FE14" s="5"/>
      <c r="FF14" s="5"/>
      <c r="FG14" s="5"/>
      <c r="FH14" s="5"/>
      <c r="FI14" s="5"/>
      <c r="FJ14" s="5"/>
      <c r="FK14" s="5"/>
    </row>
    <row r="15" spans="2:167">
      <c r="B15" s="11">
        <v>44593</v>
      </c>
      <c r="C15" s="5"/>
      <c r="D15" s="5"/>
      <c r="E15" s="5"/>
      <c r="F15" s="5"/>
      <c r="G15" s="5"/>
      <c r="H15" s="5"/>
      <c r="I15" s="5"/>
      <c r="J15" s="5">
        <f t="shared" si="88"/>
        <v>0</v>
      </c>
      <c r="L15" s="11">
        <v>44593</v>
      </c>
      <c r="M15" s="5"/>
      <c r="N15" s="5"/>
      <c r="O15" s="5"/>
      <c r="P15" s="5"/>
      <c r="Q15" s="5"/>
      <c r="R15" s="5"/>
      <c r="S15" s="5"/>
      <c r="T15" s="5"/>
      <c r="U15" s="5"/>
      <c r="V15" s="11">
        <v>44593</v>
      </c>
      <c r="X15" s="12"/>
      <c r="Y15" s="12"/>
      <c r="Z15" s="12"/>
      <c r="AB15" s="12"/>
      <c r="AD15" s="12"/>
      <c r="AF15" s="11">
        <v>44593</v>
      </c>
      <c r="AG15" s="5"/>
      <c r="AH15" s="5"/>
      <c r="AI15" s="5"/>
      <c r="AJ15" s="5"/>
      <c r="AK15" s="5"/>
      <c r="AL15" s="5"/>
      <c r="AM15" s="5"/>
      <c r="AN15" s="5"/>
      <c r="AO15" s="5"/>
      <c r="AP15" s="11">
        <v>44593</v>
      </c>
      <c r="AQ15" s="8"/>
      <c r="AR15" s="8"/>
      <c r="AS15" s="8"/>
      <c r="AT15" s="8"/>
      <c r="AU15" s="8"/>
      <c r="AV15" s="8"/>
      <c r="AW15" s="8"/>
      <c r="AX15" s="8"/>
      <c r="AY15" s="8"/>
      <c r="AZ15" s="11">
        <v>44593</v>
      </c>
      <c r="BA15" s="11"/>
      <c r="BB15" s="11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1">
        <v>44593</v>
      </c>
      <c r="BX15" s="5"/>
      <c r="BY15" s="5"/>
      <c r="BZ15" s="5"/>
      <c r="CA15" s="5"/>
      <c r="CB15" s="5"/>
      <c r="CC15" s="5"/>
      <c r="CD15" s="5"/>
      <c r="CE15" s="5"/>
      <c r="CF15" s="5"/>
      <c r="CG15" s="8"/>
      <c r="CH15" s="11">
        <v>44593</v>
      </c>
      <c r="CI15" s="5"/>
      <c r="CJ15" s="5"/>
      <c r="CK15" s="5"/>
      <c r="CL15" s="5"/>
      <c r="CM15" s="5"/>
      <c r="CN15" s="5"/>
      <c r="CO15" s="5"/>
      <c r="CP15" s="5"/>
      <c r="CQ15" s="5"/>
      <c r="CR15" s="8"/>
      <c r="CS15" s="11">
        <v>44593</v>
      </c>
      <c r="CT15" s="5"/>
      <c r="CU15" s="5"/>
      <c r="CV15" s="5"/>
      <c r="CW15" s="5"/>
      <c r="CX15" s="5"/>
      <c r="CY15" s="5"/>
      <c r="CZ15" s="5"/>
      <c r="DA15" s="5"/>
      <c r="DB15" s="5"/>
      <c r="DC15" s="8"/>
      <c r="DD15" s="11">
        <v>44593</v>
      </c>
      <c r="DE15" s="5"/>
      <c r="DF15" s="5"/>
      <c r="DG15" s="5"/>
      <c r="DH15" s="5"/>
      <c r="DI15" s="5"/>
      <c r="DJ15" s="5"/>
      <c r="DK15" s="5"/>
      <c r="DL15" s="5"/>
      <c r="DM15" s="5"/>
      <c r="DN15" s="8"/>
      <c r="DO15" s="11">
        <v>44593</v>
      </c>
      <c r="DP15" s="5"/>
      <c r="DQ15" s="5"/>
      <c r="DR15" s="5"/>
      <c r="DS15" s="5"/>
      <c r="DT15" s="5"/>
      <c r="DU15" s="5"/>
      <c r="DV15" s="5"/>
      <c r="DW15" s="5"/>
      <c r="DX15" s="8"/>
      <c r="DY15" s="11">
        <v>44593</v>
      </c>
      <c r="DZ15" s="5"/>
      <c r="EA15" s="5"/>
      <c r="EB15" s="5"/>
      <c r="EC15" s="5"/>
      <c r="ED15" s="5"/>
      <c r="EE15" s="5"/>
      <c r="EF15" s="5"/>
      <c r="EG15" s="5"/>
      <c r="EI15" s="11">
        <v>44593</v>
      </c>
      <c r="ES15" s="11">
        <v>44593</v>
      </c>
      <c r="ET15" s="5"/>
      <c r="EU15" s="5"/>
      <c r="EV15" s="5"/>
      <c r="EW15" s="5"/>
      <c r="EX15" s="5"/>
      <c r="EY15" s="5"/>
      <c r="EZ15" s="5"/>
      <c r="FA15" s="5"/>
      <c r="FC15" s="11">
        <v>44593</v>
      </c>
      <c r="FD15" s="5"/>
      <c r="FE15" s="5"/>
      <c r="FF15" s="5"/>
      <c r="FG15" s="5"/>
      <c r="FH15" s="5"/>
      <c r="FI15" s="5"/>
      <c r="FJ15" s="5"/>
      <c r="FK15" s="5"/>
    </row>
    <row r="16" spans="2:167">
      <c r="B16" s="11">
        <v>44621</v>
      </c>
      <c r="C16" s="5"/>
      <c r="D16" s="5"/>
      <c r="E16" s="5"/>
      <c r="F16" s="5"/>
      <c r="G16" s="5"/>
      <c r="H16" s="5"/>
      <c r="I16" s="5"/>
      <c r="J16" s="5">
        <f t="shared" si="88"/>
        <v>0</v>
      </c>
      <c r="L16" s="11">
        <v>44621</v>
      </c>
      <c r="M16" s="5"/>
      <c r="N16" s="5"/>
      <c r="O16" s="5"/>
      <c r="P16" s="5"/>
      <c r="Q16" s="5"/>
      <c r="R16" s="5"/>
      <c r="S16" s="5"/>
      <c r="T16" s="5"/>
      <c r="U16" s="5"/>
      <c r="V16" s="11">
        <v>44621</v>
      </c>
      <c r="X16" s="12"/>
      <c r="Y16" s="12"/>
      <c r="Z16" s="12"/>
      <c r="AB16" s="12"/>
      <c r="AD16" s="12"/>
      <c r="AF16" s="11">
        <v>44621</v>
      </c>
      <c r="AG16" s="5"/>
      <c r="AH16" s="5"/>
      <c r="AI16" s="5"/>
      <c r="AJ16" s="5"/>
      <c r="AK16" s="5"/>
      <c r="AL16" s="5"/>
      <c r="AM16" s="5"/>
      <c r="AN16" s="5"/>
      <c r="AO16" s="5"/>
      <c r="AP16" s="11">
        <v>44621</v>
      </c>
      <c r="AQ16" s="8"/>
      <c r="AR16" s="8"/>
      <c r="AS16" s="8"/>
      <c r="AT16" s="8"/>
      <c r="AU16" s="8"/>
      <c r="AV16" s="8"/>
      <c r="AW16" s="8"/>
      <c r="AX16" s="8"/>
      <c r="AY16" s="8"/>
      <c r="AZ16" s="11">
        <v>44621</v>
      </c>
      <c r="BA16" s="11"/>
      <c r="BB16" s="11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1">
        <v>44621</v>
      </c>
      <c r="BX16" s="5"/>
      <c r="BY16" s="5"/>
      <c r="BZ16" s="5"/>
      <c r="CA16" s="5"/>
      <c r="CB16" s="5"/>
      <c r="CC16" s="5"/>
      <c r="CD16" s="5"/>
      <c r="CE16" s="5"/>
      <c r="CF16" s="5"/>
      <c r="CG16" s="8"/>
      <c r="CH16" s="11">
        <v>44621</v>
      </c>
      <c r="CI16" s="5"/>
      <c r="CJ16" s="5"/>
      <c r="CK16" s="5"/>
      <c r="CL16" s="5"/>
      <c r="CM16" s="5"/>
      <c r="CN16" s="5"/>
      <c r="CO16" s="5"/>
      <c r="CP16" s="5"/>
      <c r="CQ16" s="5"/>
      <c r="CR16" s="8"/>
      <c r="CS16" s="11">
        <v>44621</v>
      </c>
      <c r="CT16" s="5"/>
      <c r="CU16" s="5"/>
      <c r="CV16" s="5"/>
      <c r="CW16" s="5"/>
      <c r="CX16" s="5"/>
      <c r="CY16" s="5"/>
      <c r="CZ16" s="5"/>
      <c r="DA16" s="5"/>
      <c r="DB16" s="5"/>
      <c r="DC16" s="8"/>
      <c r="DD16" s="11">
        <v>44621</v>
      </c>
      <c r="DE16" s="5"/>
      <c r="DF16" s="5"/>
      <c r="DG16" s="5"/>
      <c r="DH16" s="5"/>
      <c r="DI16" s="5"/>
      <c r="DJ16" s="5"/>
      <c r="DK16" s="5"/>
      <c r="DL16" s="5"/>
      <c r="DM16" s="5"/>
      <c r="DN16" s="8"/>
      <c r="DO16" s="11">
        <v>44621</v>
      </c>
      <c r="DP16" s="5"/>
      <c r="DQ16" s="5"/>
      <c r="DR16" s="5"/>
      <c r="DS16" s="5"/>
      <c r="DT16" s="5"/>
      <c r="DU16" s="5"/>
      <c r="DV16" s="5"/>
      <c r="DW16" s="5"/>
      <c r="DX16" s="8"/>
      <c r="DY16" s="11">
        <v>44621</v>
      </c>
      <c r="DZ16" s="5"/>
      <c r="EA16" s="5"/>
      <c r="EB16" s="5"/>
      <c r="EC16" s="5"/>
      <c r="ED16" s="5"/>
      <c r="EE16" s="5"/>
      <c r="EF16" s="5"/>
      <c r="EG16" s="5"/>
      <c r="EI16" s="11">
        <v>44621</v>
      </c>
      <c r="ES16" s="11">
        <v>44621</v>
      </c>
      <c r="ET16" s="5"/>
      <c r="EU16" s="5"/>
      <c r="EV16" s="5"/>
      <c r="EW16" s="5"/>
      <c r="EX16" s="5"/>
      <c r="EY16" s="5"/>
      <c r="EZ16" s="5"/>
      <c r="FA16" s="5"/>
      <c r="FC16" s="11">
        <v>44621</v>
      </c>
      <c r="FD16" s="5"/>
      <c r="FE16" s="5"/>
      <c r="FF16" s="5"/>
      <c r="FG16" s="5"/>
      <c r="FH16" s="5"/>
      <c r="FI16" s="5"/>
      <c r="FJ16" s="5"/>
      <c r="FK16" s="5"/>
    </row>
    <row r="17" spans="2:167">
      <c r="B17" s="11">
        <v>44652</v>
      </c>
      <c r="C17" s="5"/>
      <c r="D17" s="5"/>
      <c r="E17" s="5"/>
      <c r="F17" s="5"/>
      <c r="G17" s="5"/>
      <c r="H17" s="5"/>
      <c r="I17" s="5"/>
      <c r="J17" s="5">
        <f t="shared" si="88"/>
        <v>0</v>
      </c>
      <c r="L17" s="11">
        <v>44652</v>
      </c>
      <c r="M17" s="5"/>
      <c r="N17" s="5"/>
      <c r="O17" s="5"/>
      <c r="P17" s="5"/>
      <c r="Q17" s="5"/>
      <c r="R17" s="5"/>
      <c r="S17" s="5"/>
      <c r="T17" s="5"/>
      <c r="U17" s="5"/>
      <c r="V17" s="11">
        <v>44652</v>
      </c>
      <c r="X17" s="12"/>
      <c r="Y17" s="12"/>
      <c r="Z17" s="12"/>
      <c r="AB17" s="12"/>
      <c r="AD17" s="12"/>
      <c r="AF17" s="11">
        <v>44652</v>
      </c>
      <c r="AG17" s="5"/>
      <c r="AH17" s="5"/>
      <c r="AI17" s="5"/>
      <c r="AJ17" s="5"/>
      <c r="AK17" s="5"/>
      <c r="AL17" s="5"/>
      <c r="AM17" s="5"/>
      <c r="AN17" s="5"/>
      <c r="AO17" s="5"/>
      <c r="AP17" s="11">
        <v>44652</v>
      </c>
      <c r="AQ17" s="8"/>
      <c r="AR17" s="8"/>
      <c r="AS17" s="8"/>
      <c r="AT17" s="8"/>
      <c r="AU17" s="8"/>
      <c r="AV17" s="8"/>
      <c r="AW17" s="8"/>
      <c r="AX17" s="8"/>
      <c r="AY17" s="8"/>
      <c r="AZ17" s="11">
        <v>44652</v>
      </c>
      <c r="BA17" s="11"/>
      <c r="BB17" s="11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1">
        <v>44652</v>
      </c>
      <c r="BX17" s="5"/>
      <c r="BY17" s="5"/>
      <c r="BZ17" s="5"/>
      <c r="CA17" s="5"/>
      <c r="CB17" s="5"/>
      <c r="CC17" s="5"/>
      <c r="CD17" s="5"/>
      <c r="CE17" s="5"/>
      <c r="CF17" s="5"/>
      <c r="CG17" s="8"/>
      <c r="CH17" s="11">
        <v>44652</v>
      </c>
      <c r="CI17" s="5"/>
      <c r="CJ17" s="5"/>
      <c r="CK17" s="5"/>
      <c r="CL17" s="5"/>
      <c r="CM17" s="5"/>
      <c r="CN17" s="5"/>
      <c r="CO17" s="5"/>
      <c r="CP17" s="5"/>
      <c r="CQ17" s="5"/>
      <c r="CR17" s="8"/>
      <c r="CS17" s="11">
        <v>44652</v>
      </c>
      <c r="CT17" s="5"/>
      <c r="CU17" s="5"/>
      <c r="CV17" s="5"/>
      <c r="CW17" s="5"/>
      <c r="CX17" s="5"/>
      <c r="CY17" s="5"/>
      <c r="CZ17" s="5"/>
      <c r="DA17" s="5"/>
      <c r="DB17" s="5"/>
      <c r="DC17" s="8"/>
      <c r="DD17" s="11">
        <v>44652</v>
      </c>
      <c r="DE17" s="5"/>
      <c r="DF17" s="5"/>
      <c r="DG17" s="5"/>
      <c r="DH17" s="5"/>
      <c r="DI17" s="5"/>
      <c r="DJ17" s="5"/>
      <c r="DK17" s="5"/>
      <c r="DL17" s="5"/>
      <c r="DM17" s="5"/>
      <c r="DN17" s="8"/>
      <c r="DO17" s="11">
        <v>44652</v>
      </c>
      <c r="DP17" s="5"/>
      <c r="DQ17" s="5"/>
      <c r="DR17" s="5"/>
      <c r="DS17" s="5"/>
      <c r="DT17" s="5"/>
      <c r="DU17" s="5"/>
      <c r="DV17" s="5"/>
      <c r="DW17" s="5"/>
      <c r="DX17" s="8"/>
      <c r="DY17" s="11">
        <v>44652</v>
      </c>
      <c r="DZ17" s="5"/>
      <c r="EA17" s="5"/>
      <c r="EB17" s="5"/>
      <c r="EC17" s="5"/>
      <c r="ED17" s="5"/>
      <c r="EE17" s="5"/>
      <c r="EF17" s="5"/>
      <c r="EG17" s="5"/>
      <c r="EI17" s="11">
        <v>44652</v>
      </c>
      <c r="ES17" s="11">
        <v>44652</v>
      </c>
      <c r="ET17" s="5"/>
      <c r="EU17" s="5"/>
      <c r="EV17" s="5"/>
      <c r="EW17" s="5"/>
      <c r="EX17" s="5"/>
      <c r="EY17" s="5"/>
      <c r="EZ17" s="5"/>
      <c r="FA17" s="5"/>
      <c r="FC17" s="11">
        <v>44652</v>
      </c>
      <c r="FD17" s="5"/>
      <c r="FE17" s="5"/>
      <c r="FF17" s="5"/>
      <c r="FG17" s="5"/>
      <c r="FH17" s="5"/>
      <c r="FI17" s="5"/>
      <c r="FJ17" s="5"/>
      <c r="FK17" s="5"/>
    </row>
    <row r="18" spans="2:167">
      <c r="B18" s="11">
        <v>44682</v>
      </c>
      <c r="C18" s="5"/>
      <c r="D18" s="5"/>
      <c r="E18" s="5"/>
      <c r="F18" s="5"/>
      <c r="G18" s="5"/>
      <c r="H18" s="5"/>
      <c r="I18" s="5"/>
      <c r="J18" s="5">
        <f t="shared" si="88"/>
        <v>0</v>
      </c>
      <c r="L18" s="11">
        <v>44682</v>
      </c>
      <c r="M18" s="5"/>
      <c r="N18" s="5"/>
      <c r="O18" s="5"/>
      <c r="P18" s="5"/>
      <c r="Q18" s="5"/>
      <c r="R18" s="5"/>
      <c r="S18" s="5"/>
      <c r="T18" s="5"/>
      <c r="U18" s="5"/>
      <c r="V18" s="11">
        <v>44682</v>
      </c>
      <c r="X18" s="12"/>
      <c r="Y18" s="12"/>
      <c r="Z18" s="12"/>
      <c r="AB18" s="12"/>
      <c r="AD18" s="12"/>
      <c r="AF18" s="11">
        <v>44682</v>
      </c>
      <c r="AG18" s="5"/>
      <c r="AH18" s="5"/>
      <c r="AI18" s="5"/>
      <c r="AJ18" s="5"/>
      <c r="AK18" s="5"/>
      <c r="AL18" s="5"/>
      <c r="AM18" s="5"/>
      <c r="AN18" s="5"/>
      <c r="AO18" s="5"/>
      <c r="AP18" s="11">
        <v>44682</v>
      </c>
      <c r="AQ18" s="8"/>
      <c r="AR18" s="8"/>
      <c r="AS18" s="8"/>
      <c r="AT18" s="8"/>
      <c r="AU18" s="8"/>
      <c r="AV18" s="8"/>
      <c r="AW18" s="8"/>
      <c r="AX18" s="8"/>
      <c r="AY18" s="8"/>
      <c r="AZ18" s="11">
        <v>44682</v>
      </c>
      <c r="BA18" s="11"/>
      <c r="BB18" s="11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1">
        <v>44682</v>
      </c>
      <c r="BX18" s="5"/>
      <c r="BY18" s="5"/>
      <c r="BZ18" s="5"/>
      <c r="CA18" s="5"/>
      <c r="CB18" s="5"/>
      <c r="CC18" s="5"/>
      <c r="CD18" s="5"/>
      <c r="CE18" s="5"/>
      <c r="CF18" s="5"/>
      <c r="CG18" s="8"/>
      <c r="CH18" s="11">
        <v>44682</v>
      </c>
      <c r="CI18" s="5"/>
      <c r="CJ18" s="5"/>
      <c r="CK18" s="5"/>
      <c r="CL18" s="5"/>
      <c r="CM18" s="5"/>
      <c r="CN18" s="5"/>
      <c r="CO18" s="5"/>
      <c r="CP18" s="5"/>
      <c r="CQ18" s="5"/>
      <c r="CR18" s="8"/>
      <c r="CS18" s="11">
        <v>44682</v>
      </c>
      <c r="CT18" s="5"/>
      <c r="CU18" s="5"/>
      <c r="CV18" s="5"/>
      <c r="CW18" s="5"/>
      <c r="CX18" s="5"/>
      <c r="CY18" s="5"/>
      <c r="CZ18" s="5"/>
      <c r="DA18" s="5"/>
      <c r="DB18" s="5"/>
      <c r="DC18" s="8"/>
      <c r="DD18" s="11">
        <v>44682</v>
      </c>
      <c r="DE18" s="5"/>
      <c r="DF18" s="5"/>
      <c r="DG18" s="5"/>
      <c r="DH18" s="5"/>
      <c r="DI18" s="5"/>
      <c r="DJ18" s="5"/>
      <c r="DK18" s="5"/>
      <c r="DL18" s="5"/>
      <c r="DM18" s="5"/>
      <c r="DN18" s="8"/>
      <c r="DO18" s="11">
        <v>44682</v>
      </c>
      <c r="DP18" s="5"/>
      <c r="DQ18" s="5"/>
      <c r="DR18" s="5"/>
      <c r="DS18" s="5"/>
      <c r="DT18" s="5"/>
      <c r="DU18" s="5"/>
      <c r="DV18" s="5"/>
      <c r="DW18" s="5"/>
      <c r="DX18" s="8"/>
      <c r="DY18" s="11">
        <v>44682</v>
      </c>
      <c r="DZ18" s="5"/>
      <c r="EA18" s="5"/>
      <c r="EB18" s="5"/>
      <c r="EC18" s="5"/>
      <c r="ED18" s="5"/>
      <c r="EE18" s="5"/>
      <c r="EF18" s="5"/>
      <c r="EG18" s="5"/>
      <c r="EI18" s="11">
        <v>44682</v>
      </c>
      <c r="ES18" s="11">
        <v>44682</v>
      </c>
      <c r="ET18" s="5"/>
      <c r="EU18" s="5"/>
      <c r="EV18" s="5"/>
      <c r="EW18" s="5"/>
      <c r="EX18" s="5"/>
      <c r="EY18" s="5"/>
      <c r="EZ18" s="5"/>
      <c r="FA18" s="5"/>
      <c r="FC18" s="11">
        <v>44682</v>
      </c>
      <c r="FD18" s="5"/>
      <c r="FE18" s="5"/>
      <c r="FF18" s="5"/>
      <c r="FG18" s="5"/>
      <c r="FH18" s="5"/>
      <c r="FI18" s="5"/>
      <c r="FJ18" s="5"/>
      <c r="FK18" s="5"/>
    </row>
    <row r="19" spans="2:167">
      <c r="B19" s="11">
        <v>44713</v>
      </c>
      <c r="C19" s="5"/>
      <c r="D19" s="5"/>
      <c r="E19" s="5"/>
      <c r="F19" s="5"/>
      <c r="G19" s="5"/>
      <c r="H19" s="5"/>
      <c r="I19" s="5"/>
      <c r="J19" s="5">
        <f t="shared" si="88"/>
        <v>0</v>
      </c>
      <c r="L19" s="11">
        <v>44713</v>
      </c>
      <c r="M19" s="5"/>
      <c r="N19" s="5"/>
      <c r="O19" s="5"/>
      <c r="P19" s="5"/>
      <c r="Q19" s="5"/>
      <c r="R19" s="5"/>
      <c r="S19" s="5"/>
      <c r="T19" s="5"/>
      <c r="U19" s="5"/>
      <c r="V19" s="11">
        <v>44713</v>
      </c>
      <c r="X19" s="12"/>
      <c r="Y19" s="12"/>
      <c r="Z19" s="12"/>
      <c r="AB19" s="12"/>
      <c r="AD19" s="12"/>
      <c r="AF19" s="11">
        <v>44713</v>
      </c>
      <c r="AG19" s="5"/>
      <c r="AH19" s="5"/>
      <c r="AI19" s="5"/>
      <c r="AJ19" s="5"/>
      <c r="AK19" s="5"/>
      <c r="AL19" s="5"/>
      <c r="AM19" s="5"/>
      <c r="AN19" s="5"/>
      <c r="AO19" s="5"/>
      <c r="AP19" s="11">
        <v>44713</v>
      </c>
      <c r="AQ19" s="8"/>
      <c r="AR19" s="8"/>
      <c r="AS19" s="8"/>
      <c r="AT19" s="8"/>
      <c r="AU19" s="8"/>
      <c r="AV19" s="8"/>
      <c r="AW19" s="8"/>
      <c r="AX19" s="8"/>
      <c r="AY19" s="8"/>
      <c r="AZ19" s="11">
        <v>44713</v>
      </c>
      <c r="BA19" s="11"/>
      <c r="BB19" s="11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1">
        <v>44713</v>
      </c>
      <c r="BX19" s="5"/>
      <c r="BY19" s="5"/>
      <c r="BZ19" s="5"/>
      <c r="CA19" s="5"/>
      <c r="CB19" s="5"/>
      <c r="CC19" s="5"/>
      <c r="CD19" s="5"/>
      <c r="CE19" s="5"/>
      <c r="CF19" s="5"/>
      <c r="CG19" s="8"/>
      <c r="CH19" s="11">
        <v>44713</v>
      </c>
      <c r="CI19" s="5"/>
      <c r="CJ19" s="5"/>
      <c r="CK19" s="5"/>
      <c r="CL19" s="5"/>
      <c r="CM19" s="5"/>
      <c r="CN19" s="5"/>
      <c r="CO19" s="5"/>
      <c r="CP19" s="5"/>
      <c r="CQ19" s="5"/>
      <c r="CR19" s="8"/>
      <c r="CS19" s="11">
        <v>44713</v>
      </c>
      <c r="CT19" s="5"/>
      <c r="CU19" s="5"/>
      <c r="CV19" s="5"/>
      <c r="CW19" s="5"/>
      <c r="CX19" s="5"/>
      <c r="CY19" s="5"/>
      <c r="CZ19" s="5"/>
      <c r="DA19" s="5"/>
      <c r="DB19" s="5"/>
      <c r="DC19" s="8"/>
      <c r="DD19" s="11">
        <v>44713</v>
      </c>
      <c r="DE19" s="5"/>
      <c r="DF19" s="5"/>
      <c r="DG19" s="5"/>
      <c r="DH19" s="5"/>
      <c r="DI19" s="5"/>
      <c r="DJ19" s="5"/>
      <c r="DK19" s="5"/>
      <c r="DL19" s="5"/>
      <c r="DM19" s="5"/>
      <c r="DN19" s="8"/>
      <c r="DO19" s="11">
        <v>44713</v>
      </c>
      <c r="DP19" s="5"/>
      <c r="DQ19" s="5"/>
      <c r="DR19" s="5"/>
      <c r="DS19" s="5"/>
      <c r="DT19" s="5"/>
      <c r="DU19" s="5"/>
      <c r="DV19" s="5"/>
      <c r="DW19" s="5"/>
      <c r="DX19" s="8"/>
      <c r="DY19" s="11">
        <v>44713</v>
      </c>
      <c r="DZ19" s="5"/>
      <c r="EA19" s="5"/>
      <c r="EB19" s="5"/>
      <c r="EC19" s="5"/>
      <c r="ED19" s="5"/>
      <c r="EE19" s="5"/>
      <c r="EF19" s="5"/>
      <c r="EG19" s="5"/>
      <c r="EI19" s="11">
        <v>44713</v>
      </c>
      <c r="ES19" s="11">
        <v>44713</v>
      </c>
      <c r="ET19" s="5"/>
      <c r="EU19" s="5"/>
      <c r="EV19" s="5"/>
      <c r="EW19" s="5"/>
      <c r="EX19" s="5"/>
      <c r="EY19" s="5"/>
      <c r="EZ19" s="5"/>
      <c r="FA19" s="5"/>
      <c r="FC19" s="11">
        <v>44713</v>
      </c>
      <c r="FD19" s="5"/>
      <c r="FE19" s="5"/>
      <c r="FF19" s="5"/>
      <c r="FG19" s="5"/>
      <c r="FH19" s="5"/>
      <c r="FI19" s="5"/>
      <c r="FJ19" s="5"/>
      <c r="FK19" s="5"/>
    </row>
    <row r="20" spans="2:167">
      <c r="B20" s="11">
        <v>44743</v>
      </c>
      <c r="C20" s="5"/>
      <c r="D20" s="5"/>
      <c r="E20" s="5"/>
      <c r="F20" s="5"/>
      <c r="G20" s="5"/>
      <c r="H20" s="5"/>
      <c r="I20" s="5"/>
      <c r="J20" s="5">
        <f t="shared" si="88"/>
        <v>0</v>
      </c>
      <c r="L20" s="11">
        <v>44743</v>
      </c>
      <c r="M20" s="5"/>
      <c r="N20" s="5"/>
      <c r="O20" s="5"/>
      <c r="P20" s="5"/>
      <c r="Q20" s="5"/>
      <c r="R20" s="5"/>
      <c r="S20" s="5"/>
      <c r="T20" s="5"/>
      <c r="U20" s="5"/>
      <c r="V20" s="11">
        <v>44743</v>
      </c>
      <c r="X20" s="12"/>
      <c r="Y20" s="12"/>
      <c r="Z20" s="12"/>
      <c r="AB20" s="12"/>
      <c r="AC20" s="12"/>
      <c r="AD20" s="12"/>
      <c r="AE20" s="16"/>
      <c r="AF20" s="11">
        <v>44743</v>
      </c>
      <c r="AG20" s="5"/>
      <c r="AH20" s="5"/>
      <c r="AI20" s="5"/>
      <c r="AJ20" s="5"/>
      <c r="AK20" s="5"/>
      <c r="AL20" s="5"/>
      <c r="AM20" s="5"/>
      <c r="AN20" s="5"/>
      <c r="AO20" s="5"/>
      <c r="AP20" s="11">
        <v>44743</v>
      </c>
      <c r="AQ20" s="8"/>
      <c r="AR20" s="8"/>
      <c r="AS20" s="8"/>
      <c r="AT20" s="8"/>
      <c r="AU20" s="8"/>
      <c r="AV20" s="8"/>
      <c r="AW20" s="8"/>
      <c r="AX20" s="8"/>
      <c r="AY20" s="8"/>
      <c r="AZ20" s="11">
        <v>44743</v>
      </c>
      <c r="BA20" s="11"/>
      <c r="BB20" s="11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1">
        <v>44743</v>
      </c>
      <c r="BX20" s="5"/>
      <c r="BY20" s="5"/>
      <c r="BZ20" s="5"/>
      <c r="CA20" s="5"/>
      <c r="CB20" s="5"/>
      <c r="CC20" s="5"/>
      <c r="CD20" s="5"/>
      <c r="CE20" s="5"/>
      <c r="CF20" s="5"/>
      <c r="CG20" s="8"/>
      <c r="CH20" s="11">
        <v>44743</v>
      </c>
      <c r="CI20" s="5"/>
      <c r="CJ20" s="5"/>
      <c r="CK20" s="5"/>
      <c r="CL20" s="5"/>
      <c r="CM20" s="5"/>
      <c r="CN20" s="5"/>
      <c r="CO20" s="5"/>
      <c r="CP20" s="5"/>
      <c r="CQ20" s="5"/>
      <c r="CR20" s="8"/>
      <c r="CS20" s="11">
        <v>44743</v>
      </c>
      <c r="CT20" s="5"/>
      <c r="CU20" s="5"/>
      <c r="CV20" s="5"/>
      <c r="CW20" s="5"/>
      <c r="CX20" s="5"/>
      <c r="CY20" s="5"/>
      <c r="CZ20" s="5"/>
      <c r="DA20" s="5"/>
      <c r="DB20" s="5"/>
      <c r="DC20" s="8"/>
      <c r="DD20" s="11">
        <v>44743</v>
      </c>
      <c r="DE20" s="5"/>
      <c r="DF20" s="5"/>
      <c r="DG20" s="5"/>
      <c r="DH20" s="5"/>
      <c r="DI20" s="5"/>
      <c r="DJ20" s="5"/>
      <c r="DK20" s="5"/>
      <c r="DL20" s="5"/>
      <c r="DM20" s="5"/>
      <c r="DN20" s="8"/>
      <c r="DO20" s="11">
        <v>44743</v>
      </c>
      <c r="DP20" s="5"/>
      <c r="DQ20" s="5"/>
      <c r="DR20" s="5"/>
      <c r="DS20" s="5"/>
      <c r="DT20" s="5"/>
      <c r="DU20" s="5"/>
      <c r="DV20" s="5"/>
      <c r="DW20" s="5"/>
      <c r="DX20" s="8"/>
      <c r="DY20" s="11">
        <v>44743</v>
      </c>
      <c r="DZ20" s="5"/>
      <c r="EA20" s="5"/>
      <c r="EB20" s="5"/>
      <c r="EC20" s="5"/>
      <c r="ED20" s="5"/>
      <c r="EE20" s="5"/>
      <c r="EF20" s="5"/>
      <c r="EG20" s="5"/>
      <c r="EI20" s="11">
        <v>44743</v>
      </c>
      <c r="ES20" s="11">
        <v>44743</v>
      </c>
      <c r="ET20" s="5"/>
      <c r="EU20" s="5"/>
      <c r="EV20" s="5"/>
      <c r="EW20" s="5"/>
      <c r="EX20" s="5"/>
      <c r="EY20" s="5"/>
      <c r="EZ20" s="5"/>
      <c r="FA20" s="5"/>
      <c r="FC20" s="11">
        <v>44743</v>
      </c>
      <c r="FD20" s="5"/>
      <c r="FE20" s="5"/>
      <c r="FF20" s="5"/>
      <c r="FG20" s="5"/>
      <c r="FH20" s="5"/>
      <c r="FI20" s="5"/>
      <c r="FJ20" s="5"/>
      <c r="FK20" s="5"/>
    </row>
    <row r="21" spans="2:167">
      <c r="B21" s="11">
        <v>44774</v>
      </c>
      <c r="C21" s="5"/>
      <c r="D21" s="5"/>
      <c r="E21" s="5"/>
      <c r="F21" s="5"/>
      <c r="G21" s="5"/>
      <c r="H21" s="5"/>
      <c r="I21" s="5"/>
      <c r="J21" s="5">
        <f t="shared" si="88"/>
        <v>0</v>
      </c>
      <c r="L21" s="11">
        <v>44774</v>
      </c>
      <c r="M21" s="5"/>
      <c r="N21" s="5"/>
      <c r="O21" s="5"/>
      <c r="P21" s="5"/>
      <c r="Q21" s="5"/>
      <c r="R21" s="5"/>
      <c r="S21" s="5"/>
      <c r="T21" s="5"/>
      <c r="U21" s="5"/>
      <c r="V21" s="11">
        <v>44774</v>
      </c>
      <c r="X21" s="12"/>
      <c r="Y21" s="12"/>
      <c r="Z21" s="12"/>
      <c r="AB21" s="12"/>
      <c r="AC21" s="12"/>
      <c r="AD21" s="12"/>
      <c r="AF21" s="11">
        <v>44774</v>
      </c>
      <c r="AG21" s="5"/>
      <c r="AH21" s="5"/>
      <c r="AI21" s="5"/>
      <c r="AJ21" s="5"/>
      <c r="AK21" s="5"/>
      <c r="AL21" s="5"/>
      <c r="AM21" s="5"/>
      <c r="AN21" s="5"/>
      <c r="AO21" s="5"/>
      <c r="AP21" s="11">
        <v>44774</v>
      </c>
      <c r="AQ21" s="8"/>
      <c r="AR21" s="8"/>
      <c r="AS21" s="8"/>
      <c r="AT21" s="8"/>
      <c r="AU21" s="8"/>
      <c r="AV21" s="8"/>
      <c r="AW21" s="8"/>
      <c r="AX21" s="8"/>
      <c r="AY21" s="8"/>
      <c r="AZ21" s="11">
        <v>44774</v>
      </c>
      <c r="BA21" s="11"/>
      <c r="BB21" s="11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1">
        <v>44774</v>
      </c>
      <c r="BX21" s="5"/>
      <c r="BY21" s="5"/>
      <c r="BZ21" s="5"/>
      <c r="CA21" s="5"/>
      <c r="CB21" s="5"/>
      <c r="CC21" s="5"/>
      <c r="CD21" s="5"/>
      <c r="CE21" s="5"/>
      <c r="CF21" s="5"/>
      <c r="CG21" s="8"/>
      <c r="CH21" s="11">
        <v>44774</v>
      </c>
      <c r="CI21" s="5"/>
      <c r="CJ21" s="5"/>
      <c r="CK21" s="5"/>
      <c r="CL21" s="5"/>
      <c r="CM21" s="5"/>
      <c r="CN21" s="5"/>
      <c r="CO21" s="5"/>
      <c r="CP21" s="5"/>
      <c r="CQ21" s="5"/>
      <c r="CR21" s="8"/>
      <c r="CS21" s="11">
        <v>44774</v>
      </c>
      <c r="CT21" s="5"/>
      <c r="CU21" s="5"/>
      <c r="CV21" s="5"/>
      <c r="CW21" s="5"/>
      <c r="CX21" s="5"/>
      <c r="CY21" s="5"/>
      <c r="CZ21" s="5"/>
      <c r="DA21" s="5"/>
      <c r="DB21" s="5"/>
      <c r="DC21" s="8"/>
      <c r="DD21" s="11">
        <v>44774</v>
      </c>
      <c r="DE21" s="5"/>
      <c r="DF21" s="5"/>
      <c r="DG21" s="5"/>
      <c r="DH21" s="5"/>
      <c r="DI21" s="5"/>
      <c r="DJ21" s="5"/>
      <c r="DK21" s="5"/>
      <c r="DL21" s="5"/>
      <c r="DM21" s="5"/>
      <c r="DN21" s="8"/>
      <c r="DO21" s="11">
        <v>44774</v>
      </c>
      <c r="DP21" s="5"/>
      <c r="DQ21" s="5"/>
      <c r="DR21" s="5"/>
      <c r="DS21" s="5"/>
      <c r="DT21" s="5"/>
      <c r="DU21" s="5"/>
      <c r="DV21" s="5"/>
      <c r="DW21" s="5"/>
      <c r="DX21" s="8"/>
      <c r="DY21" s="11">
        <v>44774</v>
      </c>
      <c r="DZ21" s="5"/>
      <c r="EA21" s="5"/>
      <c r="EB21" s="5"/>
      <c r="EC21" s="5"/>
      <c r="ED21" s="5"/>
      <c r="EE21" s="5"/>
      <c r="EF21" s="5"/>
      <c r="EG21" s="5"/>
      <c r="EI21" s="11">
        <v>44774</v>
      </c>
      <c r="ES21" s="11">
        <v>44774</v>
      </c>
      <c r="ET21" s="5"/>
      <c r="EU21" s="5"/>
      <c r="EV21" s="5"/>
      <c r="EW21" s="5"/>
      <c r="EX21" s="5"/>
      <c r="EY21" s="5"/>
      <c r="EZ21" s="5"/>
      <c r="FA21" s="5"/>
      <c r="FC21" s="11">
        <v>44774</v>
      </c>
      <c r="FD21" s="5"/>
      <c r="FE21" s="5"/>
      <c r="FF21" s="5"/>
      <c r="FG21" s="5"/>
      <c r="FH21" s="5"/>
      <c r="FI21" s="5"/>
      <c r="FJ21" s="5"/>
      <c r="FK21" s="5"/>
    </row>
    <row r="22" spans="2:167">
      <c r="B22" s="11">
        <v>44805</v>
      </c>
      <c r="C22" s="5"/>
      <c r="D22" s="5"/>
      <c r="E22" s="5"/>
      <c r="F22" s="5"/>
      <c r="G22" s="5"/>
      <c r="H22" s="5"/>
      <c r="I22" s="5"/>
      <c r="J22" s="5">
        <f t="shared" si="88"/>
        <v>0</v>
      </c>
      <c r="L22" s="11">
        <v>44805</v>
      </c>
      <c r="M22" s="5"/>
      <c r="N22" s="5"/>
      <c r="O22" s="5"/>
      <c r="P22" s="5"/>
      <c r="Q22" s="5"/>
      <c r="R22" s="5"/>
      <c r="S22" s="5"/>
      <c r="T22" s="5"/>
      <c r="U22" s="5"/>
      <c r="V22" s="11">
        <v>44805</v>
      </c>
      <c r="X22" s="12"/>
      <c r="Y22" s="12"/>
      <c r="Z22" s="12"/>
      <c r="AB22" s="12"/>
      <c r="AC22" s="12"/>
      <c r="AD22" s="12"/>
      <c r="AF22" s="11">
        <v>44805</v>
      </c>
      <c r="AG22" s="5"/>
      <c r="AH22" s="5"/>
      <c r="AI22" s="5"/>
      <c r="AJ22" s="5"/>
      <c r="AK22" s="5"/>
      <c r="AL22" s="5"/>
      <c r="AM22" s="5"/>
      <c r="AN22" s="5"/>
      <c r="AO22" s="5"/>
      <c r="AP22" s="11">
        <v>44805</v>
      </c>
      <c r="AQ22" s="8"/>
      <c r="AR22" s="8"/>
      <c r="AS22" s="8"/>
      <c r="AT22" s="8"/>
      <c r="AU22" s="8"/>
      <c r="AV22" s="8"/>
      <c r="AW22" s="8"/>
      <c r="AX22" s="8"/>
      <c r="AY22" s="8"/>
      <c r="AZ22" s="11">
        <v>44805</v>
      </c>
      <c r="BA22" s="11"/>
      <c r="BB22" s="11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1">
        <v>44805</v>
      </c>
      <c r="BX22" s="5"/>
      <c r="BY22" s="5"/>
      <c r="BZ22" s="5"/>
      <c r="CA22" s="5"/>
      <c r="CB22" s="5"/>
      <c r="CC22" s="5"/>
      <c r="CD22" s="5"/>
      <c r="CE22" s="5"/>
      <c r="CF22" s="5"/>
      <c r="CG22" s="8"/>
      <c r="CH22" s="11">
        <v>44805</v>
      </c>
      <c r="CI22" s="5"/>
      <c r="CJ22" s="5"/>
      <c r="CK22" s="5"/>
      <c r="CL22" s="5"/>
      <c r="CM22" s="5"/>
      <c r="CN22" s="5"/>
      <c r="CO22" s="5"/>
      <c r="CP22" s="5"/>
      <c r="CQ22" s="5"/>
      <c r="CR22" s="8"/>
      <c r="CS22" s="11">
        <v>44805</v>
      </c>
      <c r="CT22" s="5"/>
      <c r="CU22" s="5"/>
      <c r="CV22" s="5"/>
      <c r="CW22" s="5"/>
      <c r="CX22" s="5"/>
      <c r="CY22" s="5"/>
      <c r="CZ22" s="5"/>
      <c r="DA22" s="5"/>
      <c r="DB22" s="5"/>
      <c r="DC22" s="8"/>
      <c r="DD22" s="11">
        <v>44805</v>
      </c>
      <c r="DE22" s="5"/>
      <c r="DF22" s="5"/>
      <c r="DG22" s="5"/>
      <c r="DH22" s="5"/>
      <c r="DI22" s="5"/>
      <c r="DJ22" s="5"/>
      <c r="DK22" s="5"/>
      <c r="DL22" s="5"/>
      <c r="DM22" s="5"/>
      <c r="DN22" s="8"/>
      <c r="DO22" s="11">
        <v>44805</v>
      </c>
      <c r="DP22" s="5"/>
      <c r="DQ22" s="5"/>
      <c r="DR22" s="5"/>
      <c r="DS22" s="5"/>
      <c r="DT22" s="5"/>
      <c r="DU22" s="5"/>
      <c r="DV22" s="5"/>
      <c r="DW22" s="5"/>
      <c r="DX22" s="8"/>
      <c r="DY22" s="11">
        <v>44805</v>
      </c>
      <c r="DZ22" s="5"/>
      <c r="EA22" s="5"/>
      <c r="EB22" s="5"/>
      <c r="EC22" s="5"/>
      <c r="ED22" s="5"/>
      <c r="EE22" s="5"/>
      <c r="EF22" s="5"/>
      <c r="EG22" s="5"/>
      <c r="EI22" s="11">
        <v>44805</v>
      </c>
      <c r="ES22" s="11">
        <v>44805</v>
      </c>
      <c r="ET22" s="5"/>
      <c r="EU22" s="5"/>
      <c r="EV22" s="5"/>
      <c r="EW22" s="5"/>
      <c r="EX22" s="5"/>
      <c r="EY22" s="5"/>
      <c r="EZ22" s="5"/>
      <c r="FA22" s="5"/>
      <c r="FC22" s="11">
        <v>44805</v>
      </c>
      <c r="FD22" s="5"/>
      <c r="FE22" s="5"/>
      <c r="FF22" s="5"/>
      <c r="FG22" s="5"/>
      <c r="FH22" s="5"/>
      <c r="FI22" s="5"/>
      <c r="FJ22" s="5"/>
      <c r="FK22" s="5"/>
    </row>
    <row r="23" spans="2:167">
      <c r="B23" s="11">
        <v>44835</v>
      </c>
      <c r="C23" s="5"/>
      <c r="D23" s="5"/>
      <c r="E23" s="5"/>
      <c r="F23" s="5"/>
      <c r="G23" s="5"/>
      <c r="H23" s="5"/>
      <c r="I23" s="5"/>
      <c r="J23" s="5">
        <f t="shared" si="88"/>
        <v>0</v>
      </c>
      <c r="L23" s="11">
        <v>44835</v>
      </c>
      <c r="M23" s="5"/>
      <c r="N23" s="5"/>
      <c r="O23" s="5"/>
      <c r="P23" s="5"/>
      <c r="Q23" s="5"/>
      <c r="R23" s="5"/>
      <c r="S23" s="5"/>
      <c r="T23" s="5"/>
      <c r="U23" s="5"/>
      <c r="V23" s="11">
        <v>44835</v>
      </c>
      <c r="X23" s="12"/>
      <c r="Y23" s="12"/>
      <c r="Z23" s="12"/>
      <c r="AB23" s="12"/>
      <c r="AC23" s="12"/>
      <c r="AD23" s="12"/>
      <c r="AE23" s="16"/>
      <c r="AF23" s="11">
        <v>44835</v>
      </c>
      <c r="AG23" s="5"/>
      <c r="AH23" s="5"/>
      <c r="AI23" s="5"/>
      <c r="AJ23" s="5"/>
      <c r="AK23" s="5"/>
      <c r="AL23" s="5"/>
      <c r="AM23" s="5"/>
      <c r="AN23" s="5"/>
      <c r="AO23" s="5"/>
      <c r="AP23" s="11">
        <v>44835</v>
      </c>
      <c r="AQ23" s="8"/>
      <c r="AR23" s="8"/>
      <c r="AS23" s="8"/>
      <c r="AT23" s="8"/>
      <c r="AU23" s="8"/>
      <c r="AV23" s="8"/>
      <c r="AW23" s="8"/>
      <c r="AX23" s="8"/>
      <c r="AY23" s="8"/>
      <c r="AZ23" s="11">
        <v>44835</v>
      </c>
      <c r="BA23" s="11"/>
      <c r="BB23" s="11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1">
        <v>44835</v>
      </c>
      <c r="BX23" s="5"/>
      <c r="BY23" s="5"/>
      <c r="BZ23" s="5"/>
      <c r="CA23" s="5"/>
      <c r="CB23" s="5"/>
      <c r="CC23" s="5"/>
      <c r="CD23" s="5"/>
      <c r="CE23" s="5"/>
      <c r="CF23" s="5"/>
      <c r="CG23" s="8"/>
      <c r="CH23" s="11">
        <v>44835</v>
      </c>
      <c r="CI23" s="5"/>
      <c r="CJ23" s="5"/>
      <c r="CK23" s="5"/>
      <c r="CL23" s="5"/>
      <c r="CM23" s="5"/>
      <c r="CN23" s="5"/>
      <c r="CO23" s="5"/>
      <c r="CP23" s="5"/>
      <c r="CQ23" s="5"/>
      <c r="CR23" s="8"/>
      <c r="CS23" s="11">
        <v>44835</v>
      </c>
      <c r="CT23" s="5"/>
      <c r="CU23" s="5"/>
      <c r="CV23" s="5"/>
      <c r="CW23" s="5"/>
      <c r="CX23" s="5"/>
      <c r="CY23" s="5"/>
      <c r="CZ23" s="5"/>
      <c r="DA23" s="5"/>
      <c r="DB23" s="5"/>
      <c r="DC23" s="8"/>
      <c r="DD23" s="11">
        <v>44835</v>
      </c>
      <c r="DE23" s="5"/>
      <c r="DF23" s="5"/>
      <c r="DG23" s="5"/>
      <c r="DH23" s="5"/>
      <c r="DI23" s="5"/>
      <c r="DJ23" s="5"/>
      <c r="DK23" s="5"/>
      <c r="DL23" s="5"/>
      <c r="DM23" s="5"/>
      <c r="DN23" s="8"/>
      <c r="DO23" s="11">
        <v>44835</v>
      </c>
      <c r="DP23" s="5"/>
      <c r="DQ23" s="5"/>
      <c r="DR23" s="5"/>
      <c r="DS23" s="5"/>
      <c r="DT23" s="5"/>
      <c r="DU23" s="5"/>
      <c r="DV23" s="5"/>
      <c r="DW23" s="5"/>
      <c r="DX23" s="8"/>
      <c r="DY23" s="11">
        <v>44835</v>
      </c>
      <c r="DZ23" s="5"/>
      <c r="EA23" s="5"/>
      <c r="EB23" s="5"/>
      <c r="EC23" s="5"/>
      <c r="ED23" s="5"/>
      <c r="EE23" s="5"/>
      <c r="EF23" s="5"/>
      <c r="EG23" s="5"/>
      <c r="EI23" s="11">
        <v>44835</v>
      </c>
      <c r="ES23" s="11">
        <v>44835</v>
      </c>
      <c r="ET23" s="5"/>
      <c r="EU23" s="5"/>
      <c r="EV23" s="5"/>
      <c r="EW23" s="5"/>
      <c r="EX23" s="5"/>
      <c r="EY23" s="5"/>
      <c r="EZ23" s="5"/>
      <c r="FA23" s="5"/>
      <c r="FC23" s="11">
        <v>44835</v>
      </c>
      <c r="FD23" s="5"/>
      <c r="FE23" s="5"/>
      <c r="FF23" s="5"/>
      <c r="FG23" s="5"/>
      <c r="FH23" s="5"/>
      <c r="FI23" s="5"/>
      <c r="FJ23" s="5"/>
      <c r="FK23" s="5"/>
    </row>
    <row r="24" spans="2:167">
      <c r="B24" s="11">
        <v>44866</v>
      </c>
      <c r="C24" s="5"/>
      <c r="D24" s="5"/>
      <c r="E24" s="5"/>
      <c r="F24" s="5"/>
      <c r="G24" s="5"/>
      <c r="H24" s="5"/>
      <c r="I24" s="5"/>
      <c r="J24" s="5">
        <f t="shared" si="88"/>
        <v>0</v>
      </c>
      <c r="L24" s="11">
        <v>44866</v>
      </c>
      <c r="M24" s="5"/>
      <c r="N24" s="5"/>
      <c r="O24" s="5"/>
      <c r="P24" s="5"/>
      <c r="Q24" s="5"/>
      <c r="R24" s="5"/>
      <c r="S24" s="5"/>
      <c r="T24" s="5"/>
      <c r="U24" s="5"/>
      <c r="V24" s="11">
        <v>44866</v>
      </c>
      <c r="X24" s="12"/>
      <c r="Y24" s="12"/>
      <c r="Z24" s="12"/>
      <c r="AA24" s="12"/>
      <c r="AB24" s="12"/>
      <c r="AC24" s="12"/>
      <c r="AD24" s="12"/>
      <c r="AF24" s="11">
        <v>44866</v>
      </c>
      <c r="AG24" s="5"/>
      <c r="AH24" s="5"/>
      <c r="AI24" s="5"/>
      <c r="AJ24" s="5"/>
      <c r="AK24" s="5"/>
      <c r="AL24" s="5"/>
      <c r="AM24" s="5"/>
      <c r="AN24" s="5"/>
      <c r="AO24" s="5"/>
      <c r="AP24" s="11">
        <v>44866</v>
      </c>
      <c r="AQ24" s="8"/>
      <c r="AR24" s="8"/>
      <c r="AS24" s="8"/>
      <c r="AT24" s="8"/>
      <c r="AU24" s="8"/>
      <c r="AV24" s="8"/>
      <c r="AW24" s="8"/>
      <c r="AX24" s="8"/>
      <c r="AY24" s="8"/>
      <c r="AZ24" s="11">
        <v>44866</v>
      </c>
      <c r="BA24" s="11"/>
      <c r="BB24" s="11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1">
        <v>44866</v>
      </c>
      <c r="BX24" s="5"/>
      <c r="BY24" s="5"/>
      <c r="BZ24" s="5"/>
      <c r="CA24" s="5"/>
      <c r="CB24" s="5"/>
      <c r="CC24" s="5"/>
      <c r="CD24" s="5"/>
      <c r="CE24" s="5"/>
      <c r="CF24" s="5"/>
      <c r="CG24" s="8"/>
      <c r="CH24" s="11">
        <v>44866</v>
      </c>
      <c r="CI24" s="5"/>
      <c r="CJ24" s="5"/>
      <c r="CK24" s="5"/>
      <c r="CL24" s="5"/>
      <c r="CM24" s="5"/>
      <c r="CN24" s="5"/>
      <c r="CO24" s="5"/>
      <c r="CP24" s="5"/>
      <c r="CQ24" s="5"/>
      <c r="CR24" s="8"/>
      <c r="CS24" s="11">
        <v>44866</v>
      </c>
      <c r="CT24" s="5"/>
      <c r="CU24" s="5"/>
      <c r="CV24" s="5"/>
      <c r="CW24" s="5"/>
      <c r="CX24" s="5"/>
      <c r="CY24" s="5"/>
      <c r="CZ24" s="5"/>
      <c r="DA24" s="5"/>
      <c r="DB24" s="5"/>
      <c r="DC24" s="8"/>
      <c r="DD24" s="11">
        <v>44866</v>
      </c>
      <c r="DE24" s="5"/>
      <c r="DF24" s="5"/>
      <c r="DG24" s="5"/>
      <c r="DH24" s="5"/>
      <c r="DI24" s="5"/>
      <c r="DJ24" s="5"/>
      <c r="DK24" s="5"/>
      <c r="DL24" s="5"/>
      <c r="DM24" s="5"/>
      <c r="DN24" s="8"/>
      <c r="DO24" s="11">
        <v>44866</v>
      </c>
      <c r="DP24" s="5"/>
      <c r="DQ24" s="5"/>
      <c r="DR24" s="5"/>
      <c r="DS24" s="5"/>
      <c r="DT24" s="5"/>
      <c r="DU24" s="5"/>
      <c r="DV24" s="5"/>
      <c r="DW24" s="5"/>
      <c r="DX24" s="8"/>
      <c r="DY24" s="11">
        <v>44866</v>
      </c>
      <c r="DZ24" s="5"/>
      <c r="EA24" s="5"/>
      <c r="EB24" s="5"/>
      <c r="EC24" s="5"/>
      <c r="ED24" s="5"/>
      <c r="EE24" s="5"/>
      <c r="EF24" s="5"/>
      <c r="EG24" s="5"/>
      <c r="EI24" s="11">
        <v>44866</v>
      </c>
      <c r="ES24" s="11">
        <v>44866</v>
      </c>
      <c r="ET24" s="5"/>
      <c r="EU24" s="5"/>
      <c r="EV24" s="5"/>
      <c r="EW24" s="5"/>
      <c r="EX24" s="5"/>
      <c r="EY24" s="5"/>
      <c r="EZ24" s="5"/>
      <c r="FA24" s="5"/>
      <c r="FC24" s="11">
        <v>44866</v>
      </c>
      <c r="FD24" s="5"/>
      <c r="FE24" s="5"/>
      <c r="FF24" s="5"/>
      <c r="FG24" s="5"/>
      <c r="FH24" s="5"/>
      <c r="FI24" s="5"/>
      <c r="FJ24" s="5"/>
      <c r="FK24" s="5"/>
    </row>
    <row r="25" spans="2:167">
      <c r="B25" s="11">
        <v>44896</v>
      </c>
      <c r="C25" s="5"/>
      <c r="D25" s="5"/>
      <c r="E25" s="5"/>
      <c r="F25" s="5"/>
      <c r="G25" s="5"/>
      <c r="H25" s="5"/>
      <c r="I25" s="5"/>
      <c r="J25" s="5">
        <f t="shared" si="88"/>
        <v>0</v>
      </c>
      <c r="L25" s="11">
        <v>44896</v>
      </c>
      <c r="M25" s="5"/>
      <c r="N25" s="5"/>
      <c r="O25" s="5"/>
      <c r="P25" s="5"/>
      <c r="Q25" s="5"/>
      <c r="R25" s="5"/>
      <c r="S25" s="5"/>
      <c r="T25" s="5"/>
      <c r="U25" s="5"/>
      <c r="V25" s="11">
        <v>44896</v>
      </c>
      <c r="X25" s="12"/>
      <c r="Y25" s="12"/>
      <c r="Z25" s="12"/>
      <c r="AA25" s="12"/>
      <c r="AB25" s="12"/>
      <c r="AC25" s="12"/>
      <c r="AD25" s="12"/>
      <c r="AF25" s="11">
        <v>44896</v>
      </c>
      <c r="AG25" s="5"/>
      <c r="AH25" s="5"/>
      <c r="AI25" s="5"/>
      <c r="AJ25" s="5"/>
      <c r="AK25" s="5"/>
      <c r="AL25" s="5"/>
      <c r="AM25" s="5"/>
      <c r="AN25" s="5"/>
      <c r="AO25" s="5"/>
      <c r="AP25" s="11">
        <v>44896</v>
      </c>
      <c r="AQ25" s="8"/>
      <c r="AR25" s="8"/>
      <c r="AS25" s="8"/>
      <c r="AT25" s="8"/>
      <c r="AU25" s="8"/>
      <c r="AV25" s="8"/>
      <c r="AW25" s="8"/>
      <c r="AX25" s="8"/>
      <c r="AY25" s="8"/>
      <c r="AZ25" s="11">
        <v>44896</v>
      </c>
      <c r="BA25" s="11"/>
      <c r="BB25" s="11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1">
        <v>44896</v>
      </c>
      <c r="BX25" s="5"/>
      <c r="BY25" s="5"/>
      <c r="BZ25" s="5"/>
      <c r="CA25" s="5"/>
      <c r="CB25" s="5"/>
      <c r="CC25" s="5"/>
      <c r="CD25" s="5"/>
      <c r="CE25" s="5"/>
      <c r="CF25" s="5"/>
      <c r="CG25" s="8"/>
      <c r="CH25" s="11">
        <v>44896</v>
      </c>
      <c r="CI25" s="5"/>
      <c r="CJ25" s="5"/>
      <c r="CK25" s="5"/>
      <c r="CL25" s="5"/>
      <c r="CM25" s="5"/>
      <c r="CN25" s="5"/>
      <c r="CO25" s="5"/>
      <c r="CP25" s="5"/>
      <c r="CQ25" s="5"/>
      <c r="CR25" s="8"/>
      <c r="CS25" s="11">
        <v>44896</v>
      </c>
      <c r="CT25" s="5"/>
      <c r="CU25" s="5"/>
      <c r="CV25" s="5"/>
      <c r="CW25" s="5"/>
      <c r="CX25" s="5"/>
      <c r="CY25" s="5"/>
      <c r="CZ25" s="5"/>
      <c r="DA25" s="5"/>
      <c r="DB25" s="5"/>
      <c r="DC25" s="8"/>
      <c r="DD25" s="11">
        <v>44896</v>
      </c>
      <c r="DE25" s="5"/>
      <c r="DF25" s="5"/>
      <c r="DG25" s="5"/>
      <c r="DH25" s="5"/>
      <c r="DI25" s="5"/>
      <c r="DJ25" s="5"/>
      <c r="DK25" s="5"/>
      <c r="DL25" s="5"/>
      <c r="DM25" s="5"/>
      <c r="DN25" s="8"/>
      <c r="DO25" s="11">
        <v>44896</v>
      </c>
      <c r="DP25" s="5"/>
      <c r="DQ25" s="5"/>
      <c r="DR25" s="5"/>
      <c r="DS25" s="5"/>
      <c r="DT25" s="5"/>
      <c r="DU25" s="5"/>
      <c r="DV25" s="5"/>
      <c r="DW25" s="5"/>
      <c r="DX25" s="8"/>
      <c r="DY25" s="11">
        <v>44896</v>
      </c>
      <c r="DZ25" s="5"/>
      <c r="EA25" s="5"/>
      <c r="EB25" s="5"/>
      <c r="EC25" s="5"/>
      <c r="ED25" s="5"/>
      <c r="EE25" s="5"/>
      <c r="EF25" s="5"/>
      <c r="EG25" s="5"/>
      <c r="EI25" s="11">
        <v>44896</v>
      </c>
      <c r="ES25" s="11">
        <v>44896</v>
      </c>
      <c r="ET25" s="5"/>
      <c r="EU25" s="5"/>
      <c r="EV25" s="5"/>
      <c r="EW25" s="5"/>
      <c r="EX25" s="5"/>
      <c r="EY25" s="5"/>
      <c r="EZ25" s="5"/>
      <c r="FA25" s="5"/>
      <c r="FC25" s="11">
        <v>44896</v>
      </c>
      <c r="FD25" s="5"/>
      <c r="FE25" s="5"/>
      <c r="FF25" s="5"/>
      <c r="FG25" s="5"/>
      <c r="FH25" s="5"/>
      <c r="FI25" s="5"/>
      <c r="FJ25" s="5"/>
      <c r="FK25" s="5"/>
    </row>
    <row r="26" spans="2:167">
      <c r="B26" s="11">
        <v>44927</v>
      </c>
      <c r="C26" s="5"/>
      <c r="D26" s="5"/>
      <c r="E26" s="5"/>
      <c r="F26" s="5"/>
      <c r="G26" s="5"/>
      <c r="H26" s="5"/>
      <c r="I26" s="5"/>
      <c r="J26" s="5">
        <f t="shared" si="88"/>
        <v>0</v>
      </c>
      <c r="L26" s="11">
        <v>44927</v>
      </c>
      <c r="M26" s="5"/>
      <c r="N26" s="5"/>
      <c r="O26" s="5"/>
      <c r="P26" s="5"/>
      <c r="Q26" s="5"/>
      <c r="R26" s="5"/>
      <c r="S26" s="5"/>
      <c r="T26" s="5"/>
      <c r="U26" s="5"/>
      <c r="V26" s="11">
        <v>44927</v>
      </c>
      <c r="X26" s="12"/>
      <c r="Y26" s="12"/>
      <c r="Z26" s="12"/>
      <c r="AA26" s="12"/>
      <c r="AB26" s="12"/>
      <c r="AC26" s="12"/>
      <c r="AD26" s="12"/>
      <c r="AF26" s="11">
        <v>44927</v>
      </c>
      <c r="AG26" s="5"/>
      <c r="AH26" s="5"/>
      <c r="AI26" s="5"/>
      <c r="AJ26" s="5"/>
      <c r="AK26" s="5"/>
      <c r="AL26" s="5"/>
      <c r="AM26" s="5"/>
      <c r="AN26" s="5"/>
      <c r="AO26" s="5"/>
      <c r="AP26" s="11">
        <v>44927</v>
      </c>
      <c r="AQ26" s="8"/>
      <c r="AR26" s="8"/>
      <c r="AS26" s="8"/>
      <c r="AT26" s="8"/>
      <c r="AU26" s="8"/>
      <c r="AV26" s="8"/>
      <c r="AW26" s="8"/>
      <c r="AX26" s="8"/>
      <c r="AY26" s="8"/>
      <c r="AZ26" s="11">
        <v>44927</v>
      </c>
      <c r="BA26" s="5">
        <f t="shared" ref="BA26:BA61" si="89">BC26+BM26</f>
        <v>0</v>
      </c>
      <c r="BB26" s="8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5"/>
      <c r="BN26" s="5"/>
      <c r="BO26" s="5"/>
      <c r="BP26" s="5"/>
      <c r="BQ26" s="5"/>
      <c r="BR26" s="5"/>
      <c r="BS26" s="5"/>
      <c r="BT26" s="5"/>
      <c r="BU26" s="5"/>
      <c r="BV26" s="12"/>
      <c r="BW26" s="11">
        <v>44927</v>
      </c>
      <c r="BX26" s="5"/>
      <c r="BY26" s="5"/>
      <c r="BZ26" s="5"/>
      <c r="CA26" s="5"/>
      <c r="CB26" s="5"/>
      <c r="CC26" s="5"/>
      <c r="CD26" s="5"/>
      <c r="CE26" s="5"/>
      <c r="CF26" s="5"/>
      <c r="CG26" s="8"/>
      <c r="CH26" s="11">
        <v>44927</v>
      </c>
      <c r="CI26" s="5"/>
      <c r="CJ26" s="5"/>
      <c r="CK26" s="5"/>
      <c r="CL26" s="5"/>
      <c r="CM26" s="5"/>
      <c r="CN26" s="5"/>
      <c r="CO26" s="5"/>
      <c r="CP26" s="5"/>
      <c r="CQ26" s="5"/>
      <c r="CR26" s="8"/>
      <c r="CS26" s="11">
        <v>44927</v>
      </c>
      <c r="CT26" s="5"/>
      <c r="CU26" s="5"/>
      <c r="CV26" s="5"/>
      <c r="CW26" s="5"/>
      <c r="CX26" s="5"/>
      <c r="CY26" s="5"/>
      <c r="CZ26" s="5"/>
      <c r="DA26" s="5"/>
      <c r="DB26" s="5"/>
      <c r="DC26" s="8"/>
      <c r="DD26" s="11">
        <v>44927</v>
      </c>
      <c r="DE26" s="5"/>
      <c r="DF26" s="5"/>
      <c r="DG26" s="5"/>
      <c r="DH26" s="5"/>
      <c r="DI26" s="5"/>
      <c r="DJ26" s="5"/>
      <c r="DK26" s="5"/>
      <c r="DL26" s="5"/>
      <c r="DM26" s="5"/>
      <c r="DN26" s="8"/>
      <c r="DO26" s="11">
        <v>44927</v>
      </c>
      <c r="DP26" s="5"/>
      <c r="DQ26" s="5"/>
      <c r="DR26" s="5"/>
      <c r="DS26" s="5"/>
      <c r="DT26" s="5"/>
      <c r="DU26" s="5"/>
      <c r="DV26" s="5"/>
      <c r="DW26" s="5"/>
      <c r="DX26" s="8"/>
      <c r="DY26" s="11">
        <v>44927</v>
      </c>
      <c r="DZ26" s="5"/>
      <c r="EA26" s="5"/>
      <c r="EB26" s="5"/>
      <c r="EC26" s="5"/>
      <c r="ED26" s="5"/>
      <c r="EE26" s="5"/>
      <c r="EF26" s="5"/>
      <c r="EG26" s="5"/>
      <c r="EI26" s="11">
        <v>44927</v>
      </c>
      <c r="ES26" s="11">
        <v>44927</v>
      </c>
      <c r="ET26" s="5"/>
      <c r="EU26" s="5"/>
      <c r="EV26" s="5"/>
      <c r="EW26" s="5"/>
      <c r="EX26" s="5"/>
      <c r="EY26" s="5"/>
      <c r="EZ26" s="5"/>
      <c r="FA26" s="5"/>
      <c r="FC26" s="11">
        <v>44927</v>
      </c>
      <c r="FD26" s="5"/>
      <c r="FE26" s="5"/>
      <c r="FF26" s="5"/>
      <c r="FG26" s="5"/>
      <c r="FH26" s="5"/>
      <c r="FI26" s="5"/>
      <c r="FJ26" s="5"/>
      <c r="FK26" s="5"/>
    </row>
    <row r="27" spans="2:167">
      <c r="B27" s="11">
        <v>44958</v>
      </c>
      <c r="C27" s="5"/>
      <c r="D27" s="5"/>
      <c r="E27" s="5"/>
      <c r="F27" s="5"/>
      <c r="G27" s="5"/>
      <c r="H27" s="5"/>
      <c r="I27" s="5"/>
      <c r="J27" s="5">
        <f t="shared" si="88"/>
        <v>0</v>
      </c>
      <c r="L27" s="11">
        <v>44958</v>
      </c>
      <c r="M27" s="5"/>
      <c r="N27" s="5"/>
      <c r="O27" s="5"/>
      <c r="P27" s="5"/>
      <c r="Q27" s="5"/>
      <c r="R27" s="5"/>
      <c r="S27" s="5"/>
      <c r="T27" s="5"/>
      <c r="U27" s="5"/>
      <c r="V27" s="11">
        <v>44958</v>
      </c>
      <c r="X27" s="12"/>
      <c r="Y27" s="12"/>
      <c r="Z27" s="12"/>
      <c r="AA27" s="12"/>
      <c r="AB27" s="12"/>
      <c r="AC27" s="12"/>
      <c r="AD27" s="12"/>
      <c r="AF27" s="11">
        <v>44958</v>
      </c>
      <c r="AG27" s="5"/>
      <c r="AH27" s="5"/>
      <c r="AI27" s="5"/>
      <c r="AJ27" s="5"/>
      <c r="AK27" s="5"/>
      <c r="AL27" s="5"/>
      <c r="AM27" s="5"/>
      <c r="AN27" s="5"/>
      <c r="AO27" s="5"/>
      <c r="AP27" s="11">
        <v>44958</v>
      </c>
      <c r="AQ27" s="8"/>
      <c r="AR27" s="8"/>
      <c r="AS27" s="8"/>
      <c r="AT27" s="8"/>
      <c r="AU27" s="8"/>
      <c r="AV27" s="8"/>
      <c r="AW27" s="8"/>
      <c r="AX27" s="8"/>
      <c r="AY27" s="8"/>
      <c r="AZ27" s="11">
        <v>44958</v>
      </c>
      <c r="BA27" s="5">
        <f t="shared" si="89"/>
        <v>0</v>
      </c>
      <c r="BB27" s="8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5"/>
      <c r="BN27" s="5"/>
      <c r="BO27" s="5"/>
      <c r="BP27" s="5"/>
      <c r="BQ27" s="5"/>
      <c r="BR27" s="5"/>
      <c r="BS27" s="5"/>
      <c r="BT27" s="5"/>
      <c r="BU27" s="5"/>
      <c r="BV27" s="12"/>
      <c r="BW27" s="11">
        <v>44958</v>
      </c>
      <c r="BX27" s="5"/>
      <c r="BY27" s="5"/>
      <c r="BZ27" s="5"/>
      <c r="CA27" s="5"/>
      <c r="CB27" s="5"/>
      <c r="CC27" s="5"/>
      <c r="CD27" s="5"/>
      <c r="CE27" s="5"/>
      <c r="CF27" s="5"/>
      <c r="CG27" s="8"/>
      <c r="CH27" s="11">
        <v>44958</v>
      </c>
      <c r="CI27" s="5"/>
      <c r="CJ27" s="5"/>
      <c r="CK27" s="5"/>
      <c r="CL27" s="5"/>
      <c r="CM27" s="5"/>
      <c r="CN27" s="5"/>
      <c r="CO27" s="5"/>
      <c r="CP27" s="5"/>
      <c r="CQ27" s="5"/>
      <c r="CR27" s="8"/>
      <c r="CS27" s="11">
        <v>44958</v>
      </c>
      <c r="CT27" s="5"/>
      <c r="CU27" s="5"/>
      <c r="CV27" s="5"/>
      <c r="CW27" s="5"/>
      <c r="CX27" s="5"/>
      <c r="CY27" s="5"/>
      <c r="CZ27" s="5"/>
      <c r="DA27" s="5"/>
      <c r="DB27" s="5"/>
      <c r="DC27" s="8"/>
      <c r="DD27" s="11">
        <v>44958</v>
      </c>
      <c r="DE27" s="5"/>
      <c r="DF27" s="5"/>
      <c r="DG27" s="5"/>
      <c r="DH27" s="5"/>
      <c r="DI27" s="5"/>
      <c r="DJ27" s="5"/>
      <c r="DK27" s="5"/>
      <c r="DL27" s="5"/>
      <c r="DM27" s="5"/>
      <c r="DN27" s="8"/>
      <c r="DO27" s="11">
        <v>44958</v>
      </c>
      <c r="DP27" s="5"/>
      <c r="DQ27" s="5"/>
      <c r="DR27" s="5"/>
      <c r="DS27" s="5"/>
      <c r="DT27" s="5"/>
      <c r="DU27" s="5"/>
      <c r="DV27" s="5"/>
      <c r="DW27" s="5"/>
      <c r="DX27" s="8"/>
      <c r="DY27" s="11">
        <v>44958</v>
      </c>
      <c r="DZ27" s="5"/>
      <c r="EA27" s="5"/>
      <c r="EB27" s="5"/>
      <c r="EC27" s="5"/>
      <c r="ED27" s="5"/>
      <c r="EE27" s="5"/>
      <c r="EF27" s="5"/>
      <c r="EG27" s="5"/>
      <c r="EI27" s="11">
        <v>44958</v>
      </c>
      <c r="ES27" s="11">
        <v>44958</v>
      </c>
      <c r="ET27" s="5"/>
      <c r="EU27" s="5"/>
      <c r="EV27" s="5"/>
      <c r="EW27" s="5"/>
      <c r="EX27" s="5"/>
      <c r="EY27" s="5"/>
      <c r="EZ27" s="5"/>
      <c r="FA27" s="5"/>
      <c r="FC27" s="11">
        <v>44958</v>
      </c>
      <c r="FD27" s="5"/>
      <c r="FE27" s="5"/>
      <c r="FF27" s="5"/>
      <c r="FG27" s="5"/>
      <c r="FH27" s="5"/>
      <c r="FI27" s="5"/>
      <c r="FJ27" s="5"/>
      <c r="FK27" s="5"/>
    </row>
    <row r="28" spans="2:167">
      <c r="B28" s="11">
        <v>44986</v>
      </c>
      <c r="C28" s="5"/>
      <c r="D28" s="5"/>
      <c r="E28" s="5"/>
      <c r="F28" s="5"/>
      <c r="G28" s="5"/>
      <c r="H28" s="5"/>
      <c r="I28" s="5"/>
      <c r="J28" s="5">
        <f t="shared" si="88"/>
        <v>0</v>
      </c>
      <c r="L28" s="11">
        <v>44986</v>
      </c>
      <c r="M28" s="5"/>
      <c r="N28" s="5"/>
      <c r="O28" s="5"/>
      <c r="P28" s="5"/>
      <c r="Q28" s="5"/>
      <c r="R28" s="5"/>
      <c r="S28" s="5"/>
      <c r="T28" s="5"/>
      <c r="U28" s="5"/>
      <c r="V28" s="11">
        <v>44986</v>
      </c>
      <c r="X28" s="12"/>
      <c r="Y28" s="12"/>
      <c r="Z28" s="12"/>
      <c r="AA28" s="12"/>
      <c r="AB28" s="12"/>
      <c r="AC28" s="12"/>
      <c r="AD28" s="12"/>
      <c r="AF28" s="11">
        <v>44986</v>
      </c>
      <c r="AG28" s="5"/>
      <c r="AH28" s="5"/>
      <c r="AI28" s="5"/>
      <c r="AJ28" s="5"/>
      <c r="AK28" s="5"/>
      <c r="AL28" s="5"/>
      <c r="AM28" s="5"/>
      <c r="AN28" s="5"/>
      <c r="AO28" s="5"/>
      <c r="AP28" s="11">
        <v>44986</v>
      </c>
      <c r="AQ28" s="8"/>
      <c r="AR28" s="8"/>
      <c r="AS28" s="8"/>
      <c r="AT28" s="8"/>
      <c r="AU28" s="8"/>
      <c r="AV28" s="8"/>
      <c r="AW28" s="8"/>
      <c r="AX28" s="8"/>
      <c r="AY28" s="8"/>
      <c r="AZ28" s="11">
        <v>44986</v>
      </c>
      <c r="BA28" s="5">
        <f t="shared" si="89"/>
        <v>0</v>
      </c>
      <c r="BB28" s="8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5"/>
      <c r="BN28" s="5"/>
      <c r="BO28" s="5"/>
      <c r="BP28" s="5"/>
      <c r="BQ28" s="5"/>
      <c r="BR28" s="5"/>
      <c r="BS28" s="5"/>
      <c r="BT28" s="5"/>
      <c r="BU28" s="5"/>
      <c r="BV28" s="12"/>
      <c r="BW28" s="11">
        <v>44986</v>
      </c>
      <c r="BX28" s="5"/>
      <c r="BY28" s="5"/>
      <c r="BZ28" s="5"/>
      <c r="CA28" s="5"/>
      <c r="CB28" s="5"/>
      <c r="CC28" s="5"/>
      <c r="CD28" s="5"/>
      <c r="CE28" s="5"/>
      <c r="CF28" s="5"/>
      <c r="CG28" s="8"/>
      <c r="CH28" s="11">
        <v>44986</v>
      </c>
      <c r="CI28" s="5"/>
      <c r="CJ28" s="5"/>
      <c r="CK28" s="5"/>
      <c r="CL28" s="5"/>
      <c r="CM28" s="5"/>
      <c r="CN28" s="5"/>
      <c r="CO28" s="5"/>
      <c r="CP28" s="5"/>
      <c r="CQ28" s="5"/>
      <c r="CR28" s="8"/>
      <c r="CS28" s="11">
        <v>44986</v>
      </c>
      <c r="CT28" s="5"/>
      <c r="CU28" s="5"/>
      <c r="CV28" s="5"/>
      <c r="CW28" s="5"/>
      <c r="CX28" s="5"/>
      <c r="CY28" s="5"/>
      <c r="CZ28" s="5"/>
      <c r="DA28" s="5"/>
      <c r="DB28" s="5"/>
      <c r="DC28" s="8"/>
      <c r="DD28" s="11">
        <v>44986</v>
      </c>
      <c r="DE28" s="5"/>
      <c r="DF28" s="5"/>
      <c r="DG28" s="5"/>
      <c r="DH28" s="5"/>
      <c r="DI28" s="5"/>
      <c r="DJ28" s="5"/>
      <c r="DK28" s="5"/>
      <c r="DL28" s="5"/>
      <c r="DM28" s="5"/>
      <c r="DN28" s="8"/>
      <c r="DO28" s="11">
        <v>44986</v>
      </c>
      <c r="DP28" s="5"/>
      <c r="DQ28" s="5"/>
      <c r="DR28" s="5"/>
      <c r="DS28" s="5"/>
      <c r="DT28" s="5"/>
      <c r="DU28" s="5"/>
      <c r="DV28" s="5"/>
      <c r="DW28" s="5"/>
      <c r="DX28" s="8"/>
      <c r="DY28" s="11">
        <v>44986</v>
      </c>
      <c r="DZ28" s="5"/>
      <c r="EA28" s="5"/>
      <c r="EB28" s="5"/>
      <c r="EC28" s="5"/>
      <c r="ED28" s="5"/>
      <c r="EE28" s="5"/>
      <c r="EF28" s="5"/>
      <c r="EG28" s="5"/>
      <c r="EI28" s="11">
        <v>44986</v>
      </c>
      <c r="ES28" s="11">
        <v>44986</v>
      </c>
      <c r="ET28" s="5"/>
      <c r="EU28" s="5"/>
      <c r="EV28" s="5"/>
      <c r="EW28" s="5"/>
      <c r="EX28" s="5"/>
      <c r="EY28" s="5"/>
      <c r="EZ28" s="5"/>
      <c r="FA28" s="5"/>
      <c r="FC28" s="11">
        <v>44986</v>
      </c>
      <c r="FD28" s="5"/>
      <c r="FE28" s="5"/>
      <c r="FF28" s="5"/>
      <c r="FG28" s="5"/>
      <c r="FH28" s="5"/>
      <c r="FI28" s="5"/>
      <c r="FJ28" s="5"/>
      <c r="FK28" s="5"/>
    </row>
    <row r="29" spans="2:167">
      <c r="B29" s="11">
        <v>45017</v>
      </c>
      <c r="C29" s="5"/>
      <c r="D29" s="5"/>
      <c r="E29" s="5"/>
      <c r="F29" s="5"/>
      <c r="G29" s="5"/>
      <c r="H29" s="5"/>
      <c r="I29" s="5"/>
      <c r="J29" s="5">
        <f t="shared" si="88"/>
        <v>0</v>
      </c>
      <c r="L29" s="11">
        <v>45017</v>
      </c>
      <c r="M29" s="5"/>
      <c r="N29" s="5"/>
      <c r="O29" s="5"/>
      <c r="P29" s="5"/>
      <c r="Q29" s="5"/>
      <c r="R29" s="5"/>
      <c r="S29" s="5"/>
      <c r="T29" s="5"/>
      <c r="U29" s="5"/>
      <c r="V29" s="11">
        <v>45017</v>
      </c>
      <c r="X29" s="12"/>
      <c r="Y29" s="12"/>
      <c r="Z29" s="12"/>
      <c r="AA29" s="12"/>
      <c r="AB29" s="12"/>
      <c r="AC29" s="12"/>
      <c r="AD29" s="12"/>
      <c r="AF29" s="11">
        <v>45017</v>
      </c>
      <c r="AG29" s="5"/>
      <c r="AH29" s="5"/>
      <c r="AI29" s="5"/>
      <c r="AJ29" s="5"/>
      <c r="AK29" s="5"/>
      <c r="AL29" s="5"/>
      <c r="AM29" s="5"/>
      <c r="AN29" s="5"/>
      <c r="AO29" s="5"/>
      <c r="AP29" s="11">
        <v>45017</v>
      </c>
      <c r="AQ29" s="8"/>
      <c r="AR29" s="8"/>
      <c r="AS29" s="8"/>
      <c r="AT29" s="8"/>
      <c r="AU29" s="8"/>
      <c r="AV29" s="8"/>
      <c r="AW29" s="8"/>
      <c r="AX29" s="8"/>
      <c r="AY29" s="8"/>
      <c r="AZ29" s="11">
        <v>45017</v>
      </c>
      <c r="BA29" s="5">
        <f>BC29+BM29</f>
        <v>0</v>
      </c>
      <c r="BB29" s="8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5"/>
      <c r="BN29" s="5"/>
      <c r="BO29" s="5"/>
      <c r="BP29" s="5"/>
      <c r="BQ29" s="5"/>
      <c r="BR29" s="5"/>
      <c r="BS29" s="5"/>
      <c r="BT29" s="5"/>
      <c r="BU29" s="5"/>
      <c r="BV29" s="12"/>
      <c r="BW29" s="11">
        <v>45017</v>
      </c>
      <c r="BX29" s="5"/>
      <c r="BY29" s="5"/>
      <c r="BZ29" s="5"/>
      <c r="CA29" s="5"/>
      <c r="CB29" s="5"/>
      <c r="CC29" s="5"/>
      <c r="CD29" s="5"/>
      <c r="CE29" s="5"/>
      <c r="CF29" s="5"/>
      <c r="CG29" s="8"/>
      <c r="CH29" s="11">
        <v>45017</v>
      </c>
      <c r="CI29" s="5"/>
      <c r="CJ29" s="5"/>
      <c r="CK29" s="5"/>
      <c r="CL29" s="5"/>
      <c r="CM29" s="5"/>
      <c r="CN29" s="5"/>
      <c r="CO29" s="5"/>
      <c r="CP29" s="5"/>
      <c r="CQ29" s="5"/>
      <c r="CR29" s="8"/>
      <c r="CS29" s="11">
        <v>45017</v>
      </c>
      <c r="CT29" s="5"/>
      <c r="CU29" s="5"/>
      <c r="CV29" s="5"/>
      <c r="CW29" s="5"/>
      <c r="CX29" s="5"/>
      <c r="CY29" s="5"/>
      <c r="CZ29" s="5"/>
      <c r="DA29" s="5"/>
      <c r="DB29" s="5"/>
      <c r="DC29" s="8"/>
      <c r="DD29" s="11">
        <v>45017</v>
      </c>
      <c r="DE29" s="5"/>
      <c r="DF29" s="5"/>
      <c r="DG29" s="5"/>
      <c r="DH29" s="5"/>
      <c r="DI29" s="5"/>
      <c r="DJ29" s="5"/>
      <c r="DK29" s="5"/>
      <c r="DL29" s="5"/>
      <c r="DM29" s="5"/>
      <c r="DN29" s="8"/>
      <c r="DO29" s="11">
        <v>45017</v>
      </c>
      <c r="DP29" s="5"/>
      <c r="DQ29" s="5"/>
      <c r="DR29" s="5"/>
      <c r="DS29" s="5"/>
      <c r="DT29" s="5"/>
      <c r="DU29" s="5"/>
      <c r="DV29" s="5"/>
      <c r="DW29" s="5"/>
      <c r="DX29" s="8"/>
      <c r="DY29" s="11">
        <v>45017</v>
      </c>
      <c r="DZ29" s="5"/>
      <c r="EA29" s="5"/>
      <c r="EB29" s="5"/>
      <c r="EC29" s="5"/>
      <c r="ED29" s="5"/>
      <c r="EE29" s="5"/>
      <c r="EF29" s="5"/>
      <c r="EG29" s="5"/>
      <c r="EI29" s="11">
        <v>45017</v>
      </c>
      <c r="ES29" s="11">
        <v>45017</v>
      </c>
      <c r="ET29" s="5"/>
      <c r="EU29" s="5"/>
      <c r="EV29" s="5"/>
      <c r="EW29" s="5"/>
      <c r="EX29" s="5"/>
      <c r="EY29" s="5"/>
      <c r="EZ29" s="5"/>
      <c r="FA29" s="5"/>
      <c r="FC29" s="11">
        <v>45017</v>
      </c>
      <c r="FD29" s="5"/>
      <c r="FE29" s="5"/>
      <c r="FF29" s="5"/>
      <c r="FG29" s="5"/>
      <c r="FH29" s="5"/>
      <c r="FI29" s="5"/>
      <c r="FJ29" s="5"/>
      <c r="FK29" s="5"/>
    </row>
    <row r="30" spans="2:167">
      <c r="B30" s="11">
        <v>45047</v>
      </c>
      <c r="C30" s="5"/>
      <c r="D30" s="5"/>
      <c r="E30" s="5"/>
      <c r="F30" s="5"/>
      <c r="G30" s="5"/>
      <c r="H30" s="5"/>
      <c r="I30" s="5"/>
      <c r="J30" s="5">
        <f t="shared" si="88"/>
        <v>0</v>
      </c>
      <c r="L30" s="11">
        <v>45047</v>
      </c>
      <c r="M30" s="5"/>
      <c r="N30" s="5"/>
      <c r="O30" s="5"/>
      <c r="P30" s="5"/>
      <c r="Q30" s="5"/>
      <c r="R30" s="5"/>
      <c r="S30" s="5"/>
      <c r="T30" s="5"/>
      <c r="U30" s="5"/>
      <c r="V30" s="11">
        <v>45047</v>
      </c>
      <c r="X30" s="12"/>
      <c r="Y30" s="12"/>
      <c r="Z30" s="12"/>
      <c r="AA30" s="12"/>
      <c r="AB30" s="12"/>
      <c r="AC30" s="12"/>
      <c r="AD30" s="12"/>
      <c r="AF30" s="11">
        <v>45047</v>
      </c>
      <c r="AG30" s="5"/>
      <c r="AH30" s="5"/>
      <c r="AI30" s="5"/>
      <c r="AJ30" s="5"/>
      <c r="AK30" s="5"/>
      <c r="AL30" s="5"/>
      <c r="AM30" s="5"/>
      <c r="AN30" s="5"/>
      <c r="AO30" s="5"/>
      <c r="AP30" s="11">
        <v>45047</v>
      </c>
      <c r="AQ30" s="8"/>
      <c r="AR30" s="8"/>
      <c r="AS30" s="8"/>
      <c r="AT30" s="8"/>
      <c r="AU30" s="8"/>
      <c r="AV30" s="8"/>
      <c r="AW30" s="8"/>
      <c r="AX30" s="8"/>
      <c r="AY30" s="8"/>
      <c r="AZ30" s="11">
        <v>45047</v>
      </c>
      <c r="BA30" s="5">
        <f t="shared" si="89"/>
        <v>0</v>
      </c>
      <c r="BB30" s="8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5"/>
      <c r="BN30" s="5"/>
      <c r="BO30" s="5"/>
      <c r="BP30" s="5"/>
      <c r="BQ30" s="5"/>
      <c r="BR30" s="5"/>
      <c r="BS30" s="5"/>
      <c r="BT30" s="5"/>
      <c r="BU30" s="5"/>
      <c r="BV30" s="12"/>
      <c r="BW30" s="11">
        <v>45047</v>
      </c>
      <c r="BX30" s="5"/>
      <c r="BY30" s="5"/>
      <c r="BZ30" s="5"/>
      <c r="CA30" s="5"/>
      <c r="CB30" s="5"/>
      <c r="CC30" s="5"/>
      <c r="CD30" s="5"/>
      <c r="CE30" s="5"/>
      <c r="CF30" s="5"/>
      <c r="CG30" s="8"/>
      <c r="CH30" s="11">
        <v>45047</v>
      </c>
      <c r="CI30" s="5"/>
      <c r="CJ30" s="5"/>
      <c r="CK30" s="5"/>
      <c r="CL30" s="5"/>
      <c r="CM30" s="5"/>
      <c r="CN30" s="5"/>
      <c r="CO30" s="5"/>
      <c r="CP30" s="5"/>
      <c r="CQ30" s="5"/>
      <c r="CR30" s="8"/>
      <c r="CS30" s="11">
        <v>45047</v>
      </c>
      <c r="CT30" s="5"/>
      <c r="CU30" s="5"/>
      <c r="CV30" s="5"/>
      <c r="CW30" s="5"/>
      <c r="CX30" s="5"/>
      <c r="CY30" s="5"/>
      <c r="CZ30" s="5"/>
      <c r="DA30" s="5"/>
      <c r="DB30" s="5"/>
      <c r="DC30" s="8"/>
      <c r="DD30" s="11">
        <v>45047</v>
      </c>
      <c r="DE30" s="5"/>
      <c r="DF30" s="5"/>
      <c r="DG30" s="5"/>
      <c r="DH30" s="5"/>
      <c r="DI30" s="5"/>
      <c r="DJ30" s="5"/>
      <c r="DK30" s="5"/>
      <c r="DL30" s="5"/>
      <c r="DM30" s="5"/>
      <c r="DN30" s="8"/>
      <c r="DO30" s="11">
        <v>45047</v>
      </c>
      <c r="DP30" s="5"/>
      <c r="DQ30" s="5"/>
      <c r="DR30" s="5"/>
      <c r="DS30" s="5"/>
      <c r="DT30" s="5"/>
      <c r="DU30" s="5"/>
      <c r="DV30" s="5"/>
      <c r="DW30" s="5"/>
      <c r="DX30" s="8"/>
      <c r="DY30" s="11">
        <v>45047</v>
      </c>
      <c r="DZ30" s="5"/>
      <c r="EA30" s="5"/>
      <c r="EB30" s="5"/>
      <c r="EC30" s="5"/>
      <c r="ED30" s="5"/>
      <c r="EE30" s="5"/>
      <c r="EF30" s="5"/>
      <c r="EG30" s="5"/>
      <c r="EI30" s="11">
        <v>45047</v>
      </c>
      <c r="ES30" s="11">
        <v>45047</v>
      </c>
      <c r="ET30" s="5"/>
      <c r="EU30" s="5"/>
      <c r="EV30" s="5"/>
      <c r="EW30" s="5"/>
      <c r="EX30" s="5"/>
      <c r="EY30" s="5"/>
      <c r="EZ30" s="5"/>
      <c r="FA30" s="5"/>
      <c r="FC30" s="11">
        <v>45047</v>
      </c>
      <c r="FD30" s="5"/>
      <c r="FE30" s="5"/>
      <c r="FF30" s="5"/>
      <c r="FG30" s="5"/>
      <c r="FH30" s="5"/>
      <c r="FI30" s="5"/>
      <c r="FJ30" s="5"/>
      <c r="FK30" s="5"/>
    </row>
    <row r="31" spans="2:167">
      <c r="B31" s="11">
        <v>45078</v>
      </c>
      <c r="C31" s="5"/>
      <c r="D31" s="5"/>
      <c r="E31" s="5"/>
      <c r="F31" s="5"/>
      <c r="G31" s="5"/>
      <c r="H31" s="5"/>
      <c r="I31" s="5"/>
      <c r="J31" s="5">
        <f t="shared" si="88"/>
        <v>0</v>
      </c>
      <c r="L31" s="11">
        <v>45078</v>
      </c>
      <c r="M31" s="5"/>
      <c r="N31" s="5"/>
      <c r="O31" s="5"/>
      <c r="P31" s="5"/>
      <c r="Q31" s="5"/>
      <c r="R31" s="5"/>
      <c r="S31" s="5"/>
      <c r="T31" s="5"/>
      <c r="U31" s="5"/>
      <c r="V31" s="11">
        <v>45078</v>
      </c>
      <c r="X31" s="12"/>
      <c r="Y31" s="12"/>
      <c r="Z31" s="12"/>
      <c r="AA31" s="12"/>
      <c r="AB31" s="12"/>
      <c r="AC31" s="12"/>
      <c r="AD31" s="12"/>
      <c r="AF31" s="11">
        <v>45078</v>
      </c>
      <c r="AG31" s="5"/>
      <c r="AH31" s="5"/>
      <c r="AI31" s="5"/>
      <c r="AJ31" s="5"/>
      <c r="AK31" s="5"/>
      <c r="AL31" s="5"/>
      <c r="AM31" s="5"/>
      <c r="AN31" s="5"/>
      <c r="AO31" s="5"/>
      <c r="AP31" s="11">
        <v>45078</v>
      </c>
      <c r="AQ31" s="8"/>
      <c r="AR31" s="8"/>
      <c r="AS31" s="8"/>
      <c r="AT31" s="8"/>
      <c r="AU31" s="8"/>
      <c r="AV31" s="8"/>
      <c r="AW31" s="8"/>
      <c r="AX31" s="8"/>
      <c r="AY31" s="8"/>
      <c r="AZ31" s="11">
        <v>45078</v>
      </c>
      <c r="BA31" s="5">
        <f t="shared" si="89"/>
        <v>0</v>
      </c>
      <c r="BB31" s="8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5"/>
      <c r="BN31" s="5"/>
      <c r="BO31" s="5"/>
      <c r="BP31" s="5"/>
      <c r="BQ31" s="5"/>
      <c r="BR31" s="5"/>
      <c r="BS31" s="5"/>
      <c r="BT31" s="5"/>
      <c r="BU31" s="5"/>
      <c r="BV31" s="12"/>
      <c r="BW31" s="11">
        <v>45078</v>
      </c>
      <c r="BX31" s="5"/>
      <c r="BY31" s="5"/>
      <c r="BZ31" s="5"/>
      <c r="CA31" s="5"/>
      <c r="CB31" s="5"/>
      <c r="CC31" s="5"/>
      <c r="CD31" s="5"/>
      <c r="CE31" s="5"/>
      <c r="CF31" s="5"/>
      <c r="CG31" s="8"/>
      <c r="CH31" s="11">
        <v>45078</v>
      </c>
      <c r="CI31" s="5"/>
      <c r="CJ31" s="5"/>
      <c r="CK31" s="5"/>
      <c r="CL31" s="5"/>
      <c r="CM31" s="5"/>
      <c r="CN31" s="5"/>
      <c r="CO31" s="5"/>
      <c r="CP31" s="5"/>
      <c r="CQ31" s="5"/>
      <c r="CR31" s="8"/>
      <c r="CS31" s="11">
        <v>45078</v>
      </c>
      <c r="CT31" s="5"/>
      <c r="CU31" s="5"/>
      <c r="CV31" s="5"/>
      <c r="CW31" s="5"/>
      <c r="CX31" s="5"/>
      <c r="CY31" s="5"/>
      <c r="CZ31" s="5"/>
      <c r="DA31" s="5"/>
      <c r="DB31" s="5"/>
      <c r="DC31" s="8"/>
      <c r="DD31" s="11">
        <v>45078</v>
      </c>
      <c r="DE31" s="5"/>
      <c r="DF31" s="5"/>
      <c r="DG31" s="5"/>
      <c r="DH31" s="5"/>
      <c r="DI31" s="5"/>
      <c r="DJ31" s="5"/>
      <c r="DK31" s="5"/>
      <c r="DL31" s="5"/>
      <c r="DM31" s="5"/>
      <c r="DN31" s="8"/>
      <c r="DO31" s="11">
        <v>45078</v>
      </c>
      <c r="DP31" s="5"/>
      <c r="DQ31" s="5"/>
      <c r="DR31" s="5"/>
      <c r="DS31" s="5"/>
      <c r="DT31" s="5"/>
      <c r="DU31" s="5"/>
      <c r="DV31" s="5"/>
      <c r="DW31" s="5"/>
      <c r="DX31" s="8"/>
      <c r="DY31" s="11">
        <v>45078</v>
      </c>
      <c r="DZ31" s="5"/>
      <c r="EA31" s="5"/>
      <c r="EB31" s="5"/>
      <c r="EC31" s="5"/>
      <c r="ED31" s="5"/>
      <c r="EE31" s="5"/>
      <c r="EF31" s="5"/>
      <c r="EG31" s="5"/>
      <c r="EI31" s="11">
        <v>45078</v>
      </c>
      <c r="ES31" s="11">
        <v>45078</v>
      </c>
      <c r="ET31" s="5"/>
      <c r="EU31" s="5"/>
      <c r="EV31" s="5"/>
      <c r="EW31" s="5"/>
      <c r="EX31" s="5"/>
      <c r="EY31" s="5"/>
      <c r="EZ31" s="5"/>
      <c r="FA31" s="5"/>
      <c r="FC31" s="11">
        <v>45078</v>
      </c>
      <c r="FD31" s="5"/>
      <c r="FE31" s="5"/>
      <c r="FF31" s="5"/>
      <c r="FG31" s="5"/>
      <c r="FH31" s="5"/>
      <c r="FI31" s="5"/>
      <c r="FJ31" s="5"/>
      <c r="FK31" s="5"/>
    </row>
    <row r="32" spans="2:167">
      <c r="B32" s="11">
        <v>45108</v>
      </c>
      <c r="C32" s="5"/>
      <c r="D32" s="5"/>
      <c r="E32" s="5"/>
      <c r="F32" s="5"/>
      <c r="G32" s="5"/>
      <c r="H32" s="5"/>
      <c r="I32" s="5"/>
      <c r="J32" s="5">
        <f t="shared" si="88"/>
        <v>0</v>
      </c>
      <c r="L32" s="11">
        <v>45108</v>
      </c>
      <c r="M32" s="5"/>
      <c r="N32" s="5"/>
      <c r="O32" s="5"/>
      <c r="P32" s="5"/>
      <c r="Q32" s="5"/>
      <c r="R32" s="5"/>
      <c r="S32" s="5"/>
      <c r="T32" s="5"/>
      <c r="U32" s="5"/>
      <c r="V32" s="11">
        <v>45108</v>
      </c>
      <c r="X32" s="12"/>
      <c r="Y32" s="12"/>
      <c r="Z32" s="12"/>
      <c r="AA32" s="12"/>
      <c r="AB32" s="12"/>
      <c r="AC32" s="12"/>
      <c r="AD32" s="12"/>
      <c r="AF32" s="11">
        <v>45108</v>
      </c>
      <c r="AG32" s="5"/>
      <c r="AH32" s="5"/>
      <c r="AI32" s="5"/>
      <c r="AJ32" s="5"/>
      <c r="AK32" s="5"/>
      <c r="AL32" s="5"/>
      <c r="AM32" s="5"/>
      <c r="AN32" s="5"/>
      <c r="AO32" s="5"/>
      <c r="AP32" s="11">
        <v>45108</v>
      </c>
      <c r="AQ32" s="8"/>
      <c r="AR32" s="8"/>
      <c r="AS32" s="8"/>
      <c r="AT32" s="8"/>
      <c r="AU32" s="8"/>
      <c r="AV32" s="8"/>
      <c r="AW32" s="8"/>
      <c r="AX32" s="8"/>
      <c r="AY32" s="8"/>
      <c r="AZ32" s="11">
        <v>45108</v>
      </c>
      <c r="BA32" s="5">
        <f t="shared" si="89"/>
        <v>0</v>
      </c>
      <c r="BB32" s="8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5"/>
      <c r="BN32" s="5"/>
      <c r="BO32" s="5"/>
      <c r="BP32" s="5"/>
      <c r="BQ32" s="5"/>
      <c r="BR32" s="5"/>
      <c r="BS32" s="5"/>
      <c r="BT32" s="5"/>
      <c r="BU32" s="5"/>
      <c r="BV32" s="12"/>
      <c r="BW32" s="11">
        <v>45108</v>
      </c>
      <c r="BX32" s="5"/>
      <c r="BY32" s="5"/>
      <c r="BZ32" s="5"/>
      <c r="CA32" s="5"/>
      <c r="CB32" s="5"/>
      <c r="CC32" s="5"/>
      <c r="CD32" s="5"/>
      <c r="CE32" s="5"/>
      <c r="CF32" s="5"/>
      <c r="CG32" s="8"/>
      <c r="CH32" s="11">
        <v>45108</v>
      </c>
      <c r="CI32" s="5"/>
      <c r="CJ32" s="5"/>
      <c r="CK32" s="5"/>
      <c r="CL32" s="5"/>
      <c r="CM32" s="5"/>
      <c r="CN32" s="5"/>
      <c r="CO32" s="5"/>
      <c r="CP32" s="5"/>
      <c r="CQ32" s="5"/>
      <c r="CR32" s="8"/>
      <c r="CS32" s="11">
        <v>45108</v>
      </c>
      <c r="CT32" s="5"/>
      <c r="CU32" s="5"/>
      <c r="CV32" s="5"/>
      <c r="CW32" s="5"/>
      <c r="CX32" s="5"/>
      <c r="CY32" s="5"/>
      <c r="CZ32" s="5"/>
      <c r="DA32" s="5"/>
      <c r="DB32" s="5"/>
      <c r="DC32" s="8"/>
      <c r="DD32" s="11">
        <v>45108</v>
      </c>
      <c r="DE32" s="5"/>
      <c r="DF32" s="5"/>
      <c r="DG32" s="5"/>
      <c r="DH32" s="5"/>
      <c r="DI32" s="5"/>
      <c r="DJ32" s="5"/>
      <c r="DK32" s="5"/>
      <c r="DL32" s="5"/>
      <c r="DM32" s="5"/>
      <c r="DN32" s="8"/>
      <c r="DO32" s="11">
        <v>45108</v>
      </c>
      <c r="DP32" s="5"/>
      <c r="DQ32" s="5"/>
      <c r="DR32" s="5"/>
      <c r="DS32" s="5"/>
      <c r="DT32" s="5"/>
      <c r="DU32" s="5"/>
      <c r="DV32" s="5"/>
      <c r="DW32" s="5"/>
      <c r="DX32" s="8"/>
      <c r="DY32" s="11">
        <v>45108</v>
      </c>
      <c r="DZ32" s="5"/>
      <c r="EA32" s="5"/>
      <c r="EB32" s="5"/>
      <c r="EC32" s="5"/>
      <c r="ED32" s="5"/>
      <c r="EE32" s="5"/>
      <c r="EF32" s="5"/>
      <c r="EG32" s="5"/>
      <c r="EI32" s="11">
        <v>45108</v>
      </c>
      <c r="ES32" s="11">
        <v>45108</v>
      </c>
      <c r="ET32" s="5"/>
      <c r="EU32" s="5"/>
      <c r="EV32" s="5"/>
      <c r="EW32" s="5"/>
      <c r="EX32" s="5"/>
      <c r="EY32" s="5"/>
      <c r="EZ32" s="5"/>
      <c r="FA32" s="5"/>
      <c r="FC32" s="11">
        <v>45108</v>
      </c>
      <c r="FD32" s="5"/>
      <c r="FE32" s="5"/>
      <c r="FF32" s="5"/>
      <c r="FG32" s="5"/>
      <c r="FH32" s="5"/>
      <c r="FI32" s="5"/>
      <c r="FJ32" s="5"/>
      <c r="FK32" s="5"/>
    </row>
    <row r="33" spans="2:167">
      <c r="B33" s="11">
        <v>45139</v>
      </c>
      <c r="C33" s="5"/>
      <c r="D33" s="5"/>
      <c r="E33" s="5"/>
      <c r="F33" s="5"/>
      <c r="G33" s="5"/>
      <c r="H33" s="5"/>
      <c r="I33" s="5"/>
      <c r="J33" s="5">
        <f t="shared" si="88"/>
        <v>0</v>
      </c>
      <c r="L33" s="11">
        <v>45139</v>
      </c>
      <c r="M33" s="5"/>
      <c r="N33" s="5"/>
      <c r="O33" s="5"/>
      <c r="P33" s="5"/>
      <c r="Q33" s="5"/>
      <c r="R33" s="5"/>
      <c r="S33" s="5"/>
      <c r="T33" s="5"/>
      <c r="U33" s="5"/>
      <c r="V33" s="11">
        <v>45139</v>
      </c>
      <c r="X33" s="12"/>
      <c r="Y33" s="12"/>
      <c r="Z33" s="12"/>
      <c r="AA33" s="12"/>
      <c r="AB33" s="12"/>
      <c r="AC33" s="12"/>
      <c r="AD33" s="12"/>
      <c r="AF33" s="11">
        <v>45139</v>
      </c>
      <c r="AG33" s="5"/>
      <c r="AH33" s="5"/>
      <c r="AI33" s="5"/>
      <c r="AJ33" s="5"/>
      <c r="AK33" s="5"/>
      <c r="AL33" s="5"/>
      <c r="AM33" s="5"/>
      <c r="AN33" s="5"/>
      <c r="AO33" s="5"/>
      <c r="AP33" s="11">
        <v>45139</v>
      </c>
      <c r="AQ33" s="8"/>
      <c r="AR33" s="8"/>
      <c r="AS33" s="8"/>
      <c r="AT33" s="8"/>
      <c r="AU33" s="8"/>
      <c r="AV33" s="8"/>
      <c r="AW33" s="8"/>
      <c r="AX33" s="8"/>
      <c r="AY33" s="8"/>
      <c r="AZ33" s="11">
        <v>45139</v>
      </c>
      <c r="BA33" s="5">
        <f t="shared" si="89"/>
        <v>0</v>
      </c>
      <c r="BB33" s="8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5"/>
      <c r="BN33" s="5"/>
      <c r="BO33" s="5"/>
      <c r="BP33" s="5"/>
      <c r="BQ33" s="5"/>
      <c r="BR33" s="5"/>
      <c r="BS33" s="5"/>
      <c r="BT33" s="5"/>
      <c r="BU33" s="5"/>
      <c r="BV33" s="12"/>
      <c r="BW33" s="11">
        <v>45139</v>
      </c>
      <c r="BX33" s="5"/>
      <c r="BY33" s="5"/>
      <c r="BZ33" s="5"/>
      <c r="CA33" s="5"/>
      <c r="CB33" s="5"/>
      <c r="CC33" s="5"/>
      <c r="CD33" s="5"/>
      <c r="CE33" s="5"/>
      <c r="CF33" s="5"/>
      <c r="CG33" s="8"/>
      <c r="CH33" s="11">
        <v>45139</v>
      </c>
      <c r="CI33" s="5"/>
      <c r="CJ33" s="5"/>
      <c r="CK33" s="5"/>
      <c r="CL33" s="5"/>
      <c r="CM33" s="5"/>
      <c r="CN33" s="5"/>
      <c r="CO33" s="5"/>
      <c r="CP33" s="5"/>
      <c r="CQ33" s="5"/>
      <c r="CR33" s="8"/>
      <c r="CS33" s="11">
        <v>45139</v>
      </c>
      <c r="CT33" s="5"/>
      <c r="CU33" s="5"/>
      <c r="CV33" s="5"/>
      <c r="CW33" s="5"/>
      <c r="CX33" s="5"/>
      <c r="CY33" s="5"/>
      <c r="CZ33" s="5"/>
      <c r="DA33" s="5"/>
      <c r="DB33" s="5"/>
      <c r="DC33" s="8"/>
      <c r="DD33" s="11">
        <v>45139</v>
      </c>
      <c r="DE33" s="5"/>
      <c r="DF33" s="5"/>
      <c r="DG33" s="5"/>
      <c r="DH33" s="5"/>
      <c r="DI33" s="5"/>
      <c r="DJ33" s="5"/>
      <c r="DK33" s="5"/>
      <c r="DL33" s="5"/>
      <c r="DM33" s="5"/>
      <c r="DN33" s="8"/>
      <c r="DO33" s="11">
        <v>45139</v>
      </c>
      <c r="DP33" s="5"/>
      <c r="DQ33" s="5"/>
      <c r="DR33" s="5"/>
      <c r="DS33" s="5"/>
      <c r="DT33" s="5"/>
      <c r="DU33" s="5"/>
      <c r="DV33" s="5"/>
      <c r="DW33" s="5"/>
      <c r="DX33" s="8"/>
      <c r="DY33" s="11">
        <v>45139</v>
      </c>
      <c r="DZ33" s="5"/>
      <c r="EA33" s="5"/>
      <c r="EB33" s="5"/>
      <c r="EC33" s="5"/>
      <c r="ED33" s="5"/>
      <c r="EE33" s="5"/>
      <c r="EF33" s="5"/>
      <c r="EG33" s="5"/>
      <c r="EI33" s="11">
        <v>45139</v>
      </c>
      <c r="ES33" s="11">
        <v>45139</v>
      </c>
      <c r="ET33" s="5"/>
      <c r="EU33" s="5"/>
      <c r="EV33" s="5"/>
      <c r="EW33" s="5"/>
      <c r="EX33" s="5"/>
      <c r="EY33" s="5"/>
      <c r="EZ33" s="5"/>
      <c r="FA33" s="5"/>
      <c r="FC33" s="11">
        <v>45139</v>
      </c>
      <c r="FD33" s="5"/>
      <c r="FE33" s="5"/>
      <c r="FF33" s="5"/>
      <c r="FG33" s="5"/>
      <c r="FH33" s="5"/>
      <c r="FI33" s="5"/>
      <c r="FJ33" s="5"/>
      <c r="FK33" s="5"/>
    </row>
    <row r="34" spans="2:167">
      <c r="B34" s="11">
        <v>45170</v>
      </c>
      <c r="C34" s="5"/>
      <c r="D34" s="5"/>
      <c r="E34" s="5"/>
      <c r="F34" s="5"/>
      <c r="G34" s="5"/>
      <c r="H34" s="5"/>
      <c r="I34" s="5"/>
      <c r="J34" s="5">
        <f t="shared" si="88"/>
        <v>0</v>
      </c>
      <c r="L34" s="11">
        <v>45170</v>
      </c>
      <c r="M34" s="5"/>
      <c r="N34" s="5"/>
      <c r="O34" s="5"/>
      <c r="P34" s="5"/>
      <c r="Q34" s="5"/>
      <c r="R34" s="5"/>
      <c r="S34" s="5"/>
      <c r="T34" s="5"/>
      <c r="U34" s="5"/>
      <c r="V34" s="11">
        <v>45170</v>
      </c>
      <c r="X34" s="12"/>
      <c r="Y34" s="12"/>
      <c r="Z34" s="12"/>
      <c r="AA34" s="12"/>
      <c r="AB34" s="12"/>
      <c r="AC34" s="12"/>
      <c r="AD34" s="12"/>
      <c r="AF34" s="11">
        <v>45170</v>
      </c>
      <c r="AG34" s="5"/>
      <c r="AH34" s="5"/>
      <c r="AI34" s="5"/>
      <c r="AJ34" s="5"/>
      <c r="AK34" s="5"/>
      <c r="AL34" s="5"/>
      <c r="AM34" s="5"/>
      <c r="AN34" s="5"/>
      <c r="AO34" s="5"/>
      <c r="AP34" s="11">
        <v>45170</v>
      </c>
      <c r="AQ34" s="8"/>
      <c r="AR34" s="8"/>
      <c r="AS34" s="8"/>
      <c r="AT34" s="8"/>
      <c r="AU34" s="8"/>
      <c r="AV34" s="8"/>
      <c r="AW34" s="8"/>
      <c r="AX34" s="8"/>
      <c r="AY34" s="8"/>
      <c r="AZ34" s="11">
        <v>45170</v>
      </c>
      <c r="BA34" s="5">
        <f t="shared" si="89"/>
        <v>0</v>
      </c>
      <c r="BB34" s="8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5"/>
      <c r="BN34" s="5"/>
      <c r="BO34" s="5"/>
      <c r="BP34" s="5"/>
      <c r="BQ34" s="5"/>
      <c r="BR34" s="5"/>
      <c r="BS34" s="5"/>
      <c r="BT34" s="5"/>
      <c r="BU34" s="5"/>
      <c r="BV34" s="12"/>
      <c r="BW34" s="11">
        <v>45170</v>
      </c>
      <c r="BX34" s="5"/>
      <c r="BY34" s="5"/>
      <c r="BZ34" s="5"/>
      <c r="CA34" s="5"/>
      <c r="CB34" s="5"/>
      <c r="CC34" s="5"/>
      <c r="CD34" s="5"/>
      <c r="CE34" s="5"/>
      <c r="CF34" s="5"/>
      <c r="CG34" s="8"/>
      <c r="CH34" s="11">
        <v>45170</v>
      </c>
      <c r="CI34" s="5"/>
      <c r="CJ34" s="5"/>
      <c r="CK34" s="5"/>
      <c r="CL34" s="5"/>
      <c r="CM34" s="5"/>
      <c r="CN34" s="5"/>
      <c r="CO34" s="5"/>
      <c r="CP34" s="5"/>
      <c r="CQ34" s="5"/>
      <c r="CR34" s="8"/>
      <c r="CS34" s="11">
        <v>45170</v>
      </c>
      <c r="CT34" s="5"/>
      <c r="CU34" s="5"/>
      <c r="CV34" s="5"/>
      <c r="CW34" s="5"/>
      <c r="CX34" s="5"/>
      <c r="CY34" s="5"/>
      <c r="CZ34" s="5"/>
      <c r="DA34" s="5"/>
      <c r="DB34" s="5"/>
      <c r="DC34" s="8"/>
      <c r="DD34" s="11">
        <v>45170</v>
      </c>
      <c r="DE34" s="5"/>
      <c r="DF34" s="5"/>
      <c r="DG34" s="5"/>
      <c r="DH34" s="5"/>
      <c r="DI34" s="5"/>
      <c r="DJ34" s="5"/>
      <c r="DK34" s="5"/>
      <c r="DL34" s="5"/>
      <c r="DM34" s="5"/>
      <c r="DN34" s="8"/>
      <c r="DO34" s="11">
        <v>45170</v>
      </c>
      <c r="DP34" s="5"/>
      <c r="DQ34" s="5"/>
      <c r="DR34" s="5"/>
      <c r="DS34" s="5"/>
      <c r="DT34" s="5"/>
      <c r="DU34" s="5"/>
      <c r="DV34" s="5"/>
      <c r="DW34" s="5"/>
      <c r="DX34" s="8"/>
      <c r="DY34" s="11">
        <v>45170</v>
      </c>
      <c r="DZ34" s="5"/>
      <c r="EA34" s="5"/>
      <c r="EB34" s="5"/>
      <c r="EC34" s="5"/>
      <c r="ED34" s="5"/>
      <c r="EE34" s="5"/>
      <c r="EF34" s="5"/>
      <c r="EG34" s="5"/>
      <c r="EI34" s="11">
        <v>45170</v>
      </c>
      <c r="ES34" s="11">
        <v>45170</v>
      </c>
      <c r="ET34" s="5"/>
      <c r="EU34" s="5"/>
      <c r="EV34" s="5"/>
      <c r="EW34" s="5"/>
      <c r="EX34" s="5"/>
      <c r="EY34" s="5"/>
      <c r="EZ34" s="5"/>
      <c r="FA34" s="5"/>
      <c r="FC34" s="11">
        <v>45170</v>
      </c>
      <c r="FD34" s="5"/>
      <c r="FE34" s="5"/>
      <c r="FF34" s="5"/>
      <c r="FG34" s="5"/>
      <c r="FH34" s="5"/>
      <c r="FI34" s="5"/>
      <c r="FJ34" s="5"/>
      <c r="FK34" s="5"/>
    </row>
    <row r="35" spans="2:167">
      <c r="B35" s="11">
        <v>45200</v>
      </c>
      <c r="C35" s="5"/>
      <c r="D35" s="5"/>
      <c r="E35" s="5"/>
      <c r="F35" s="5"/>
      <c r="G35" s="5"/>
      <c r="H35" s="5"/>
      <c r="I35" s="5"/>
      <c r="J35" s="5">
        <f t="shared" si="88"/>
        <v>0</v>
      </c>
      <c r="L35" s="11">
        <v>45200</v>
      </c>
      <c r="M35" s="5"/>
      <c r="N35" s="5"/>
      <c r="O35" s="5"/>
      <c r="P35" s="5"/>
      <c r="Q35" s="5"/>
      <c r="R35" s="5"/>
      <c r="S35" s="5"/>
      <c r="T35" s="5"/>
      <c r="U35" s="5"/>
      <c r="V35" s="11">
        <v>45200</v>
      </c>
      <c r="X35" s="12"/>
      <c r="Y35" s="12"/>
      <c r="Z35" s="12"/>
      <c r="AA35" s="12"/>
      <c r="AB35" s="12"/>
      <c r="AC35" s="12"/>
      <c r="AD35" s="12"/>
      <c r="AF35" s="11">
        <v>45200</v>
      </c>
      <c r="AG35" s="5"/>
      <c r="AH35" s="5"/>
      <c r="AI35" s="5"/>
      <c r="AJ35" s="5"/>
      <c r="AK35" s="5"/>
      <c r="AL35" s="5"/>
      <c r="AM35" s="5"/>
      <c r="AN35" s="5"/>
      <c r="AO35" s="5"/>
      <c r="AP35" s="11">
        <v>45200</v>
      </c>
      <c r="AQ35" s="8"/>
      <c r="AR35" s="8"/>
      <c r="AS35" s="8"/>
      <c r="AT35" s="8"/>
      <c r="AU35" s="8"/>
      <c r="AV35" s="8"/>
      <c r="AW35" s="8"/>
      <c r="AX35" s="8"/>
      <c r="AY35" s="8"/>
      <c r="AZ35" s="11">
        <v>45200</v>
      </c>
      <c r="BA35" s="5">
        <f t="shared" si="89"/>
        <v>0</v>
      </c>
      <c r="BB35" s="8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5"/>
      <c r="BN35" s="5"/>
      <c r="BO35" s="5"/>
      <c r="BP35" s="5"/>
      <c r="BQ35" s="5"/>
      <c r="BR35" s="5"/>
      <c r="BS35" s="5"/>
      <c r="BT35" s="5"/>
      <c r="BU35" s="5"/>
      <c r="BV35" s="12"/>
      <c r="BW35" s="11">
        <v>45200</v>
      </c>
      <c r="BX35" s="5"/>
      <c r="BY35" s="5"/>
      <c r="BZ35" s="5"/>
      <c r="CA35" s="5"/>
      <c r="CB35" s="5"/>
      <c r="CC35" s="5"/>
      <c r="CD35" s="5"/>
      <c r="CE35" s="5"/>
      <c r="CF35" s="5"/>
      <c r="CG35" s="8"/>
      <c r="CH35" s="11">
        <v>45200</v>
      </c>
      <c r="CI35" s="5"/>
      <c r="CJ35" s="5"/>
      <c r="CK35" s="5"/>
      <c r="CL35" s="5"/>
      <c r="CM35" s="5"/>
      <c r="CN35" s="5"/>
      <c r="CO35" s="5"/>
      <c r="CP35" s="5"/>
      <c r="CQ35" s="5"/>
      <c r="CR35" s="8"/>
      <c r="CS35" s="11">
        <v>45200</v>
      </c>
      <c r="CT35" s="5"/>
      <c r="CU35" s="5"/>
      <c r="CV35" s="5"/>
      <c r="CW35" s="5"/>
      <c r="CX35" s="5"/>
      <c r="CY35" s="5"/>
      <c r="CZ35" s="5"/>
      <c r="DA35" s="5"/>
      <c r="DB35" s="5"/>
      <c r="DC35" s="8"/>
      <c r="DD35" s="11">
        <v>45200</v>
      </c>
      <c r="DE35" s="5"/>
      <c r="DF35" s="5"/>
      <c r="DG35" s="5"/>
      <c r="DH35" s="5"/>
      <c r="DI35" s="5"/>
      <c r="DJ35" s="5"/>
      <c r="DK35" s="5"/>
      <c r="DL35" s="5"/>
      <c r="DM35" s="5"/>
      <c r="DN35" s="8"/>
      <c r="DO35" s="11">
        <v>45200</v>
      </c>
      <c r="DP35" s="5"/>
      <c r="DQ35" s="5"/>
      <c r="DR35" s="5"/>
      <c r="DS35" s="5"/>
      <c r="DT35" s="5"/>
      <c r="DU35" s="5"/>
      <c r="DV35" s="5"/>
      <c r="DW35" s="5"/>
      <c r="DX35" s="8"/>
      <c r="DY35" s="11">
        <v>45200</v>
      </c>
      <c r="DZ35" s="5"/>
      <c r="EA35" s="5"/>
      <c r="EB35" s="5"/>
      <c r="EC35" s="5"/>
      <c r="ED35" s="5"/>
      <c r="EE35" s="5"/>
      <c r="EF35" s="5"/>
      <c r="EG35" s="5"/>
      <c r="EI35" s="11">
        <v>45200</v>
      </c>
      <c r="ES35" s="11">
        <v>45200</v>
      </c>
      <c r="ET35" s="5"/>
      <c r="EU35" s="5"/>
      <c r="EV35" s="5"/>
      <c r="EW35" s="5"/>
      <c r="EX35" s="5"/>
      <c r="EY35" s="5"/>
      <c r="EZ35" s="5"/>
      <c r="FA35" s="5"/>
      <c r="FC35" s="11">
        <v>45200</v>
      </c>
      <c r="FD35" s="5"/>
      <c r="FE35" s="5"/>
      <c r="FF35" s="5"/>
      <c r="FG35" s="5"/>
      <c r="FH35" s="5"/>
      <c r="FI35" s="5"/>
      <c r="FJ35" s="5"/>
      <c r="FK35" s="5"/>
    </row>
    <row r="36" spans="2:167">
      <c r="B36" s="11">
        <v>45231</v>
      </c>
      <c r="C36" s="5"/>
      <c r="D36" s="5"/>
      <c r="E36" s="5"/>
      <c r="F36" s="5"/>
      <c r="G36" s="8"/>
      <c r="H36" s="5"/>
      <c r="I36" s="5"/>
      <c r="J36" s="5">
        <f t="shared" si="88"/>
        <v>0</v>
      </c>
      <c r="L36" s="11">
        <v>45231</v>
      </c>
      <c r="M36" s="5"/>
      <c r="N36" s="5"/>
      <c r="O36" s="5"/>
      <c r="P36" s="5"/>
      <c r="Q36" s="8"/>
      <c r="R36" s="5"/>
      <c r="S36" s="5"/>
      <c r="T36" s="5"/>
      <c r="U36" s="5"/>
      <c r="V36" s="11">
        <v>45231</v>
      </c>
      <c r="W36" s="12"/>
      <c r="X36" s="12"/>
      <c r="Y36" s="12"/>
      <c r="Z36" s="12"/>
      <c r="AA36" s="12"/>
      <c r="AB36" s="12"/>
      <c r="AC36" s="12"/>
      <c r="AD36" s="12"/>
      <c r="AF36" s="11">
        <v>45231</v>
      </c>
      <c r="AG36" s="5"/>
      <c r="AH36" s="5"/>
      <c r="AI36" s="5"/>
      <c r="AJ36" s="5"/>
      <c r="AK36" s="5"/>
      <c r="AL36" s="5"/>
      <c r="AM36" s="5"/>
      <c r="AN36" s="5"/>
      <c r="AO36" s="5"/>
      <c r="AP36" s="11">
        <v>45231</v>
      </c>
      <c r="AQ36" s="8"/>
      <c r="AR36" s="8"/>
      <c r="AS36" s="8"/>
      <c r="AT36" s="8"/>
      <c r="AU36" s="8"/>
      <c r="AV36" s="8"/>
      <c r="AW36" s="8"/>
      <c r="AX36" s="8"/>
      <c r="AY36" s="8"/>
      <c r="AZ36" s="11">
        <v>45231</v>
      </c>
      <c r="BA36" s="5">
        <f t="shared" si="89"/>
        <v>0</v>
      </c>
      <c r="BB36" s="8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5"/>
      <c r="BN36" s="5"/>
      <c r="BO36" s="5"/>
      <c r="BP36" s="5"/>
      <c r="BQ36" s="5"/>
      <c r="BR36" s="5"/>
      <c r="BS36" s="5"/>
      <c r="BT36" s="5"/>
      <c r="BU36" s="5"/>
      <c r="BV36" s="12"/>
      <c r="BW36" s="11">
        <v>45231</v>
      </c>
      <c r="BX36" s="5"/>
      <c r="BY36" s="5"/>
      <c r="BZ36" s="5"/>
      <c r="CA36" s="5"/>
      <c r="CB36" s="5"/>
      <c r="CC36" s="5"/>
      <c r="CD36" s="5"/>
      <c r="CE36" s="5"/>
      <c r="CF36" s="5"/>
      <c r="CG36" s="8"/>
      <c r="CH36" s="11">
        <v>45231</v>
      </c>
      <c r="CI36" s="5"/>
      <c r="CJ36" s="5"/>
      <c r="CK36" s="5"/>
      <c r="CL36" s="5"/>
      <c r="CM36" s="5"/>
      <c r="CN36" s="5"/>
      <c r="CO36" s="5"/>
      <c r="CP36" s="5"/>
      <c r="CQ36" s="5"/>
      <c r="CR36" s="8"/>
      <c r="CS36" s="11">
        <v>45231</v>
      </c>
      <c r="CT36" s="5"/>
      <c r="CU36" s="5"/>
      <c r="CV36" s="5"/>
      <c r="CW36" s="5"/>
      <c r="CX36" s="5"/>
      <c r="CY36" s="5"/>
      <c r="CZ36" s="5"/>
      <c r="DA36" s="5"/>
      <c r="DB36" s="5"/>
      <c r="DC36" s="8"/>
      <c r="DD36" s="11">
        <v>45231</v>
      </c>
      <c r="DE36" s="5"/>
      <c r="DF36" s="5"/>
      <c r="DG36" s="5"/>
      <c r="DH36" s="5"/>
      <c r="DI36" s="5"/>
      <c r="DJ36" s="5"/>
      <c r="DK36" s="5"/>
      <c r="DL36" s="5"/>
      <c r="DM36" s="5"/>
      <c r="DN36" s="8"/>
      <c r="DO36" s="11">
        <v>45231</v>
      </c>
      <c r="DP36" s="5"/>
      <c r="DQ36" s="5"/>
      <c r="DR36" s="5"/>
      <c r="DS36" s="5"/>
      <c r="DT36" s="5"/>
      <c r="DU36" s="5"/>
      <c r="DV36" s="5"/>
      <c r="DW36" s="5"/>
      <c r="DX36" s="8"/>
      <c r="DY36" s="11">
        <v>45231</v>
      </c>
      <c r="DZ36" s="5"/>
      <c r="EA36" s="5"/>
      <c r="EB36" s="5"/>
      <c r="EC36" s="5"/>
      <c r="ED36" s="5"/>
      <c r="EE36" s="5"/>
      <c r="EF36" s="5"/>
      <c r="EG36" s="5"/>
      <c r="EI36" s="11">
        <v>45231</v>
      </c>
      <c r="ES36" s="11">
        <v>45231</v>
      </c>
      <c r="ET36" s="5"/>
      <c r="EU36" s="5"/>
      <c r="EV36" s="5"/>
      <c r="EW36" s="5"/>
      <c r="EX36" s="5"/>
      <c r="EY36" s="5"/>
      <c r="EZ36" s="5"/>
      <c r="FA36" s="5"/>
      <c r="FC36" s="11">
        <v>45231</v>
      </c>
      <c r="FD36" s="5"/>
      <c r="FE36" s="5"/>
      <c r="FF36" s="5"/>
      <c r="FG36" s="5"/>
      <c r="FH36" s="5"/>
      <c r="FI36" s="5"/>
      <c r="FJ36" s="5"/>
      <c r="FK36" s="5"/>
    </row>
    <row r="37" spans="2:167">
      <c r="B37" s="11">
        <v>45261</v>
      </c>
      <c r="C37" s="5"/>
      <c r="D37" s="5"/>
      <c r="E37" s="5"/>
      <c r="F37" s="5"/>
      <c r="G37" s="5"/>
      <c r="H37" s="5"/>
      <c r="I37" s="5"/>
      <c r="J37" s="5">
        <f t="shared" si="88"/>
        <v>0</v>
      </c>
      <c r="L37" s="11">
        <v>45261</v>
      </c>
      <c r="M37" s="5"/>
      <c r="N37" s="5"/>
      <c r="O37" s="5"/>
      <c r="P37" s="5"/>
      <c r="Q37" s="5"/>
      <c r="R37" s="5"/>
      <c r="S37" s="5"/>
      <c r="T37" s="5"/>
      <c r="U37" s="5"/>
      <c r="V37" s="11">
        <v>45261</v>
      </c>
      <c r="X37" s="12"/>
      <c r="Y37" s="12"/>
      <c r="Z37" s="12"/>
      <c r="AA37" s="12"/>
      <c r="AB37" s="12"/>
      <c r="AC37" s="12"/>
      <c r="AD37" s="12"/>
      <c r="AF37" s="11">
        <v>45261</v>
      </c>
      <c r="AG37" s="5"/>
      <c r="AH37" s="5"/>
      <c r="AI37" s="5"/>
      <c r="AJ37" s="5"/>
      <c r="AK37" s="5"/>
      <c r="AL37" s="5"/>
      <c r="AM37" s="5"/>
      <c r="AN37" s="5"/>
      <c r="AO37" s="5"/>
      <c r="AP37" s="11">
        <v>45261</v>
      </c>
      <c r="AQ37" s="8"/>
      <c r="AR37" s="8"/>
      <c r="AS37" s="8"/>
      <c r="AT37" s="8"/>
      <c r="AU37" s="8"/>
      <c r="AV37" s="8"/>
      <c r="AW37" s="8"/>
      <c r="AX37" s="8"/>
      <c r="AY37" s="8"/>
      <c r="AZ37" s="11">
        <v>45261</v>
      </c>
      <c r="BA37" s="5">
        <f t="shared" si="89"/>
        <v>0</v>
      </c>
      <c r="BB37" s="8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5"/>
      <c r="BN37" s="5"/>
      <c r="BO37" s="5"/>
      <c r="BP37" s="5"/>
      <c r="BQ37" s="5"/>
      <c r="BR37" s="5"/>
      <c r="BS37" s="5"/>
      <c r="BT37" s="5"/>
      <c r="BU37" s="5"/>
      <c r="BV37" s="12"/>
      <c r="BW37" s="11">
        <v>45261</v>
      </c>
      <c r="BX37" s="5"/>
      <c r="BY37" s="5"/>
      <c r="BZ37" s="5"/>
      <c r="CA37" s="5"/>
      <c r="CB37" s="5"/>
      <c r="CC37" s="5"/>
      <c r="CD37" s="5"/>
      <c r="CE37" s="5"/>
      <c r="CF37" s="5"/>
      <c r="CG37" s="8"/>
      <c r="CH37" s="11">
        <v>45261</v>
      </c>
      <c r="CI37" s="5"/>
      <c r="CJ37" s="5"/>
      <c r="CK37" s="5"/>
      <c r="CL37" s="5"/>
      <c r="CM37" s="5"/>
      <c r="CN37" s="5"/>
      <c r="CO37" s="5"/>
      <c r="CP37" s="5"/>
      <c r="CQ37" s="5"/>
      <c r="CR37" s="8"/>
      <c r="CS37" s="11">
        <v>45261</v>
      </c>
      <c r="CT37" s="5"/>
      <c r="CU37" s="5"/>
      <c r="CV37" s="5"/>
      <c r="CW37" s="5"/>
      <c r="CX37" s="5"/>
      <c r="CY37" s="5"/>
      <c r="CZ37" s="5"/>
      <c r="DA37" s="5"/>
      <c r="DB37" s="5"/>
      <c r="DC37" s="8"/>
      <c r="DD37" s="11">
        <v>45261</v>
      </c>
      <c r="DE37" s="5"/>
      <c r="DF37" s="5"/>
      <c r="DG37" s="5"/>
      <c r="DH37" s="5"/>
      <c r="DI37" s="5"/>
      <c r="DJ37" s="5"/>
      <c r="DK37" s="5"/>
      <c r="DL37" s="5"/>
      <c r="DM37" s="5"/>
      <c r="DN37" s="8"/>
      <c r="DO37" s="11">
        <v>45261</v>
      </c>
      <c r="DP37" s="5"/>
      <c r="DQ37" s="5"/>
      <c r="DR37" s="5"/>
      <c r="DS37" s="5"/>
      <c r="DT37" s="5"/>
      <c r="DU37" s="5"/>
      <c r="DV37" s="5"/>
      <c r="DW37" s="5"/>
      <c r="DX37" s="8"/>
      <c r="DY37" s="11">
        <v>45261</v>
      </c>
      <c r="DZ37" s="5"/>
      <c r="EA37" s="5"/>
      <c r="EB37" s="5"/>
      <c r="EC37" s="5"/>
      <c r="ED37" s="5"/>
      <c r="EE37" s="5"/>
      <c r="EF37" s="5"/>
      <c r="EG37" s="5"/>
      <c r="EI37" s="11">
        <v>45261</v>
      </c>
      <c r="ES37" s="11">
        <v>45261</v>
      </c>
      <c r="ET37" s="5"/>
      <c r="EU37" s="5"/>
      <c r="EV37" s="5"/>
      <c r="EW37" s="5"/>
      <c r="EX37" s="5"/>
      <c r="EY37" s="5"/>
      <c r="EZ37" s="5"/>
      <c r="FA37" s="5"/>
      <c r="FC37" s="11">
        <v>45261</v>
      </c>
      <c r="FD37" s="5"/>
      <c r="FE37" s="5"/>
      <c r="FF37" s="5"/>
      <c r="FG37" s="5"/>
      <c r="FH37" s="5"/>
      <c r="FI37" s="5"/>
      <c r="FJ37" s="5"/>
      <c r="FK37" s="5"/>
    </row>
    <row r="38" spans="2:167">
      <c r="B38" s="11">
        <v>45292</v>
      </c>
      <c r="C38" s="5"/>
      <c r="D38" s="5"/>
      <c r="E38" s="5"/>
      <c r="F38" s="5"/>
      <c r="G38" s="5"/>
      <c r="H38" s="5"/>
      <c r="I38" s="5"/>
      <c r="J38" s="5">
        <f t="shared" si="88"/>
        <v>0</v>
      </c>
      <c r="L38" s="11">
        <v>45292</v>
      </c>
      <c r="M38" s="5"/>
      <c r="N38" s="5"/>
      <c r="O38" s="5"/>
      <c r="P38" s="5"/>
      <c r="Q38" s="5"/>
      <c r="R38" s="5"/>
      <c r="S38" s="5"/>
      <c r="T38" s="5"/>
      <c r="U38" s="5"/>
      <c r="V38" s="11">
        <v>45292</v>
      </c>
      <c r="W38" s="34"/>
      <c r="X38" s="12"/>
      <c r="Y38" s="12"/>
      <c r="Z38" s="12"/>
      <c r="AA38" s="12"/>
      <c r="AB38" s="12"/>
      <c r="AC38" s="12"/>
      <c r="AD38" s="12"/>
      <c r="AF38" s="11">
        <v>45292</v>
      </c>
      <c r="AG38" s="5"/>
      <c r="AH38" s="5"/>
      <c r="AI38" s="5"/>
      <c r="AJ38" s="5"/>
      <c r="AK38" s="5"/>
      <c r="AL38" s="5"/>
      <c r="AM38" s="5"/>
      <c r="AN38" s="5"/>
      <c r="AO38" s="5"/>
      <c r="AP38" s="11">
        <v>45292</v>
      </c>
      <c r="AQ38" s="8"/>
      <c r="AR38" s="8"/>
      <c r="AS38" s="8"/>
      <c r="AT38" s="8"/>
      <c r="AU38" s="8"/>
      <c r="AV38" s="8"/>
      <c r="AW38" s="8"/>
      <c r="AX38" s="8"/>
      <c r="AY38" s="8"/>
      <c r="AZ38" s="11">
        <v>45292</v>
      </c>
      <c r="BA38" s="5">
        <f t="shared" si="89"/>
        <v>0</v>
      </c>
      <c r="BB38" s="8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5"/>
      <c r="BN38" s="5"/>
      <c r="BO38" s="5"/>
      <c r="BP38" s="5"/>
      <c r="BQ38" s="5"/>
      <c r="BR38" s="5"/>
      <c r="BS38" s="5"/>
      <c r="BT38" s="5"/>
      <c r="BU38" s="5"/>
      <c r="BV38" s="12"/>
      <c r="BW38" s="11">
        <v>45292</v>
      </c>
      <c r="BX38" s="5"/>
      <c r="BY38" s="5"/>
      <c r="BZ38" s="5"/>
      <c r="CA38" s="5"/>
      <c r="CB38" s="5"/>
      <c r="CC38" s="5"/>
      <c r="CD38" s="5"/>
      <c r="CE38" s="5"/>
      <c r="CF38" s="5"/>
      <c r="CG38" s="8"/>
      <c r="CH38" s="11">
        <v>45292</v>
      </c>
      <c r="CI38" s="5"/>
      <c r="CJ38" s="5"/>
      <c r="CK38" s="5"/>
      <c r="CL38" s="5"/>
      <c r="CM38" s="5"/>
      <c r="CN38" s="5"/>
      <c r="CO38" s="5"/>
      <c r="CP38" s="5"/>
      <c r="CQ38" s="5"/>
      <c r="CR38" s="8"/>
      <c r="CS38" s="11">
        <v>45292</v>
      </c>
      <c r="CT38" s="5"/>
      <c r="CU38" s="5"/>
      <c r="CV38" s="5"/>
      <c r="CW38" s="5"/>
      <c r="CX38" s="5"/>
      <c r="CY38" s="5"/>
      <c r="CZ38" s="5"/>
      <c r="DA38" s="5"/>
      <c r="DB38" s="5"/>
      <c r="DC38" s="8"/>
      <c r="DD38" s="11">
        <v>45292</v>
      </c>
      <c r="DE38" s="5"/>
      <c r="DF38" s="5"/>
      <c r="DG38" s="5"/>
      <c r="DH38" s="5"/>
      <c r="DI38" s="5"/>
      <c r="DJ38" s="5"/>
      <c r="DK38" s="5"/>
      <c r="DL38" s="5"/>
      <c r="DM38" s="5"/>
      <c r="DN38" s="8"/>
      <c r="DO38" s="11">
        <v>45292</v>
      </c>
      <c r="DP38" s="5"/>
      <c r="DQ38" s="5"/>
      <c r="DR38" s="5"/>
      <c r="DS38" s="5"/>
      <c r="DT38" s="5"/>
      <c r="DU38" s="5"/>
      <c r="DV38" s="5"/>
      <c r="DW38" s="5"/>
      <c r="DX38" s="8"/>
      <c r="DY38" s="11">
        <v>45292</v>
      </c>
      <c r="DZ38" s="5"/>
      <c r="EA38" s="5"/>
      <c r="EB38" s="5"/>
      <c r="EC38" s="5"/>
      <c r="ED38" s="5"/>
      <c r="EE38" s="5"/>
      <c r="EF38" s="5"/>
      <c r="EG38" s="5"/>
      <c r="EI38" s="11">
        <v>45292</v>
      </c>
      <c r="ES38" s="11">
        <v>45292</v>
      </c>
      <c r="ET38" s="5"/>
      <c r="EU38" s="5"/>
      <c r="EV38" s="5"/>
      <c r="EW38" s="5"/>
      <c r="EX38" s="5"/>
      <c r="EY38" s="5"/>
      <c r="EZ38" s="5"/>
      <c r="FA38" s="5"/>
      <c r="FC38" s="11">
        <v>45292</v>
      </c>
      <c r="FD38" s="5"/>
      <c r="FE38" s="5"/>
      <c r="FF38" s="5"/>
      <c r="FG38" s="5"/>
      <c r="FH38" s="5"/>
      <c r="FI38" s="5"/>
      <c r="FJ38" s="5"/>
      <c r="FK38" s="5"/>
    </row>
    <row r="39" spans="2:167">
      <c r="B39" s="11">
        <v>45323</v>
      </c>
      <c r="C39" s="5"/>
      <c r="D39" s="5"/>
      <c r="E39" s="5"/>
      <c r="F39" s="5"/>
      <c r="G39" s="5"/>
      <c r="H39" s="5"/>
      <c r="I39" s="5"/>
      <c r="J39" s="5">
        <f t="shared" si="88"/>
        <v>0</v>
      </c>
      <c r="L39" s="11">
        <v>45323</v>
      </c>
      <c r="M39" s="5"/>
      <c r="N39" s="5"/>
      <c r="O39" s="5"/>
      <c r="P39" s="5"/>
      <c r="Q39" s="5"/>
      <c r="R39" s="5"/>
      <c r="S39" s="5"/>
      <c r="T39" s="5"/>
      <c r="U39" s="5"/>
      <c r="V39" s="11">
        <v>45323</v>
      </c>
      <c r="W39" s="34"/>
      <c r="X39" s="12"/>
      <c r="Y39" s="12"/>
      <c r="Z39" s="12"/>
      <c r="AA39" s="12"/>
      <c r="AB39" s="12"/>
      <c r="AC39" s="12"/>
      <c r="AD39" s="12"/>
      <c r="AF39" s="11">
        <v>45323</v>
      </c>
      <c r="AG39" s="5"/>
      <c r="AH39" s="5"/>
      <c r="AI39" s="5"/>
      <c r="AJ39" s="5"/>
      <c r="AK39" s="5"/>
      <c r="AL39" s="5"/>
      <c r="AM39" s="5"/>
      <c r="AN39" s="5"/>
      <c r="AO39" s="5"/>
      <c r="AP39" s="11">
        <v>45323</v>
      </c>
      <c r="AQ39" s="8"/>
      <c r="AR39" s="8"/>
      <c r="AS39" s="8"/>
      <c r="AT39" s="8"/>
      <c r="AU39" s="8"/>
      <c r="AV39" s="8"/>
      <c r="AW39" s="8"/>
      <c r="AX39" s="8"/>
      <c r="AY39" s="8"/>
      <c r="AZ39" s="11">
        <v>45323</v>
      </c>
      <c r="BA39" s="5">
        <f t="shared" si="89"/>
        <v>0</v>
      </c>
      <c r="BB39" s="8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5"/>
      <c r="BN39" s="5"/>
      <c r="BO39" s="5"/>
      <c r="BP39" s="5"/>
      <c r="BQ39" s="5"/>
      <c r="BR39" s="5"/>
      <c r="BS39" s="5"/>
      <c r="BT39" s="5"/>
      <c r="BU39" s="5"/>
      <c r="BV39" s="12"/>
      <c r="BW39" s="11">
        <v>45323</v>
      </c>
      <c r="BX39" s="5"/>
      <c r="BY39" s="5"/>
      <c r="BZ39" s="5"/>
      <c r="CA39" s="5"/>
      <c r="CB39" s="5"/>
      <c r="CC39" s="5"/>
      <c r="CD39" s="5"/>
      <c r="CE39" s="5"/>
      <c r="CF39" s="5"/>
      <c r="CG39" s="8"/>
      <c r="CH39" s="11">
        <v>45323</v>
      </c>
      <c r="CI39" s="5"/>
      <c r="CJ39" s="5"/>
      <c r="CK39" s="5"/>
      <c r="CL39" s="5"/>
      <c r="CM39" s="5"/>
      <c r="CN39" s="5"/>
      <c r="CO39" s="5"/>
      <c r="CP39" s="5"/>
      <c r="CQ39" s="5"/>
      <c r="CR39" s="8"/>
      <c r="CS39" s="11">
        <v>45323</v>
      </c>
      <c r="CT39" s="5"/>
      <c r="CU39" s="5"/>
      <c r="CV39" s="5"/>
      <c r="CW39" s="5"/>
      <c r="CX39" s="5"/>
      <c r="CY39" s="5"/>
      <c r="CZ39" s="5"/>
      <c r="DA39" s="5"/>
      <c r="DB39" s="5"/>
      <c r="DC39" s="8"/>
      <c r="DD39" s="11">
        <v>45323</v>
      </c>
      <c r="DE39" s="5"/>
      <c r="DF39" s="5"/>
      <c r="DG39" s="5"/>
      <c r="DH39" s="5"/>
      <c r="DI39" s="5"/>
      <c r="DJ39" s="5"/>
      <c r="DK39" s="5"/>
      <c r="DL39" s="5"/>
      <c r="DM39" s="5"/>
      <c r="DN39" s="8"/>
      <c r="DO39" s="11">
        <v>45323</v>
      </c>
      <c r="DP39" s="5"/>
      <c r="DQ39" s="5"/>
      <c r="DR39" s="5"/>
      <c r="DS39" s="5"/>
      <c r="DT39" s="5"/>
      <c r="DU39" s="5"/>
      <c r="DV39" s="5"/>
      <c r="DW39" s="5"/>
      <c r="DX39" s="8"/>
      <c r="DY39" s="11">
        <v>45323</v>
      </c>
      <c r="DZ39" s="5"/>
      <c r="EA39" s="5"/>
      <c r="EB39" s="5"/>
      <c r="EC39" s="5"/>
      <c r="ED39" s="5"/>
      <c r="EE39" s="5"/>
      <c r="EF39" s="5"/>
      <c r="EG39" s="5"/>
      <c r="EI39" s="11">
        <v>45323</v>
      </c>
      <c r="ES39" s="11">
        <v>45323</v>
      </c>
      <c r="ET39" s="5"/>
      <c r="EU39" s="5"/>
      <c r="EV39" s="5"/>
      <c r="EW39" s="5"/>
      <c r="EX39" s="5"/>
      <c r="EY39" s="5"/>
      <c r="EZ39" s="5"/>
      <c r="FA39" s="5"/>
      <c r="FC39" s="11">
        <v>45323</v>
      </c>
      <c r="FD39" s="5"/>
      <c r="FE39" s="5"/>
      <c r="FF39" s="5"/>
      <c r="FG39" s="5"/>
      <c r="FH39" s="5"/>
      <c r="FI39" s="5"/>
      <c r="FJ39" s="5"/>
      <c r="FK39" s="5"/>
    </row>
    <row r="40" spans="2:167">
      <c r="B40" s="11">
        <v>45352</v>
      </c>
      <c r="C40" s="5"/>
      <c r="D40" s="5"/>
      <c r="E40" s="5"/>
      <c r="F40" s="5"/>
      <c r="G40" s="5"/>
      <c r="H40" s="5"/>
      <c r="I40" s="5"/>
      <c r="J40" s="5">
        <f t="shared" si="88"/>
        <v>0</v>
      </c>
      <c r="L40" s="11">
        <v>45352</v>
      </c>
      <c r="M40" s="5"/>
      <c r="N40" s="5"/>
      <c r="O40" s="5"/>
      <c r="P40" s="5"/>
      <c r="Q40" s="5"/>
      <c r="R40" s="5"/>
      <c r="S40" s="5"/>
      <c r="T40" s="5"/>
      <c r="U40" s="5"/>
      <c r="V40" s="11">
        <v>45352</v>
      </c>
      <c r="W40" s="34"/>
      <c r="X40" s="12"/>
      <c r="Y40" s="12"/>
      <c r="Z40" s="12"/>
      <c r="AA40" s="12"/>
      <c r="AB40" s="12"/>
      <c r="AC40" s="12"/>
      <c r="AD40" s="12"/>
      <c r="AF40" s="11">
        <v>45352</v>
      </c>
      <c r="AG40" s="5"/>
      <c r="AH40" s="5"/>
      <c r="AI40" s="5"/>
      <c r="AJ40" s="5"/>
      <c r="AK40" s="5"/>
      <c r="AL40" s="5"/>
      <c r="AM40" s="5"/>
      <c r="AN40" s="5"/>
      <c r="AO40" s="5"/>
      <c r="AP40" s="11">
        <v>45352</v>
      </c>
      <c r="AQ40" s="8"/>
      <c r="AR40" s="8"/>
      <c r="AS40" s="8"/>
      <c r="AT40" s="8"/>
      <c r="AU40" s="8"/>
      <c r="AV40" s="8"/>
      <c r="AW40" s="8"/>
      <c r="AX40" s="8"/>
      <c r="AY40" s="8"/>
      <c r="AZ40" s="11">
        <v>45352</v>
      </c>
      <c r="BA40" s="5">
        <f t="shared" si="89"/>
        <v>0</v>
      </c>
      <c r="BB40" s="8"/>
      <c r="BC40" s="5"/>
      <c r="BD40" s="5"/>
      <c r="BE40" s="5"/>
      <c r="BF40" s="5"/>
      <c r="BG40" s="5"/>
      <c r="BH40" s="5"/>
      <c r="BI40" s="5"/>
      <c r="BJ40" s="5"/>
      <c r="BK40" s="5"/>
      <c r="BL40" s="12"/>
      <c r="BM40" s="5"/>
      <c r="BN40" s="5"/>
      <c r="BO40" s="5"/>
      <c r="BP40" s="5"/>
      <c r="BQ40" s="5"/>
      <c r="BR40" s="5"/>
      <c r="BS40" s="5"/>
      <c r="BT40" s="5"/>
      <c r="BU40" s="5"/>
      <c r="BV40" s="12"/>
      <c r="BW40" s="11">
        <v>45352</v>
      </c>
      <c r="BX40" s="5"/>
      <c r="BY40" s="5"/>
      <c r="BZ40" s="5"/>
      <c r="CA40" s="5"/>
      <c r="CB40" s="5"/>
      <c r="CC40" s="5"/>
      <c r="CD40" s="5"/>
      <c r="CE40" s="5"/>
      <c r="CF40" s="5"/>
      <c r="CG40" s="8"/>
      <c r="CH40" s="11">
        <v>45352</v>
      </c>
      <c r="CI40" s="5"/>
      <c r="CJ40" s="5"/>
      <c r="CK40" s="5"/>
      <c r="CL40" s="5"/>
      <c r="CM40" s="5"/>
      <c r="CN40" s="5"/>
      <c r="CO40" s="5"/>
      <c r="CP40" s="5"/>
      <c r="CQ40" s="5"/>
      <c r="CR40" s="8"/>
      <c r="CS40" s="11">
        <v>45352</v>
      </c>
      <c r="CT40" s="5"/>
      <c r="CU40" s="5"/>
      <c r="CV40" s="5"/>
      <c r="CW40" s="5"/>
      <c r="CX40" s="5"/>
      <c r="CY40" s="5"/>
      <c r="CZ40" s="5"/>
      <c r="DA40" s="5"/>
      <c r="DB40" s="5"/>
      <c r="DC40" s="8"/>
      <c r="DD40" s="11">
        <v>45352</v>
      </c>
      <c r="DE40" s="5"/>
      <c r="DF40" s="5"/>
      <c r="DG40" s="5"/>
      <c r="DH40" s="5"/>
      <c r="DI40" s="5"/>
      <c r="DJ40" s="5"/>
      <c r="DK40" s="5"/>
      <c r="DL40" s="5"/>
      <c r="DM40" s="5"/>
      <c r="DN40" s="8"/>
      <c r="DO40" s="11">
        <v>45352</v>
      </c>
      <c r="DP40" s="5"/>
      <c r="DQ40" s="5"/>
      <c r="DR40" s="5"/>
      <c r="DS40" s="5"/>
      <c r="DT40" s="5"/>
      <c r="DU40" s="5"/>
      <c r="DV40" s="5"/>
      <c r="DW40" s="5"/>
      <c r="DX40" s="8"/>
      <c r="DY40" s="11">
        <v>45352</v>
      </c>
      <c r="DZ40" s="5"/>
      <c r="EA40" s="5"/>
      <c r="EB40" s="5"/>
      <c r="EC40" s="5"/>
      <c r="ED40" s="5"/>
      <c r="EE40" s="5"/>
      <c r="EF40" s="5"/>
      <c r="EG40" s="5"/>
      <c r="EI40" s="11">
        <v>45352</v>
      </c>
      <c r="ES40" s="11">
        <v>45352</v>
      </c>
      <c r="ET40" s="5"/>
      <c r="EU40" s="5"/>
      <c r="EV40" s="5"/>
      <c r="EW40" s="5"/>
      <c r="EX40" s="5"/>
      <c r="EY40" s="5"/>
      <c r="EZ40" s="5"/>
      <c r="FA40" s="5"/>
      <c r="FC40" s="11">
        <v>45352</v>
      </c>
      <c r="FD40" s="5"/>
      <c r="FE40" s="5"/>
      <c r="FF40" s="5"/>
      <c r="FG40" s="5"/>
      <c r="FH40" s="5"/>
      <c r="FI40" s="5"/>
      <c r="FJ40" s="5"/>
      <c r="FK40" s="5"/>
    </row>
    <row r="41" spans="2:167">
      <c r="B41" s="11">
        <v>45383</v>
      </c>
      <c r="C41" s="5"/>
      <c r="D41" s="5"/>
      <c r="E41" s="5"/>
      <c r="F41" s="5"/>
      <c r="G41" s="5"/>
      <c r="H41" s="5"/>
      <c r="I41" s="5"/>
      <c r="J41" s="5">
        <f t="shared" si="88"/>
        <v>0</v>
      </c>
      <c r="L41" s="11">
        <v>45383</v>
      </c>
      <c r="M41" s="5"/>
      <c r="N41" s="5"/>
      <c r="O41" s="5"/>
      <c r="P41" s="5"/>
      <c r="Q41" s="5"/>
      <c r="R41" s="5"/>
      <c r="S41" s="5"/>
      <c r="T41" s="5"/>
      <c r="U41" s="5"/>
      <c r="V41" s="11">
        <v>45383</v>
      </c>
      <c r="W41" s="34"/>
      <c r="X41" s="12"/>
      <c r="Y41" s="12"/>
      <c r="Z41" s="12"/>
      <c r="AA41" s="12"/>
      <c r="AB41" s="12"/>
      <c r="AC41" s="12"/>
      <c r="AD41" s="12"/>
      <c r="AF41" s="11">
        <v>45383</v>
      </c>
      <c r="AG41" s="5"/>
      <c r="AH41" s="5"/>
      <c r="AI41" s="5"/>
      <c r="AJ41" s="5"/>
      <c r="AK41" s="5"/>
      <c r="AL41" s="5"/>
      <c r="AM41" s="5"/>
      <c r="AN41" s="5"/>
      <c r="AO41" s="5"/>
      <c r="AP41" s="11">
        <v>45383</v>
      </c>
      <c r="AQ41" s="8"/>
      <c r="AR41" s="8"/>
      <c r="AS41" s="8"/>
      <c r="AT41" s="8"/>
      <c r="AU41" s="8"/>
      <c r="AV41" s="8"/>
      <c r="AW41" s="8"/>
      <c r="AX41" s="8"/>
      <c r="AY41" s="8"/>
      <c r="AZ41" s="11">
        <v>45383</v>
      </c>
      <c r="BA41" s="5">
        <f t="shared" si="89"/>
        <v>0</v>
      </c>
      <c r="BB41" s="8"/>
      <c r="BC41" s="5"/>
      <c r="BD41" s="5"/>
      <c r="BE41" s="5"/>
      <c r="BF41" s="5"/>
      <c r="BG41" s="5"/>
      <c r="BH41" s="5"/>
      <c r="BI41" s="5"/>
      <c r="BJ41" s="5"/>
      <c r="BK41" s="5"/>
      <c r="BL41" s="12"/>
      <c r="BM41" s="5"/>
      <c r="BN41" s="5"/>
      <c r="BO41" s="5"/>
      <c r="BP41" s="5"/>
      <c r="BQ41" s="5"/>
      <c r="BR41" s="5"/>
      <c r="BS41" s="5"/>
      <c r="BT41" s="5"/>
      <c r="BU41" s="5"/>
      <c r="BV41" s="12"/>
      <c r="BW41" s="11">
        <v>45383</v>
      </c>
      <c r="BX41" s="5"/>
      <c r="BY41" s="5"/>
      <c r="BZ41" s="5"/>
      <c r="CA41" s="5"/>
      <c r="CB41" s="5"/>
      <c r="CC41" s="5"/>
      <c r="CD41" s="5"/>
      <c r="CE41" s="5"/>
      <c r="CF41" s="5"/>
      <c r="CG41" s="8"/>
      <c r="CH41" s="11">
        <v>45383</v>
      </c>
      <c r="CI41" s="5"/>
      <c r="CJ41" s="5"/>
      <c r="CK41" s="5"/>
      <c r="CL41" s="5"/>
      <c r="CM41" s="5"/>
      <c r="CN41" s="5"/>
      <c r="CO41" s="5"/>
      <c r="CP41" s="5"/>
      <c r="CQ41" s="5"/>
      <c r="CR41" s="8"/>
      <c r="CS41" s="11">
        <v>45383</v>
      </c>
      <c r="CT41" s="5"/>
      <c r="CU41" s="5"/>
      <c r="CV41" s="5"/>
      <c r="CW41" s="5"/>
      <c r="CX41" s="5"/>
      <c r="CY41" s="5"/>
      <c r="CZ41" s="5"/>
      <c r="DA41" s="5"/>
      <c r="DB41" s="5"/>
      <c r="DC41" s="8"/>
      <c r="DD41" s="11">
        <v>45383</v>
      </c>
      <c r="DE41" s="5"/>
      <c r="DF41" s="5"/>
      <c r="DG41" s="5"/>
      <c r="DH41" s="5"/>
      <c r="DI41" s="5"/>
      <c r="DJ41" s="5"/>
      <c r="DK41" s="5"/>
      <c r="DL41" s="5"/>
      <c r="DM41" s="5"/>
      <c r="DN41" s="8"/>
      <c r="DO41" s="11">
        <v>45383</v>
      </c>
      <c r="DP41" s="5"/>
      <c r="DQ41" s="5"/>
      <c r="DR41" s="5"/>
      <c r="DS41" s="5"/>
      <c r="DT41" s="5"/>
      <c r="DU41" s="5"/>
      <c r="DV41" s="5"/>
      <c r="DW41" s="5"/>
      <c r="DX41" s="8"/>
      <c r="DY41" s="11">
        <v>45383</v>
      </c>
      <c r="DZ41" s="5"/>
      <c r="EA41" s="5"/>
      <c r="EB41" s="5"/>
      <c r="EC41" s="5"/>
      <c r="ED41" s="5"/>
      <c r="EE41" s="5"/>
      <c r="EF41" s="5"/>
      <c r="EG41" s="5"/>
      <c r="EI41" s="11">
        <v>45383</v>
      </c>
      <c r="ES41" s="11">
        <v>45383</v>
      </c>
      <c r="ET41" s="5"/>
      <c r="EU41" s="5"/>
      <c r="EV41" s="5"/>
      <c r="EW41" s="5"/>
      <c r="EX41" s="5"/>
      <c r="EY41" s="5"/>
      <c r="EZ41" s="5"/>
      <c r="FA41" s="5"/>
      <c r="FC41" s="11">
        <v>45383</v>
      </c>
      <c r="FD41" s="5"/>
      <c r="FE41" s="5"/>
      <c r="FF41" s="5"/>
      <c r="FG41" s="5"/>
      <c r="FH41" s="5"/>
      <c r="FI41" s="5"/>
      <c r="FJ41" s="5"/>
      <c r="FK41" s="5"/>
    </row>
    <row r="42" spans="2:167">
      <c r="B42" s="11">
        <v>45413</v>
      </c>
      <c r="C42" s="5"/>
      <c r="D42" s="5"/>
      <c r="E42" s="5"/>
      <c r="F42" s="5"/>
      <c r="G42" s="5"/>
      <c r="H42" s="5"/>
      <c r="I42" s="5"/>
      <c r="J42" s="5">
        <f t="shared" si="88"/>
        <v>0</v>
      </c>
      <c r="L42" s="11">
        <v>45413</v>
      </c>
      <c r="M42" s="5"/>
      <c r="N42" s="5"/>
      <c r="O42" s="5"/>
      <c r="P42" s="5"/>
      <c r="Q42" s="5"/>
      <c r="R42" s="5"/>
      <c r="S42" s="5"/>
      <c r="T42" s="5"/>
      <c r="U42" s="5"/>
      <c r="V42" s="11">
        <v>45413</v>
      </c>
      <c r="W42" s="34"/>
      <c r="X42" s="12"/>
      <c r="Y42" s="12"/>
      <c r="Z42" s="12"/>
      <c r="AA42" s="12"/>
      <c r="AB42" s="12"/>
      <c r="AC42" s="12"/>
      <c r="AD42" s="12"/>
      <c r="AF42" s="11">
        <v>45413</v>
      </c>
      <c r="AG42" s="5"/>
      <c r="AH42" s="5"/>
      <c r="AI42" s="5"/>
      <c r="AJ42" s="5"/>
      <c r="AK42" s="5"/>
      <c r="AL42" s="5"/>
      <c r="AM42" s="5"/>
      <c r="AN42" s="5"/>
      <c r="AO42" s="5"/>
      <c r="AP42" s="11">
        <v>45413</v>
      </c>
      <c r="AQ42" s="8"/>
      <c r="AR42" s="8"/>
      <c r="AS42" s="8"/>
      <c r="AT42" s="8"/>
      <c r="AU42" s="8"/>
      <c r="AV42" s="8"/>
      <c r="AW42" s="8"/>
      <c r="AX42" s="8"/>
      <c r="AY42" s="8"/>
      <c r="AZ42" s="11">
        <v>45413</v>
      </c>
      <c r="BA42" s="5">
        <f t="shared" si="89"/>
        <v>0</v>
      </c>
      <c r="BB42" s="8"/>
      <c r="BC42" s="5"/>
      <c r="BD42" s="5"/>
      <c r="BE42" s="5"/>
      <c r="BF42" s="5"/>
      <c r="BG42" s="5"/>
      <c r="BH42" s="5"/>
      <c r="BI42" s="5"/>
      <c r="BJ42" s="5"/>
      <c r="BK42" s="5"/>
      <c r="BL42" s="12"/>
      <c r="BM42" s="5"/>
      <c r="BN42" s="5"/>
      <c r="BO42" s="5"/>
      <c r="BP42" s="5"/>
      <c r="BQ42" s="5"/>
      <c r="BR42" s="5"/>
      <c r="BS42" s="5"/>
      <c r="BT42" s="5"/>
      <c r="BU42" s="5"/>
      <c r="BV42" s="12"/>
      <c r="BW42" s="11">
        <v>45413</v>
      </c>
      <c r="BX42" s="5"/>
      <c r="BY42" s="5"/>
      <c r="BZ42" s="5"/>
      <c r="CA42" s="5"/>
      <c r="CB42" s="5"/>
      <c r="CC42" s="5"/>
      <c r="CD42" s="5"/>
      <c r="CE42" s="5"/>
      <c r="CF42" s="5"/>
      <c r="CG42" s="8"/>
      <c r="CH42" s="11">
        <v>45413</v>
      </c>
      <c r="CI42" s="5"/>
      <c r="CJ42" s="5"/>
      <c r="CK42" s="5"/>
      <c r="CL42" s="5"/>
      <c r="CM42" s="5"/>
      <c r="CN42" s="5"/>
      <c r="CO42" s="5"/>
      <c r="CP42" s="5"/>
      <c r="CQ42" s="5"/>
      <c r="CR42" s="8"/>
      <c r="CS42" s="11">
        <v>45413</v>
      </c>
      <c r="CT42" s="5"/>
      <c r="CU42" s="5"/>
      <c r="CV42" s="5"/>
      <c r="CW42" s="5"/>
      <c r="CX42" s="5"/>
      <c r="CY42" s="5"/>
      <c r="CZ42" s="5"/>
      <c r="DA42" s="5"/>
      <c r="DB42" s="5"/>
      <c r="DC42" s="8"/>
      <c r="DD42" s="11">
        <v>45413</v>
      </c>
      <c r="DE42" s="5"/>
      <c r="DF42" s="5"/>
      <c r="DG42" s="5"/>
      <c r="DH42" s="5"/>
      <c r="DI42" s="5"/>
      <c r="DJ42" s="5"/>
      <c r="DK42" s="5"/>
      <c r="DL42" s="5"/>
      <c r="DM42" s="5"/>
      <c r="DN42" s="8"/>
      <c r="DO42" s="11">
        <v>45413</v>
      </c>
      <c r="DP42" s="5"/>
      <c r="DQ42" s="5"/>
      <c r="DR42" s="5"/>
      <c r="DS42" s="5"/>
      <c r="DT42" s="5"/>
      <c r="DU42" s="5"/>
      <c r="DV42" s="5"/>
      <c r="DW42" s="5"/>
      <c r="DX42" s="8"/>
      <c r="DY42" s="11">
        <v>45413</v>
      </c>
      <c r="DZ42" s="5"/>
      <c r="EA42" s="5"/>
      <c r="EB42" s="5"/>
      <c r="EC42" s="5"/>
      <c r="ED42" s="5"/>
      <c r="EE42" s="5"/>
      <c r="EF42" s="5"/>
      <c r="EG42" s="5"/>
      <c r="EI42" s="11">
        <v>45413</v>
      </c>
      <c r="ES42" s="11">
        <v>45413</v>
      </c>
      <c r="ET42" s="5"/>
      <c r="EU42" s="5"/>
      <c r="EV42" s="5"/>
      <c r="EW42" s="5"/>
      <c r="EX42" s="5"/>
      <c r="EY42" s="5"/>
      <c r="EZ42" s="5"/>
      <c r="FA42" s="5"/>
      <c r="FC42" s="11">
        <v>45413</v>
      </c>
      <c r="FD42" s="5"/>
      <c r="FE42" s="5"/>
      <c r="FF42" s="5"/>
      <c r="FG42" s="5"/>
      <c r="FH42" s="5"/>
      <c r="FI42" s="5"/>
      <c r="FJ42" s="5"/>
      <c r="FK42" s="5"/>
    </row>
    <row r="43" spans="2:167">
      <c r="B43" s="11">
        <v>45444</v>
      </c>
      <c r="C43" s="5"/>
      <c r="D43" s="5"/>
      <c r="E43" s="5"/>
      <c r="F43" s="5"/>
      <c r="G43" s="5"/>
      <c r="H43" s="5"/>
      <c r="I43" s="5"/>
      <c r="J43" s="5">
        <f t="shared" si="88"/>
        <v>0</v>
      </c>
      <c r="L43" s="11">
        <v>45444</v>
      </c>
      <c r="M43" s="5"/>
      <c r="N43" s="5"/>
      <c r="O43" s="5"/>
      <c r="P43" s="5"/>
      <c r="Q43" s="5"/>
      <c r="R43" s="5"/>
      <c r="S43" s="5"/>
      <c r="T43" s="5"/>
      <c r="U43" s="5"/>
      <c r="V43" s="11">
        <v>45444</v>
      </c>
      <c r="W43" s="34"/>
      <c r="X43" s="12"/>
      <c r="Y43" s="12"/>
      <c r="Z43" s="12"/>
      <c r="AA43" s="12"/>
      <c r="AB43" s="12"/>
      <c r="AC43" s="12"/>
      <c r="AD43" s="12"/>
      <c r="AF43" s="11">
        <v>45444</v>
      </c>
      <c r="AG43" s="5"/>
      <c r="AH43" s="5"/>
      <c r="AI43" s="5"/>
      <c r="AJ43" s="5"/>
      <c r="AK43" s="5"/>
      <c r="AL43" s="5"/>
      <c r="AM43" s="5"/>
      <c r="AN43" s="5"/>
      <c r="AO43" s="5"/>
      <c r="AP43" s="11">
        <v>45444</v>
      </c>
      <c r="AQ43" s="8"/>
      <c r="AR43" s="8"/>
      <c r="AS43" s="8"/>
      <c r="AT43" s="8"/>
      <c r="AU43" s="8"/>
      <c r="AV43" s="8"/>
      <c r="AW43" s="8"/>
      <c r="AX43" s="8"/>
      <c r="AY43" s="8"/>
      <c r="AZ43" s="11">
        <v>45444</v>
      </c>
      <c r="BA43" s="5">
        <f t="shared" si="89"/>
        <v>0</v>
      </c>
      <c r="BB43" s="8"/>
      <c r="BC43" s="5"/>
      <c r="BD43" s="5"/>
      <c r="BE43" s="5"/>
      <c r="BF43" s="5"/>
      <c r="BG43" s="5"/>
      <c r="BH43" s="5"/>
      <c r="BI43" s="5"/>
      <c r="BJ43" s="5"/>
      <c r="BK43" s="5"/>
      <c r="BL43" s="12"/>
      <c r="BM43" s="5"/>
      <c r="BN43" s="5"/>
      <c r="BO43" s="5"/>
      <c r="BP43" s="5"/>
      <c r="BQ43" s="5"/>
      <c r="BR43" s="5"/>
      <c r="BS43" s="5"/>
      <c r="BT43" s="5"/>
      <c r="BU43" s="5"/>
      <c r="BV43" s="12"/>
      <c r="BW43" s="11">
        <v>45444</v>
      </c>
      <c r="BX43" s="5"/>
      <c r="BY43" s="5"/>
      <c r="BZ43" s="5"/>
      <c r="CA43" s="5"/>
      <c r="CB43" s="5"/>
      <c r="CC43" s="5"/>
      <c r="CD43" s="5"/>
      <c r="CE43" s="5"/>
      <c r="CF43" s="5"/>
      <c r="CG43" s="8"/>
      <c r="CH43" s="11">
        <v>45444</v>
      </c>
      <c r="CI43" s="5"/>
      <c r="CJ43" s="5"/>
      <c r="CK43" s="5"/>
      <c r="CL43" s="5"/>
      <c r="CM43" s="5"/>
      <c r="CN43" s="5"/>
      <c r="CO43" s="5"/>
      <c r="CP43" s="5"/>
      <c r="CQ43" s="5"/>
      <c r="CR43" s="8"/>
      <c r="CS43" s="11">
        <v>45444</v>
      </c>
      <c r="CT43" s="5"/>
      <c r="CU43" s="5"/>
      <c r="CV43" s="5"/>
      <c r="CW43" s="5"/>
      <c r="CX43" s="5"/>
      <c r="CY43" s="5"/>
      <c r="CZ43" s="5"/>
      <c r="DA43" s="5"/>
      <c r="DB43" s="5"/>
      <c r="DC43" s="8"/>
      <c r="DD43" s="11">
        <v>45444</v>
      </c>
      <c r="DE43" s="5"/>
      <c r="DF43" s="5"/>
      <c r="DG43" s="5"/>
      <c r="DH43" s="5"/>
      <c r="DI43" s="5"/>
      <c r="DJ43" s="5"/>
      <c r="DK43" s="5"/>
      <c r="DL43" s="5"/>
      <c r="DM43" s="5"/>
      <c r="DN43" s="8"/>
      <c r="DO43" s="11">
        <v>45444</v>
      </c>
      <c r="DP43" s="5"/>
      <c r="DQ43" s="5"/>
      <c r="DR43" s="5"/>
      <c r="DS43" s="5"/>
      <c r="DT43" s="5"/>
      <c r="DU43" s="5"/>
      <c r="DV43" s="5"/>
      <c r="DW43" s="5"/>
      <c r="DX43" s="8"/>
      <c r="DY43" s="11">
        <v>45444</v>
      </c>
      <c r="DZ43" s="5"/>
      <c r="EA43" s="5"/>
      <c r="EB43" s="5"/>
      <c r="EC43" s="5"/>
      <c r="ED43" s="5"/>
      <c r="EE43" s="5"/>
      <c r="EF43" s="5"/>
      <c r="EG43" s="5"/>
      <c r="EI43" s="11">
        <v>45444</v>
      </c>
      <c r="ES43" s="11">
        <v>45444</v>
      </c>
      <c r="ET43" s="5"/>
      <c r="EU43" s="5"/>
      <c r="EV43" s="5"/>
      <c r="EW43" s="5"/>
      <c r="EX43" s="5"/>
      <c r="EY43" s="5"/>
      <c r="EZ43" s="5"/>
      <c r="FA43" s="5"/>
      <c r="FC43" s="11">
        <v>45444</v>
      </c>
      <c r="FD43" s="5"/>
      <c r="FE43" s="5"/>
      <c r="FF43" s="5"/>
      <c r="FG43" s="5"/>
      <c r="FH43" s="5"/>
      <c r="FI43" s="5"/>
      <c r="FJ43" s="5"/>
      <c r="FK43" s="5"/>
    </row>
    <row r="44" spans="2:167">
      <c r="B44" s="11">
        <v>45474</v>
      </c>
      <c r="C44" s="5"/>
      <c r="D44" s="5"/>
      <c r="E44" s="5"/>
      <c r="F44" s="5"/>
      <c r="G44" s="5"/>
      <c r="H44" s="5"/>
      <c r="I44" s="5"/>
      <c r="J44" s="5">
        <f t="shared" si="88"/>
        <v>0</v>
      </c>
      <c r="L44" s="11">
        <v>45474</v>
      </c>
      <c r="M44" s="5"/>
      <c r="N44" s="5"/>
      <c r="O44" s="5"/>
      <c r="P44" s="5"/>
      <c r="Q44" s="5"/>
      <c r="R44" s="5"/>
      <c r="S44" s="5"/>
      <c r="T44" s="5"/>
      <c r="U44" s="5"/>
      <c r="V44" s="11">
        <v>45474</v>
      </c>
      <c r="W44" s="12"/>
      <c r="X44" s="12"/>
      <c r="Y44" s="12"/>
      <c r="Z44" s="12"/>
      <c r="AA44" s="12"/>
      <c r="AB44" s="12"/>
      <c r="AC44" s="12"/>
      <c r="AD44" s="12"/>
      <c r="AF44" s="11">
        <v>45474</v>
      </c>
      <c r="AG44" s="5"/>
      <c r="AH44" s="5"/>
      <c r="AI44" s="5"/>
      <c r="AJ44" s="5"/>
      <c r="AK44" s="5"/>
      <c r="AL44" s="5"/>
      <c r="AM44" s="5"/>
      <c r="AN44" s="5"/>
      <c r="AO44" s="5"/>
      <c r="AP44" s="11">
        <v>45474</v>
      </c>
      <c r="AQ44" s="8"/>
      <c r="AR44" s="8"/>
      <c r="AS44" s="8"/>
      <c r="AT44" s="8"/>
      <c r="AU44" s="8"/>
      <c r="AV44" s="8"/>
      <c r="AW44" s="8"/>
      <c r="AX44" s="8"/>
      <c r="AY44" s="8"/>
      <c r="AZ44" s="11">
        <v>45474</v>
      </c>
      <c r="BA44" s="5">
        <f t="shared" si="89"/>
        <v>0</v>
      </c>
      <c r="BB44" s="8"/>
      <c r="BC44" s="5"/>
      <c r="BD44" s="5"/>
      <c r="BE44" s="5"/>
      <c r="BF44" s="5"/>
      <c r="BG44" s="5"/>
      <c r="BH44" s="5"/>
      <c r="BI44" s="5"/>
      <c r="BJ44" s="5"/>
      <c r="BK44" s="5"/>
      <c r="BL44" s="12"/>
      <c r="BM44" s="5"/>
      <c r="BN44" s="5"/>
      <c r="BO44" s="5"/>
      <c r="BP44" s="5"/>
      <c r="BQ44" s="5"/>
      <c r="BR44" s="5"/>
      <c r="BS44" s="5"/>
      <c r="BT44" s="5"/>
      <c r="BU44" s="5"/>
      <c r="BV44" s="12"/>
      <c r="BW44" s="11">
        <v>45474</v>
      </c>
      <c r="BX44" s="5"/>
      <c r="BY44" s="5"/>
      <c r="BZ44" s="5"/>
      <c r="CA44" s="5"/>
      <c r="CB44" s="5"/>
      <c r="CC44" s="5"/>
      <c r="CD44" s="5"/>
      <c r="CE44" s="5"/>
      <c r="CF44" s="5"/>
      <c r="CG44" s="8"/>
      <c r="CH44" s="11">
        <v>45474</v>
      </c>
      <c r="CI44" s="5"/>
      <c r="CJ44" s="5"/>
      <c r="CK44" s="5"/>
      <c r="CL44" s="5"/>
      <c r="CM44" s="5"/>
      <c r="CN44" s="5"/>
      <c r="CO44" s="5"/>
      <c r="CP44" s="5"/>
      <c r="CQ44" s="5"/>
      <c r="CR44" s="8"/>
      <c r="CS44" s="11">
        <v>45474</v>
      </c>
      <c r="CT44" s="5"/>
      <c r="CU44" s="5"/>
      <c r="CV44" s="5"/>
      <c r="CW44" s="5"/>
      <c r="CX44" s="5"/>
      <c r="CY44" s="5"/>
      <c r="CZ44" s="5"/>
      <c r="DA44" s="5"/>
      <c r="DB44" s="5"/>
      <c r="DC44" s="8"/>
      <c r="DD44" s="11">
        <v>45474</v>
      </c>
      <c r="DE44" s="5"/>
      <c r="DF44" s="5"/>
      <c r="DG44" s="5"/>
      <c r="DH44" s="5"/>
      <c r="DI44" s="5"/>
      <c r="DJ44" s="5"/>
      <c r="DK44" s="5"/>
      <c r="DL44" s="5"/>
      <c r="DM44" s="5"/>
      <c r="DN44" s="8"/>
      <c r="DO44" s="11">
        <v>45474</v>
      </c>
      <c r="DP44" s="5"/>
      <c r="DQ44" s="5"/>
      <c r="DR44" s="5"/>
      <c r="DS44" s="5"/>
      <c r="DT44" s="5"/>
      <c r="DU44" s="5"/>
      <c r="DV44" s="5"/>
      <c r="DW44" s="5"/>
      <c r="DX44" s="8"/>
      <c r="DY44" s="11">
        <v>45474</v>
      </c>
      <c r="DZ44" s="5"/>
      <c r="EA44" s="5"/>
      <c r="EB44" s="5"/>
      <c r="EC44" s="5"/>
      <c r="ED44" s="5"/>
      <c r="EE44" s="5"/>
      <c r="EF44" s="5"/>
      <c r="EG44" s="5"/>
      <c r="EI44" s="11">
        <v>45474</v>
      </c>
      <c r="ES44" s="11">
        <v>45474</v>
      </c>
      <c r="ET44" s="5"/>
      <c r="EU44" s="5"/>
      <c r="EV44" s="5"/>
      <c r="EW44" s="5"/>
      <c r="EX44" s="5"/>
      <c r="EY44" s="5"/>
      <c r="EZ44" s="5"/>
      <c r="FA44" s="5"/>
      <c r="FC44" s="11">
        <v>45474</v>
      </c>
      <c r="FD44" s="5"/>
      <c r="FE44" s="5"/>
      <c r="FF44" s="5"/>
      <c r="FG44" s="5"/>
      <c r="FH44" s="5"/>
      <c r="FI44" s="5"/>
      <c r="FJ44" s="5"/>
      <c r="FK44" s="5"/>
    </row>
    <row r="45" spans="2:167">
      <c r="B45" s="11">
        <v>45505</v>
      </c>
      <c r="C45" s="5"/>
      <c r="D45" s="5"/>
      <c r="E45" s="5"/>
      <c r="F45" s="5"/>
      <c r="G45" s="5"/>
      <c r="H45" s="5"/>
      <c r="I45" s="5"/>
      <c r="J45" s="5">
        <f t="shared" si="88"/>
        <v>0</v>
      </c>
      <c r="L45" s="11">
        <v>45505</v>
      </c>
      <c r="M45" s="5"/>
      <c r="N45" s="5"/>
      <c r="O45" s="5"/>
      <c r="P45" s="5"/>
      <c r="Q45" s="5"/>
      <c r="R45" s="5"/>
      <c r="S45" s="5"/>
      <c r="T45" s="5"/>
      <c r="U45" s="5"/>
      <c r="V45" s="11">
        <v>45505</v>
      </c>
      <c r="W45" s="12"/>
      <c r="X45" s="12"/>
      <c r="Y45" s="12"/>
      <c r="Z45" s="12"/>
      <c r="AA45" s="12"/>
      <c r="AB45" s="12"/>
      <c r="AC45" s="12"/>
      <c r="AD45" s="12"/>
      <c r="AF45" s="11">
        <v>45505</v>
      </c>
      <c r="AG45" s="5"/>
      <c r="AH45" s="5"/>
      <c r="AI45" s="5"/>
      <c r="AJ45" s="5"/>
      <c r="AK45" s="5"/>
      <c r="AL45" s="5"/>
      <c r="AM45" s="5"/>
      <c r="AN45" s="5"/>
      <c r="AO45" s="5"/>
      <c r="AP45" s="11">
        <v>45505</v>
      </c>
      <c r="AQ45" s="8"/>
      <c r="AR45" s="8"/>
      <c r="AS45" s="8"/>
      <c r="AT45" s="8"/>
      <c r="AU45" s="8"/>
      <c r="AV45" s="8"/>
      <c r="AW45" s="8"/>
      <c r="AX45" s="8"/>
      <c r="AY45" s="8"/>
      <c r="AZ45" s="11">
        <v>45505</v>
      </c>
      <c r="BA45" s="5">
        <f t="shared" si="89"/>
        <v>0</v>
      </c>
      <c r="BB45" s="8"/>
      <c r="BC45" s="5"/>
      <c r="BD45" s="5"/>
      <c r="BE45" s="5"/>
      <c r="BF45" s="5"/>
      <c r="BG45" s="5"/>
      <c r="BH45" s="5"/>
      <c r="BI45" s="5"/>
      <c r="BJ45" s="5"/>
      <c r="BK45" s="5"/>
      <c r="BL45" s="12"/>
      <c r="BM45" s="5"/>
      <c r="BN45" s="5"/>
      <c r="BO45" s="5"/>
      <c r="BP45" s="5"/>
      <c r="BQ45" s="5"/>
      <c r="BR45" s="5"/>
      <c r="BS45" s="5"/>
      <c r="BT45" s="5"/>
      <c r="BU45" s="5"/>
      <c r="BV45" s="12"/>
      <c r="BW45" s="11">
        <v>45505</v>
      </c>
      <c r="BX45" s="5"/>
      <c r="BY45" s="5"/>
      <c r="BZ45" s="5"/>
      <c r="CA45" s="5"/>
      <c r="CB45" s="5"/>
      <c r="CC45" s="5"/>
      <c r="CD45" s="5"/>
      <c r="CE45" s="5"/>
      <c r="CF45" s="5"/>
      <c r="CG45" s="8"/>
      <c r="CH45" s="11">
        <v>45505</v>
      </c>
      <c r="CI45" s="5"/>
      <c r="CJ45" s="5"/>
      <c r="CK45" s="5"/>
      <c r="CL45" s="5"/>
      <c r="CM45" s="5"/>
      <c r="CN45" s="5"/>
      <c r="CO45" s="5"/>
      <c r="CP45" s="5"/>
      <c r="CQ45" s="5"/>
      <c r="CR45" s="8"/>
      <c r="CS45" s="11">
        <v>45505</v>
      </c>
      <c r="CT45" s="5"/>
      <c r="CU45" s="5"/>
      <c r="CV45" s="5"/>
      <c r="CW45" s="5"/>
      <c r="CX45" s="5"/>
      <c r="CY45" s="5"/>
      <c r="CZ45" s="5"/>
      <c r="DA45" s="5"/>
      <c r="DB45" s="5"/>
      <c r="DC45" s="8"/>
      <c r="DD45" s="11">
        <v>45505</v>
      </c>
      <c r="DE45" s="5"/>
      <c r="DF45" s="5"/>
      <c r="DG45" s="5"/>
      <c r="DH45" s="5"/>
      <c r="DI45" s="5"/>
      <c r="DJ45" s="5"/>
      <c r="DK45" s="5"/>
      <c r="DL45" s="5"/>
      <c r="DM45" s="5"/>
      <c r="DN45" s="8"/>
      <c r="DO45" s="11">
        <v>45505</v>
      </c>
      <c r="DP45" s="5"/>
      <c r="DQ45" s="5"/>
      <c r="DR45" s="5"/>
      <c r="DS45" s="5"/>
      <c r="DT45" s="5"/>
      <c r="DU45" s="5"/>
      <c r="DV45" s="5"/>
      <c r="DW45" s="5"/>
      <c r="DX45" s="8"/>
      <c r="DY45" s="11">
        <v>45505</v>
      </c>
      <c r="DZ45" s="5"/>
      <c r="EA45" s="5"/>
      <c r="EB45" s="5"/>
      <c r="EC45" s="5"/>
      <c r="ED45" s="5"/>
      <c r="EE45" s="5"/>
      <c r="EF45" s="5"/>
      <c r="EG45" s="5"/>
      <c r="EI45" s="11">
        <v>45505</v>
      </c>
      <c r="ES45" s="11">
        <v>45505</v>
      </c>
      <c r="ET45" s="5"/>
      <c r="EU45" s="5"/>
      <c r="EV45" s="5"/>
      <c r="EW45" s="5"/>
      <c r="EX45" s="5"/>
      <c r="EY45" s="5"/>
      <c r="EZ45" s="5"/>
      <c r="FA45" s="5"/>
      <c r="FC45" s="11">
        <v>45505</v>
      </c>
      <c r="FD45" s="5"/>
      <c r="FE45" s="5"/>
      <c r="FF45" s="5"/>
      <c r="FG45" s="5"/>
      <c r="FH45" s="5"/>
      <c r="FI45" s="5"/>
      <c r="FJ45" s="5"/>
      <c r="FK45" s="5"/>
    </row>
    <row r="46" spans="2:167">
      <c r="B46" s="11">
        <v>45536</v>
      </c>
      <c r="C46" s="5"/>
      <c r="D46" s="5"/>
      <c r="E46" s="5"/>
      <c r="F46" s="5"/>
      <c r="G46" s="5"/>
      <c r="H46" s="5"/>
      <c r="I46" s="5"/>
      <c r="J46" s="5">
        <f t="shared" si="88"/>
        <v>0</v>
      </c>
      <c r="L46" s="11">
        <v>45536</v>
      </c>
      <c r="M46" s="5"/>
      <c r="N46" s="5"/>
      <c r="O46" s="5"/>
      <c r="P46" s="5"/>
      <c r="Q46" s="5"/>
      <c r="R46" s="5"/>
      <c r="S46" s="5"/>
      <c r="T46" s="5"/>
      <c r="U46" s="5"/>
      <c r="V46" s="11">
        <v>45536</v>
      </c>
      <c r="W46" s="12"/>
      <c r="X46" s="12"/>
      <c r="Y46" s="12"/>
      <c r="Z46" s="12"/>
      <c r="AA46" s="12"/>
      <c r="AB46" s="12"/>
      <c r="AC46" s="12"/>
      <c r="AD46" s="12"/>
      <c r="AF46" s="11">
        <v>45536</v>
      </c>
      <c r="AG46" s="5"/>
      <c r="AH46" s="5"/>
      <c r="AI46" s="5"/>
      <c r="AJ46" s="5"/>
      <c r="AK46" s="5"/>
      <c r="AL46" s="5"/>
      <c r="AM46" s="5"/>
      <c r="AN46" s="5"/>
      <c r="AO46" s="5"/>
      <c r="AP46" s="11">
        <v>45536</v>
      </c>
      <c r="AQ46" s="8"/>
      <c r="AR46" s="8"/>
      <c r="AS46" s="8"/>
      <c r="AT46" s="8"/>
      <c r="AU46" s="8"/>
      <c r="AV46" s="8"/>
      <c r="AW46" s="8"/>
      <c r="AX46" s="8"/>
      <c r="AY46" s="8"/>
      <c r="AZ46" s="11">
        <v>45536</v>
      </c>
      <c r="BA46" s="5">
        <f t="shared" si="89"/>
        <v>0</v>
      </c>
      <c r="BB46" s="8"/>
      <c r="BC46" s="5"/>
      <c r="BD46" s="5"/>
      <c r="BE46" s="5"/>
      <c r="BF46" s="5"/>
      <c r="BG46" s="5"/>
      <c r="BH46" s="5"/>
      <c r="BI46" s="5"/>
      <c r="BJ46" s="5"/>
      <c r="BK46" s="5"/>
      <c r="BL46" s="12"/>
      <c r="BM46" s="5"/>
      <c r="BN46" s="5"/>
      <c r="BO46" s="5"/>
      <c r="BP46" s="5"/>
      <c r="BQ46" s="5"/>
      <c r="BR46" s="5"/>
      <c r="BS46" s="5"/>
      <c r="BT46" s="5"/>
      <c r="BU46" s="5"/>
      <c r="BV46" s="12"/>
      <c r="BW46" s="11">
        <v>45536</v>
      </c>
      <c r="BX46" s="5"/>
      <c r="BY46" s="5"/>
      <c r="BZ46" s="5"/>
      <c r="CA46" s="5"/>
      <c r="CB46" s="5"/>
      <c r="CC46" s="5"/>
      <c r="CD46" s="5"/>
      <c r="CE46" s="5"/>
      <c r="CF46" s="5"/>
      <c r="CG46" s="8"/>
      <c r="CH46" s="11">
        <v>45536</v>
      </c>
      <c r="CI46" s="5"/>
      <c r="CJ46" s="5"/>
      <c r="CK46" s="5"/>
      <c r="CL46" s="5"/>
      <c r="CM46" s="5"/>
      <c r="CN46" s="5"/>
      <c r="CO46" s="5"/>
      <c r="CP46" s="5"/>
      <c r="CQ46" s="5"/>
      <c r="CR46" s="8"/>
      <c r="CS46" s="11">
        <v>45536</v>
      </c>
      <c r="CT46" s="5"/>
      <c r="CU46" s="5"/>
      <c r="CV46" s="5"/>
      <c r="CW46" s="5"/>
      <c r="CX46" s="5"/>
      <c r="CY46" s="5"/>
      <c r="CZ46" s="5"/>
      <c r="DA46" s="5"/>
      <c r="DB46" s="5"/>
      <c r="DC46" s="8"/>
      <c r="DD46" s="11">
        <v>45536</v>
      </c>
      <c r="DE46" s="5"/>
      <c r="DF46" s="5"/>
      <c r="DG46" s="5"/>
      <c r="DH46" s="5"/>
      <c r="DI46" s="5"/>
      <c r="DJ46" s="5"/>
      <c r="DK46" s="5"/>
      <c r="DL46" s="5"/>
      <c r="DM46" s="5"/>
      <c r="DN46" s="8"/>
      <c r="DO46" s="11">
        <v>45536</v>
      </c>
      <c r="DP46" s="5"/>
      <c r="DQ46" s="5"/>
      <c r="DR46" s="5"/>
      <c r="DS46" s="5"/>
      <c r="DT46" s="5"/>
      <c r="DU46" s="5"/>
      <c r="DV46" s="5"/>
      <c r="DW46" s="5"/>
      <c r="DX46" s="8"/>
      <c r="DY46" s="11">
        <v>45536</v>
      </c>
      <c r="DZ46" s="5"/>
      <c r="EA46" s="5"/>
      <c r="EB46" s="5"/>
      <c r="EC46" s="5"/>
      <c r="ED46" s="5"/>
      <c r="EE46" s="5"/>
      <c r="EF46" s="5"/>
      <c r="EG46" s="5"/>
      <c r="EI46" s="11">
        <v>45536</v>
      </c>
      <c r="ES46" s="11">
        <v>45536</v>
      </c>
      <c r="ET46" s="5"/>
      <c r="EU46" s="5"/>
      <c r="EV46" s="5"/>
      <c r="EW46" s="5"/>
      <c r="EX46" s="5"/>
      <c r="EY46" s="5"/>
      <c r="EZ46" s="5"/>
      <c r="FA46" s="5"/>
      <c r="FC46" s="11">
        <v>45536</v>
      </c>
      <c r="FD46" s="5"/>
      <c r="FE46" s="5"/>
      <c r="FF46" s="5"/>
      <c r="FG46" s="5"/>
      <c r="FH46" s="5"/>
      <c r="FI46" s="5"/>
      <c r="FJ46" s="5"/>
      <c r="FK46" s="5"/>
    </row>
    <row r="47" spans="2:167">
      <c r="B47" s="11">
        <v>45566</v>
      </c>
      <c r="C47" s="5"/>
      <c r="D47" s="5"/>
      <c r="E47" s="5"/>
      <c r="F47" s="5"/>
      <c r="G47" s="5"/>
      <c r="H47" s="5"/>
      <c r="I47" s="5"/>
      <c r="J47" s="5">
        <f t="shared" si="88"/>
        <v>0</v>
      </c>
      <c r="L47" s="11">
        <v>45566</v>
      </c>
      <c r="M47" s="5"/>
      <c r="N47" s="5"/>
      <c r="O47" s="5"/>
      <c r="P47" s="5"/>
      <c r="Q47" s="5"/>
      <c r="R47" s="5"/>
      <c r="S47" s="5"/>
      <c r="T47" s="5"/>
      <c r="U47" s="5"/>
      <c r="V47" s="11">
        <v>45566</v>
      </c>
      <c r="W47" s="12"/>
      <c r="X47" s="12"/>
      <c r="Y47" s="12"/>
      <c r="Z47" s="12"/>
      <c r="AA47" s="12"/>
      <c r="AB47" s="12"/>
      <c r="AC47" s="12"/>
      <c r="AD47" s="12"/>
      <c r="AF47" s="11">
        <v>45566</v>
      </c>
      <c r="AG47" s="5"/>
      <c r="AH47" s="5"/>
      <c r="AI47" s="5"/>
      <c r="AJ47" s="5"/>
      <c r="AK47" s="5"/>
      <c r="AL47" s="5"/>
      <c r="AM47" s="5"/>
      <c r="AN47" s="5"/>
      <c r="AO47" s="5"/>
      <c r="AP47" s="11">
        <v>45566</v>
      </c>
      <c r="AQ47" s="8"/>
      <c r="AR47" s="8"/>
      <c r="AS47" s="8"/>
      <c r="AT47" s="8"/>
      <c r="AU47" s="8"/>
      <c r="AV47" s="8"/>
      <c r="AW47" s="8"/>
      <c r="AX47" s="8"/>
      <c r="AY47" s="8"/>
      <c r="AZ47" s="11">
        <v>45566</v>
      </c>
      <c r="BA47" s="5">
        <f t="shared" si="89"/>
        <v>0</v>
      </c>
      <c r="BB47" s="8"/>
      <c r="BC47" s="5"/>
      <c r="BD47" s="5"/>
      <c r="BE47" s="5"/>
      <c r="BF47" s="5"/>
      <c r="BG47" s="5"/>
      <c r="BH47" s="5"/>
      <c r="BI47" s="5"/>
      <c r="BJ47" s="5"/>
      <c r="BK47" s="5"/>
      <c r="BL47" s="12"/>
      <c r="BM47" s="5"/>
      <c r="BN47" s="5"/>
      <c r="BO47" s="5"/>
      <c r="BP47" s="5"/>
      <c r="BQ47" s="5"/>
      <c r="BR47" s="5"/>
      <c r="BS47" s="5"/>
      <c r="BT47" s="5"/>
      <c r="BU47" s="5"/>
      <c r="BV47" s="12"/>
      <c r="BW47" s="11">
        <v>45566</v>
      </c>
      <c r="BX47" s="5"/>
      <c r="BY47" s="5"/>
      <c r="BZ47" s="5"/>
      <c r="CA47" s="5"/>
      <c r="CB47" s="5"/>
      <c r="CC47" s="5"/>
      <c r="CD47" s="5"/>
      <c r="CE47" s="5"/>
      <c r="CF47" s="5"/>
      <c r="CG47" s="8"/>
      <c r="CH47" s="11">
        <v>45566</v>
      </c>
      <c r="CI47" s="5"/>
      <c r="CJ47" s="5"/>
      <c r="CK47" s="5"/>
      <c r="CL47" s="5"/>
      <c r="CM47" s="5"/>
      <c r="CN47" s="5"/>
      <c r="CO47" s="5"/>
      <c r="CP47" s="5"/>
      <c r="CQ47" s="5"/>
      <c r="CR47" s="8"/>
      <c r="CS47" s="11">
        <v>45566</v>
      </c>
      <c r="CT47" s="5"/>
      <c r="CU47" s="5"/>
      <c r="CV47" s="5"/>
      <c r="CW47" s="5"/>
      <c r="CX47" s="5"/>
      <c r="CY47" s="5"/>
      <c r="CZ47" s="5"/>
      <c r="DA47" s="5"/>
      <c r="DB47" s="5"/>
      <c r="DC47" s="8"/>
      <c r="DD47" s="11">
        <v>45566</v>
      </c>
      <c r="DE47" s="5"/>
      <c r="DF47" s="5"/>
      <c r="DG47" s="5"/>
      <c r="DH47" s="5"/>
      <c r="DI47" s="5"/>
      <c r="DJ47" s="5"/>
      <c r="DK47" s="5"/>
      <c r="DL47" s="5"/>
      <c r="DM47" s="5"/>
      <c r="DN47" s="8"/>
      <c r="DO47" s="11">
        <v>45566</v>
      </c>
      <c r="DP47" s="5"/>
      <c r="DQ47" s="5"/>
      <c r="DR47" s="5"/>
      <c r="DS47" s="5"/>
      <c r="DT47" s="5"/>
      <c r="DU47" s="5"/>
      <c r="DV47" s="5"/>
      <c r="DW47" s="5"/>
      <c r="DX47" s="8"/>
      <c r="DY47" s="11">
        <v>45566</v>
      </c>
      <c r="DZ47" s="5"/>
      <c r="EA47" s="5"/>
      <c r="EB47" s="5"/>
      <c r="EC47" s="5"/>
      <c r="ED47" s="5"/>
      <c r="EE47" s="5"/>
      <c r="EF47" s="5"/>
      <c r="EG47" s="5"/>
      <c r="EI47" s="11">
        <v>45566</v>
      </c>
      <c r="ES47" s="11">
        <v>45566</v>
      </c>
      <c r="ET47" s="5"/>
      <c r="EU47" s="5"/>
      <c r="EV47" s="5"/>
      <c r="EW47" s="5"/>
      <c r="EX47" s="5"/>
      <c r="EY47" s="5"/>
      <c r="EZ47" s="5"/>
      <c r="FA47" s="5"/>
      <c r="FC47" s="11">
        <v>45566</v>
      </c>
      <c r="FD47" s="5"/>
      <c r="FE47" s="5"/>
      <c r="FF47" s="5"/>
      <c r="FG47" s="5"/>
      <c r="FH47" s="5"/>
      <c r="FI47" s="5"/>
      <c r="FJ47" s="5"/>
      <c r="FK47" s="5"/>
    </row>
    <row r="48" spans="2:167">
      <c r="B48" s="11">
        <v>45597</v>
      </c>
      <c r="C48" s="5"/>
      <c r="D48" s="5"/>
      <c r="E48" s="5"/>
      <c r="F48" s="5"/>
      <c r="G48" s="5"/>
      <c r="H48" s="5"/>
      <c r="I48" s="5"/>
      <c r="J48" s="5">
        <f t="shared" si="88"/>
        <v>0</v>
      </c>
      <c r="L48" s="11">
        <v>45597</v>
      </c>
      <c r="M48" s="5"/>
      <c r="N48" s="5"/>
      <c r="O48" s="5"/>
      <c r="P48" s="5"/>
      <c r="Q48" s="5"/>
      <c r="R48" s="5"/>
      <c r="S48" s="5"/>
      <c r="T48" s="5"/>
      <c r="U48" s="5"/>
      <c r="V48" s="11">
        <v>45597</v>
      </c>
      <c r="W48" s="12"/>
      <c r="X48" s="12"/>
      <c r="Y48" s="12"/>
      <c r="Z48" s="12"/>
      <c r="AA48" s="12"/>
      <c r="AB48" s="12"/>
      <c r="AC48" s="12"/>
      <c r="AD48" s="12"/>
      <c r="AF48" s="11">
        <v>45597</v>
      </c>
      <c r="AG48" s="5"/>
      <c r="AH48" s="5"/>
      <c r="AI48" s="5"/>
      <c r="AJ48" s="5"/>
      <c r="AK48" s="5"/>
      <c r="AL48" s="5"/>
      <c r="AM48" s="5"/>
      <c r="AN48" s="5"/>
      <c r="AO48" s="5"/>
      <c r="AP48" s="11">
        <v>45597</v>
      </c>
      <c r="AQ48" s="8"/>
      <c r="AR48" s="8"/>
      <c r="AS48" s="8"/>
      <c r="AT48" s="8"/>
      <c r="AU48" s="8"/>
      <c r="AV48" s="8"/>
      <c r="AW48" s="8"/>
      <c r="AX48" s="8"/>
      <c r="AY48" s="8"/>
      <c r="AZ48" s="11">
        <v>45597</v>
      </c>
      <c r="BA48" s="5">
        <f t="shared" si="89"/>
        <v>0</v>
      </c>
      <c r="BB48" s="8"/>
      <c r="BC48" s="5"/>
      <c r="BD48" s="5"/>
      <c r="BE48" s="5"/>
      <c r="BF48" s="5"/>
      <c r="BG48" s="5"/>
      <c r="BH48" s="5"/>
      <c r="BI48" s="5"/>
      <c r="BJ48" s="5"/>
      <c r="BK48" s="5"/>
      <c r="BL48" s="12"/>
      <c r="BM48" s="5"/>
      <c r="BN48" s="5"/>
      <c r="BO48" s="5"/>
      <c r="BP48" s="5"/>
      <c r="BQ48" s="5"/>
      <c r="BR48" s="5"/>
      <c r="BS48" s="5"/>
      <c r="BT48" s="5"/>
      <c r="BU48" s="5"/>
      <c r="BV48" s="12"/>
      <c r="BW48" s="11">
        <v>45597</v>
      </c>
      <c r="BX48" s="5"/>
      <c r="BY48" s="5"/>
      <c r="BZ48" s="5"/>
      <c r="CA48" s="5"/>
      <c r="CB48" s="5"/>
      <c r="CC48" s="5"/>
      <c r="CD48" s="5"/>
      <c r="CE48" s="5"/>
      <c r="CF48" s="5"/>
      <c r="CG48" s="8"/>
      <c r="CH48" s="11">
        <v>45597</v>
      </c>
      <c r="CI48" s="5"/>
      <c r="CJ48" s="5"/>
      <c r="CK48" s="5"/>
      <c r="CL48" s="5"/>
      <c r="CM48" s="5"/>
      <c r="CN48" s="5"/>
      <c r="CO48" s="5"/>
      <c r="CP48" s="5"/>
      <c r="CQ48" s="5"/>
      <c r="CR48" s="8"/>
      <c r="CS48" s="11">
        <v>45597</v>
      </c>
      <c r="CT48" s="5"/>
      <c r="CU48" s="5"/>
      <c r="CV48" s="5"/>
      <c r="CW48" s="5"/>
      <c r="CX48" s="5"/>
      <c r="CY48" s="5"/>
      <c r="CZ48" s="5"/>
      <c r="DA48" s="5"/>
      <c r="DB48" s="5"/>
      <c r="DC48" s="8"/>
      <c r="DD48" s="11">
        <v>45597</v>
      </c>
      <c r="DE48" s="5"/>
      <c r="DF48" s="5"/>
      <c r="DG48" s="5"/>
      <c r="DH48" s="5"/>
      <c r="DI48" s="5"/>
      <c r="DJ48" s="5"/>
      <c r="DK48" s="5"/>
      <c r="DL48" s="5"/>
      <c r="DM48" s="5"/>
      <c r="DN48" s="8"/>
      <c r="DO48" s="11">
        <v>45597</v>
      </c>
      <c r="DP48" s="5"/>
      <c r="DQ48" s="5"/>
      <c r="DR48" s="5"/>
      <c r="DS48" s="5"/>
      <c r="DT48" s="5"/>
      <c r="DU48" s="5"/>
      <c r="DV48" s="5"/>
      <c r="DW48" s="5"/>
      <c r="DX48" s="8"/>
      <c r="DY48" s="11">
        <v>45597</v>
      </c>
      <c r="DZ48" s="5"/>
      <c r="EA48" s="5"/>
      <c r="EB48" s="5"/>
      <c r="EC48" s="5"/>
      <c r="ED48" s="5"/>
      <c r="EE48" s="5"/>
      <c r="EF48" s="5"/>
      <c r="EG48" s="5"/>
      <c r="EI48" s="11">
        <v>45597</v>
      </c>
      <c r="ES48" s="11">
        <v>45597</v>
      </c>
      <c r="ET48" s="5"/>
      <c r="EU48" s="5"/>
      <c r="EV48" s="5"/>
      <c r="EW48" s="5"/>
      <c r="EX48" s="5"/>
      <c r="EY48" s="5"/>
      <c r="EZ48" s="5"/>
      <c r="FA48" s="5"/>
      <c r="FC48" s="11">
        <v>45597</v>
      </c>
      <c r="FD48" s="5"/>
      <c r="FE48" s="5"/>
      <c r="FF48" s="5"/>
      <c r="FG48" s="5"/>
      <c r="FH48" s="5"/>
      <c r="FI48" s="5"/>
      <c r="FJ48" s="5"/>
      <c r="FK48" s="5"/>
    </row>
    <row r="49" spans="2:167">
      <c r="B49" s="11">
        <v>45627</v>
      </c>
      <c r="C49" s="5"/>
      <c r="D49" s="5"/>
      <c r="E49" s="5"/>
      <c r="F49" s="5"/>
      <c r="G49" s="5"/>
      <c r="H49" s="5"/>
      <c r="I49" s="5"/>
      <c r="J49" s="5">
        <f t="shared" si="88"/>
        <v>0</v>
      </c>
      <c r="L49" s="11">
        <v>45627</v>
      </c>
      <c r="M49" s="5"/>
      <c r="N49" s="5"/>
      <c r="O49" s="5"/>
      <c r="P49" s="5"/>
      <c r="Q49" s="5"/>
      <c r="R49" s="5"/>
      <c r="S49" s="5"/>
      <c r="T49" s="5"/>
      <c r="U49" s="5"/>
      <c r="V49" s="11">
        <v>45627</v>
      </c>
      <c r="W49" s="12"/>
      <c r="X49" s="12"/>
      <c r="Y49" s="12"/>
      <c r="Z49" s="12"/>
      <c r="AA49" s="12"/>
      <c r="AB49" s="12"/>
      <c r="AC49" s="12"/>
      <c r="AD49" s="12"/>
      <c r="AF49" s="11">
        <v>45627</v>
      </c>
      <c r="AG49" s="5"/>
      <c r="AH49" s="5"/>
      <c r="AI49" s="5"/>
      <c r="AJ49" s="5"/>
      <c r="AK49" s="5"/>
      <c r="AL49" s="5"/>
      <c r="AM49" s="5"/>
      <c r="AN49" s="5"/>
      <c r="AO49" s="5"/>
      <c r="AP49" s="11">
        <v>45627</v>
      </c>
      <c r="AQ49" s="8"/>
      <c r="AR49" s="8"/>
      <c r="AS49" s="8"/>
      <c r="AT49" s="8"/>
      <c r="AU49" s="8"/>
      <c r="AV49" s="8"/>
      <c r="AW49" s="8"/>
      <c r="AX49" s="8"/>
      <c r="AY49" s="8"/>
      <c r="AZ49" s="11">
        <v>45627</v>
      </c>
      <c r="BA49" s="5">
        <f t="shared" si="89"/>
        <v>0</v>
      </c>
      <c r="BB49" s="8"/>
      <c r="BC49" s="5"/>
      <c r="BD49" s="5"/>
      <c r="BE49" s="5"/>
      <c r="BF49" s="5"/>
      <c r="BG49" s="5"/>
      <c r="BH49" s="5"/>
      <c r="BI49" s="5"/>
      <c r="BJ49" s="5"/>
      <c r="BK49" s="5"/>
      <c r="BL49" s="8"/>
      <c r="BM49" s="5"/>
      <c r="BN49" s="5"/>
      <c r="BO49" s="5"/>
      <c r="BP49" s="5"/>
      <c r="BQ49" s="5"/>
      <c r="BR49" s="5"/>
      <c r="BS49" s="5"/>
      <c r="BT49" s="5"/>
      <c r="BU49" s="5"/>
      <c r="BV49" s="12"/>
      <c r="BW49" s="11">
        <v>45627</v>
      </c>
      <c r="BX49" s="5"/>
      <c r="BY49" s="5"/>
      <c r="BZ49" s="5"/>
      <c r="CA49" s="5"/>
      <c r="CB49" s="5"/>
      <c r="CC49" s="5"/>
      <c r="CD49" s="5"/>
      <c r="CE49" s="5"/>
      <c r="CF49" s="5"/>
      <c r="CG49" s="8"/>
      <c r="CH49" s="11">
        <v>45627</v>
      </c>
      <c r="CI49" s="5"/>
      <c r="CJ49" s="5"/>
      <c r="CK49" s="5"/>
      <c r="CL49" s="5"/>
      <c r="CM49" s="5"/>
      <c r="CN49" s="5"/>
      <c r="CO49" s="5"/>
      <c r="CP49" s="5"/>
      <c r="CQ49" s="5"/>
      <c r="CR49" s="8"/>
      <c r="CS49" s="11">
        <v>45627</v>
      </c>
      <c r="CT49" s="5"/>
      <c r="CU49" s="5"/>
      <c r="CV49" s="5"/>
      <c r="CW49" s="5"/>
      <c r="CX49" s="5"/>
      <c r="CY49" s="5"/>
      <c r="CZ49" s="5"/>
      <c r="DA49" s="5"/>
      <c r="DB49" s="5"/>
      <c r="DC49" s="8"/>
      <c r="DD49" s="11">
        <v>45627</v>
      </c>
      <c r="DE49" s="5"/>
      <c r="DF49" s="5"/>
      <c r="DG49" s="5"/>
      <c r="DH49" s="5"/>
      <c r="DI49" s="5"/>
      <c r="DJ49" s="5"/>
      <c r="DK49" s="5"/>
      <c r="DL49" s="5"/>
      <c r="DM49" s="5"/>
      <c r="DN49" s="8"/>
      <c r="DO49" s="11">
        <v>45627</v>
      </c>
      <c r="DP49" s="5"/>
      <c r="DQ49" s="5"/>
      <c r="DR49" s="5"/>
      <c r="DS49" s="5"/>
      <c r="DT49" s="5"/>
      <c r="DU49" s="5"/>
      <c r="DV49" s="5"/>
      <c r="DW49" s="5"/>
      <c r="DX49" s="8"/>
      <c r="DY49" s="11">
        <v>45627</v>
      </c>
      <c r="DZ49" s="8"/>
      <c r="EA49" s="8"/>
      <c r="EB49" s="8"/>
      <c r="EC49" s="8"/>
      <c r="ED49" s="8"/>
      <c r="EE49" s="8"/>
      <c r="EF49" s="8"/>
      <c r="EG49" s="8"/>
      <c r="EI49" s="11">
        <v>45627</v>
      </c>
      <c r="EJ49" s="5"/>
      <c r="EK49" s="5"/>
      <c r="EL49" s="5"/>
      <c r="EM49" s="5"/>
      <c r="EN49" s="5"/>
      <c r="EO49" s="5"/>
      <c r="EP49" s="5"/>
      <c r="EQ49" s="5"/>
      <c r="ER49" s="5"/>
      <c r="ES49" s="11">
        <v>45627</v>
      </c>
      <c r="ET49" s="5"/>
      <c r="EU49" s="5"/>
      <c r="EV49" s="5"/>
      <c r="EW49" s="5"/>
      <c r="EX49" s="5"/>
      <c r="EY49" s="5"/>
      <c r="EZ49" s="5"/>
      <c r="FA49" s="5"/>
      <c r="FC49" s="11">
        <v>45627</v>
      </c>
      <c r="FD49" s="5"/>
      <c r="FE49" s="5"/>
      <c r="FF49" s="5"/>
      <c r="FG49" s="5"/>
      <c r="FH49" s="5"/>
      <c r="FI49" s="5"/>
      <c r="FJ49" s="5"/>
      <c r="FK49" s="5"/>
    </row>
    <row r="50" spans="2:167" ht="14" customHeight="1">
      <c r="B50" s="11">
        <v>45658</v>
      </c>
      <c r="C50" s="8">
        <v>257</v>
      </c>
      <c r="D50" s="8">
        <v>367</v>
      </c>
      <c r="E50" s="8">
        <v>1227</v>
      </c>
      <c r="F50" s="8">
        <v>524</v>
      </c>
      <c r="G50" s="8">
        <v>691</v>
      </c>
      <c r="H50" s="8">
        <v>520</v>
      </c>
      <c r="I50" s="8">
        <v>856</v>
      </c>
      <c r="J50" s="8">
        <v>4547</v>
      </c>
      <c r="L50" s="11">
        <v>45658</v>
      </c>
      <c r="M50" s="8">
        <v>257</v>
      </c>
      <c r="N50" s="8">
        <v>367</v>
      </c>
      <c r="O50" s="8">
        <v>1227</v>
      </c>
      <c r="P50" s="8">
        <v>524</v>
      </c>
      <c r="Q50" s="8">
        <v>691</v>
      </c>
      <c r="R50" s="8">
        <v>520</v>
      </c>
      <c r="S50" s="8">
        <v>856</v>
      </c>
      <c r="T50" s="8">
        <v>4547</v>
      </c>
      <c r="U50" s="8"/>
      <c r="V50" s="11">
        <v>45658</v>
      </c>
      <c r="W50" s="207">
        <v>125208</v>
      </c>
      <c r="X50" s="207">
        <v>214787</v>
      </c>
      <c r="Y50" s="208">
        <v>381823</v>
      </c>
      <c r="Z50" s="208">
        <v>350591</v>
      </c>
      <c r="AA50" s="208">
        <v>299511</v>
      </c>
      <c r="AB50" s="208">
        <v>304164</v>
      </c>
      <c r="AC50" s="208">
        <v>440973</v>
      </c>
      <c r="AD50" s="208">
        <v>2221670</v>
      </c>
      <c r="AF50" s="11">
        <v>45658</v>
      </c>
      <c r="AG50" s="5">
        <v>99328</v>
      </c>
      <c r="AH50" s="5">
        <v>162487</v>
      </c>
      <c r="AI50" s="5">
        <v>297408</v>
      </c>
      <c r="AJ50" s="5">
        <v>265503</v>
      </c>
      <c r="AK50" s="5">
        <v>237216</v>
      </c>
      <c r="AL50" s="5">
        <v>236733</v>
      </c>
      <c r="AM50" s="5">
        <v>339852</v>
      </c>
      <c r="AN50" s="5">
        <v>1707959</v>
      </c>
      <c r="AO50" s="5"/>
      <c r="AP50" s="11">
        <v>45658</v>
      </c>
      <c r="AQ50" s="8"/>
      <c r="AR50" s="8"/>
      <c r="AS50" s="8"/>
      <c r="AT50" s="8"/>
      <c r="AU50" s="8"/>
      <c r="AV50" s="8"/>
      <c r="AW50" s="8"/>
      <c r="AX50" s="8"/>
      <c r="AY50" s="8"/>
      <c r="AZ50" s="11">
        <v>45658</v>
      </c>
      <c r="BA50" s="8">
        <f t="shared" si="89"/>
        <v>161875</v>
      </c>
      <c r="BB50" s="8"/>
      <c r="BC50" s="8">
        <v>104537</v>
      </c>
      <c r="BD50" s="8">
        <v>189792</v>
      </c>
      <c r="BE50" s="8">
        <v>383829</v>
      </c>
      <c r="BF50" s="8">
        <v>198589</v>
      </c>
      <c r="BG50" s="8">
        <v>213243</v>
      </c>
      <c r="BH50" s="8">
        <v>264077</v>
      </c>
      <c r="BI50" s="8">
        <v>304831</v>
      </c>
      <c r="BJ50" s="8">
        <f>SUM(BC50:BI50)</f>
        <v>1658898</v>
      </c>
      <c r="BK50" s="8">
        <f>'Historic Data'!BM47</f>
        <v>1659038</v>
      </c>
      <c r="BL50" s="8"/>
      <c r="BM50" s="8">
        <v>57338</v>
      </c>
      <c r="BN50" s="8">
        <v>138399</v>
      </c>
      <c r="BO50" s="8">
        <v>218507</v>
      </c>
      <c r="BP50" s="8">
        <v>128644</v>
      </c>
      <c r="BQ50" s="8">
        <v>125316</v>
      </c>
      <c r="BR50" s="8">
        <v>136719</v>
      </c>
      <c r="BS50" s="8">
        <v>203230</v>
      </c>
      <c r="BT50" s="8">
        <f>SUM(BM50:BS50)</f>
        <v>1008153</v>
      </c>
      <c r="BU50" s="8">
        <f>'Historic Data'!BO47</f>
        <v>1008161</v>
      </c>
      <c r="BV50" s="12"/>
      <c r="BW50" s="11">
        <v>45658</v>
      </c>
      <c r="BX50" s="5">
        <f t="shared" ref="BX50:CD50" si="90">CI50+CT50</f>
        <v>7020</v>
      </c>
      <c r="BY50" s="5">
        <f t="shared" si="90"/>
        <v>15049</v>
      </c>
      <c r="BZ50" s="5">
        <f t="shared" si="90"/>
        <v>27131</v>
      </c>
      <c r="CA50" s="5">
        <f t="shared" si="90"/>
        <v>24181</v>
      </c>
      <c r="CB50" s="5">
        <f t="shared" si="90"/>
        <v>19444</v>
      </c>
      <c r="CC50" s="5">
        <f t="shared" si="90"/>
        <v>19838</v>
      </c>
      <c r="CD50" s="5">
        <f t="shared" si="90"/>
        <v>31697</v>
      </c>
      <c r="CE50" s="5">
        <f>SUM(BX50:CD50)</f>
        <v>144360</v>
      </c>
      <c r="CF50" s="5">
        <f>CQ50+DB50</f>
        <v>128664</v>
      </c>
      <c r="CG50" s="8"/>
      <c r="CH50" s="11">
        <v>45658</v>
      </c>
      <c r="CI50" s="5">
        <v>3280</v>
      </c>
      <c r="CJ50" s="5">
        <v>7445</v>
      </c>
      <c r="CK50" s="5">
        <v>13664</v>
      </c>
      <c r="CL50" s="5">
        <v>12082</v>
      </c>
      <c r="CM50" s="5">
        <v>9618</v>
      </c>
      <c r="CN50" s="5">
        <v>9753</v>
      </c>
      <c r="CO50" s="5">
        <v>16098</v>
      </c>
      <c r="CP50" s="5">
        <f>SUM(CI50:CO50)</f>
        <v>71940</v>
      </c>
      <c r="CQ50" s="5">
        <f>'Historic Data'!CZ47</f>
        <v>64501</v>
      </c>
      <c r="CR50" s="8"/>
      <c r="CS50" s="11">
        <v>45658</v>
      </c>
      <c r="CT50" s="5">
        <v>3740</v>
      </c>
      <c r="CU50" s="5">
        <v>7604</v>
      </c>
      <c r="CV50" s="5">
        <v>13467</v>
      </c>
      <c r="CW50" s="5">
        <v>12099</v>
      </c>
      <c r="CX50" s="5">
        <v>9826</v>
      </c>
      <c r="CY50" s="5">
        <v>10085</v>
      </c>
      <c r="CZ50" s="5">
        <v>15599</v>
      </c>
      <c r="DA50" s="5">
        <f>SUM(CT50:CZ50)</f>
        <v>72420</v>
      </c>
      <c r="DB50" s="5">
        <f>'Historic Data'!DL47</f>
        <v>64163</v>
      </c>
      <c r="DC50" s="8"/>
      <c r="DD50" s="11">
        <v>45658</v>
      </c>
      <c r="DE50" s="5">
        <v>22229</v>
      </c>
      <c r="DF50" s="5">
        <v>39360</v>
      </c>
      <c r="DG50" s="5">
        <v>69553</v>
      </c>
      <c r="DH50" s="5">
        <v>60115</v>
      </c>
      <c r="DI50" s="5">
        <v>56815</v>
      </c>
      <c r="DJ50" s="5">
        <v>50421</v>
      </c>
      <c r="DK50" s="5">
        <v>89651</v>
      </c>
      <c r="DL50" s="5">
        <f>SUM(DE50:DK50)</f>
        <v>388144</v>
      </c>
      <c r="DM50" s="5">
        <f>'Historic Data'!DX47</f>
        <v>402930</v>
      </c>
      <c r="DN50" s="8"/>
      <c r="DO50" s="11">
        <v>45658</v>
      </c>
      <c r="DP50" s="5"/>
      <c r="DQ50" s="5"/>
      <c r="DR50" s="5"/>
      <c r="DS50" s="5"/>
      <c r="DT50" s="5"/>
      <c r="DU50" s="5"/>
      <c r="DV50" s="5"/>
      <c r="DW50" s="5"/>
      <c r="DX50" s="8"/>
      <c r="DY50" s="11">
        <v>45658</v>
      </c>
      <c r="DZ50" s="8"/>
      <c r="EA50" s="8"/>
      <c r="EB50" s="8"/>
      <c r="EC50" s="8"/>
      <c r="ED50" s="8"/>
      <c r="EE50" s="8"/>
      <c r="EF50" s="8"/>
      <c r="EG50" s="8"/>
      <c r="EH50" s="23"/>
      <c r="EI50" s="11">
        <v>45658</v>
      </c>
      <c r="EJ50" s="5"/>
      <c r="EK50" s="5"/>
      <c r="EL50" s="5"/>
      <c r="EM50" s="5"/>
      <c r="EN50" s="5"/>
      <c r="EO50" s="5"/>
      <c r="EP50" s="5"/>
      <c r="EQ50" s="5"/>
      <c r="ER50" s="5"/>
      <c r="ES50" s="11">
        <v>45658</v>
      </c>
      <c r="ET50" s="5"/>
      <c r="EU50" s="5"/>
      <c r="EV50" s="5"/>
      <c r="EW50" s="5"/>
      <c r="EX50" s="5"/>
      <c r="EY50" s="5"/>
      <c r="EZ50" s="5"/>
      <c r="FA50" s="5"/>
      <c r="FC50" s="11">
        <v>45658</v>
      </c>
      <c r="FD50" s="5"/>
      <c r="FE50" s="5"/>
      <c r="FF50" s="5"/>
      <c r="FG50" s="5"/>
      <c r="FH50" s="5"/>
      <c r="FI50" s="5"/>
      <c r="FJ50" s="5"/>
      <c r="FK50" s="5"/>
    </row>
    <row r="51" spans="2:167" ht="15" customHeight="1">
      <c r="B51" s="11">
        <v>45689</v>
      </c>
      <c r="C51" s="8">
        <v>282</v>
      </c>
      <c r="D51" s="8">
        <v>456</v>
      </c>
      <c r="E51" s="8">
        <v>1370</v>
      </c>
      <c r="F51" s="8">
        <v>633</v>
      </c>
      <c r="G51" s="8">
        <v>784</v>
      </c>
      <c r="H51" s="8">
        <v>633</v>
      </c>
      <c r="I51" s="8">
        <v>882</v>
      </c>
      <c r="J51" s="8">
        <v>5096</v>
      </c>
      <c r="L51" s="11">
        <v>45689</v>
      </c>
      <c r="M51" s="8">
        <v>282</v>
      </c>
      <c r="N51" s="8">
        <v>456</v>
      </c>
      <c r="O51" s="8">
        <v>1370</v>
      </c>
      <c r="P51" s="8">
        <v>633</v>
      </c>
      <c r="Q51" s="8">
        <v>784</v>
      </c>
      <c r="R51" s="8">
        <v>633</v>
      </c>
      <c r="S51" s="8">
        <v>882</v>
      </c>
      <c r="T51" s="8">
        <v>5096</v>
      </c>
      <c r="U51" s="8"/>
      <c r="V51" s="11">
        <v>45689</v>
      </c>
      <c r="W51" s="207">
        <v>121425</v>
      </c>
      <c r="X51" s="207">
        <v>204394</v>
      </c>
      <c r="Y51" s="207">
        <v>376013</v>
      </c>
      <c r="Z51" s="207">
        <v>355018</v>
      </c>
      <c r="AA51" s="207">
        <v>299075</v>
      </c>
      <c r="AB51" s="207">
        <v>286105</v>
      </c>
      <c r="AC51" s="207">
        <v>422317</v>
      </c>
      <c r="AD51" s="207">
        <v>2151985</v>
      </c>
      <c r="AF51" s="11">
        <v>45689</v>
      </c>
      <c r="AG51" s="8">
        <v>94181</v>
      </c>
      <c r="AH51" s="8">
        <v>150495</v>
      </c>
      <c r="AI51" s="8">
        <v>285264</v>
      </c>
      <c r="AJ51" s="8">
        <v>264042</v>
      </c>
      <c r="AK51" s="8">
        <v>233494</v>
      </c>
      <c r="AL51" s="8">
        <v>216901</v>
      </c>
      <c r="AM51" s="8">
        <v>314855</v>
      </c>
      <c r="AN51" s="8">
        <v>1616326</v>
      </c>
      <c r="AO51" s="23"/>
      <c r="AP51" s="11">
        <v>45689</v>
      </c>
      <c r="AQ51" s="8"/>
      <c r="AR51" s="8"/>
      <c r="AS51" s="8"/>
      <c r="AT51" s="8"/>
      <c r="AU51" s="8"/>
      <c r="AV51" s="8"/>
      <c r="AW51" s="8"/>
      <c r="AX51" s="8"/>
      <c r="AY51" s="8"/>
      <c r="AZ51" s="11">
        <v>45689</v>
      </c>
      <c r="BA51" s="8">
        <f t="shared" si="89"/>
        <v>155750</v>
      </c>
      <c r="BB51" s="8"/>
      <c r="BC51" s="8">
        <v>99936</v>
      </c>
      <c r="BD51" s="8">
        <v>172589</v>
      </c>
      <c r="BE51" s="8">
        <v>368545</v>
      </c>
      <c r="BF51" s="8">
        <v>198038</v>
      </c>
      <c r="BG51" s="8">
        <v>201429</v>
      </c>
      <c r="BH51" s="8">
        <v>248403</v>
      </c>
      <c r="BI51" s="8">
        <v>287540</v>
      </c>
      <c r="BJ51" s="8">
        <f>SUM(BC51:BI51)</f>
        <v>1576480</v>
      </c>
      <c r="BK51" s="8">
        <f>'Historic Data'!BM48</f>
        <v>1576643</v>
      </c>
      <c r="BL51" s="8"/>
      <c r="BM51" s="8">
        <v>55814</v>
      </c>
      <c r="BN51" s="8">
        <v>132480</v>
      </c>
      <c r="BO51" s="8">
        <v>209387</v>
      </c>
      <c r="BP51" s="8">
        <v>132223</v>
      </c>
      <c r="BQ51" s="8">
        <v>126731</v>
      </c>
      <c r="BR51" s="8">
        <v>135737</v>
      </c>
      <c r="BS51" s="8">
        <v>194655</v>
      </c>
      <c r="BT51" s="8">
        <f t="shared" ref="BT51:BT61" si="91">SUM(BM51:BS51)</f>
        <v>987027</v>
      </c>
      <c r="BU51" s="8">
        <f>'Historic Data'!BO48</f>
        <v>987033</v>
      </c>
      <c r="BV51" s="18"/>
      <c r="BW51" s="11">
        <v>45689</v>
      </c>
      <c r="BX51" s="5">
        <f t="shared" ref="BX51:BX61" si="92">CI51+CT51</f>
        <v>7192</v>
      </c>
      <c r="BY51" s="5">
        <f t="shared" ref="BY51:BY61" si="93">CJ51+CU51</f>
        <v>14806</v>
      </c>
      <c r="BZ51" s="5">
        <f t="shared" ref="BZ51:BZ61" si="94">CK51+CV51</f>
        <v>26193</v>
      </c>
      <c r="CA51" s="5">
        <f t="shared" ref="CA51:CA61" si="95">CL51+CW51</f>
        <v>24883</v>
      </c>
      <c r="CB51" s="5">
        <f t="shared" ref="CB51:CB61" si="96">CM51+CX51</f>
        <v>18426</v>
      </c>
      <c r="CC51" s="5">
        <f t="shared" ref="CC51:CC61" si="97">CN51+CY51</f>
        <v>18749</v>
      </c>
      <c r="CD51" s="5">
        <f t="shared" ref="CD51:CD61" si="98">CO51+CZ51</f>
        <v>30817</v>
      </c>
      <c r="CE51" s="5">
        <f t="shared" ref="CE51:CE61" si="99">SUM(BX51:CD51)</f>
        <v>141066</v>
      </c>
      <c r="CF51" s="5">
        <f t="shared" ref="CF51:CF61" si="100">CQ51+DB51</f>
        <v>126696</v>
      </c>
      <c r="CG51" s="8"/>
      <c r="CH51" s="11">
        <v>45689</v>
      </c>
      <c r="CI51" s="8">
        <v>3514</v>
      </c>
      <c r="CJ51" s="8">
        <v>7749</v>
      </c>
      <c r="CK51" s="8">
        <v>13440</v>
      </c>
      <c r="CL51" s="8">
        <v>13140</v>
      </c>
      <c r="CM51" s="8">
        <v>9184</v>
      </c>
      <c r="CN51" s="8">
        <v>9374</v>
      </c>
      <c r="CO51" s="8">
        <v>15950</v>
      </c>
      <c r="CP51" s="5">
        <f t="shared" ref="CP51:CP61" si="101">SUM(CI51:CO51)</f>
        <v>72351</v>
      </c>
      <c r="CQ51" s="5">
        <f>'Historic Data'!CZ48</f>
        <v>62062</v>
      </c>
      <c r="CR51" s="8"/>
      <c r="CS51" s="11">
        <v>45689</v>
      </c>
      <c r="CT51" s="8">
        <v>3678</v>
      </c>
      <c r="CU51" s="8">
        <v>7057</v>
      </c>
      <c r="CV51" s="8">
        <v>12753</v>
      </c>
      <c r="CW51" s="8">
        <v>11743</v>
      </c>
      <c r="CX51" s="8">
        <v>9242</v>
      </c>
      <c r="CY51" s="8">
        <v>9375</v>
      </c>
      <c r="CZ51" s="8">
        <v>14867</v>
      </c>
      <c r="DA51" s="5">
        <f t="shared" ref="DA51:DA61" si="102">SUM(CT51:CZ51)</f>
        <v>68715</v>
      </c>
      <c r="DB51" s="5">
        <f>'Historic Data'!DL48</f>
        <v>64634</v>
      </c>
      <c r="DC51" s="8"/>
      <c r="DD51" s="11">
        <v>45689</v>
      </c>
      <c r="DE51" s="8">
        <v>23360</v>
      </c>
      <c r="DF51" s="8">
        <v>37809</v>
      </c>
      <c r="DG51" s="8">
        <v>69236</v>
      </c>
      <c r="DH51" s="8">
        <v>64812</v>
      </c>
      <c r="DI51" s="8">
        <v>55459</v>
      </c>
      <c r="DJ51" s="8">
        <v>49084</v>
      </c>
      <c r="DK51" s="8">
        <v>90328</v>
      </c>
      <c r="DL51" s="5">
        <f t="shared" ref="DL51:DL61" si="103">SUM(DE51:DK51)</f>
        <v>390088</v>
      </c>
      <c r="DM51" s="5">
        <f>'Historic Data'!DX48</f>
        <v>399692</v>
      </c>
      <c r="DN51" s="8"/>
      <c r="DO51" s="11">
        <v>45689</v>
      </c>
      <c r="DP51" s="8"/>
      <c r="DQ51" s="8"/>
      <c r="DR51" s="8"/>
      <c r="DS51" s="8"/>
      <c r="DT51" s="8"/>
      <c r="DU51" s="8"/>
      <c r="DV51" s="8"/>
      <c r="DW51" s="8"/>
      <c r="DX51" s="8"/>
      <c r="DY51" s="11">
        <v>45689</v>
      </c>
      <c r="DZ51" s="8"/>
      <c r="EA51" s="8"/>
      <c r="EB51" s="8"/>
      <c r="EC51" s="8"/>
      <c r="ED51" s="8"/>
      <c r="EE51" s="8"/>
      <c r="EF51" s="8"/>
      <c r="EG51" s="8"/>
      <c r="EH51" s="23"/>
      <c r="EI51" s="11">
        <v>45689</v>
      </c>
      <c r="EJ51" s="5"/>
      <c r="EK51" s="5"/>
      <c r="EL51" s="5"/>
      <c r="EM51" s="5"/>
      <c r="EN51" s="5"/>
      <c r="EO51" s="5"/>
      <c r="EP51" s="5"/>
      <c r="EQ51" s="5"/>
      <c r="ER51" s="5"/>
      <c r="ES51" s="11">
        <v>45689</v>
      </c>
      <c r="ET51" s="5"/>
      <c r="EU51" s="5"/>
      <c r="EV51" s="5"/>
      <c r="EW51" s="5"/>
      <c r="EX51" s="5"/>
      <c r="EY51" s="5"/>
      <c r="EZ51" s="5"/>
      <c r="FA51" s="5"/>
      <c r="FC51" s="11">
        <v>45689</v>
      </c>
      <c r="FD51" s="5"/>
      <c r="FE51" s="5"/>
      <c r="FF51" s="5"/>
      <c r="FG51" s="5"/>
      <c r="FH51" s="5"/>
      <c r="FI51" s="5"/>
      <c r="FJ51" s="5"/>
      <c r="FK51" s="5"/>
    </row>
    <row r="52" spans="2:167" ht="15" customHeight="1">
      <c r="B52" s="11">
        <v>45717</v>
      </c>
      <c r="C52" s="2">
        <v>418</v>
      </c>
      <c r="D52" s="2">
        <v>572</v>
      </c>
      <c r="E52" s="2">
        <v>1711</v>
      </c>
      <c r="F52" s="2">
        <v>911</v>
      </c>
      <c r="G52" s="2">
        <v>1115</v>
      </c>
      <c r="H52" s="2">
        <v>835</v>
      </c>
      <c r="I52" s="2">
        <v>1253</v>
      </c>
      <c r="J52" s="8">
        <v>6837</v>
      </c>
      <c r="L52" s="11">
        <v>45717</v>
      </c>
      <c r="M52" s="2">
        <v>418</v>
      </c>
      <c r="N52" s="2">
        <v>572</v>
      </c>
      <c r="O52" s="2">
        <v>1711</v>
      </c>
      <c r="P52" s="2">
        <v>911</v>
      </c>
      <c r="Q52" s="2">
        <v>1115</v>
      </c>
      <c r="R52" s="2">
        <v>835</v>
      </c>
      <c r="S52" s="2">
        <v>1253</v>
      </c>
      <c r="T52" s="8">
        <v>6837</v>
      </c>
      <c r="U52" s="8"/>
      <c r="V52" s="11">
        <v>45717</v>
      </c>
      <c r="W52" s="207">
        <v>156466</v>
      </c>
      <c r="X52" s="207">
        <v>263882</v>
      </c>
      <c r="Y52" s="207">
        <v>504709</v>
      </c>
      <c r="Z52" s="207">
        <v>473159</v>
      </c>
      <c r="AA52" s="207">
        <v>408841</v>
      </c>
      <c r="AB52" s="207">
        <v>380634</v>
      </c>
      <c r="AC52" s="207">
        <v>586302</v>
      </c>
      <c r="AD52" s="207">
        <v>2872891</v>
      </c>
      <c r="AF52" s="11">
        <v>45717</v>
      </c>
      <c r="AG52" s="8">
        <v>118466</v>
      </c>
      <c r="AH52" s="8">
        <v>194128</v>
      </c>
      <c r="AI52" s="8">
        <v>376601</v>
      </c>
      <c r="AJ52" s="8">
        <v>345259</v>
      </c>
      <c r="AK52" s="8">
        <v>320200</v>
      </c>
      <c r="AL52" s="8">
        <v>283995</v>
      </c>
      <c r="AM52" s="8">
        <v>434590</v>
      </c>
      <c r="AN52" s="8">
        <v>2133990</v>
      </c>
      <c r="AO52" s="23"/>
      <c r="AP52" s="11">
        <v>45717</v>
      </c>
      <c r="AQ52" s="8"/>
      <c r="AR52" s="8"/>
      <c r="AS52" s="8"/>
      <c r="AT52" s="8"/>
      <c r="AU52" s="8"/>
      <c r="AV52" s="8"/>
      <c r="AW52" s="8"/>
      <c r="AX52" s="8"/>
      <c r="AY52" s="8"/>
      <c r="AZ52" s="11">
        <v>45717</v>
      </c>
      <c r="BA52" s="8">
        <f t="shared" si="89"/>
        <v>183477</v>
      </c>
      <c r="BB52" s="8"/>
      <c r="BC52" s="8">
        <v>117859</v>
      </c>
      <c r="BD52" s="8">
        <v>168555</v>
      </c>
      <c r="BE52" s="8">
        <v>413971</v>
      </c>
      <c r="BF52" s="8">
        <v>230798</v>
      </c>
      <c r="BG52" s="8">
        <v>226826</v>
      </c>
      <c r="BH52" s="8">
        <v>301499</v>
      </c>
      <c r="BI52" s="8">
        <v>308827</v>
      </c>
      <c r="BJ52" s="8">
        <f t="shared" ref="BJ52:BJ61" si="104">SUM(BC52:BI52)</f>
        <v>1768335</v>
      </c>
      <c r="BK52" s="8">
        <f>'Historic Data'!BM49</f>
        <v>1768416</v>
      </c>
      <c r="BL52" s="8"/>
      <c r="BM52" s="8">
        <v>65618</v>
      </c>
      <c r="BN52" s="8">
        <v>132856</v>
      </c>
      <c r="BO52" s="8">
        <v>253466</v>
      </c>
      <c r="BP52" s="8">
        <v>151108</v>
      </c>
      <c r="BQ52" s="8">
        <v>145803</v>
      </c>
      <c r="BR52" s="8">
        <v>151728</v>
      </c>
      <c r="BS52" s="8">
        <v>212761</v>
      </c>
      <c r="BT52" s="8">
        <f t="shared" si="91"/>
        <v>1113340</v>
      </c>
      <c r="BU52" s="8">
        <f>'Historic Data'!BO49</f>
        <v>1113315</v>
      </c>
      <c r="BV52" s="18"/>
      <c r="BW52" s="11">
        <v>45717</v>
      </c>
      <c r="BX52" s="5">
        <f t="shared" si="92"/>
        <v>8992</v>
      </c>
      <c r="BY52" s="5">
        <f t="shared" si="93"/>
        <v>19396</v>
      </c>
      <c r="BZ52" s="5">
        <f t="shared" si="94"/>
        <v>36937</v>
      </c>
      <c r="CA52" s="5">
        <f t="shared" si="95"/>
        <v>33573</v>
      </c>
      <c r="CB52" s="5">
        <f t="shared" si="96"/>
        <v>24211</v>
      </c>
      <c r="CC52" s="5">
        <f t="shared" si="97"/>
        <v>24508</v>
      </c>
      <c r="CD52" s="5">
        <f t="shared" si="98"/>
        <v>42236</v>
      </c>
      <c r="CE52" s="5">
        <f t="shared" si="99"/>
        <v>189853</v>
      </c>
      <c r="CF52" s="5">
        <f t="shared" si="100"/>
        <v>177219</v>
      </c>
      <c r="CG52" s="8"/>
      <c r="CH52" s="11">
        <v>45717</v>
      </c>
      <c r="CI52" s="8">
        <v>4053</v>
      </c>
      <c r="CJ52" s="8">
        <v>9769</v>
      </c>
      <c r="CK52" s="8">
        <v>18464</v>
      </c>
      <c r="CL52" s="8">
        <v>16828</v>
      </c>
      <c r="CM52" s="8">
        <v>11165</v>
      </c>
      <c r="CN52" s="8">
        <v>11743</v>
      </c>
      <c r="CO52" s="8">
        <v>21007</v>
      </c>
      <c r="CP52" s="5">
        <f t="shared" si="101"/>
        <v>93029</v>
      </c>
      <c r="CQ52" s="5">
        <f>'Historic Data'!CZ49</f>
        <v>80095</v>
      </c>
      <c r="CR52" s="8"/>
      <c r="CS52" s="11">
        <v>45717</v>
      </c>
      <c r="CT52" s="8">
        <v>4939</v>
      </c>
      <c r="CU52" s="8">
        <v>9627</v>
      </c>
      <c r="CV52" s="8">
        <v>18473</v>
      </c>
      <c r="CW52" s="8">
        <v>16745</v>
      </c>
      <c r="CX52" s="8">
        <v>13046</v>
      </c>
      <c r="CY52" s="8">
        <v>12765</v>
      </c>
      <c r="CZ52" s="8">
        <v>21229</v>
      </c>
      <c r="DA52" s="5">
        <f t="shared" si="102"/>
        <v>96824</v>
      </c>
      <c r="DB52" s="5">
        <f>'Historic Data'!DL49</f>
        <v>97124</v>
      </c>
      <c r="DC52" s="8"/>
      <c r="DD52" s="11">
        <v>45717</v>
      </c>
      <c r="DE52" s="8">
        <v>31309</v>
      </c>
      <c r="DF52" s="8">
        <v>52304</v>
      </c>
      <c r="DG52" s="8">
        <v>99093</v>
      </c>
      <c r="DH52" s="8">
        <v>90339</v>
      </c>
      <c r="DI52" s="8">
        <v>78806</v>
      </c>
      <c r="DJ52" s="8">
        <v>70537</v>
      </c>
      <c r="DK52" s="8">
        <v>126692</v>
      </c>
      <c r="DL52" s="5">
        <f t="shared" si="103"/>
        <v>549080</v>
      </c>
      <c r="DM52" s="5">
        <f>'Historic Data'!DX49</f>
        <v>560782</v>
      </c>
      <c r="DN52" s="8"/>
      <c r="DO52" s="11">
        <v>45717</v>
      </c>
      <c r="DP52" s="8"/>
      <c r="DQ52" s="8"/>
      <c r="DR52" s="8"/>
      <c r="DS52" s="8"/>
      <c r="DT52" s="8"/>
      <c r="DU52" s="8"/>
      <c r="DV52" s="8"/>
      <c r="DW52" s="8"/>
      <c r="DX52" s="8"/>
      <c r="DY52" s="11">
        <v>45717</v>
      </c>
      <c r="DZ52" s="8"/>
      <c r="EA52" s="8"/>
      <c r="EB52" s="8"/>
      <c r="EC52" s="8"/>
      <c r="ED52" s="8"/>
      <c r="EE52" s="8"/>
      <c r="EF52" s="8"/>
      <c r="EG52" s="8"/>
      <c r="EH52" s="23"/>
      <c r="EI52" s="11">
        <v>45717</v>
      </c>
      <c r="EJ52" s="5"/>
      <c r="EK52" s="5"/>
      <c r="EL52" s="5"/>
      <c r="EM52" s="5"/>
      <c r="EN52" s="5"/>
      <c r="EO52" s="5"/>
      <c r="EP52" s="5"/>
      <c r="EQ52" s="5"/>
      <c r="ER52" s="5"/>
      <c r="ES52" s="11">
        <v>45717</v>
      </c>
      <c r="ET52" s="5"/>
      <c r="EU52" s="5"/>
      <c r="EV52" s="5"/>
      <c r="EW52" s="5"/>
      <c r="EX52" s="5"/>
      <c r="EY52" s="5"/>
      <c r="EZ52" s="5"/>
      <c r="FA52" s="5"/>
      <c r="FC52" s="11">
        <v>45717</v>
      </c>
      <c r="FD52" s="5"/>
      <c r="FE52" s="5"/>
      <c r="FF52" s="5"/>
      <c r="FG52" s="5"/>
      <c r="FH52" s="5"/>
      <c r="FI52" s="5"/>
      <c r="FJ52" s="5"/>
      <c r="FK52" s="5"/>
    </row>
    <row r="53" spans="2:167">
      <c r="B53" s="11">
        <v>45748</v>
      </c>
      <c r="C53" s="2">
        <v>377</v>
      </c>
      <c r="D53" s="2">
        <v>470</v>
      </c>
      <c r="E53" s="2">
        <v>1331</v>
      </c>
      <c r="F53" s="2">
        <v>770</v>
      </c>
      <c r="G53" s="2">
        <v>896</v>
      </c>
      <c r="H53" s="2">
        <v>691</v>
      </c>
      <c r="I53" s="2">
        <v>1122</v>
      </c>
      <c r="J53" s="8">
        <v>5736</v>
      </c>
      <c r="L53" s="11">
        <v>45748</v>
      </c>
      <c r="M53" s="2">
        <v>377</v>
      </c>
      <c r="N53" s="2">
        <v>470</v>
      </c>
      <c r="O53" s="2">
        <v>1331</v>
      </c>
      <c r="P53" s="2">
        <v>770</v>
      </c>
      <c r="Q53" s="2">
        <v>896</v>
      </c>
      <c r="R53" s="2">
        <v>691</v>
      </c>
      <c r="S53" s="2">
        <v>1122</v>
      </c>
      <c r="T53" s="8">
        <v>5736</v>
      </c>
      <c r="U53" s="8"/>
      <c r="V53" s="11">
        <v>45748</v>
      </c>
      <c r="W53" s="207">
        <v>162982</v>
      </c>
      <c r="X53" s="207">
        <v>269638</v>
      </c>
      <c r="Y53" s="210">
        <v>506724</v>
      </c>
      <c r="Z53" s="210">
        <v>484077</v>
      </c>
      <c r="AA53" s="210">
        <v>436113</v>
      </c>
      <c r="AB53" s="210">
        <v>407755</v>
      </c>
      <c r="AC53" s="210">
        <v>587950</v>
      </c>
      <c r="AD53" s="210">
        <v>2965512</v>
      </c>
      <c r="AF53" s="11">
        <v>45748</v>
      </c>
      <c r="AG53" s="8">
        <v>107203</v>
      </c>
      <c r="AH53" s="8">
        <v>174489</v>
      </c>
      <c r="AI53" s="8">
        <v>326631</v>
      </c>
      <c r="AJ53" s="8">
        <v>307910</v>
      </c>
      <c r="AK53" s="8">
        <v>300457</v>
      </c>
      <c r="AL53" s="8">
        <v>263781</v>
      </c>
      <c r="AM53" s="8">
        <v>388280</v>
      </c>
      <c r="AN53" s="8">
        <v>1932990</v>
      </c>
      <c r="AO53" s="23"/>
      <c r="AP53" s="11">
        <v>45748</v>
      </c>
      <c r="AQ53" s="8"/>
      <c r="AR53" s="8"/>
      <c r="AS53" s="8"/>
      <c r="AT53" s="8"/>
      <c r="AU53" s="8"/>
      <c r="AV53" s="8"/>
      <c r="AW53" s="8"/>
      <c r="AX53" s="8"/>
      <c r="AY53" s="8"/>
      <c r="AZ53" s="11">
        <v>45748</v>
      </c>
      <c r="BA53" s="8">
        <f t="shared" si="89"/>
        <v>176769</v>
      </c>
      <c r="BB53" s="8"/>
      <c r="BC53" s="8">
        <v>111465</v>
      </c>
      <c r="BD53" s="8">
        <v>159846</v>
      </c>
      <c r="BE53" s="8">
        <v>406685</v>
      </c>
      <c r="BF53" s="8">
        <v>234525</v>
      </c>
      <c r="BG53" s="8">
        <v>212462</v>
      </c>
      <c r="BH53" s="8">
        <v>286179</v>
      </c>
      <c r="BI53" s="8">
        <v>267027</v>
      </c>
      <c r="BJ53" s="8">
        <f t="shared" si="104"/>
        <v>1678189</v>
      </c>
      <c r="BK53" s="8">
        <f>'Historic Data'!BM50</f>
        <v>1679030</v>
      </c>
      <c r="BL53" s="8"/>
      <c r="BM53" s="8">
        <v>65304</v>
      </c>
      <c r="BN53" s="8">
        <v>116755</v>
      </c>
      <c r="BO53" s="8">
        <v>255994</v>
      </c>
      <c r="BP53" s="8">
        <v>142351</v>
      </c>
      <c r="BQ53" s="8">
        <v>143680</v>
      </c>
      <c r="BR53" s="8">
        <v>155228</v>
      </c>
      <c r="BS53" s="8">
        <v>191710</v>
      </c>
      <c r="BT53" s="8">
        <f t="shared" si="91"/>
        <v>1071022</v>
      </c>
      <c r="BU53" s="8">
        <f>'Historic Data'!BO50</f>
        <v>1071469</v>
      </c>
      <c r="BW53" s="11">
        <v>45748</v>
      </c>
      <c r="BX53" s="5">
        <f t="shared" si="92"/>
        <v>7347</v>
      </c>
      <c r="BY53" s="5">
        <f t="shared" si="93"/>
        <v>16731</v>
      </c>
      <c r="BZ53" s="5">
        <f t="shared" si="94"/>
        <v>30364</v>
      </c>
      <c r="CA53" s="5">
        <f t="shared" si="95"/>
        <v>28886</v>
      </c>
      <c r="CB53" s="5">
        <f t="shared" si="96"/>
        <v>20429</v>
      </c>
      <c r="CC53" s="5">
        <f t="shared" si="97"/>
        <v>22261</v>
      </c>
      <c r="CD53" s="5">
        <f t="shared" si="98"/>
        <v>34976</v>
      </c>
      <c r="CE53" s="5">
        <f t="shared" si="99"/>
        <v>160994</v>
      </c>
      <c r="CF53" s="5">
        <f t="shared" si="100"/>
        <v>151750</v>
      </c>
      <c r="CG53" s="8"/>
      <c r="CH53" s="11">
        <v>45748</v>
      </c>
      <c r="CI53" s="8">
        <v>3548</v>
      </c>
      <c r="CJ53" s="8">
        <v>9047</v>
      </c>
      <c r="CK53" s="8">
        <v>16026</v>
      </c>
      <c r="CL53" s="8">
        <v>15400</v>
      </c>
      <c r="CM53" s="8">
        <v>10089</v>
      </c>
      <c r="CN53" s="8">
        <v>11805</v>
      </c>
      <c r="CO53" s="8">
        <v>18119</v>
      </c>
      <c r="CP53" s="5">
        <f t="shared" si="101"/>
        <v>84034</v>
      </c>
      <c r="CQ53" s="5">
        <f>'Historic Data'!CZ50</f>
        <v>67847</v>
      </c>
      <c r="CR53" s="8"/>
      <c r="CS53" s="11">
        <v>45748</v>
      </c>
      <c r="CT53" s="8">
        <v>3799</v>
      </c>
      <c r="CU53" s="8">
        <v>7684</v>
      </c>
      <c r="CV53" s="8">
        <v>14338</v>
      </c>
      <c r="CW53" s="8">
        <v>13486</v>
      </c>
      <c r="CX53" s="8">
        <v>10340</v>
      </c>
      <c r="CY53" s="8">
        <v>10456</v>
      </c>
      <c r="CZ53" s="8">
        <v>16857</v>
      </c>
      <c r="DA53" s="5">
        <f t="shared" si="102"/>
        <v>76960</v>
      </c>
      <c r="DB53" s="5">
        <f>'Historic Data'!DL50</f>
        <v>83903</v>
      </c>
      <c r="DC53" s="8"/>
      <c r="DD53" s="11">
        <v>45748</v>
      </c>
      <c r="DE53" s="8">
        <v>26297</v>
      </c>
      <c r="DF53" s="8">
        <v>45060</v>
      </c>
      <c r="DG53" s="8">
        <v>82023</v>
      </c>
      <c r="DH53" s="8">
        <v>77386</v>
      </c>
      <c r="DI53" s="8">
        <v>67093</v>
      </c>
      <c r="DJ53" s="8">
        <v>63150</v>
      </c>
      <c r="DK53" s="8">
        <v>109825</v>
      </c>
      <c r="DL53" s="5">
        <f t="shared" si="103"/>
        <v>470834</v>
      </c>
      <c r="DM53" s="5">
        <f>'Historic Data'!DX50</f>
        <v>485874</v>
      </c>
      <c r="DN53" s="8"/>
      <c r="DO53" s="11">
        <v>45748</v>
      </c>
      <c r="DP53" s="8"/>
      <c r="DQ53" s="8"/>
      <c r="DR53" s="8"/>
      <c r="DS53" s="8"/>
      <c r="DT53" s="8"/>
      <c r="DU53" s="8"/>
      <c r="DV53" s="8"/>
      <c r="DW53" s="8"/>
      <c r="DX53" s="8"/>
      <c r="DY53" s="11">
        <v>45748</v>
      </c>
      <c r="DZ53" s="8"/>
      <c r="EA53" s="8"/>
      <c r="EB53" s="8"/>
      <c r="EC53" s="8"/>
      <c r="ED53" s="8"/>
      <c r="EE53" s="8"/>
      <c r="EF53" s="8"/>
      <c r="EG53" s="8"/>
      <c r="EH53" s="23"/>
      <c r="EI53" s="11">
        <v>45748</v>
      </c>
      <c r="EJ53" s="5"/>
      <c r="EK53" s="5"/>
      <c r="EL53" s="5"/>
      <c r="EM53" s="5"/>
      <c r="EN53" s="5"/>
      <c r="EO53" s="5"/>
      <c r="EP53" s="5"/>
      <c r="EQ53" s="5"/>
      <c r="ER53" s="5"/>
      <c r="ES53" s="11">
        <v>45748</v>
      </c>
      <c r="ET53" s="5"/>
      <c r="EU53" s="5"/>
      <c r="EV53" s="5"/>
      <c r="EW53" s="5"/>
      <c r="EX53" s="5"/>
      <c r="EY53" s="5"/>
      <c r="EZ53" s="5"/>
      <c r="FA53" s="5"/>
      <c r="FC53" s="11">
        <v>45748</v>
      </c>
      <c r="FD53" s="5"/>
      <c r="FE53" s="5"/>
      <c r="FF53" s="5"/>
      <c r="FG53" s="5"/>
      <c r="FH53" s="5"/>
      <c r="FI53" s="5"/>
      <c r="FJ53" s="5"/>
      <c r="FK53" s="5"/>
    </row>
    <row r="54" spans="2:167" ht="16" customHeight="1">
      <c r="B54" s="11">
        <v>45778</v>
      </c>
      <c r="C54" s="2">
        <v>390</v>
      </c>
      <c r="D54" s="2">
        <v>559</v>
      </c>
      <c r="E54" s="2">
        <v>1616</v>
      </c>
      <c r="F54" s="2">
        <v>824</v>
      </c>
      <c r="G54" s="2">
        <v>883</v>
      </c>
      <c r="H54" s="2">
        <v>805</v>
      </c>
      <c r="I54" s="2">
        <v>1239</v>
      </c>
      <c r="J54" s="8">
        <v>6323</v>
      </c>
      <c r="L54" s="11">
        <v>45778</v>
      </c>
      <c r="M54" s="2">
        <v>390</v>
      </c>
      <c r="N54" s="2">
        <v>559</v>
      </c>
      <c r="O54" s="2">
        <v>1616</v>
      </c>
      <c r="P54" s="2">
        <v>824</v>
      </c>
      <c r="Q54" s="2">
        <v>883</v>
      </c>
      <c r="R54" s="2">
        <v>805</v>
      </c>
      <c r="S54" s="2">
        <v>1239</v>
      </c>
      <c r="T54" s="8">
        <v>6323</v>
      </c>
      <c r="U54" s="8"/>
      <c r="V54" s="11">
        <v>45778</v>
      </c>
      <c r="W54" s="207">
        <v>190657</v>
      </c>
      <c r="X54" s="207">
        <v>347533</v>
      </c>
      <c r="Y54" s="210">
        <v>601669</v>
      </c>
      <c r="Z54" s="210">
        <v>593716</v>
      </c>
      <c r="AA54" s="210">
        <v>512184</v>
      </c>
      <c r="AB54" s="210">
        <v>503281</v>
      </c>
      <c r="AC54" s="210">
        <v>721010</v>
      </c>
      <c r="AD54" s="210">
        <v>3578763</v>
      </c>
      <c r="AF54" s="11">
        <v>45778</v>
      </c>
      <c r="AG54" s="8">
        <v>155380</v>
      </c>
      <c r="AH54" s="8">
        <v>272188</v>
      </c>
      <c r="AI54" s="8">
        <v>474656</v>
      </c>
      <c r="AJ54" s="8">
        <v>470725</v>
      </c>
      <c r="AK54" s="8">
        <v>422087</v>
      </c>
      <c r="AL54" s="8">
        <v>403632</v>
      </c>
      <c r="AM54" s="8">
        <v>577905</v>
      </c>
      <c r="AN54" s="8">
        <v>2851027</v>
      </c>
      <c r="AO54" s="23"/>
      <c r="AP54" s="11">
        <v>45778</v>
      </c>
      <c r="AQ54" s="8"/>
      <c r="AR54" s="8"/>
      <c r="AS54" s="8"/>
      <c r="AT54" s="8"/>
      <c r="AU54" s="8"/>
      <c r="AV54" s="8"/>
      <c r="AW54" s="8"/>
      <c r="AX54" s="8"/>
      <c r="AY54" s="8"/>
      <c r="AZ54" s="11">
        <v>45778</v>
      </c>
      <c r="BA54" s="8">
        <f t="shared" si="89"/>
        <v>169028</v>
      </c>
      <c r="BB54" s="8"/>
      <c r="BC54" s="8">
        <v>105739</v>
      </c>
      <c r="BD54" s="8">
        <v>167528</v>
      </c>
      <c r="BE54" s="8">
        <v>398491</v>
      </c>
      <c r="BF54" s="8">
        <v>204440</v>
      </c>
      <c r="BG54" s="8">
        <v>200646</v>
      </c>
      <c r="BH54" s="8">
        <v>291657</v>
      </c>
      <c r="BI54" s="8">
        <v>263116</v>
      </c>
      <c r="BJ54" s="8">
        <f t="shared" si="104"/>
        <v>1631617</v>
      </c>
      <c r="BK54" s="8">
        <f>'Historic Data'!BM51</f>
        <v>1631665</v>
      </c>
      <c r="BL54" s="8"/>
      <c r="BM54" s="8">
        <v>63289</v>
      </c>
      <c r="BN54" s="8">
        <v>120727</v>
      </c>
      <c r="BO54" s="8">
        <v>260458</v>
      </c>
      <c r="BP54" s="8">
        <v>129961</v>
      </c>
      <c r="BQ54" s="8">
        <v>132480</v>
      </c>
      <c r="BR54" s="8">
        <v>162331</v>
      </c>
      <c r="BS54" s="8">
        <v>179343</v>
      </c>
      <c r="BT54" s="8">
        <f t="shared" si="91"/>
        <v>1048589</v>
      </c>
      <c r="BU54" s="8">
        <f>'Historic Data'!BO51</f>
        <v>1048574</v>
      </c>
      <c r="BW54" s="11">
        <v>45778</v>
      </c>
      <c r="BX54" s="5">
        <f t="shared" si="92"/>
        <v>6927</v>
      </c>
      <c r="BY54" s="5">
        <f t="shared" si="93"/>
        <v>17471</v>
      </c>
      <c r="BZ54" s="5">
        <f t="shared" si="94"/>
        <v>30097</v>
      </c>
      <c r="CA54" s="5">
        <f t="shared" si="95"/>
        <v>28083</v>
      </c>
      <c r="CB54" s="5">
        <f t="shared" si="96"/>
        <v>21073</v>
      </c>
      <c r="CC54" s="5">
        <f t="shared" si="97"/>
        <v>23596</v>
      </c>
      <c r="CD54" s="5">
        <f t="shared" si="98"/>
        <v>36333</v>
      </c>
      <c r="CE54" s="5">
        <f t="shared" si="99"/>
        <v>163580</v>
      </c>
      <c r="CF54" s="5">
        <f t="shared" si="100"/>
        <v>148370</v>
      </c>
      <c r="CG54" s="8"/>
      <c r="CH54" s="11">
        <v>45778</v>
      </c>
      <c r="CI54" s="8">
        <v>3544</v>
      </c>
      <c r="CJ54" s="8">
        <v>9557</v>
      </c>
      <c r="CK54" s="8">
        <v>15732</v>
      </c>
      <c r="CL54" s="8">
        <v>15211</v>
      </c>
      <c r="CM54" s="8">
        <v>10730</v>
      </c>
      <c r="CN54" s="8">
        <v>12379</v>
      </c>
      <c r="CO54" s="8">
        <v>19762</v>
      </c>
      <c r="CP54" s="5">
        <f t="shared" si="101"/>
        <v>86915</v>
      </c>
      <c r="CQ54" s="5">
        <f>'Historic Data'!CZ51</f>
        <v>66120</v>
      </c>
      <c r="CR54" s="8"/>
      <c r="CS54" s="11">
        <v>45778</v>
      </c>
      <c r="CT54" s="8">
        <v>3383</v>
      </c>
      <c r="CU54" s="8">
        <v>7914</v>
      </c>
      <c r="CV54" s="8">
        <v>14365</v>
      </c>
      <c r="CW54" s="8">
        <v>12872</v>
      </c>
      <c r="CX54" s="8">
        <v>10343</v>
      </c>
      <c r="CY54" s="8">
        <v>11217</v>
      </c>
      <c r="CZ54" s="8">
        <v>16571</v>
      </c>
      <c r="DA54" s="5">
        <f t="shared" si="102"/>
        <v>76665</v>
      </c>
      <c r="DB54" s="5">
        <f>'Historic Data'!DL51</f>
        <v>82250</v>
      </c>
      <c r="DC54" s="8"/>
      <c r="DD54" s="11">
        <v>45778</v>
      </c>
      <c r="DE54" s="8">
        <v>27004</v>
      </c>
      <c r="DF54" s="8">
        <v>48799</v>
      </c>
      <c r="DG54" s="8">
        <v>86230</v>
      </c>
      <c r="DH54" s="8">
        <v>79014</v>
      </c>
      <c r="DI54" s="8">
        <v>69776</v>
      </c>
      <c r="DJ54" s="8">
        <v>68775</v>
      </c>
      <c r="DK54" s="8">
        <v>117802</v>
      </c>
      <c r="DL54" s="5">
        <f t="shared" si="103"/>
        <v>497400</v>
      </c>
      <c r="DM54" s="5">
        <f>'Historic Data'!DX51</f>
        <v>511368</v>
      </c>
      <c r="DN54" s="8"/>
      <c r="DO54" s="11">
        <v>45778</v>
      </c>
      <c r="DP54" s="8"/>
      <c r="DQ54" s="8"/>
      <c r="DR54" s="8"/>
      <c r="DS54" s="8"/>
      <c r="DT54" s="8"/>
      <c r="DU54" s="8"/>
      <c r="DV54" s="8"/>
      <c r="DW54" s="8"/>
      <c r="DX54" s="8"/>
      <c r="DY54" s="11">
        <v>45778</v>
      </c>
      <c r="DZ54" s="8"/>
      <c r="EA54" s="8"/>
      <c r="EB54" s="8"/>
      <c r="EC54" s="8"/>
      <c r="ED54" s="8"/>
      <c r="EE54" s="8"/>
      <c r="EF54" s="8"/>
      <c r="EG54" s="8"/>
      <c r="EH54" s="23"/>
      <c r="EI54" s="11">
        <v>45778</v>
      </c>
      <c r="EJ54" s="5"/>
      <c r="EK54" s="5"/>
      <c r="EL54" s="5"/>
      <c r="EM54" s="5"/>
      <c r="EN54" s="5"/>
      <c r="EO54" s="5"/>
      <c r="EP54" s="5"/>
      <c r="EQ54" s="5"/>
      <c r="ER54" s="5"/>
      <c r="ES54" s="11">
        <v>45778</v>
      </c>
      <c r="ET54" s="5"/>
      <c r="EU54" s="5"/>
      <c r="EV54" s="5"/>
      <c r="EW54" s="5"/>
      <c r="EX54" s="5"/>
      <c r="EY54" s="5"/>
      <c r="EZ54" s="5"/>
      <c r="FA54" s="5"/>
      <c r="FC54" s="11">
        <v>45778</v>
      </c>
      <c r="FD54" s="5"/>
      <c r="FE54" s="5"/>
      <c r="FF54" s="5"/>
      <c r="FG54" s="5"/>
      <c r="FH54" s="5"/>
      <c r="FI54" s="5"/>
      <c r="FJ54" s="5"/>
      <c r="FK54" s="5"/>
    </row>
    <row r="55" spans="2:167" ht="15" customHeight="1">
      <c r="B55" s="11">
        <v>45809</v>
      </c>
      <c r="C55" s="2">
        <v>357</v>
      </c>
      <c r="D55" s="2">
        <v>587</v>
      </c>
      <c r="E55" s="2">
        <v>1306</v>
      </c>
      <c r="F55" s="2">
        <v>784</v>
      </c>
      <c r="G55" s="2">
        <v>849</v>
      </c>
      <c r="H55" s="2">
        <v>761</v>
      </c>
      <c r="I55" s="2">
        <v>1118</v>
      </c>
      <c r="J55" s="8">
        <v>5823</v>
      </c>
      <c r="L55" s="11">
        <v>45809</v>
      </c>
      <c r="M55" s="2">
        <v>357</v>
      </c>
      <c r="N55" s="2">
        <v>587</v>
      </c>
      <c r="O55" s="2">
        <v>1306</v>
      </c>
      <c r="P55" s="2">
        <v>784</v>
      </c>
      <c r="Q55" s="2">
        <v>849</v>
      </c>
      <c r="R55" s="2">
        <v>761</v>
      </c>
      <c r="S55" s="2">
        <v>1118</v>
      </c>
      <c r="T55" s="8">
        <v>5823</v>
      </c>
      <c r="U55" s="8"/>
      <c r="V55" s="11">
        <v>45809</v>
      </c>
      <c r="W55" s="207">
        <v>162419</v>
      </c>
      <c r="X55" s="207">
        <v>286005</v>
      </c>
      <c r="Y55" s="210">
        <v>533743</v>
      </c>
      <c r="Z55" s="210">
        <v>527689</v>
      </c>
      <c r="AA55" s="210">
        <v>443624</v>
      </c>
      <c r="AB55" s="210">
        <v>442191</v>
      </c>
      <c r="AC55" s="210">
        <v>616584</v>
      </c>
      <c r="AD55" s="210">
        <v>3105918</v>
      </c>
      <c r="AF55" s="11">
        <v>45809</v>
      </c>
      <c r="AG55" s="8">
        <v>121842</v>
      </c>
      <c r="AH55" s="8">
        <v>205521</v>
      </c>
      <c r="AI55" s="8">
        <v>390179</v>
      </c>
      <c r="AJ55" s="8">
        <v>375612</v>
      </c>
      <c r="AK55" s="8">
        <v>347238</v>
      </c>
      <c r="AL55" s="8">
        <v>323732</v>
      </c>
      <c r="AM55" s="8">
        <v>459838</v>
      </c>
      <c r="AN55" s="8">
        <v>2288018</v>
      </c>
      <c r="AP55" s="11">
        <v>45809</v>
      </c>
      <c r="AQ55" s="8"/>
      <c r="AR55" s="8"/>
      <c r="AS55" s="8"/>
      <c r="AT55" s="8"/>
      <c r="AU55" s="8"/>
      <c r="AV55" s="8"/>
      <c r="AW55" s="8"/>
      <c r="AX55" s="8"/>
      <c r="AY55" s="8"/>
      <c r="AZ55" s="11">
        <v>45809</v>
      </c>
      <c r="BA55" s="8">
        <f t="shared" si="89"/>
        <v>173961</v>
      </c>
      <c r="BB55" s="8"/>
      <c r="BC55" s="8">
        <v>110290</v>
      </c>
      <c r="BD55" s="8">
        <v>168761</v>
      </c>
      <c r="BE55" s="8">
        <v>401999</v>
      </c>
      <c r="BF55" s="8">
        <v>198174</v>
      </c>
      <c r="BG55" s="8">
        <v>179124</v>
      </c>
      <c r="BH55" s="8">
        <v>292885</v>
      </c>
      <c r="BI55" s="8">
        <v>249067</v>
      </c>
      <c r="BJ55" s="8">
        <f t="shared" si="104"/>
        <v>1600300</v>
      </c>
      <c r="BK55" s="8">
        <f>'Historic Data'!BM52</f>
        <v>1600333</v>
      </c>
      <c r="BL55" s="8"/>
      <c r="BM55" s="8">
        <v>63671</v>
      </c>
      <c r="BN55" s="8">
        <v>118455</v>
      </c>
      <c r="BO55" s="8">
        <v>259861</v>
      </c>
      <c r="BP55" s="8">
        <v>130689</v>
      </c>
      <c r="BQ55" s="8">
        <v>122503</v>
      </c>
      <c r="BR55" s="8">
        <v>169648</v>
      </c>
      <c r="BS55" s="8">
        <v>167715</v>
      </c>
      <c r="BT55" s="8">
        <f t="shared" si="91"/>
        <v>1032542</v>
      </c>
      <c r="BU55" s="8">
        <f>'Historic Data'!BO52</f>
        <v>1032544</v>
      </c>
      <c r="BW55" s="11">
        <v>45809</v>
      </c>
      <c r="BX55" s="5">
        <f t="shared" si="92"/>
        <v>7674</v>
      </c>
      <c r="BY55" s="5">
        <f t="shared" si="93"/>
        <v>16767</v>
      </c>
      <c r="BZ55" s="5">
        <f t="shared" si="94"/>
        <v>30749</v>
      </c>
      <c r="CA55" s="5">
        <f t="shared" si="95"/>
        <v>30671</v>
      </c>
      <c r="CB55" s="5">
        <f t="shared" si="96"/>
        <v>19864</v>
      </c>
      <c r="CC55" s="5">
        <f t="shared" si="97"/>
        <v>23212</v>
      </c>
      <c r="CD55" s="5">
        <f t="shared" si="98"/>
        <v>35608</v>
      </c>
      <c r="CE55" s="5">
        <f t="shared" si="99"/>
        <v>164545</v>
      </c>
      <c r="CF55" s="5">
        <f t="shared" si="100"/>
        <v>144020</v>
      </c>
      <c r="CG55" s="8"/>
      <c r="CH55" s="11">
        <v>45809</v>
      </c>
      <c r="CI55" s="8">
        <v>3807</v>
      </c>
      <c r="CJ55" s="8">
        <v>8541</v>
      </c>
      <c r="CK55" s="8">
        <v>15322</v>
      </c>
      <c r="CL55" s="8">
        <v>15465</v>
      </c>
      <c r="CM55" s="8">
        <v>9363</v>
      </c>
      <c r="CN55" s="8">
        <v>11344</v>
      </c>
      <c r="CO55" s="8">
        <v>18010</v>
      </c>
      <c r="CP55" s="5">
        <f t="shared" si="101"/>
        <v>81852</v>
      </c>
      <c r="CQ55" s="5">
        <f>'Historic Data'!CZ52</f>
        <v>55560</v>
      </c>
      <c r="CR55" s="8"/>
      <c r="CS55" s="11">
        <v>45809</v>
      </c>
      <c r="CT55" s="8">
        <v>3867</v>
      </c>
      <c r="CU55" s="8">
        <v>8226</v>
      </c>
      <c r="CV55" s="8">
        <v>15427</v>
      </c>
      <c r="CW55" s="8">
        <v>15206</v>
      </c>
      <c r="CX55" s="8">
        <v>10501</v>
      </c>
      <c r="CY55" s="8">
        <v>11868</v>
      </c>
      <c r="CZ55" s="8">
        <v>17598</v>
      </c>
      <c r="DA55" s="5">
        <f t="shared" si="102"/>
        <v>82693</v>
      </c>
      <c r="DB55" s="5">
        <f>'Historic Data'!DL52</f>
        <v>88460</v>
      </c>
      <c r="DC55" s="8"/>
      <c r="DD55" s="11">
        <v>45809</v>
      </c>
      <c r="DE55" s="8">
        <v>26291</v>
      </c>
      <c r="DF55" s="8">
        <v>43249</v>
      </c>
      <c r="DG55" s="8">
        <v>78456</v>
      </c>
      <c r="DH55" s="8">
        <v>79838</v>
      </c>
      <c r="DI55" s="8">
        <v>64704</v>
      </c>
      <c r="DJ55" s="8">
        <v>63986</v>
      </c>
      <c r="DK55" s="8">
        <v>110008</v>
      </c>
      <c r="DL55" s="5">
        <f t="shared" si="103"/>
        <v>466532</v>
      </c>
      <c r="DM55" s="5">
        <f>'Historic Data'!DX52</f>
        <v>480646</v>
      </c>
      <c r="DN55" s="8"/>
      <c r="DO55" s="11">
        <v>45809</v>
      </c>
      <c r="DP55" s="8"/>
      <c r="DQ55" s="8"/>
      <c r="DR55" s="8"/>
      <c r="DS55" s="8"/>
      <c r="DT55" s="8"/>
      <c r="DU55" s="8"/>
      <c r="DV55" s="8"/>
      <c r="DW55" s="8"/>
      <c r="DX55" s="8"/>
      <c r="DY55" s="11">
        <v>45809</v>
      </c>
      <c r="DZ55" s="8"/>
      <c r="EA55" s="8"/>
      <c r="EB55" s="8"/>
      <c r="EC55" s="8"/>
      <c r="ED55" s="8"/>
      <c r="EE55" s="8"/>
      <c r="EF55" s="8"/>
      <c r="EG55" s="8"/>
      <c r="EH55" s="23"/>
      <c r="EI55" s="11">
        <v>45809</v>
      </c>
      <c r="EJ55" s="5"/>
      <c r="EK55" s="5"/>
      <c r="EL55" s="5"/>
      <c r="EM55" s="5"/>
      <c r="EN55" s="5"/>
      <c r="EO55" s="5"/>
      <c r="EP55" s="5"/>
      <c r="EQ55" s="5"/>
      <c r="ER55" s="5"/>
      <c r="ES55" s="11">
        <v>45809</v>
      </c>
      <c r="ET55" s="5"/>
      <c r="EU55" s="5"/>
      <c r="EV55" s="5"/>
      <c r="EW55" s="5"/>
      <c r="EX55" s="5"/>
      <c r="EY55" s="5"/>
      <c r="EZ55" s="5"/>
      <c r="FA55" s="5"/>
      <c r="FC55" s="11">
        <v>45809</v>
      </c>
      <c r="FD55" s="5"/>
      <c r="FE55" s="5"/>
      <c r="FF55" s="5"/>
      <c r="FG55" s="5"/>
      <c r="FH55" s="5"/>
      <c r="FI55" s="5"/>
      <c r="FJ55" s="5"/>
      <c r="FK55" s="5"/>
    </row>
    <row r="56" spans="2:167">
      <c r="B56" s="11">
        <v>45839</v>
      </c>
      <c r="C56" s="2">
        <v>331</v>
      </c>
      <c r="D56" s="2">
        <v>585</v>
      </c>
      <c r="E56" s="2">
        <v>1505</v>
      </c>
      <c r="F56" s="2">
        <v>810</v>
      </c>
      <c r="G56" s="2">
        <v>934</v>
      </c>
      <c r="H56" s="2">
        <v>694</v>
      </c>
      <c r="I56" s="2">
        <v>1205</v>
      </c>
      <c r="J56" s="8">
        <v>6100</v>
      </c>
      <c r="L56" s="11">
        <v>45839</v>
      </c>
      <c r="M56" s="2">
        <v>331</v>
      </c>
      <c r="N56" s="2">
        <v>585</v>
      </c>
      <c r="O56" s="2">
        <v>1505</v>
      </c>
      <c r="P56" s="2">
        <v>810</v>
      </c>
      <c r="Q56" s="2">
        <v>934</v>
      </c>
      <c r="R56" s="2">
        <v>694</v>
      </c>
      <c r="S56" s="2">
        <v>1205</v>
      </c>
      <c r="T56" s="8">
        <v>6100</v>
      </c>
      <c r="U56" s="8"/>
      <c r="V56" s="11">
        <v>45839</v>
      </c>
      <c r="W56" s="207">
        <v>201792</v>
      </c>
      <c r="X56" s="207">
        <v>337444</v>
      </c>
      <c r="Y56" s="211">
        <v>634361</v>
      </c>
      <c r="Z56" s="211">
        <v>636539</v>
      </c>
      <c r="AA56" s="211">
        <v>561819</v>
      </c>
      <c r="AB56" s="211">
        <v>516824</v>
      </c>
      <c r="AC56" s="210">
        <v>745419</v>
      </c>
      <c r="AD56" s="210">
        <v>3737699</v>
      </c>
      <c r="AF56" s="11">
        <v>45839</v>
      </c>
      <c r="AG56" s="8">
        <v>150146</v>
      </c>
      <c r="AH56" s="8">
        <v>245082</v>
      </c>
      <c r="AI56" s="8">
        <v>460007</v>
      </c>
      <c r="AJ56" s="8">
        <v>462601</v>
      </c>
      <c r="AK56" s="8">
        <v>435040</v>
      </c>
      <c r="AL56" s="8">
        <v>370011</v>
      </c>
      <c r="AM56" s="8">
        <v>571035</v>
      </c>
      <c r="AN56" s="8">
        <v>2763402</v>
      </c>
      <c r="AO56" s="23"/>
      <c r="AP56" s="11">
        <v>45839</v>
      </c>
      <c r="AQ56" s="8"/>
      <c r="AR56" s="8"/>
      <c r="AS56" s="8"/>
      <c r="AT56" s="8"/>
      <c r="AU56" s="8"/>
      <c r="AV56" s="8"/>
      <c r="AW56" s="8"/>
      <c r="AX56" s="8"/>
      <c r="AY56" s="8"/>
      <c r="AZ56" s="11">
        <v>45839</v>
      </c>
      <c r="BA56" s="8">
        <f t="shared" si="89"/>
        <v>199421</v>
      </c>
      <c r="BB56" s="8"/>
      <c r="BC56" s="8">
        <v>125442</v>
      </c>
      <c r="BD56" s="8">
        <v>177264</v>
      </c>
      <c r="BE56" s="8">
        <v>466765</v>
      </c>
      <c r="BF56" s="8">
        <v>224802</v>
      </c>
      <c r="BG56" s="8">
        <v>195520</v>
      </c>
      <c r="BH56" s="8">
        <v>307063</v>
      </c>
      <c r="BI56" s="8">
        <v>276950</v>
      </c>
      <c r="BJ56" s="8">
        <f t="shared" si="104"/>
        <v>1773806</v>
      </c>
      <c r="BK56" s="8">
        <f>'Historic Data'!BM53</f>
        <v>1774062</v>
      </c>
      <c r="BL56" s="8"/>
      <c r="BM56" s="8">
        <v>73979</v>
      </c>
      <c r="BN56" s="8">
        <v>131530</v>
      </c>
      <c r="BO56" s="8">
        <v>316986</v>
      </c>
      <c r="BP56" s="8">
        <v>154850</v>
      </c>
      <c r="BQ56" s="8">
        <v>125221</v>
      </c>
      <c r="BR56" s="8">
        <v>169281</v>
      </c>
      <c r="BS56" s="8">
        <v>186496</v>
      </c>
      <c r="BT56" s="8">
        <f t="shared" si="91"/>
        <v>1158343</v>
      </c>
      <c r="BU56" s="8">
        <f>'Historic Data'!BO53</f>
        <v>1158361</v>
      </c>
      <c r="BV56" s="34"/>
      <c r="BW56" s="11">
        <v>45839</v>
      </c>
      <c r="BX56" s="5">
        <f t="shared" si="92"/>
        <v>7888</v>
      </c>
      <c r="BY56" s="5">
        <f t="shared" si="93"/>
        <v>15518</v>
      </c>
      <c r="BZ56" s="5">
        <f t="shared" si="94"/>
        <v>28245</v>
      </c>
      <c r="CA56" s="5">
        <f t="shared" si="95"/>
        <v>30269</v>
      </c>
      <c r="CB56" s="5">
        <f t="shared" si="96"/>
        <v>20676</v>
      </c>
      <c r="CC56" s="5">
        <f t="shared" si="97"/>
        <v>21966</v>
      </c>
      <c r="CD56" s="5">
        <f t="shared" si="98"/>
        <v>34447</v>
      </c>
      <c r="CE56" s="5">
        <f t="shared" si="99"/>
        <v>159009</v>
      </c>
      <c r="CF56" s="5">
        <f t="shared" si="100"/>
        <v>147149</v>
      </c>
      <c r="CG56" s="8"/>
      <c r="CH56" s="11">
        <v>45839</v>
      </c>
      <c r="CI56" s="8">
        <v>4141</v>
      </c>
      <c r="CJ56" s="8">
        <v>8406</v>
      </c>
      <c r="CK56" s="8">
        <v>15153</v>
      </c>
      <c r="CL56" s="8">
        <v>16522</v>
      </c>
      <c r="CM56" s="8">
        <v>10621</v>
      </c>
      <c r="CN56" s="8">
        <v>11580</v>
      </c>
      <c r="CO56" s="8">
        <v>18856</v>
      </c>
      <c r="CP56" s="5">
        <f t="shared" si="101"/>
        <v>85279</v>
      </c>
      <c r="CQ56" s="5">
        <f>'Historic Data'!CZ53</f>
        <v>67853</v>
      </c>
      <c r="CR56" s="8"/>
      <c r="CS56" s="11">
        <v>45839</v>
      </c>
      <c r="CT56" s="8">
        <v>3747</v>
      </c>
      <c r="CU56" s="8">
        <v>7112</v>
      </c>
      <c r="CV56" s="8">
        <v>13092</v>
      </c>
      <c r="CW56" s="8">
        <v>13747</v>
      </c>
      <c r="CX56" s="8">
        <v>10055</v>
      </c>
      <c r="CY56" s="8">
        <v>10386</v>
      </c>
      <c r="CZ56" s="8">
        <v>15591</v>
      </c>
      <c r="DA56" s="5">
        <f t="shared" si="102"/>
        <v>73730</v>
      </c>
      <c r="DB56" s="5">
        <f>'Historic Data'!DL53</f>
        <v>79296</v>
      </c>
      <c r="DC56" s="8"/>
      <c r="DD56" s="11">
        <v>45839</v>
      </c>
      <c r="DE56" s="8">
        <v>30961</v>
      </c>
      <c r="DF56" s="8">
        <v>51205</v>
      </c>
      <c r="DG56" s="8">
        <v>95182</v>
      </c>
      <c r="DH56" s="8">
        <v>96752</v>
      </c>
      <c r="DI56" s="8">
        <v>75197</v>
      </c>
      <c r="DJ56" s="8">
        <v>73412</v>
      </c>
      <c r="DK56" s="8">
        <v>132194</v>
      </c>
      <c r="DL56" s="5">
        <f t="shared" si="103"/>
        <v>554903</v>
      </c>
      <c r="DM56" s="5">
        <f>'Historic Data'!DX53</f>
        <v>569448</v>
      </c>
      <c r="DN56" s="8"/>
      <c r="DO56" s="11">
        <v>45839</v>
      </c>
      <c r="DP56" s="8"/>
      <c r="DQ56" s="8"/>
      <c r="DR56" s="8"/>
      <c r="DS56" s="8"/>
      <c r="DT56" s="8"/>
      <c r="DU56" s="8"/>
      <c r="DV56" s="8"/>
      <c r="DW56" s="8"/>
      <c r="DX56" s="8"/>
      <c r="DY56" s="11">
        <v>45839</v>
      </c>
      <c r="DZ56" s="8"/>
      <c r="EA56" s="8"/>
      <c r="EB56" s="8"/>
      <c r="EC56" s="8"/>
      <c r="ED56" s="8"/>
      <c r="EE56" s="8"/>
      <c r="EF56" s="8"/>
      <c r="EG56" s="8"/>
      <c r="EH56" s="23"/>
      <c r="EI56" s="11">
        <v>45839</v>
      </c>
      <c r="EJ56" s="5"/>
      <c r="EK56" s="5"/>
      <c r="EL56" s="5"/>
      <c r="EM56" s="5"/>
      <c r="EN56" s="5"/>
      <c r="EO56" s="5"/>
      <c r="EP56" s="5"/>
      <c r="EQ56" s="5"/>
      <c r="ER56" s="5"/>
      <c r="ES56" s="11">
        <v>45839</v>
      </c>
      <c r="ET56" s="5"/>
      <c r="EU56" s="5"/>
      <c r="EV56" s="5"/>
      <c r="EW56" s="5"/>
      <c r="EX56" s="5"/>
      <c r="EY56" s="5"/>
      <c r="EZ56" s="5"/>
      <c r="FA56" s="5"/>
      <c r="FC56" s="11">
        <v>45839</v>
      </c>
      <c r="FD56" s="5"/>
      <c r="FE56" s="5"/>
      <c r="FF56" s="5"/>
      <c r="FG56" s="5"/>
      <c r="FH56" s="5"/>
      <c r="FI56" s="5"/>
      <c r="FJ56" s="5"/>
      <c r="FK56" s="5"/>
    </row>
    <row r="57" spans="2:167">
      <c r="B57" s="11">
        <v>45870</v>
      </c>
      <c r="C57" s="2">
        <v>430</v>
      </c>
      <c r="D57" s="2">
        <v>642</v>
      </c>
      <c r="E57" s="2">
        <v>1804</v>
      </c>
      <c r="F57" s="2">
        <v>912</v>
      </c>
      <c r="G57" s="2">
        <v>1104</v>
      </c>
      <c r="H57" s="2">
        <v>879</v>
      </c>
      <c r="I57" s="2">
        <v>1491</v>
      </c>
      <c r="J57" s="8">
        <v>7345</v>
      </c>
      <c r="L57" s="11">
        <v>45870</v>
      </c>
      <c r="M57" s="2">
        <v>430</v>
      </c>
      <c r="N57" s="2">
        <v>642</v>
      </c>
      <c r="O57" s="2">
        <v>1804</v>
      </c>
      <c r="P57" s="2">
        <v>912</v>
      </c>
      <c r="Q57" s="2">
        <v>1104</v>
      </c>
      <c r="R57" s="2">
        <v>879</v>
      </c>
      <c r="S57" s="2">
        <v>1491</v>
      </c>
      <c r="T57" s="8">
        <v>7345</v>
      </c>
      <c r="U57" s="8"/>
      <c r="V57" s="11">
        <v>45870</v>
      </c>
      <c r="W57" s="207">
        <v>205526</v>
      </c>
      <c r="X57" s="207">
        <v>340825</v>
      </c>
      <c r="Y57" s="211">
        <v>642490</v>
      </c>
      <c r="Z57" s="211">
        <v>631073</v>
      </c>
      <c r="AA57" s="211">
        <v>612410</v>
      </c>
      <c r="AB57" s="211">
        <v>523065</v>
      </c>
      <c r="AC57" s="210">
        <v>755294</v>
      </c>
      <c r="AD57" s="210">
        <v>3803561</v>
      </c>
      <c r="AF57" s="11">
        <v>45870</v>
      </c>
      <c r="AG57" s="8">
        <v>169838</v>
      </c>
      <c r="AH57" s="8">
        <v>278686</v>
      </c>
      <c r="AI57" s="8">
        <v>528170</v>
      </c>
      <c r="AJ57" s="8">
        <v>517805</v>
      </c>
      <c r="AK57" s="8">
        <v>508097</v>
      </c>
      <c r="AL57" s="8">
        <v>438758</v>
      </c>
      <c r="AM57" s="8">
        <v>613728</v>
      </c>
      <c r="AN57" s="8">
        <v>3116704</v>
      </c>
      <c r="AO57" s="23"/>
      <c r="AP57" s="11">
        <v>45870</v>
      </c>
      <c r="AQ57" s="8"/>
      <c r="AR57" s="8"/>
      <c r="AS57" s="8"/>
      <c r="AT57" s="8"/>
      <c r="AU57" s="8"/>
      <c r="AV57" s="8"/>
      <c r="AW57" s="8"/>
      <c r="AX57" s="8"/>
      <c r="AY57" s="8"/>
      <c r="AZ57" s="11">
        <v>45870</v>
      </c>
      <c r="BA57" s="8">
        <f t="shared" si="89"/>
        <v>192753</v>
      </c>
      <c r="BB57" s="8"/>
      <c r="BC57" s="8">
        <v>119933</v>
      </c>
      <c r="BD57" s="8">
        <v>183070</v>
      </c>
      <c r="BE57" s="8">
        <v>502105</v>
      </c>
      <c r="BF57" s="8">
        <v>218781</v>
      </c>
      <c r="BG57" s="8">
        <v>207502</v>
      </c>
      <c r="BH57" s="8">
        <v>323003</v>
      </c>
      <c r="BI57" s="8">
        <v>285419</v>
      </c>
      <c r="BJ57" s="8">
        <f t="shared" si="104"/>
        <v>1839813</v>
      </c>
      <c r="BK57" s="8">
        <f>'Historic Data'!BM54</f>
        <v>1840689</v>
      </c>
      <c r="BL57" s="8"/>
      <c r="BM57" s="8">
        <v>72820</v>
      </c>
      <c r="BN57" s="8">
        <v>131379</v>
      </c>
      <c r="BO57" s="8">
        <v>353824</v>
      </c>
      <c r="BP57" s="8">
        <v>142249</v>
      </c>
      <c r="BQ57" s="8">
        <v>140165</v>
      </c>
      <c r="BR57" s="8">
        <v>185380</v>
      </c>
      <c r="BS57" s="8">
        <v>184483</v>
      </c>
      <c r="BT57" s="8">
        <f t="shared" si="91"/>
        <v>1210300</v>
      </c>
      <c r="BU57" s="8">
        <f>'Historic Data'!BO54</f>
        <v>1210732</v>
      </c>
      <c r="BV57" s="34"/>
      <c r="BW57" s="11">
        <v>45870</v>
      </c>
      <c r="BX57" s="5">
        <f t="shared" si="92"/>
        <v>8465</v>
      </c>
      <c r="BY57" s="5">
        <f t="shared" si="93"/>
        <v>15818</v>
      </c>
      <c r="BZ57" s="5">
        <f t="shared" si="94"/>
        <v>29409</v>
      </c>
      <c r="CA57" s="5">
        <f t="shared" si="95"/>
        <v>29133</v>
      </c>
      <c r="CB57" s="5">
        <f t="shared" si="96"/>
        <v>21645</v>
      </c>
      <c r="CC57" s="5">
        <f t="shared" si="97"/>
        <v>22134</v>
      </c>
      <c r="CD57" s="5">
        <f t="shared" si="98"/>
        <v>37060</v>
      </c>
      <c r="CE57" s="5">
        <f t="shared" si="99"/>
        <v>163664</v>
      </c>
      <c r="CF57" s="5">
        <f t="shared" si="100"/>
        <v>163738</v>
      </c>
      <c r="CG57" s="8"/>
      <c r="CH57" s="11">
        <v>45870</v>
      </c>
      <c r="CI57" s="8">
        <v>4036</v>
      </c>
      <c r="CJ57" s="8">
        <v>7459</v>
      </c>
      <c r="CK57" s="8">
        <v>14149</v>
      </c>
      <c r="CL57" s="8">
        <v>13901</v>
      </c>
      <c r="CM57" s="8">
        <v>9922</v>
      </c>
      <c r="CN57" s="8">
        <v>10073</v>
      </c>
      <c r="CO57" s="8">
        <v>17580</v>
      </c>
      <c r="CP57" s="5">
        <f t="shared" si="101"/>
        <v>77120</v>
      </c>
      <c r="CQ57" s="5">
        <f>'Historic Data'!CZ54</f>
        <v>69485</v>
      </c>
      <c r="CR57" s="8"/>
      <c r="CS57" s="11">
        <v>45870</v>
      </c>
      <c r="CT57" s="8">
        <v>4429</v>
      </c>
      <c r="CU57" s="8">
        <v>8359</v>
      </c>
      <c r="CV57" s="8">
        <v>15260</v>
      </c>
      <c r="CW57" s="8">
        <v>15232</v>
      </c>
      <c r="CX57" s="8">
        <v>11723</v>
      </c>
      <c r="CY57" s="8">
        <v>12061</v>
      </c>
      <c r="CZ57" s="8">
        <v>19480</v>
      </c>
      <c r="DA57" s="5">
        <f t="shared" si="102"/>
        <v>86544</v>
      </c>
      <c r="DB57" s="5">
        <f>'Historic Data'!DL54</f>
        <v>94253</v>
      </c>
      <c r="DC57" s="8"/>
      <c r="DD57" s="11">
        <v>45870</v>
      </c>
      <c r="DE57" s="8">
        <v>35952</v>
      </c>
      <c r="DF57" s="8">
        <v>58131</v>
      </c>
      <c r="DG57" s="8">
        <v>108165</v>
      </c>
      <c r="DH57" s="8">
        <v>109725</v>
      </c>
      <c r="DI57" s="8">
        <v>85484</v>
      </c>
      <c r="DJ57" s="8">
        <v>85234</v>
      </c>
      <c r="DK57" s="8">
        <v>148706</v>
      </c>
      <c r="DL57" s="5">
        <f t="shared" si="103"/>
        <v>631397</v>
      </c>
      <c r="DM57" s="5">
        <f>'Historic Data'!DX54</f>
        <v>645165</v>
      </c>
      <c r="DN57" s="8"/>
      <c r="DO57" s="11">
        <v>45870</v>
      </c>
      <c r="DP57" s="8"/>
      <c r="DQ57" s="8"/>
      <c r="DR57" s="8"/>
      <c r="DS57" s="8"/>
      <c r="DT57" s="8"/>
      <c r="DU57" s="8"/>
      <c r="DV57" s="8"/>
      <c r="DW57" s="8"/>
      <c r="DX57" s="8"/>
      <c r="DY57" s="11">
        <v>45870</v>
      </c>
      <c r="DZ57" s="8"/>
      <c r="EA57" s="8"/>
      <c r="EB57" s="8"/>
      <c r="EC57" s="8"/>
      <c r="ED57" s="8"/>
      <c r="EE57" s="8"/>
      <c r="EF57" s="8"/>
      <c r="EG57" s="8"/>
      <c r="EI57" s="11">
        <v>45870</v>
      </c>
      <c r="EJ57" s="5"/>
      <c r="EK57" s="5"/>
      <c r="EL57" s="5"/>
      <c r="EM57" s="5"/>
      <c r="EN57" s="5"/>
      <c r="EO57" s="5"/>
      <c r="EP57" s="5"/>
      <c r="EQ57" s="5"/>
      <c r="ER57" s="5"/>
      <c r="ES57" s="11">
        <v>45870</v>
      </c>
      <c r="ET57" s="5"/>
      <c r="EU57" s="5"/>
      <c r="EV57" s="5"/>
      <c r="EW57" s="5"/>
      <c r="EX57" s="5"/>
      <c r="EY57" s="5"/>
      <c r="EZ57" s="5"/>
      <c r="FA57" s="5"/>
      <c r="FC57" s="11">
        <v>45870</v>
      </c>
      <c r="FD57" s="5"/>
      <c r="FE57" s="5"/>
      <c r="FF57" s="5"/>
      <c r="FG57" s="5"/>
      <c r="FH57" s="5"/>
      <c r="FI57" s="5"/>
      <c r="FJ57" s="5"/>
      <c r="FK57" s="5"/>
    </row>
    <row r="58" spans="2:167">
      <c r="B58" s="11">
        <v>45901</v>
      </c>
      <c r="C58" s="2">
        <v>417</v>
      </c>
      <c r="D58" s="2">
        <v>506</v>
      </c>
      <c r="E58" s="2">
        <v>1410</v>
      </c>
      <c r="F58" s="2">
        <v>791</v>
      </c>
      <c r="G58" s="2">
        <v>936</v>
      </c>
      <c r="H58" s="2">
        <v>672</v>
      </c>
      <c r="I58" s="2">
        <v>1107</v>
      </c>
      <c r="J58" s="8">
        <v>5891</v>
      </c>
      <c r="L58" s="11">
        <v>45901</v>
      </c>
      <c r="M58" s="2">
        <v>417</v>
      </c>
      <c r="N58" s="2">
        <v>506</v>
      </c>
      <c r="O58" s="2">
        <v>1410</v>
      </c>
      <c r="P58" s="2">
        <v>791</v>
      </c>
      <c r="Q58" s="2">
        <v>936</v>
      </c>
      <c r="R58" s="2">
        <v>672</v>
      </c>
      <c r="S58" s="2">
        <v>1107</v>
      </c>
      <c r="T58" s="8">
        <v>5891</v>
      </c>
      <c r="U58" s="8"/>
      <c r="V58" s="11">
        <v>45901</v>
      </c>
      <c r="W58" s="207">
        <v>140479</v>
      </c>
      <c r="X58" s="207">
        <v>223713</v>
      </c>
      <c r="Y58" s="210">
        <v>428462</v>
      </c>
      <c r="Z58" s="210">
        <v>421375</v>
      </c>
      <c r="AA58" s="210">
        <v>416762</v>
      </c>
      <c r="AB58" s="210">
        <v>352052</v>
      </c>
      <c r="AC58" s="210">
        <v>524479</v>
      </c>
      <c r="AD58" s="210">
        <v>2581522</v>
      </c>
      <c r="AF58" s="11">
        <v>45901</v>
      </c>
      <c r="AG58" s="8">
        <v>119307</v>
      </c>
      <c r="AH58" s="8">
        <v>187867</v>
      </c>
      <c r="AI58" s="8">
        <v>364721</v>
      </c>
      <c r="AJ58" s="8">
        <v>353516</v>
      </c>
      <c r="AK58" s="8">
        <v>350203</v>
      </c>
      <c r="AL58" s="8">
        <v>303563</v>
      </c>
      <c r="AM58" s="8">
        <v>428797</v>
      </c>
      <c r="AN58" s="8">
        <v>2154994</v>
      </c>
      <c r="AO58" s="8"/>
      <c r="AP58" s="11">
        <v>45901</v>
      </c>
      <c r="AQ58" s="8"/>
      <c r="AR58" s="8"/>
      <c r="AS58" s="8"/>
      <c r="AT58" s="8"/>
      <c r="AU58" s="8"/>
      <c r="AV58" s="8"/>
      <c r="AW58" s="8"/>
      <c r="AX58" s="8"/>
      <c r="AY58" s="8"/>
      <c r="AZ58" s="11">
        <v>45901</v>
      </c>
      <c r="BA58" s="8">
        <f t="shared" si="89"/>
        <v>192813</v>
      </c>
      <c r="BB58" s="8"/>
      <c r="BC58" s="8">
        <v>123294</v>
      </c>
      <c r="BD58" s="8">
        <v>152980</v>
      </c>
      <c r="BE58" s="8">
        <v>490922</v>
      </c>
      <c r="BF58" s="8">
        <v>217617</v>
      </c>
      <c r="BG58" s="8">
        <v>206914</v>
      </c>
      <c r="BH58" s="8">
        <v>297286</v>
      </c>
      <c r="BI58" s="8">
        <v>270145</v>
      </c>
      <c r="BJ58" s="8">
        <f t="shared" si="104"/>
        <v>1759158</v>
      </c>
      <c r="BK58" s="8">
        <f>'Historic Data'!BM55</f>
        <v>1759334</v>
      </c>
      <c r="BL58" s="8"/>
      <c r="BM58" s="8">
        <v>69519</v>
      </c>
      <c r="BN58" s="8">
        <v>105169</v>
      </c>
      <c r="BO58" s="8">
        <v>333146</v>
      </c>
      <c r="BP58" s="8">
        <v>143683</v>
      </c>
      <c r="BQ58" s="8">
        <v>146806</v>
      </c>
      <c r="BR58" s="8">
        <v>157929</v>
      </c>
      <c r="BS58" s="8">
        <v>171197</v>
      </c>
      <c r="BT58" s="8">
        <f t="shared" si="91"/>
        <v>1127449</v>
      </c>
      <c r="BU58" s="8">
        <f>'Historic Data'!BO55</f>
        <v>1127534</v>
      </c>
      <c r="BV58" s="35"/>
      <c r="BW58" s="11">
        <v>45901</v>
      </c>
      <c r="BX58" s="5">
        <f t="shared" si="92"/>
        <v>6328</v>
      </c>
      <c r="BY58" s="5">
        <f t="shared" si="93"/>
        <v>11920</v>
      </c>
      <c r="BZ58" s="5">
        <f t="shared" si="94"/>
        <v>22949</v>
      </c>
      <c r="CA58" s="5">
        <f t="shared" si="95"/>
        <v>22764</v>
      </c>
      <c r="CB58" s="5">
        <f t="shared" si="96"/>
        <v>18529</v>
      </c>
      <c r="CC58" s="5">
        <f t="shared" si="97"/>
        <v>16900</v>
      </c>
      <c r="CD58" s="5">
        <f t="shared" si="98"/>
        <v>29698</v>
      </c>
      <c r="CE58" s="5">
        <f t="shared" si="99"/>
        <v>129088</v>
      </c>
      <c r="CF58" s="5">
        <f t="shared" si="100"/>
        <v>134161</v>
      </c>
      <c r="CG58" s="8"/>
      <c r="CH58" s="11">
        <v>45901</v>
      </c>
      <c r="CI58" s="8">
        <v>3056</v>
      </c>
      <c r="CJ58" s="8">
        <v>6007</v>
      </c>
      <c r="CK58" s="8">
        <v>12179</v>
      </c>
      <c r="CL58" s="8">
        <v>11501</v>
      </c>
      <c r="CM58" s="8">
        <v>9013</v>
      </c>
      <c r="CN58" s="8">
        <v>8160</v>
      </c>
      <c r="CO58" s="8">
        <v>14878</v>
      </c>
      <c r="CP58" s="5">
        <f t="shared" si="101"/>
        <v>64794</v>
      </c>
      <c r="CQ58" s="5">
        <f>'Historic Data'!CZ55</f>
        <v>62950</v>
      </c>
      <c r="CR58" s="8"/>
      <c r="CS58" s="11">
        <v>45901</v>
      </c>
      <c r="CT58" s="8">
        <v>3272</v>
      </c>
      <c r="CU58" s="8">
        <v>5913</v>
      </c>
      <c r="CV58" s="8">
        <v>10770</v>
      </c>
      <c r="CW58" s="8">
        <v>11263</v>
      </c>
      <c r="CX58" s="8">
        <v>9516</v>
      </c>
      <c r="CY58" s="8">
        <v>8740</v>
      </c>
      <c r="CZ58" s="8">
        <v>14820</v>
      </c>
      <c r="DA58" s="5">
        <f t="shared" si="102"/>
        <v>64294</v>
      </c>
      <c r="DB58" s="5">
        <f>'Historic Data'!DL55</f>
        <v>71211</v>
      </c>
      <c r="DC58" s="8"/>
      <c r="DD58" s="11">
        <v>45901</v>
      </c>
      <c r="DE58" s="8">
        <v>31795</v>
      </c>
      <c r="DF58" s="8">
        <v>51351</v>
      </c>
      <c r="DG58" s="8">
        <v>97005</v>
      </c>
      <c r="DH58" s="8">
        <v>96465</v>
      </c>
      <c r="DI58" s="8">
        <v>81923</v>
      </c>
      <c r="DJ58" s="8">
        <v>76275</v>
      </c>
      <c r="DK58" s="8">
        <v>129014</v>
      </c>
      <c r="DL58" s="5">
        <f t="shared" si="103"/>
        <v>563828</v>
      </c>
      <c r="DM58" s="5">
        <f>'Historic Data'!DX55</f>
        <v>575834</v>
      </c>
      <c r="DN58" s="8"/>
      <c r="DO58" s="11">
        <v>45901</v>
      </c>
      <c r="DP58" s="8"/>
      <c r="DQ58" s="8"/>
      <c r="DR58" s="8"/>
      <c r="DS58" s="8"/>
      <c r="DT58" s="8"/>
      <c r="DU58" s="8"/>
      <c r="DV58" s="8"/>
      <c r="DW58" s="8"/>
      <c r="DX58" s="8"/>
      <c r="DY58" s="11">
        <v>45901</v>
      </c>
      <c r="DZ58" s="8"/>
      <c r="EA58" s="8"/>
      <c r="EB58" s="8"/>
      <c r="EC58" s="8"/>
      <c r="ED58" s="8"/>
      <c r="EE58" s="8"/>
      <c r="EF58" s="8"/>
      <c r="EG58" s="8"/>
      <c r="EI58" s="11">
        <v>45901</v>
      </c>
      <c r="EJ58" s="5"/>
      <c r="EK58" s="5"/>
      <c r="EL58" s="5"/>
      <c r="EM58" s="5"/>
      <c r="EN58" s="5"/>
      <c r="EO58" s="5"/>
      <c r="EP58" s="5"/>
      <c r="EQ58" s="5"/>
      <c r="ER58" s="5"/>
      <c r="ES58" s="11">
        <v>45901</v>
      </c>
      <c r="ET58" s="5"/>
      <c r="EU58" s="5"/>
      <c r="EV58" s="5"/>
      <c r="EW58" s="5"/>
      <c r="EX58" s="5"/>
      <c r="EY58" s="5"/>
      <c r="EZ58" s="5"/>
      <c r="FA58" s="5"/>
      <c r="FC58" s="11">
        <v>45901</v>
      </c>
      <c r="FD58" s="5"/>
      <c r="FE58" s="5"/>
      <c r="FF58" s="5"/>
      <c r="FG58" s="5"/>
      <c r="FH58" s="5"/>
      <c r="FI58" s="5"/>
      <c r="FJ58" s="5"/>
      <c r="FK58" s="5"/>
    </row>
    <row r="59" spans="2:167">
      <c r="B59" s="11">
        <v>45931</v>
      </c>
      <c r="C59" s="2">
        <v>296</v>
      </c>
      <c r="D59" s="2">
        <v>516</v>
      </c>
      <c r="E59" s="2">
        <v>1551</v>
      </c>
      <c r="F59" s="2">
        <v>669</v>
      </c>
      <c r="G59" s="2">
        <v>875</v>
      </c>
      <c r="H59" s="2">
        <v>727</v>
      </c>
      <c r="I59" s="2">
        <v>1057</v>
      </c>
      <c r="J59" s="8">
        <v>5751</v>
      </c>
      <c r="L59" s="11">
        <v>45931</v>
      </c>
      <c r="M59" s="2">
        <v>296</v>
      </c>
      <c r="N59" s="2">
        <v>516</v>
      </c>
      <c r="O59" s="2">
        <v>1551</v>
      </c>
      <c r="P59" s="2">
        <v>669</v>
      </c>
      <c r="Q59" s="2">
        <v>875</v>
      </c>
      <c r="R59" s="2">
        <v>727</v>
      </c>
      <c r="S59" s="2">
        <v>1057</v>
      </c>
      <c r="T59" s="8">
        <v>5751</v>
      </c>
      <c r="U59" s="8"/>
      <c r="V59" s="11">
        <v>45931</v>
      </c>
      <c r="W59" s="210">
        <v>187801</v>
      </c>
      <c r="X59" s="210">
        <v>272712</v>
      </c>
      <c r="Y59" s="210">
        <v>547445</v>
      </c>
      <c r="Z59" s="210">
        <v>565519</v>
      </c>
      <c r="AA59" s="210">
        <v>499718</v>
      </c>
      <c r="AB59" s="210">
        <v>464565</v>
      </c>
      <c r="AC59" s="210">
        <v>613406</v>
      </c>
      <c r="AD59" s="210">
        <v>3236889</v>
      </c>
      <c r="AF59" s="11">
        <v>45931</v>
      </c>
      <c r="AG59" s="5">
        <v>153479</v>
      </c>
      <c r="AH59" s="5">
        <v>221141</v>
      </c>
      <c r="AI59" s="5">
        <v>441778</v>
      </c>
      <c r="AJ59" s="5">
        <v>449723</v>
      </c>
      <c r="AK59" s="5">
        <v>402861</v>
      </c>
      <c r="AL59" s="5">
        <v>380708</v>
      </c>
      <c r="AM59" s="5">
        <v>496818</v>
      </c>
      <c r="AN59" s="5">
        <v>2601417</v>
      </c>
      <c r="AO59" s="10"/>
      <c r="AP59" s="11">
        <v>45931</v>
      </c>
      <c r="AQ59" s="8"/>
      <c r="AR59" s="8"/>
      <c r="AS59" s="8"/>
      <c r="AT59" s="8"/>
      <c r="AU59" s="8"/>
      <c r="AV59" s="8"/>
      <c r="AW59" s="8"/>
      <c r="AX59" s="8"/>
      <c r="AY59" s="8"/>
      <c r="AZ59" s="11">
        <v>45931</v>
      </c>
      <c r="BA59" s="8">
        <f t="shared" si="89"/>
        <v>188719</v>
      </c>
      <c r="BB59" s="8"/>
      <c r="BC59" s="8">
        <v>120030</v>
      </c>
      <c r="BD59" s="8">
        <v>168594</v>
      </c>
      <c r="BE59" s="8">
        <v>490617</v>
      </c>
      <c r="BF59" s="8">
        <v>213920</v>
      </c>
      <c r="BG59" s="8">
        <v>187892</v>
      </c>
      <c r="BH59" s="8">
        <v>309997</v>
      </c>
      <c r="BI59" s="8">
        <v>278345</v>
      </c>
      <c r="BJ59" s="8">
        <f t="shared" si="104"/>
        <v>1769395</v>
      </c>
      <c r="BK59" s="8">
        <f>'Historic Data'!BM56</f>
        <v>1769582</v>
      </c>
      <c r="BL59" s="8"/>
      <c r="BM59" s="8">
        <v>68689</v>
      </c>
      <c r="BN59" s="8">
        <v>117840</v>
      </c>
      <c r="BO59" s="8">
        <v>325674</v>
      </c>
      <c r="BP59" s="8">
        <v>133129</v>
      </c>
      <c r="BQ59" s="8">
        <v>132147</v>
      </c>
      <c r="BR59" s="8">
        <v>168725</v>
      </c>
      <c r="BS59" s="8">
        <v>170753</v>
      </c>
      <c r="BT59" s="8">
        <f t="shared" si="91"/>
        <v>1116957</v>
      </c>
      <c r="BU59" s="8">
        <f>'Historic Data'!BO56</f>
        <v>1117000</v>
      </c>
      <c r="BV59" s="6"/>
      <c r="BW59" s="11">
        <v>45931</v>
      </c>
      <c r="BX59" s="5">
        <f t="shared" si="92"/>
        <v>6385</v>
      </c>
      <c r="BY59" s="5">
        <f t="shared" si="93"/>
        <v>11384</v>
      </c>
      <c r="BZ59" s="5">
        <f t="shared" si="94"/>
        <v>22751</v>
      </c>
      <c r="CA59" s="5">
        <f t="shared" si="95"/>
        <v>22745</v>
      </c>
      <c r="CB59" s="5">
        <f t="shared" si="96"/>
        <v>16738</v>
      </c>
      <c r="CC59" s="5">
        <f t="shared" si="97"/>
        <v>16997</v>
      </c>
      <c r="CD59" s="5">
        <f t="shared" si="98"/>
        <v>27201</v>
      </c>
      <c r="CE59" s="5">
        <f t="shared" si="99"/>
        <v>124201</v>
      </c>
      <c r="CF59" s="5">
        <f t="shared" si="100"/>
        <v>125618</v>
      </c>
      <c r="CG59" s="8"/>
      <c r="CH59" s="11">
        <v>45931</v>
      </c>
      <c r="CI59" s="8">
        <v>2837</v>
      </c>
      <c r="CJ59" s="8">
        <v>5410</v>
      </c>
      <c r="CK59" s="8">
        <v>10841</v>
      </c>
      <c r="CL59" s="8">
        <v>11070</v>
      </c>
      <c r="CM59" s="8">
        <v>7876</v>
      </c>
      <c r="CN59" s="8">
        <v>7599</v>
      </c>
      <c r="CO59" s="8">
        <v>12959</v>
      </c>
      <c r="CP59" s="5">
        <f t="shared" si="101"/>
        <v>58592</v>
      </c>
      <c r="CQ59" s="5">
        <f>'Historic Data'!CZ56</f>
        <v>54007</v>
      </c>
      <c r="CR59" s="8"/>
      <c r="CS59" s="11">
        <v>45931</v>
      </c>
      <c r="CT59" s="8">
        <v>3548</v>
      </c>
      <c r="CU59" s="8">
        <v>5974</v>
      </c>
      <c r="CV59" s="8">
        <v>11910</v>
      </c>
      <c r="CW59" s="8">
        <v>11675</v>
      </c>
      <c r="CX59" s="8">
        <v>8862</v>
      </c>
      <c r="CY59" s="8">
        <v>9398</v>
      </c>
      <c r="CZ59" s="8">
        <v>14242</v>
      </c>
      <c r="DA59" s="5">
        <f t="shared" si="102"/>
        <v>65609</v>
      </c>
      <c r="DB59" s="5">
        <f>'Historic Data'!DL56</f>
        <v>71611</v>
      </c>
      <c r="DC59" s="8"/>
      <c r="DD59" s="11">
        <v>45931</v>
      </c>
      <c r="DE59" s="8">
        <v>32676</v>
      </c>
      <c r="DF59" s="8">
        <v>46957</v>
      </c>
      <c r="DG59" s="8">
        <v>94772</v>
      </c>
      <c r="DH59" s="8">
        <v>93175</v>
      </c>
      <c r="DI59" s="8">
        <v>76551</v>
      </c>
      <c r="DJ59" s="8">
        <v>76075</v>
      </c>
      <c r="DK59" s="8">
        <v>119754</v>
      </c>
      <c r="DL59" s="5">
        <f t="shared" si="103"/>
        <v>539960</v>
      </c>
      <c r="DM59" s="5">
        <f>'Historic Data'!DX56</f>
        <v>552680</v>
      </c>
      <c r="DN59" s="8"/>
      <c r="DO59" s="11">
        <v>45931</v>
      </c>
      <c r="DP59" s="8"/>
      <c r="DQ59" s="8"/>
      <c r="DR59" s="8"/>
      <c r="DS59" s="8"/>
      <c r="DT59" s="8"/>
      <c r="DU59" s="8"/>
      <c r="DV59" s="8"/>
      <c r="DW59" s="8"/>
      <c r="DX59" s="8"/>
      <c r="DY59" s="11">
        <v>45931</v>
      </c>
      <c r="DZ59" s="8"/>
      <c r="EA59" s="8"/>
      <c r="EB59" s="8"/>
      <c r="EC59" s="8"/>
      <c r="ED59" s="8"/>
      <c r="EE59" s="8"/>
      <c r="EF59" s="8"/>
      <c r="EG59" s="8"/>
      <c r="EI59" s="11">
        <v>45931</v>
      </c>
      <c r="EJ59" s="5"/>
      <c r="EK59" s="5"/>
      <c r="EL59" s="5"/>
      <c r="EM59" s="5"/>
      <c r="EN59" s="5"/>
      <c r="EO59" s="5"/>
      <c r="EP59" s="5"/>
      <c r="EQ59" s="5"/>
      <c r="ER59" s="5"/>
      <c r="ES59" s="11">
        <v>45931</v>
      </c>
      <c r="ET59" s="5"/>
      <c r="EU59" s="5"/>
      <c r="EV59" s="5"/>
      <c r="EW59" s="5"/>
      <c r="EX59" s="5"/>
      <c r="EY59" s="5"/>
      <c r="EZ59" s="5"/>
      <c r="FA59" s="5"/>
      <c r="FC59" s="11">
        <v>45931</v>
      </c>
      <c r="FD59" s="5"/>
      <c r="FE59" s="5"/>
      <c r="FF59" s="5"/>
      <c r="FG59" s="5"/>
      <c r="FH59" s="5"/>
      <c r="FI59" s="5"/>
      <c r="FJ59" s="5"/>
      <c r="FK59" s="5"/>
    </row>
    <row r="60" spans="2:167">
      <c r="B60" s="11">
        <v>45962</v>
      </c>
      <c r="C60" s="2">
        <v>374</v>
      </c>
      <c r="D60" s="2">
        <v>540</v>
      </c>
      <c r="E60" s="2">
        <v>1762</v>
      </c>
      <c r="F60" s="2">
        <v>758</v>
      </c>
      <c r="G60" s="2">
        <v>1055</v>
      </c>
      <c r="H60" s="2">
        <v>903</v>
      </c>
      <c r="I60" s="2">
        <v>1316</v>
      </c>
      <c r="J60" s="8">
        <v>6732</v>
      </c>
      <c r="L60" s="11">
        <v>45962</v>
      </c>
      <c r="M60" s="2">
        <v>374</v>
      </c>
      <c r="N60" s="2">
        <v>540</v>
      </c>
      <c r="O60" s="2">
        <v>1762</v>
      </c>
      <c r="P60" s="2">
        <v>758</v>
      </c>
      <c r="Q60" s="2">
        <v>1055</v>
      </c>
      <c r="R60" s="2">
        <v>903</v>
      </c>
      <c r="S60" s="2">
        <v>1316</v>
      </c>
      <c r="T60" s="8">
        <v>6732</v>
      </c>
      <c r="U60" s="8"/>
      <c r="V60" s="11">
        <v>45962</v>
      </c>
      <c r="W60" s="210">
        <v>194331</v>
      </c>
      <c r="X60" s="210">
        <v>299444</v>
      </c>
      <c r="Y60" s="210">
        <v>574656</v>
      </c>
      <c r="Z60" s="210">
        <v>524997</v>
      </c>
      <c r="AA60" s="210">
        <v>512386</v>
      </c>
      <c r="AB60" s="210">
        <v>465544</v>
      </c>
      <c r="AC60" s="210">
        <v>608454</v>
      </c>
      <c r="AD60" s="210">
        <v>3281361</v>
      </c>
      <c r="AF60" s="11">
        <v>45962</v>
      </c>
      <c r="AG60" s="5">
        <v>154289</v>
      </c>
      <c r="AH60" s="5">
        <v>229555</v>
      </c>
      <c r="AI60" s="5">
        <v>444301</v>
      </c>
      <c r="AJ60" s="5">
        <v>400910</v>
      </c>
      <c r="AK60" s="5">
        <v>398597</v>
      </c>
      <c r="AL60" s="5">
        <v>374153</v>
      </c>
      <c r="AM60" s="5">
        <v>473734</v>
      </c>
      <c r="AN60" s="5">
        <v>2536552</v>
      </c>
      <c r="AP60" s="11">
        <v>45962</v>
      </c>
      <c r="AQ60" s="8"/>
      <c r="AR60" s="8"/>
      <c r="AS60" s="8"/>
      <c r="AT60" s="8"/>
      <c r="AU60" s="8"/>
      <c r="AV60" s="8"/>
      <c r="AW60" s="8"/>
      <c r="AX60" s="8"/>
      <c r="AY60" s="8"/>
      <c r="AZ60" s="11">
        <v>45962</v>
      </c>
      <c r="BA60" s="5">
        <f>BC60+BM60</f>
        <v>187696</v>
      </c>
      <c r="BB60" s="8"/>
      <c r="BC60" s="8">
        <v>121578</v>
      </c>
      <c r="BD60" s="8">
        <v>192891</v>
      </c>
      <c r="BE60" s="8">
        <v>477819</v>
      </c>
      <c r="BF60" s="8">
        <v>212117</v>
      </c>
      <c r="BG60" s="8">
        <v>190744</v>
      </c>
      <c r="BH60" s="8">
        <v>328619</v>
      </c>
      <c r="BI60" s="8">
        <v>274398</v>
      </c>
      <c r="BJ60" s="8">
        <f t="shared" si="104"/>
        <v>1798166</v>
      </c>
      <c r="BK60" s="8">
        <f>'Historic Data'!BM57</f>
        <v>1799571</v>
      </c>
      <c r="BL60" s="8"/>
      <c r="BM60" s="8">
        <v>66118</v>
      </c>
      <c r="BN60" s="8">
        <v>130774</v>
      </c>
      <c r="BO60" s="8">
        <v>310085</v>
      </c>
      <c r="BP60" s="8">
        <v>135461</v>
      </c>
      <c r="BQ60" s="8">
        <v>123584</v>
      </c>
      <c r="BR60" s="8">
        <v>185113</v>
      </c>
      <c r="BS60" s="8">
        <v>179790</v>
      </c>
      <c r="BT60" s="8">
        <f t="shared" si="91"/>
        <v>1130925</v>
      </c>
      <c r="BU60" s="8">
        <f>'Historic Data'!BO57</f>
        <v>1131310</v>
      </c>
      <c r="BV60" s="6"/>
      <c r="BW60" s="11">
        <v>45962</v>
      </c>
      <c r="BX60" s="5">
        <f t="shared" si="92"/>
        <v>6610</v>
      </c>
      <c r="BY60" s="5">
        <f t="shared" si="93"/>
        <v>12750</v>
      </c>
      <c r="BZ60" s="5">
        <f t="shared" si="94"/>
        <v>24073</v>
      </c>
      <c r="CA60" s="5">
        <f t="shared" si="95"/>
        <v>20087</v>
      </c>
      <c r="CB60" s="5">
        <f t="shared" si="96"/>
        <v>16669</v>
      </c>
      <c r="CC60" s="5">
        <f t="shared" si="97"/>
        <v>17123</v>
      </c>
      <c r="CD60" s="5">
        <f t="shared" si="98"/>
        <v>24195</v>
      </c>
      <c r="CE60" s="5">
        <f t="shared" si="99"/>
        <v>121507</v>
      </c>
      <c r="CF60" s="5">
        <f t="shared" si="100"/>
        <v>124179</v>
      </c>
      <c r="CG60" s="8"/>
      <c r="CH60" s="11">
        <v>45962</v>
      </c>
      <c r="CI60" s="8">
        <v>2903</v>
      </c>
      <c r="CJ60" s="8">
        <v>6343</v>
      </c>
      <c r="CK60" s="8">
        <v>11253</v>
      </c>
      <c r="CL60" s="8">
        <v>9547</v>
      </c>
      <c r="CM60" s="8">
        <v>7361</v>
      </c>
      <c r="CN60" s="8">
        <v>7817</v>
      </c>
      <c r="CO60" s="8">
        <v>11225</v>
      </c>
      <c r="CP60" s="5">
        <f t="shared" si="101"/>
        <v>56449</v>
      </c>
      <c r="CQ60" s="5">
        <f>'Historic Data'!CZ57</f>
        <v>53663</v>
      </c>
      <c r="CR60" s="8"/>
      <c r="CS60" s="11">
        <v>45962</v>
      </c>
      <c r="CT60" s="8">
        <v>3707</v>
      </c>
      <c r="CU60" s="8">
        <v>6407</v>
      </c>
      <c r="CV60" s="8">
        <v>12820</v>
      </c>
      <c r="CW60" s="8">
        <v>10540</v>
      </c>
      <c r="CX60" s="8">
        <v>9308</v>
      </c>
      <c r="CY60" s="8">
        <v>9306</v>
      </c>
      <c r="CZ60" s="8">
        <v>12970</v>
      </c>
      <c r="DA60" s="5">
        <f t="shared" si="102"/>
        <v>65058</v>
      </c>
      <c r="DB60" s="5">
        <f>'Historic Data'!DL57</f>
        <v>70516</v>
      </c>
      <c r="DC60" s="8"/>
      <c r="DD60" s="11">
        <v>45962</v>
      </c>
      <c r="DE60" s="8">
        <v>33700</v>
      </c>
      <c r="DF60" s="8">
        <v>50777</v>
      </c>
      <c r="DG60" s="8">
        <v>100850</v>
      </c>
      <c r="DH60" s="8">
        <v>86600</v>
      </c>
      <c r="DI60" s="8">
        <v>78441</v>
      </c>
      <c r="DJ60" s="8">
        <v>76550</v>
      </c>
      <c r="DK60" s="8">
        <v>108034</v>
      </c>
      <c r="DL60" s="5">
        <f t="shared" si="103"/>
        <v>534952</v>
      </c>
      <c r="DM60" s="5">
        <f>'Historic Data'!DX57</f>
        <v>549955</v>
      </c>
      <c r="DN60" s="8"/>
      <c r="DO60" s="11">
        <v>45962</v>
      </c>
      <c r="DP60" s="8"/>
      <c r="DQ60" s="8"/>
      <c r="DR60" s="8"/>
      <c r="DS60" s="8"/>
      <c r="DT60" s="8"/>
      <c r="DU60" s="8"/>
      <c r="DV60" s="8"/>
      <c r="DW60" s="8"/>
      <c r="DX60" s="8"/>
      <c r="DY60" s="11">
        <v>45962</v>
      </c>
      <c r="DZ60" s="5"/>
      <c r="EA60" s="5"/>
      <c r="EB60" s="5"/>
      <c r="EC60" s="5"/>
      <c r="ED60" s="5"/>
      <c r="EE60" s="5"/>
      <c r="EF60" s="5"/>
      <c r="EG60" s="5"/>
      <c r="EI60" s="11">
        <v>45962</v>
      </c>
      <c r="EJ60" s="5"/>
      <c r="EK60" s="5"/>
      <c r="EL60" s="5"/>
      <c r="EM60" s="5"/>
      <c r="EN60" s="5"/>
      <c r="EO60" s="5"/>
      <c r="EP60" s="5"/>
      <c r="EQ60" s="5"/>
      <c r="ER60" s="5"/>
      <c r="ES60" s="11">
        <v>45962</v>
      </c>
      <c r="ET60" s="5"/>
      <c r="EU60" s="5"/>
      <c r="EV60" s="5"/>
      <c r="EW60" s="5"/>
      <c r="EX60" s="5"/>
      <c r="EY60" s="5"/>
      <c r="EZ60" s="5"/>
      <c r="FA60" s="5"/>
      <c r="FC60" s="11">
        <v>45962</v>
      </c>
      <c r="FD60" s="5"/>
      <c r="FE60" s="5"/>
      <c r="FF60" s="5"/>
      <c r="FG60" s="5"/>
      <c r="FH60" s="5"/>
      <c r="FI60" s="5"/>
      <c r="FJ60" s="5"/>
      <c r="FK60" s="5"/>
    </row>
    <row r="61" spans="2:167">
      <c r="B61" s="11">
        <v>45992</v>
      </c>
      <c r="C61" s="2">
        <v>401</v>
      </c>
      <c r="D61" s="2">
        <v>739</v>
      </c>
      <c r="E61" s="2">
        <v>2135</v>
      </c>
      <c r="F61" s="2">
        <v>831</v>
      </c>
      <c r="G61" s="2">
        <v>1214</v>
      </c>
      <c r="H61" s="2">
        <v>1057</v>
      </c>
      <c r="I61" s="2">
        <v>1525</v>
      </c>
      <c r="J61" s="8">
        <v>7903</v>
      </c>
      <c r="L61" s="11">
        <v>45992</v>
      </c>
      <c r="M61" s="2">
        <v>401</v>
      </c>
      <c r="N61" s="2">
        <v>739</v>
      </c>
      <c r="O61" s="2">
        <v>2135</v>
      </c>
      <c r="P61" s="2">
        <v>831</v>
      </c>
      <c r="Q61" s="2">
        <v>1214</v>
      </c>
      <c r="R61" s="2">
        <v>1057</v>
      </c>
      <c r="S61" s="2">
        <v>1525</v>
      </c>
      <c r="T61" s="8">
        <v>7903</v>
      </c>
      <c r="U61" s="22"/>
      <c r="V61" s="11">
        <v>45992</v>
      </c>
      <c r="W61" s="55">
        <v>186794</v>
      </c>
      <c r="X61" s="55">
        <v>290885</v>
      </c>
      <c r="Y61" s="55">
        <v>572266</v>
      </c>
      <c r="Z61" s="55">
        <v>488488</v>
      </c>
      <c r="AA61" s="55">
        <v>500678</v>
      </c>
      <c r="AB61" s="55">
        <v>462931</v>
      </c>
      <c r="AC61" s="55">
        <v>587408</v>
      </c>
      <c r="AD61" s="55">
        <v>3168892</v>
      </c>
      <c r="AF61" s="11">
        <v>45992</v>
      </c>
      <c r="AG61" s="5">
        <v>148608</v>
      </c>
      <c r="AH61" s="5">
        <v>229269</v>
      </c>
      <c r="AI61" s="5">
        <v>459534</v>
      </c>
      <c r="AJ61" s="5">
        <v>384887</v>
      </c>
      <c r="AK61" s="5">
        <v>391711</v>
      </c>
      <c r="AL61" s="5">
        <v>373157</v>
      </c>
      <c r="AM61" s="5">
        <v>469382</v>
      </c>
      <c r="AN61" s="5">
        <v>2504053</v>
      </c>
      <c r="AO61" s="5"/>
      <c r="AP61" s="11">
        <v>45992</v>
      </c>
      <c r="AQ61" s="8"/>
      <c r="AR61" s="8"/>
      <c r="AS61" s="8"/>
      <c r="AT61" s="8"/>
      <c r="AU61" s="8"/>
      <c r="AV61" s="8"/>
      <c r="AW61" s="8"/>
      <c r="AX61" s="8"/>
      <c r="AY61" s="8"/>
      <c r="AZ61" s="11">
        <v>45992</v>
      </c>
      <c r="BA61" s="8">
        <f t="shared" si="89"/>
        <v>183150</v>
      </c>
      <c r="BB61" s="8"/>
      <c r="BC61" s="8">
        <v>122430</v>
      </c>
      <c r="BD61" s="8">
        <v>199056</v>
      </c>
      <c r="BE61" s="8">
        <v>500484</v>
      </c>
      <c r="BF61" s="8">
        <v>222617</v>
      </c>
      <c r="BG61" s="8">
        <v>251088</v>
      </c>
      <c r="BH61" s="8">
        <v>325771</v>
      </c>
      <c r="BI61" s="8">
        <v>272810</v>
      </c>
      <c r="BJ61" s="8">
        <f t="shared" si="104"/>
        <v>1894256</v>
      </c>
      <c r="BK61" s="8">
        <f>'Historic Data'!BM58</f>
        <v>1899900</v>
      </c>
      <c r="BL61" s="8"/>
      <c r="BM61" s="8">
        <v>60720</v>
      </c>
      <c r="BN61" s="8">
        <v>126508</v>
      </c>
      <c r="BO61" s="8">
        <v>313136</v>
      </c>
      <c r="BP61" s="8">
        <v>146095</v>
      </c>
      <c r="BQ61" s="8">
        <v>156948</v>
      </c>
      <c r="BR61" s="8">
        <v>182880</v>
      </c>
      <c r="BS61" s="8">
        <v>183284</v>
      </c>
      <c r="BT61" s="8">
        <f t="shared" si="91"/>
        <v>1169571</v>
      </c>
      <c r="BU61" s="8">
        <f>'Historic Data'!BO58</f>
        <v>1171250</v>
      </c>
      <c r="BV61" s="6"/>
      <c r="BW61" s="11">
        <v>45992</v>
      </c>
      <c r="BX61" s="5">
        <f t="shared" si="92"/>
        <v>8366</v>
      </c>
      <c r="BY61" s="5">
        <f t="shared" si="93"/>
        <v>15003</v>
      </c>
      <c r="BZ61" s="5">
        <f t="shared" si="94"/>
        <v>31004</v>
      </c>
      <c r="CA61" s="5">
        <f t="shared" si="95"/>
        <v>24854</v>
      </c>
      <c r="CB61" s="5">
        <f t="shared" si="96"/>
        <v>20465</v>
      </c>
      <c r="CC61" s="5">
        <f t="shared" si="97"/>
        <v>22287</v>
      </c>
      <c r="CD61" s="5">
        <f t="shared" si="98"/>
        <v>29979</v>
      </c>
      <c r="CE61" s="5">
        <f t="shared" si="99"/>
        <v>151958</v>
      </c>
      <c r="CF61" s="5">
        <f t="shared" si="100"/>
        <v>157197</v>
      </c>
      <c r="CG61" s="8"/>
      <c r="CH61" s="11">
        <v>45992</v>
      </c>
      <c r="CI61" s="5">
        <v>3562</v>
      </c>
      <c r="CJ61" s="5">
        <v>6816</v>
      </c>
      <c r="CK61" s="5">
        <v>13853</v>
      </c>
      <c r="CL61" s="5">
        <v>10984</v>
      </c>
      <c r="CM61" s="5">
        <v>8646</v>
      </c>
      <c r="CN61" s="5">
        <v>9467</v>
      </c>
      <c r="CO61" s="5">
        <v>13378</v>
      </c>
      <c r="CP61" s="5">
        <f t="shared" si="101"/>
        <v>66706</v>
      </c>
      <c r="CQ61" s="5">
        <f>'Historic Data'!CZ58</f>
        <v>64597</v>
      </c>
      <c r="CR61" s="8"/>
      <c r="CS61" s="11">
        <v>45992</v>
      </c>
      <c r="CT61" s="5">
        <v>4804</v>
      </c>
      <c r="CU61" s="5">
        <v>8187</v>
      </c>
      <c r="CV61" s="5">
        <v>17151</v>
      </c>
      <c r="CW61" s="5">
        <v>13870</v>
      </c>
      <c r="CX61" s="5">
        <v>11819</v>
      </c>
      <c r="CY61" s="5">
        <v>12820</v>
      </c>
      <c r="CZ61" s="5">
        <v>16601</v>
      </c>
      <c r="DA61" s="5">
        <f t="shared" si="102"/>
        <v>85252</v>
      </c>
      <c r="DB61" s="5">
        <f>'Historic Data'!DL58</f>
        <v>92600</v>
      </c>
      <c r="DC61" s="8"/>
      <c r="DD61" s="11">
        <v>45992</v>
      </c>
      <c r="DE61" s="5">
        <v>38282</v>
      </c>
      <c r="DF61" s="5">
        <v>59455</v>
      </c>
      <c r="DG61" s="5">
        <v>122681</v>
      </c>
      <c r="DH61" s="5">
        <v>98684</v>
      </c>
      <c r="DI61" s="5">
        <v>89309</v>
      </c>
      <c r="DJ61" s="5">
        <v>91388</v>
      </c>
      <c r="DK61" s="5">
        <v>128216</v>
      </c>
      <c r="DL61" s="5">
        <f t="shared" si="103"/>
        <v>628015</v>
      </c>
      <c r="DM61" s="5">
        <f>'Historic Data'!DX58</f>
        <v>639940</v>
      </c>
      <c r="DN61" s="8"/>
      <c r="DO61" s="11">
        <v>45992</v>
      </c>
      <c r="DP61" s="5"/>
      <c r="DQ61" s="5"/>
      <c r="DR61" s="5"/>
      <c r="DS61" s="5"/>
      <c r="DT61" s="5"/>
      <c r="DU61" s="5"/>
      <c r="DV61" s="5"/>
      <c r="DW61" s="5"/>
      <c r="DX61" s="8"/>
      <c r="DY61" s="11">
        <v>45992</v>
      </c>
      <c r="DZ61" s="5"/>
      <c r="EA61" s="5"/>
      <c r="EB61" s="5"/>
      <c r="EC61" s="5"/>
      <c r="ED61" s="5"/>
      <c r="EE61" s="5"/>
      <c r="EF61" s="5"/>
      <c r="EG61" s="5"/>
      <c r="EI61" s="11">
        <v>45992</v>
      </c>
      <c r="EJ61" s="5"/>
      <c r="EK61" s="5"/>
      <c r="EL61" s="5"/>
      <c r="EM61" s="5"/>
      <c r="EN61" s="5"/>
      <c r="EO61" s="5"/>
      <c r="EP61" s="5"/>
      <c r="EQ61" s="5"/>
      <c r="ER61" s="5"/>
      <c r="ES61" s="11">
        <v>45992</v>
      </c>
      <c r="ET61" s="5"/>
      <c r="EU61" s="5"/>
      <c r="EV61" s="5"/>
      <c r="EW61" s="5"/>
      <c r="EX61" s="5"/>
      <c r="EY61" s="5"/>
      <c r="EZ61" s="5"/>
      <c r="FA61" s="5"/>
      <c r="FC61" s="11">
        <v>45992</v>
      </c>
      <c r="FD61" s="5"/>
      <c r="FE61" s="5"/>
      <c r="FF61" s="5"/>
      <c r="FG61" s="5"/>
      <c r="FH61" s="5"/>
      <c r="FI61" s="5"/>
      <c r="FJ61" s="5"/>
      <c r="FK61" s="5"/>
    </row>
    <row r="62" spans="2:167">
      <c r="B62" s="11"/>
      <c r="J62" s="8"/>
      <c r="L62" s="11"/>
      <c r="U62" s="22"/>
      <c r="V62" s="22"/>
      <c r="W62" s="22"/>
      <c r="X62" s="22"/>
      <c r="Y62" s="22"/>
      <c r="Z62" s="22"/>
      <c r="AA62" s="22"/>
      <c r="AB62" s="22"/>
      <c r="AJ62" s="5"/>
      <c r="AO62" s="5"/>
      <c r="AP62" s="5"/>
      <c r="AQ62" s="263"/>
      <c r="AR62" s="8"/>
      <c r="AS62" s="8"/>
      <c r="AT62" s="8"/>
      <c r="AU62" s="8"/>
      <c r="AV62" s="8"/>
      <c r="AW62" s="8"/>
      <c r="AX62" s="8"/>
      <c r="AY62" s="8"/>
      <c r="AZ62" s="22"/>
      <c r="BA62" s="6"/>
      <c r="BB62" s="6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5"/>
      <c r="BX62" s="5"/>
      <c r="BY62" s="5"/>
      <c r="BZ62" s="5"/>
      <c r="CA62" s="5"/>
      <c r="CB62" s="5"/>
      <c r="CC62" s="5"/>
      <c r="CD62" s="5"/>
      <c r="CG62" s="8"/>
      <c r="CH62" s="5"/>
      <c r="CI62" s="5"/>
      <c r="CJ62" s="5"/>
      <c r="CK62" s="5"/>
      <c r="CL62" s="5"/>
      <c r="CM62" s="5"/>
      <c r="CN62" s="5"/>
      <c r="CO62" s="5"/>
      <c r="CR62" s="8"/>
      <c r="CS62" s="5"/>
      <c r="CT62" s="5"/>
      <c r="CU62" s="5"/>
      <c r="CV62" s="5"/>
      <c r="CW62" s="5"/>
      <c r="CX62" s="5"/>
      <c r="CY62" s="5"/>
      <c r="CZ62" s="5"/>
      <c r="DC62" s="8"/>
      <c r="DD62" s="5"/>
      <c r="DE62" s="5"/>
      <c r="DF62" s="5"/>
      <c r="DG62" s="5"/>
      <c r="DH62" s="5"/>
      <c r="DI62" s="5"/>
      <c r="DJ62" s="5"/>
      <c r="DK62" s="5"/>
      <c r="DN62" s="8"/>
      <c r="DO62" s="5"/>
      <c r="DP62" s="5"/>
      <c r="DQ62" s="5"/>
      <c r="DR62" s="5"/>
      <c r="DS62" s="5"/>
      <c r="DT62" s="5"/>
      <c r="DU62" s="5"/>
      <c r="DV62" s="5"/>
      <c r="DX62" s="8"/>
      <c r="DZ62" s="5"/>
      <c r="EA62" s="5"/>
      <c r="EB62" s="5"/>
      <c r="EC62" s="5"/>
      <c r="ED62" s="5"/>
      <c r="EE62" s="5"/>
      <c r="EF62" s="5"/>
      <c r="EG62" s="5"/>
      <c r="EJ62" s="5"/>
      <c r="EK62" s="5"/>
      <c r="EL62" s="5"/>
      <c r="EM62" s="5"/>
      <c r="EN62" s="5"/>
      <c r="EO62" s="5"/>
      <c r="EP62" s="5"/>
      <c r="EQ62" s="5"/>
      <c r="ER62" s="5"/>
      <c r="ES62" s="5"/>
    </row>
    <row r="63" spans="2:167" ht="15">
      <c r="D63" s="1"/>
      <c r="E63" s="1"/>
      <c r="I63" s="22"/>
      <c r="J63" s="22"/>
      <c r="N63" s="1"/>
      <c r="O63" s="1"/>
      <c r="S63" s="22"/>
      <c r="T63" s="22"/>
      <c r="U63" s="22"/>
      <c r="V63" s="22"/>
      <c r="W63" s="22"/>
      <c r="X63" s="22"/>
      <c r="Y63" s="22"/>
      <c r="Z63" s="22"/>
      <c r="AA63" s="22"/>
      <c r="AB63" s="22"/>
      <c r="AG63" s="5"/>
      <c r="AH63" s="9"/>
      <c r="AO63" s="5"/>
      <c r="AP63" s="5"/>
      <c r="AQ63" s="14"/>
      <c r="AR63" s="5"/>
      <c r="AS63" s="5"/>
      <c r="AT63" s="5"/>
      <c r="AU63" s="5"/>
      <c r="AV63" s="5"/>
      <c r="AW63" s="5"/>
      <c r="AX63" s="5"/>
      <c r="AY63" s="8"/>
      <c r="AZ63" s="22"/>
      <c r="BA63" s="6"/>
      <c r="BB63" s="6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6"/>
      <c r="BN63" s="6"/>
      <c r="BO63" s="6"/>
      <c r="BP63" s="57"/>
      <c r="BQ63" s="6"/>
      <c r="BR63" s="6"/>
      <c r="BS63" s="6"/>
      <c r="BT63" s="6"/>
      <c r="BU63" s="6"/>
      <c r="BV63" s="6"/>
      <c r="BW63" s="5"/>
      <c r="BX63" s="54"/>
      <c r="BY63" s="5"/>
      <c r="BZ63" s="5"/>
      <c r="CA63" s="5"/>
      <c r="CB63" s="5"/>
      <c r="CC63" s="5"/>
      <c r="CD63" s="5"/>
      <c r="CG63" s="8"/>
      <c r="CH63" s="5"/>
      <c r="CI63" s="54"/>
      <c r="CJ63" s="5"/>
      <c r="CK63" s="5"/>
      <c r="CL63" s="5"/>
      <c r="CM63" s="5"/>
      <c r="CN63" s="5"/>
      <c r="CO63" s="5"/>
      <c r="CR63" s="8"/>
      <c r="CS63" s="5"/>
      <c r="CT63" s="54"/>
      <c r="CU63" s="5"/>
      <c r="CV63" s="5"/>
      <c r="CW63" s="5"/>
      <c r="CX63" s="5"/>
      <c r="CY63" s="5"/>
      <c r="CZ63" s="5"/>
      <c r="DC63" s="8"/>
      <c r="DD63" s="5"/>
      <c r="DE63" s="5"/>
      <c r="DF63" s="5"/>
      <c r="DG63" s="5"/>
      <c r="DH63" s="5"/>
      <c r="DI63" s="5"/>
      <c r="DJ63" s="5"/>
      <c r="DK63" s="5"/>
      <c r="DN63" s="8"/>
      <c r="DO63" s="5"/>
      <c r="DP63" s="5"/>
      <c r="DQ63" s="5"/>
      <c r="DR63" s="5"/>
      <c r="DS63" s="5"/>
      <c r="DT63" s="5"/>
      <c r="DU63" s="5"/>
      <c r="DV63" s="5"/>
      <c r="DX63" s="8"/>
      <c r="DY63" s="25"/>
      <c r="DZ63" s="25"/>
      <c r="EA63" s="25"/>
      <c r="EB63" s="25"/>
      <c r="EC63" s="25"/>
      <c r="ED63" s="25"/>
      <c r="EE63" s="25"/>
      <c r="EF63" s="25"/>
      <c r="EG63" s="25"/>
    </row>
    <row r="64" spans="2:167" ht="15">
      <c r="B64" s="27"/>
      <c r="C64" s="4"/>
      <c r="D64" s="1"/>
      <c r="E64" s="1"/>
      <c r="H64" s="4"/>
      <c r="I64" s="28"/>
      <c r="J64" s="22"/>
      <c r="L64" s="27"/>
      <c r="M64" s="4"/>
      <c r="N64" s="1"/>
      <c r="O64" s="1"/>
      <c r="R64" s="4"/>
      <c r="S64" s="28"/>
      <c r="T64" s="28"/>
      <c r="U64" s="22"/>
      <c r="V64" s="11"/>
      <c r="W64" s="54"/>
      <c r="X64" s="22"/>
      <c r="Y64" s="22"/>
      <c r="Z64" s="22"/>
      <c r="AA64" s="22"/>
      <c r="AB64" s="22"/>
      <c r="AG64" s="5"/>
      <c r="AH64" s="9"/>
      <c r="AO64" s="5"/>
      <c r="AP64" s="5"/>
      <c r="AQ64" s="14"/>
      <c r="AR64" s="5"/>
      <c r="AS64" s="5"/>
      <c r="AT64" s="5"/>
      <c r="AU64" s="5"/>
      <c r="AV64" s="5"/>
      <c r="AW64" s="5"/>
      <c r="AX64" s="5"/>
      <c r="AY64" s="8"/>
      <c r="AZ64" s="22"/>
      <c r="BA64" s="22"/>
      <c r="BB64" s="6"/>
      <c r="BC64" s="22"/>
      <c r="BD64" s="22"/>
      <c r="BE64" s="22"/>
      <c r="BF64" s="22"/>
      <c r="BG64" s="22"/>
      <c r="BH64" s="22"/>
      <c r="BI64" s="22"/>
      <c r="BJ64" s="22"/>
      <c r="BK64" s="22"/>
      <c r="BL64" s="6"/>
      <c r="BM64" s="5"/>
      <c r="BN64" s="5"/>
      <c r="BO64" s="5"/>
      <c r="BP64" s="5"/>
      <c r="BQ64" s="5"/>
      <c r="BR64" s="5"/>
      <c r="BS64" s="5"/>
      <c r="BT64" s="5"/>
      <c r="BU64" s="5"/>
      <c r="BV64" s="5"/>
      <c r="BX64" s="55"/>
      <c r="CH64" s="5"/>
      <c r="CI64" s="8"/>
      <c r="CJ64" s="8"/>
      <c r="CK64" s="8"/>
      <c r="CL64" s="8"/>
      <c r="CM64" s="8"/>
      <c r="CN64" s="8"/>
      <c r="CO64" s="8"/>
      <c r="CP64" s="8"/>
      <c r="CQ64" s="8"/>
      <c r="CR64" s="5"/>
      <c r="CT64" s="55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</row>
    <row r="65" spans="2:153" ht="15">
      <c r="B65" s="29"/>
      <c r="C65" s="5"/>
      <c r="D65" s="1"/>
      <c r="E65" s="1"/>
      <c r="H65" s="29"/>
      <c r="I65" s="29"/>
      <c r="J65" s="22"/>
      <c r="L65" s="29"/>
      <c r="M65" s="5"/>
      <c r="N65" s="1"/>
      <c r="O65" s="1"/>
      <c r="R65" s="29"/>
      <c r="S65" s="29"/>
      <c r="T65" s="29"/>
      <c r="U65" s="22"/>
      <c r="V65" s="11"/>
      <c r="W65" s="54"/>
      <c r="X65" s="22"/>
      <c r="Y65" s="22"/>
      <c r="Z65" s="22"/>
      <c r="AA65" s="22"/>
      <c r="AB65" s="22"/>
      <c r="AF65" s="11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14"/>
      <c r="AR65" s="5"/>
      <c r="AS65" s="5"/>
      <c r="AT65" s="5"/>
      <c r="AU65" s="5"/>
      <c r="AV65" s="5"/>
      <c r="AW65" s="5"/>
      <c r="AX65" s="5"/>
      <c r="AY65" s="8"/>
      <c r="AZ65" s="22"/>
      <c r="BA65" s="22"/>
      <c r="BB65" s="6"/>
      <c r="BC65" s="22"/>
      <c r="BD65" s="22"/>
      <c r="BE65" s="22"/>
      <c r="BF65" s="22"/>
      <c r="BG65" s="22"/>
      <c r="BH65" s="22"/>
      <c r="BI65" s="22"/>
      <c r="BJ65" s="22"/>
      <c r="BK65" s="22"/>
      <c r="BL65" s="6"/>
      <c r="BM65" s="8"/>
      <c r="BN65" s="8"/>
      <c r="BO65" s="8"/>
      <c r="BP65" s="8"/>
      <c r="BQ65" s="8"/>
      <c r="BR65" s="8"/>
      <c r="BS65" s="8"/>
      <c r="BT65" s="8"/>
      <c r="BU65" s="8"/>
      <c r="BV65" s="5"/>
      <c r="BX65" s="9"/>
      <c r="CI65" s="8"/>
      <c r="CS65" s="5"/>
      <c r="CT65" s="8"/>
      <c r="CU65" s="8"/>
      <c r="CV65" s="8"/>
      <c r="CW65" s="8"/>
      <c r="CX65" s="8"/>
      <c r="CY65" s="8"/>
      <c r="CZ65" s="8"/>
      <c r="DA65" s="8"/>
      <c r="DB65" s="8"/>
      <c r="DC65" s="5"/>
      <c r="DD65" s="5"/>
      <c r="DE65" s="8"/>
      <c r="DF65" s="8"/>
      <c r="DG65" s="8"/>
      <c r="DH65" s="8"/>
      <c r="DI65" s="8"/>
      <c r="DJ65" s="8"/>
      <c r="DK65" s="8"/>
      <c r="DL65" s="8"/>
      <c r="DM65" s="8"/>
      <c r="DN65" s="5"/>
      <c r="DO65" s="5"/>
      <c r="DP65" s="8"/>
      <c r="DQ65" s="8"/>
      <c r="DR65" s="8"/>
      <c r="DS65" s="8"/>
      <c r="DT65" s="8"/>
      <c r="DU65" s="8"/>
      <c r="DV65" s="8"/>
      <c r="DW65" s="8"/>
      <c r="DX65" s="5"/>
      <c r="DY65" s="11"/>
      <c r="DZ65" s="5"/>
      <c r="EA65" s="5"/>
      <c r="EB65" s="5"/>
      <c r="EC65" s="5"/>
      <c r="ED65" s="5"/>
      <c r="EE65" s="5"/>
      <c r="EF65" s="5"/>
      <c r="EG65" s="5"/>
      <c r="EI65" s="5"/>
      <c r="EJ65" s="5"/>
      <c r="EK65" s="5"/>
      <c r="EL65" s="5"/>
      <c r="EM65" s="5"/>
      <c r="EN65" s="5"/>
      <c r="EO65" s="5"/>
      <c r="EP65" s="5"/>
      <c r="EQ65" s="5"/>
      <c r="ER65" s="5"/>
    </row>
    <row r="66" spans="2:153" ht="16">
      <c r="B66" s="29"/>
      <c r="C66" s="5"/>
      <c r="D66" s="1"/>
      <c r="E66" s="1"/>
      <c r="H66" s="29"/>
      <c r="I66" s="29"/>
      <c r="L66" s="29"/>
      <c r="M66" s="5"/>
      <c r="N66" s="1"/>
      <c r="O66" s="1"/>
      <c r="R66" s="29"/>
      <c r="S66" s="29"/>
      <c r="T66" s="29"/>
      <c r="V66" s="11"/>
      <c r="W66" s="54"/>
      <c r="AF66" s="11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8"/>
      <c r="BM66" s="5"/>
      <c r="BN66" s="5"/>
      <c r="BO66" s="5"/>
      <c r="BP66" s="5"/>
      <c r="BQ66" s="5"/>
      <c r="BR66" s="5"/>
      <c r="BS66" s="5"/>
      <c r="BT66" s="5"/>
      <c r="BU66" s="5"/>
      <c r="BV66" s="5"/>
      <c r="CH66" s="11"/>
      <c r="CI66" s="8"/>
      <c r="CJ66" s="5"/>
      <c r="CK66" s="5"/>
      <c r="CL66" s="5"/>
      <c r="CM66" s="5"/>
      <c r="CN66" s="5"/>
      <c r="CO66" s="5"/>
      <c r="CP66" s="5"/>
      <c r="CQ66" s="5"/>
      <c r="DY66" s="11"/>
      <c r="DZ66" s="5"/>
      <c r="EA66" s="5"/>
      <c r="EB66" s="5"/>
      <c r="EC66" s="5"/>
      <c r="ED66" s="5"/>
      <c r="EE66" s="5"/>
      <c r="EF66" s="5"/>
      <c r="EG66" s="5"/>
      <c r="EO66"/>
      <c r="EP66"/>
      <c r="EQ66"/>
    </row>
    <row r="67" spans="2:153" ht="16">
      <c r="B67" s="29"/>
      <c r="C67" s="5"/>
      <c r="D67" s="1"/>
      <c r="E67" s="1"/>
      <c r="H67" s="29"/>
      <c r="I67" s="29"/>
      <c r="J67" s="30"/>
      <c r="L67" s="29"/>
      <c r="M67" s="5"/>
      <c r="N67" s="1"/>
      <c r="O67" s="1"/>
      <c r="R67" s="29"/>
      <c r="S67" s="29"/>
      <c r="T67" s="29"/>
      <c r="U67" s="30"/>
      <c r="V67" s="11"/>
      <c r="W67" s="54"/>
      <c r="X67" s="30"/>
      <c r="Z67" s="30"/>
      <c r="AA67" s="30"/>
      <c r="AB67" s="30"/>
      <c r="AC67" s="30"/>
      <c r="AF67" s="11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8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5"/>
      <c r="BN67" s="5"/>
      <c r="BO67" s="5"/>
      <c r="BP67" s="5"/>
      <c r="BQ67" s="5"/>
      <c r="BR67" s="5"/>
      <c r="BS67" s="5"/>
      <c r="BT67" s="8"/>
      <c r="BU67" s="8"/>
      <c r="BV67" s="8"/>
      <c r="CH67" s="11"/>
      <c r="CI67" s="8"/>
      <c r="CJ67" s="8"/>
      <c r="CK67" s="8"/>
      <c r="CL67" s="8"/>
      <c r="CM67" s="8"/>
      <c r="CN67" s="8"/>
      <c r="CO67" s="8"/>
      <c r="CP67" s="8"/>
      <c r="CQ67" s="8"/>
      <c r="CR67" s="5"/>
      <c r="DY67" s="11"/>
      <c r="DZ67" s="5"/>
      <c r="EA67" s="5"/>
      <c r="EB67" s="5"/>
      <c r="EC67" s="5"/>
      <c r="ED67" s="5"/>
      <c r="EE67" s="5"/>
      <c r="EF67" s="5"/>
      <c r="EG67" s="5"/>
      <c r="EO67"/>
      <c r="EP67"/>
      <c r="EQ67"/>
      <c r="ER67" s="11"/>
    </row>
    <row r="68" spans="2:153" ht="16">
      <c r="B68" s="29"/>
      <c r="C68" s="5"/>
      <c r="D68" s="1"/>
      <c r="E68" s="1"/>
      <c r="H68" s="29"/>
      <c r="I68" s="29"/>
      <c r="L68" s="29"/>
      <c r="M68" s="5"/>
      <c r="N68" s="1"/>
      <c r="O68" s="1"/>
      <c r="R68" s="29"/>
      <c r="S68" s="29"/>
      <c r="T68" s="29"/>
      <c r="V68" s="11"/>
      <c r="W68" s="54"/>
      <c r="Y68" s="5"/>
      <c r="Z68" s="5"/>
      <c r="AA68" s="5"/>
      <c r="AF68" s="11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CH68" s="11"/>
      <c r="CI68" s="8"/>
      <c r="CJ68" s="8"/>
      <c r="CK68" s="8"/>
      <c r="CL68" s="8"/>
      <c r="CM68" s="8"/>
      <c r="CN68" s="8"/>
      <c r="CO68" s="8"/>
      <c r="CP68" s="8"/>
      <c r="CQ68" s="8"/>
      <c r="DY68" s="11"/>
      <c r="DZ68" s="5"/>
      <c r="EA68" s="5"/>
      <c r="EB68" s="5"/>
      <c r="EC68" s="5"/>
      <c r="ED68" s="5"/>
      <c r="EE68" s="5"/>
      <c r="EF68" s="5"/>
      <c r="EG68" s="5"/>
      <c r="EO68"/>
      <c r="EP68"/>
      <c r="EQ68"/>
      <c r="ER68" s="11"/>
      <c r="ES68" s="11"/>
      <c r="ET68" s="9"/>
      <c r="EW68" s="11"/>
    </row>
    <row r="69" spans="2:153" ht="16">
      <c r="B69" s="29"/>
      <c r="C69" s="5"/>
      <c r="D69" s="1"/>
      <c r="E69" s="1"/>
      <c r="H69" s="29"/>
      <c r="I69" s="29"/>
      <c r="L69" s="29"/>
      <c r="M69" s="5"/>
      <c r="N69" s="1"/>
      <c r="O69" s="1"/>
      <c r="R69" s="29"/>
      <c r="S69" s="29"/>
      <c r="T69" s="29"/>
      <c r="V69" s="11"/>
      <c r="W69" s="54"/>
      <c r="Y69" s="5"/>
      <c r="Z69" s="5"/>
      <c r="AA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8"/>
      <c r="BM69" s="8"/>
      <c r="BO69" s="8"/>
      <c r="BP69" s="8"/>
      <c r="BQ69" s="8"/>
      <c r="BR69" s="8"/>
      <c r="BS69" s="8"/>
      <c r="BT69" s="8"/>
      <c r="BU69" s="8"/>
      <c r="BV69" s="8"/>
      <c r="CH69" s="11"/>
      <c r="CI69" s="8"/>
      <c r="CJ69" s="8"/>
      <c r="CK69" s="8"/>
      <c r="CL69" s="8"/>
      <c r="CM69" s="8"/>
      <c r="CN69" s="8"/>
      <c r="CO69" s="8"/>
      <c r="CP69" s="8"/>
      <c r="CQ69" s="8"/>
      <c r="DZ69" s="11"/>
      <c r="EA69" s="11"/>
      <c r="EB69" s="11"/>
      <c r="EG69" s="15"/>
      <c r="EO69"/>
      <c r="EP69"/>
      <c r="EQ69"/>
      <c r="ER69" s="11"/>
      <c r="ES69" s="11"/>
      <c r="ET69" s="9"/>
      <c r="EW69" s="11"/>
    </row>
    <row r="70" spans="2:153" ht="16">
      <c r="V70" s="11"/>
      <c r="W70" s="54"/>
      <c r="Y70" s="5"/>
      <c r="Z70" s="5"/>
      <c r="AA70" s="5"/>
      <c r="AG70" s="11"/>
      <c r="AH70" s="11"/>
      <c r="AI70" s="11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8"/>
      <c r="AZ70" s="11"/>
      <c r="BA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CH70" s="11"/>
      <c r="CI70" s="8"/>
      <c r="CJ70" s="8"/>
      <c r="CK70" s="8"/>
      <c r="CL70" s="8"/>
      <c r="CM70" s="8"/>
      <c r="CN70" s="8"/>
      <c r="CO70" s="8"/>
      <c r="CP70" s="8"/>
      <c r="CQ70" s="8"/>
      <c r="DY70" s="11"/>
      <c r="DZ70" s="11"/>
      <c r="EA70" s="11"/>
      <c r="EC70" s="11"/>
      <c r="ED70" s="11"/>
      <c r="EF70" s="9"/>
      <c r="EG70" s="15"/>
      <c r="EO70"/>
      <c r="EP70"/>
      <c r="EQ70"/>
      <c r="ER70" s="11"/>
      <c r="ES70" s="11"/>
      <c r="ET70" s="9"/>
      <c r="EW70" s="11"/>
    </row>
    <row r="71" spans="2:153" ht="16">
      <c r="V71" s="11"/>
      <c r="W71" s="54"/>
      <c r="Y71" s="5"/>
      <c r="Z71" s="5"/>
      <c r="AA71" s="5"/>
      <c r="AG71" s="5"/>
      <c r="AH71" s="5"/>
      <c r="AI71" s="5"/>
      <c r="AO71" s="5"/>
      <c r="AP71" s="5"/>
      <c r="AZ71" s="11"/>
      <c r="BA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CH71" s="11"/>
      <c r="CI71" s="8"/>
      <c r="CJ71" s="8"/>
      <c r="CK71" s="8"/>
      <c r="CL71" s="8"/>
      <c r="CM71" s="8"/>
      <c r="CN71" s="8"/>
      <c r="CO71" s="8"/>
      <c r="CP71" s="8"/>
      <c r="CQ71" s="8"/>
      <c r="DZ71" s="5"/>
      <c r="EA71" s="5"/>
      <c r="EC71" s="5"/>
      <c r="ED71" s="5"/>
      <c r="EF71" s="17"/>
      <c r="EG71" s="15"/>
      <c r="EO71"/>
      <c r="EP71"/>
      <c r="EQ71"/>
      <c r="ER71" s="11"/>
      <c r="ES71" s="11"/>
      <c r="ET71" s="9"/>
      <c r="EW71" s="11"/>
    </row>
    <row r="72" spans="2:153" ht="16">
      <c r="V72" s="11"/>
      <c r="W72" s="54"/>
      <c r="X72" s="15"/>
      <c r="AG72" s="5"/>
      <c r="AH72" s="5"/>
      <c r="AI72" s="11"/>
      <c r="AJ72" s="11"/>
      <c r="AK72" s="11"/>
      <c r="AO72" s="5"/>
      <c r="AP72" s="5"/>
      <c r="AZ72" s="11"/>
      <c r="BA72" s="8"/>
      <c r="BC72" s="15"/>
      <c r="BD72" s="15"/>
      <c r="BE72" s="15"/>
      <c r="BF72" s="15"/>
      <c r="BG72" s="15"/>
      <c r="BH72" s="15"/>
      <c r="BI72" s="15"/>
      <c r="BJ72" s="15"/>
      <c r="BK72" s="15"/>
      <c r="BL72" s="36"/>
      <c r="CH72" s="11"/>
      <c r="CI72" s="8"/>
      <c r="CJ72" s="8"/>
      <c r="CK72" s="8"/>
      <c r="CL72" s="8"/>
      <c r="CM72" s="8"/>
      <c r="CN72" s="8"/>
      <c r="CO72" s="8"/>
      <c r="CP72" s="8"/>
      <c r="CQ72" s="8"/>
      <c r="DZ72" s="5"/>
      <c r="EA72" s="5"/>
      <c r="EC72" s="5"/>
      <c r="ED72" s="5"/>
      <c r="EO72"/>
      <c r="EP72"/>
      <c r="EQ72"/>
      <c r="ER72" s="11"/>
      <c r="ES72" s="11"/>
      <c r="ET72" s="9"/>
      <c r="EW72" s="11"/>
    </row>
    <row r="73" spans="2:153" ht="16">
      <c r="V73" s="11"/>
      <c r="W73" s="54"/>
      <c r="AG73" s="5"/>
      <c r="AH73" s="5"/>
      <c r="AJ73" s="5"/>
      <c r="AK73" s="5"/>
      <c r="AO73" s="5"/>
      <c r="AP73" s="5"/>
      <c r="AZ73" s="11"/>
      <c r="BA73" s="8"/>
      <c r="CH73" s="11"/>
      <c r="CI73" s="8"/>
      <c r="CJ73" s="8"/>
      <c r="CK73" s="8"/>
      <c r="CL73" s="8"/>
      <c r="CM73" s="8"/>
      <c r="CN73" s="8"/>
      <c r="CO73" s="8"/>
      <c r="CP73" s="8"/>
      <c r="CQ73" s="8"/>
      <c r="DZ73" s="5"/>
      <c r="EA73" s="5"/>
      <c r="EC73" s="5"/>
      <c r="ED73" s="5"/>
      <c r="EE73" s="5"/>
      <c r="EF73" s="5"/>
      <c r="EG73" s="5"/>
      <c r="EO73"/>
      <c r="EP73"/>
      <c r="EQ73"/>
      <c r="ER73" s="11"/>
      <c r="ES73" s="11"/>
      <c r="ET73" s="9"/>
      <c r="EW73" s="11"/>
    </row>
    <row r="74" spans="2:153" ht="16">
      <c r="V74" s="207"/>
      <c r="W74" s="207"/>
      <c r="X74" s="207"/>
      <c r="Y74" s="207"/>
      <c r="Z74" s="207"/>
      <c r="AA74" s="207"/>
      <c r="AB74" s="207"/>
      <c r="AC74" s="207"/>
      <c r="AD74" s="207"/>
      <c r="AG74" s="5"/>
      <c r="AH74" s="5"/>
      <c r="AJ74" s="5"/>
      <c r="AK74" s="5"/>
      <c r="AO74" s="5"/>
      <c r="AP74" s="5"/>
      <c r="AZ74" s="11"/>
      <c r="BA74" s="8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CH74" s="11"/>
      <c r="CI74" s="8"/>
      <c r="CJ74" s="8"/>
      <c r="CK74" s="8"/>
      <c r="CL74" s="8"/>
      <c r="CM74" s="8"/>
      <c r="CN74" s="8"/>
      <c r="CO74" s="8"/>
      <c r="CP74" s="8"/>
      <c r="CQ74" s="8"/>
      <c r="DZ74" s="5"/>
      <c r="EA74" s="5"/>
      <c r="EC74" s="5"/>
      <c r="ED74" s="5"/>
      <c r="EE74" s="5"/>
      <c r="EF74" s="5"/>
      <c r="EG74" s="5"/>
      <c r="EO74"/>
      <c r="EP74"/>
      <c r="EQ74"/>
      <c r="ER74" s="11"/>
      <c r="ES74" s="11"/>
      <c r="ET74" s="9"/>
      <c r="EW74" s="11"/>
    </row>
    <row r="75" spans="2:153" ht="16">
      <c r="V75" s="11"/>
      <c r="W75" s="54"/>
      <c r="X75" s="5"/>
      <c r="Y75" s="5"/>
      <c r="AA75" s="5"/>
      <c r="AG75" s="5"/>
      <c r="AH75" s="5"/>
      <c r="AJ75" s="5"/>
      <c r="AK75" s="5"/>
      <c r="AO75" s="5"/>
      <c r="AP75" s="5"/>
      <c r="AZ75" s="11"/>
      <c r="BA75" s="8"/>
      <c r="BC75" s="5"/>
      <c r="BD75" s="5"/>
      <c r="BE75" s="5"/>
      <c r="BF75" s="5"/>
      <c r="BG75" s="5"/>
      <c r="BH75" s="5"/>
      <c r="BI75" s="5"/>
      <c r="BJ75" s="5"/>
      <c r="BK75" s="5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CH75" s="11"/>
      <c r="CI75" s="8"/>
      <c r="CJ75" s="8"/>
      <c r="CK75" s="8"/>
      <c r="CL75" s="8"/>
      <c r="CM75" s="8"/>
      <c r="CN75" s="8"/>
      <c r="CO75" s="8"/>
      <c r="CP75" s="8"/>
      <c r="CQ75" s="8"/>
      <c r="DZ75" s="5"/>
      <c r="EA75" s="5"/>
      <c r="EC75" s="5"/>
      <c r="ED75" s="5"/>
      <c r="EG75" s="15"/>
      <c r="EO75"/>
      <c r="EP75"/>
      <c r="EQ75"/>
      <c r="ER75" s="11"/>
      <c r="ES75" s="11"/>
      <c r="ET75" s="9"/>
      <c r="EW75" s="11"/>
    </row>
    <row r="76" spans="2:153">
      <c r="X76" s="5"/>
      <c r="Y76" s="5"/>
      <c r="AA76" s="5"/>
      <c r="AG76" s="5"/>
      <c r="AH76" s="5"/>
      <c r="AJ76" s="5"/>
      <c r="AK76" s="5"/>
      <c r="AO76" s="5"/>
      <c r="AP76" s="5"/>
      <c r="AZ76" s="11"/>
      <c r="BA76" s="8"/>
      <c r="BC76" s="5"/>
      <c r="BD76" s="5"/>
      <c r="BE76" s="5"/>
      <c r="BF76" s="5"/>
      <c r="BG76" s="5"/>
      <c r="BH76" s="5"/>
      <c r="BI76" s="5"/>
      <c r="BJ76" s="5"/>
      <c r="BK76" s="5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CH76" s="11"/>
      <c r="CI76" s="8"/>
      <c r="CJ76" s="8"/>
      <c r="CK76" s="8"/>
      <c r="CL76" s="8"/>
      <c r="CM76" s="8"/>
      <c r="CN76" s="8"/>
      <c r="CO76" s="8"/>
      <c r="CP76" s="8"/>
      <c r="CQ76" s="8"/>
      <c r="DZ76" s="5"/>
      <c r="EA76" s="5"/>
      <c r="EC76" s="5"/>
      <c r="ED76" s="5"/>
      <c r="EG76" s="15"/>
      <c r="ER76" s="11"/>
      <c r="ES76" s="11"/>
      <c r="ET76" s="9"/>
      <c r="EW76" s="11"/>
    </row>
    <row r="77" spans="2:153">
      <c r="X77" s="5"/>
      <c r="Y77" s="5"/>
      <c r="AA77" s="5"/>
      <c r="AG77" s="5"/>
      <c r="AH77" s="5"/>
      <c r="AJ77" s="5"/>
      <c r="AK77" s="5"/>
      <c r="AO77" s="5"/>
      <c r="AP77" s="5"/>
      <c r="AZ77" s="11"/>
      <c r="BA77" s="8"/>
      <c r="BC77" s="5"/>
      <c r="BD77" s="5"/>
      <c r="BE77" s="5"/>
      <c r="BF77" s="5"/>
      <c r="BG77" s="5"/>
      <c r="BH77" s="5"/>
      <c r="BI77" s="5"/>
      <c r="BJ77" s="5"/>
      <c r="BK77" s="5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CH77" s="11"/>
      <c r="CI77" s="5"/>
      <c r="CJ77" s="5"/>
      <c r="CK77" s="5"/>
      <c r="CL77" s="5"/>
      <c r="CM77" s="5"/>
      <c r="CN77" s="5"/>
      <c r="CO77" s="5"/>
      <c r="CP77" s="5"/>
      <c r="CQ77" s="5"/>
      <c r="DZ77" s="5"/>
      <c r="EA77" s="5"/>
      <c r="EC77" s="5"/>
      <c r="ED77" s="5"/>
      <c r="EG77" s="15"/>
      <c r="ER77" s="11"/>
      <c r="ES77" s="11"/>
      <c r="ET77" s="9"/>
      <c r="EW77" s="11"/>
    </row>
    <row r="78" spans="2:153">
      <c r="X78" s="5"/>
      <c r="Y78" s="5"/>
      <c r="AA78" s="5"/>
      <c r="AG78" s="5"/>
      <c r="AH78" s="5"/>
      <c r="AJ78" s="5"/>
      <c r="AK78" s="5"/>
      <c r="AO78" s="5"/>
      <c r="AP78" s="5"/>
      <c r="AZ78" s="11"/>
      <c r="BA78" s="8"/>
      <c r="BC78" s="5"/>
      <c r="BD78" s="5"/>
      <c r="BE78" s="5"/>
      <c r="BF78" s="5"/>
      <c r="BG78" s="5"/>
      <c r="BH78" s="5"/>
      <c r="BI78" s="5"/>
      <c r="BJ78" s="5"/>
      <c r="BK78" s="5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DZ78" s="5"/>
      <c r="EA78" s="5"/>
      <c r="EC78" s="5"/>
      <c r="ED78" s="5"/>
      <c r="EG78" s="15"/>
      <c r="ER78" s="11"/>
      <c r="ES78" s="11"/>
      <c r="ET78" s="9"/>
      <c r="EW78" s="11"/>
    </row>
    <row r="79" spans="2:153">
      <c r="AG79" s="5"/>
      <c r="AH79" s="5"/>
      <c r="AJ79" s="5"/>
      <c r="AK79" s="5"/>
      <c r="AO79" s="5"/>
      <c r="AP79" s="5"/>
      <c r="AZ79" s="11"/>
      <c r="BA79" s="8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DZ79" s="5"/>
      <c r="EA79" s="5"/>
      <c r="EC79" s="5"/>
      <c r="ED79" s="5"/>
    </row>
    <row r="80" spans="2:153">
      <c r="AG80" s="5"/>
      <c r="AH80" s="5"/>
      <c r="AJ80" s="5"/>
      <c r="AK80" s="5"/>
      <c r="AO80" s="5"/>
      <c r="AP80" s="5"/>
      <c r="AZ80" s="11"/>
      <c r="BA80" s="8"/>
      <c r="CH80" s="9"/>
      <c r="CI80" s="5"/>
      <c r="CJ80" s="8"/>
      <c r="CK80" s="8"/>
      <c r="CL80" s="8"/>
      <c r="CM80" s="8"/>
      <c r="CN80" s="8"/>
      <c r="CO80" s="8"/>
      <c r="CP80" s="8"/>
      <c r="CQ80" s="8"/>
      <c r="CR80" s="8"/>
      <c r="CS80" s="5"/>
      <c r="DZ80" s="5"/>
      <c r="EA80" s="5"/>
      <c r="EC80" s="5"/>
      <c r="ED80" s="5"/>
    </row>
    <row r="81" spans="3:134">
      <c r="AJ81" s="5"/>
      <c r="AK81" s="5"/>
      <c r="AO81" s="5"/>
      <c r="AP81" s="5"/>
      <c r="AZ81" s="11"/>
      <c r="BA81" s="8"/>
      <c r="CI81" s="5"/>
      <c r="CJ81" s="8"/>
      <c r="CK81" s="8"/>
      <c r="CL81" s="8"/>
      <c r="CM81" s="8"/>
      <c r="CN81" s="8"/>
      <c r="CO81" s="8"/>
      <c r="CP81" s="8"/>
      <c r="CQ81" s="8"/>
      <c r="CR81" s="8"/>
      <c r="CS81" s="5"/>
      <c r="DZ81" s="5"/>
      <c r="EA81" s="5"/>
      <c r="EC81" s="5"/>
      <c r="ED81" s="5"/>
    </row>
    <row r="82" spans="3:134">
      <c r="AG82" s="9"/>
      <c r="AH82" s="9"/>
      <c r="AJ82" s="5"/>
      <c r="AK82" s="5"/>
      <c r="AO82" s="5"/>
      <c r="AP82" s="5"/>
      <c r="CI82" s="5"/>
      <c r="CJ82" s="8"/>
      <c r="CK82" s="8"/>
      <c r="CL82" s="8"/>
      <c r="CM82" s="8"/>
      <c r="CN82" s="8"/>
      <c r="CO82" s="8"/>
      <c r="CP82" s="8"/>
      <c r="CQ82" s="8"/>
      <c r="CR82" s="8"/>
      <c r="CS82" s="5"/>
      <c r="DZ82" s="9"/>
      <c r="EA82" s="9"/>
      <c r="EC82" s="5"/>
      <c r="ED82" s="5"/>
    </row>
    <row r="83" spans="3:134">
      <c r="AG83" s="9"/>
      <c r="AH83" s="9"/>
      <c r="AI83" s="9"/>
      <c r="AO83" s="5"/>
      <c r="AP83" s="5"/>
      <c r="CI83" s="5"/>
      <c r="CJ83" s="8"/>
      <c r="CK83" s="8"/>
      <c r="CL83" s="8"/>
      <c r="CM83" s="8"/>
      <c r="CN83" s="8"/>
      <c r="CO83" s="8"/>
      <c r="CP83" s="8"/>
      <c r="CQ83" s="8"/>
      <c r="CR83" s="8"/>
      <c r="CS83" s="5"/>
      <c r="DZ83" s="9"/>
      <c r="EA83" s="9"/>
      <c r="EC83" s="5"/>
      <c r="ED83" s="5"/>
    </row>
    <row r="84" spans="3:134">
      <c r="AG84" s="9"/>
      <c r="AH84" s="9"/>
      <c r="AI84" s="9"/>
      <c r="AJ84" s="9"/>
      <c r="AK84" s="9"/>
      <c r="AO84" s="5"/>
      <c r="AP84" s="5"/>
      <c r="CI84" s="5"/>
      <c r="CJ84" s="8"/>
      <c r="CK84" s="8"/>
      <c r="CL84" s="8"/>
      <c r="CM84" s="8"/>
      <c r="CN84" s="8"/>
      <c r="CO84" s="8"/>
      <c r="CP84" s="8"/>
      <c r="CQ84" s="8"/>
      <c r="CR84" s="8"/>
      <c r="CS84" s="5"/>
      <c r="EC84" s="5"/>
      <c r="ED84" s="5"/>
    </row>
    <row r="85" spans="3:134">
      <c r="AJ85" s="9"/>
      <c r="AK85" s="9"/>
      <c r="AO85" s="5"/>
      <c r="AP85" s="5"/>
      <c r="CI85" s="5"/>
      <c r="CJ85" s="8"/>
      <c r="CK85" s="8"/>
      <c r="CL85" s="8"/>
      <c r="CM85" s="8"/>
      <c r="CN85" s="8"/>
      <c r="CO85" s="8"/>
      <c r="CP85" s="8"/>
      <c r="CQ85" s="8"/>
      <c r="CR85" s="8"/>
      <c r="CS85" s="5"/>
      <c r="EC85" s="5"/>
      <c r="ED85" s="5"/>
    </row>
    <row r="86" spans="3:134">
      <c r="AO86" s="5"/>
      <c r="AP86" s="5"/>
      <c r="CI86" s="5"/>
      <c r="CJ86" s="8"/>
      <c r="CK86" s="8"/>
      <c r="CL86" s="8"/>
      <c r="CM86" s="8"/>
      <c r="CN86" s="8"/>
      <c r="CO86" s="8"/>
      <c r="CP86" s="8"/>
      <c r="CQ86" s="8"/>
      <c r="CR86" s="8"/>
      <c r="CS86" s="5"/>
      <c r="EC86" s="5"/>
      <c r="ED86" s="5"/>
    </row>
    <row r="87" spans="3:134">
      <c r="AO87" s="5"/>
      <c r="AP87" s="5"/>
      <c r="BW87" s="5"/>
      <c r="CI87" s="5"/>
      <c r="CJ87" s="8"/>
      <c r="CK87" s="8"/>
      <c r="CL87" s="8"/>
      <c r="CM87" s="8"/>
      <c r="CN87" s="8"/>
      <c r="CO87" s="8"/>
      <c r="CP87" s="8"/>
      <c r="CQ87" s="8"/>
      <c r="CR87" s="8"/>
      <c r="CS87" s="5"/>
      <c r="DD87" s="5"/>
      <c r="DO87" s="5"/>
      <c r="EC87" s="5"/>
      <c r="ED87" s="5"/>
    </row>
    <row r="88" spans="3:134">
      <c r="AO88" s="5"/>
      <c r="AP88" s="5"/>
      <c r="BW88" s="5"/>
      <c r="CI88" s="5"/>
      <c r="CJ88" s="8"/>
      <c r="CK88" s="8"/>
      <c r="CL88" s="8"/>
      <c r="CM88" s="8"/>
      <c r="CN88" s="8"/>
      <c r="CO88" s="8"/>
      <c r="CP88" s="8"/>
      <c r="CQ88" s="8"/>
      <c r="CR88" s="8"/>
      <c r="CS88" s="5"/>
      <c r="DD88" s="5"/>
      <c r="DO88" s="5"/>
      <c r="EC88" s="5"/>
      <c r="ED88" s="5"/>
    </row>
    <row r="89" spans="3:134">
      <c r="AO89" s="5"/>
      <c r="AP89" s="5"/>
      <c r="BW89" s="5"/>
      <c r="CI89" s="5"/>
      <c r="CJ89" s="8"/>
      <c r="CK89" s="8"/>
      <c r="CL89" s="8"/>
      <c r="CM89" s="8"/>
      <c r="CN89" s="8"/>
      <c r="CO89" s="8"/>
      <c r="CP89" s="8"/>
      <c r="CQ89" s="8"/>
      <c r="CR89" s="8"/>
      <c r="CS89" s="5"/>
      <c r="DD89" s="5"/>
      <c r="DO89" s="5"/>
    </row>
    <row r="90" spans="3:134">
      <c r="AO90" s="5"/>
      <c r="AP90" s="5"/>
    </row>
    <row r="91" spans="3:134">
      <c r="C91" s="9"/>
      <c r="M91" s="9"/>
      <c r="AB91" s="32"/>
      <c r="AC91" s="5"/>
      <c r="AD91" s="5"/>
      <c r="AO91" s="5"/>
      <c r="AP91" s="5"/>
    </row>
    <row r="92" spans="3:134">
      <c r="AB92" s="32"/>
      <c r="AC92" s="5"/>
      <c r="AD92" s="5"/>
      <c r="AG92" s="14"/>
      <c r="AO92" s="5"/>
      <c r="AP92" s="5"/>
    </row>
    <row r="93" spans="3:134">
      <c r="AB93" s="32"/>
      <c r="AC93" s="5"/>
      <c r="AD93" s="5"/>
      <c r="AG93" s="14"/>
      <c r="AO93" s="5"/>
      <c r="AP93" s="5"/>
    </row>
    <row r="94" spans="3:134">
      <c r="AB94" s="32"/>
      <c r="AC94" s="5"/>
      <c r="AD94" s="5"/>
      <c r="AG94" s="14"/>
      <c r="AO94" s="5"/>
      <c r="AP94" s="5"/>
      <c r="AR94" s="4"/>
    </row>
    <row r="95" spans="3:134">
      <c r="AB95" s="32"/>
      <c r="AC95" s="5"/>
      <c r="AD95" s="5"/>
      <c r="AG95" s="14"/>
      <c r="AO95" s="5"/>
      <c r="AP95" s="5"/>
    </row>
    <row r="96" spans="3:134">
      <c r="AB96" s="32"/>
      <c r="AC96" s="5"/>
      <c r="AD96" s="5"/>
      <c r="AO96" s="5"/>
      <c r="AP96" s="5"/>
      <c r="AS96" s="26"/>
    </row>
    <row r="97" spans="10:54">
      <c r="AB97" s="32"/>
      <c r="AC97" s="5"/>
      <c r="AD97" s="5"/>
      <c r="AO97" s="5"/>
      <c r="AP97" s="5"/>
    </row>
    <row r="98" spans="10:54">
      <c r="AB98" s="32"/>
      <c r="AC98" s="5"/>
      <c r="AD98" s="5"/>
      <c r="AG98" s="14"/>
    </row>
    <row r="99" spans="10:54">
      <c r="AB99" s="32"/>
      <c r="AC99" s="5"/>
      <c r="AD99" s="5"/>
      <c r="AG99" s="14"/>
    </row>
    <row r="100" spans="10:54">
      <c r="AB100" s="32"/>
      <c r="AC100" s="5"/>
      <c r="AD100" s="5"/>
      <c r="AG100" s="14"/>
    </row>
    <row r="101" spans="10:54">
      <c r="AB101" s="32"/>
      <c r="AC101" s="5"/>
      <c r="AD101" s="5"/>
      <c r="AG101" s="14"/>
    </row>
    <row r="102" spans="10:54">
      <c r="J102" s="15"/>
      <c r="U102" s="15"/>
      <c r="V102" s="15"/>
      <c r="W102" s="15"/>
      <c r="AB102" s="32"/>
      <c r="AC102" s="5"/>
      <c r="AD102" s="5"/>
      <c r="AZ102" s="15"/>
      <c r="BA102" s="15"/>
      <c r="BB102" s="36"/>
    </row>
    <row r="103" spans="10:54">
      <c r="J103" s="15"/>
      <c r="U103" s="15"/>
      <c r="V103" s="15"/>
      <c r="W103" s="15"/>
      <c r="AB103" s="32"/>
      <c r="AC103" s="5"/>
      <c r="AD103" s="5"/>
      <c r="AZ103" s="15"/>
      <c r="BA103" s="15"/>
      <c r="BB103" s="36"/>
    </row>
    <row r="104" spans="10:54">
      <c r="J104" s="15"/>
      <c r="U104" s="15"/>
      <c r="V104" s="15"/>
      <c r="W104" s="15"/>
      <c r="AB104" s="32"/>
      <c r="AC104" s="5"/>
      <c r="AD104" s="5"/>
      <c r="AS104" s="26"/>
      <c r="AZ104" s="15"/>
      <c r="BA104" s="15"/>
      <c r="BB104" s="36"/>
    </row>
    <row r="105" spans="10:54">
      <c r="J105" s="15"/>
      <c r="U105" s="15"/>
      <c r="V105" s="15"/>
      <c r="W105" s="15"/>
      <c r="AB105" s="32"/>
      <c r="AC105" s="5"/>
      <c r="AD105" s="5"/>
      <c r="AZ105" s="15"/>
      <c r="BA105" s="15"/>
      <c r="BB105" s="36"/>
    </row>
    <row r="106" spans="10:54">
      <c r="J106" s="15"/>
      <c r="U106" s="15"/>
      <c r="V106" s="15"/>
      <c r="W106" s="15"/>
      <c r="AZ106" s="15"/>
      <c r="BA106" s="15"/>
      <c r="BB106" s="36"/>
    </row>
  </sheetData>
  <mergeCells count="40">
    <mergeCell ref="BC12:BJ12"/>
    <mergeCell ref="BM6:BT6"/>
    <mergeCell ref="BC6:BJ6"/>
    <mergeCell ref="CH6:CP6"/>
    <mergeCell ref="CS6:DA6"/>
    <mergeCell ref="BW6:CE6"/>
    <mergeCell ref="DD6:DL6"/>
    <mergeCell ref="EI12:EQ12"/>
    <mergeCell ref="ES12:FA12"/>
    <mergeCell ref="FC12:FK12"/>
    <mergeCell ref="CS12:DA12"/>
    <mergeCell ref="DD12:DL12"/>
    <mergeCell ref="DO12:DW12"/>
    <mergeCell ref="DY12:EG12"/>
    <mergeCell ref="FC1:FK1"/>
    <mergeCell ref="B12:J12"/>
    <mergeCell ref="L12:T12"/>
    <mergeCell ref="V12:AD12"/>
    <mergeCell ref="AF12:AN12"/>
    <mergeCell ref="AP12:AX12"/>
    <mergeCell ref="AZ12:BA12"/>
    <mergeCell ref="BM12:BT12"/>
    <mergeCell ref="BW12:CE12"/>
    <mergeCell ref="CH12:CP12"/>
    <mergeCell ref="DY1:EG1"/>
    <mergeCell ref="EI1:EQ1"/>
    <mergeCell ref="ES1:FA1"/>
    <mergeCell ref="BM1:BT1"/>
    <mergeCell ref="BW1:CE1"/>
    <mergeCell ref="CH1:CP1"/>
    <mergeCell ref="CS1:DA1"/>
    <mergeCell ref="DD1:DL1"/>
    <mergeCell ref="DO1:DW1"/>
    <mergeCell ref="B1:J1"/>
    <mergeCell ref="L1:T1"/>
    <mergeCell ref="V1:AD1"/>
    <mergeCell ref="AF1:AN1"/>
    <mergeCell ref="AP1:AX1"/>
    <mergeCell ref="AZ1:BA1"/>
    <mergeCell ref="BC1:B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9967-3C11-4242-AB1C-86F2CC203ECA}">
  <sheetPr>
    <tabColor theme="8" tint="0.39997558519241921"/>
  </sheetPr>
  <dimension ref="A1:K50"/>
  <sheetViews>
    <sheetView workbookViewId="0">
      <selection activeCell="P35" sqref="P35"/>
    </sheetView>
  </sheetViews>
  <sheetFormatPr baseColWidth="10" defaultColWidth="11" defaultRowHeight="16"/>
  <cols>
    <col min="1" max="1" width="4.33203125" customWidth="1"/>
    <col min="2" max="2" width="22.33203125" bestFit="1" customWidth="1"/>
    <col min="3" max="9" width="13" bestFit="1" customWidth="1"/>
    <col min="10" max="11" width="14" bestFit="1" customWidth="1"/>
  </cols>
  <sheetData>
    <row r="1" spans="1:11" ht="17" thickBot="1">
      <c r="A1" s="235"/>
      <c r="B1" s="266"/>
      <c r="C1" s="266"/>
      <c r="D1" s="266"/>
      <c r="E1" s="266"/>
      <c r="F1" s="266"/>
      <c r="G1" s="266"/>
    </row>
    <row r="2" spans="1:11">
      <c r="A2" s="235"/>
      <c r="B2" s="563" t="s">
        <v>6</v>
      </c>
      <c r="C2" s="564"/>
      <c r="D2" s="564"/>
      <c r="E2" s="564"/>
      <c r="F2" s="564"/>
      <c r="G2" s="564"/>
      <c r="H2" s="564"/>
      <c r="I2" s="564"/>
      <c r="J2" s="564"/>
      <c r="K2" s="565"/>
    </row>
    <row r="3" spans="1:11">
      <c r="B3" s="271"/>
      <c r="C3" s="268" t="s">
        <v>17</v>
      </c>
      <c r="D3" s="268" t="s">
        <v>18</v>
      </c>
      <c r="E3" s="268" t="s">
        <v>19</v>
      </c>
      <c r="F3" s="268" t="s">
        <v>20</v>
      </c>
      <c r="G3" s="268" t="s">
        <v>21</v>
      </c>
      <c r="H3" s="268" t="s">
        <v>22</v>
      </c>
      <c r="I3" s="268" t="s">
        <v>23</v>
      </c>
      <c r="J3" s="280" t="s">
        <v>26</v>
      </c>
      <c r="K3" s="281" t="s">
        <v>27</v>
      </c>
    </row>
    <row r="4" spans="1:11">
      <c r="B4" s="272" t="s">
        <v>28</v>
      </c>
      <c r="C4" s="269">
        <v>1382533</v>
      </c>
      <c r="D4" s="269">
        <v>2100926</v>
      </c>
      <c r="E4" s="269">
        <v>5302232</v>
      </c>
      <c r="F4" s="269">
        <v>2574418</v>
      </c>
      <c r="G4" s="269">
        <v>2473390</v>
      </c>
      <c r="H4" s="269">
        <v>3576439</v>
      </c>
      <c r="I4" s="269">
        <v>3338475</v>
      </c>
      <c r="J4" s="269">
        <v>20748413</v>
      </c>
      <c r="K4" s="273">
        <v>20758263</v>
      </c>
    </row>
    <row r="5" spans="1:11">
      <c r="B5" s="274" t="s">
        <v>29</v>
      </c>
      <c r="C5" s="269">
        <v>607242</v>
      </c>
      <c r="D5" s="269">
        <v>920836</v>
      </c>
      <c r="E5" s="269">
        <v>2361144</v>
      </c>
      <c r="F5" s="269">
        <v>1109115</v>
      </c>
      <c r="G5" s="269">
        <v>1071680</v>
      </c>
      <c r="H5" s="269">
        <v>1585955</v>
      </c>
      <c r="I5" s="269">
        <v>1418404</v>
      </c>
      <c r="J5" s="269">
        <v>9074376</v>
      </c>
      <c r="K5" s="273">
        <v>9082638</v>
      </c>
    </row>
    <row r="6" spans="1:11">
      <c r="B6" s="274" t="s">
        <v>30</v>
      </c>
      <c r="C6" s="269">
        <v>775291</v>
      </c>
      <c r="D6" s="269">
        <v>1180090</v>
      </c>
      <c r="E6" s="269">
        <v>2941088</v>
      </c>
      <c r="F6" s="269">
        <v>1465303</v>
      </c>
      <c r="G6" s="269">
        <v>1401710</v>
      </c>
      <c r="H6" s="269">
        <v>1990484</v>
      </c>
      <c r="I6" s="269">
        <v>1920071</v>
      </c>
      <c r="J6" s="269">
        <v>11674037</v>
      </c>
      <c r="K6" s="273">
        <v>11675625</v>
      </c>
    </row>
    <row r="7" spans="1:11">
      <c r="B7" s="560" t="s">
        <v>39</v>
      </c>
      <c r="C7" s="561"/>
      <c r="D7" s="561"/>
      <c r="E7" s="561"/>
      <c r="F7" s="561"/>
      <c r="G7" s="561"/>
      <c r="H7" s="561"/>
      <c r="I7" s="561"/>
      <c r="J7" s="561"/>
      <c r="K7" s="562"/>
    </row>
    <row r="8" spans="1:11">
      <c r="B8" s="275" t="s">
        <v>29</v>
      </c>
      <c r="C8" s="270">
        <v>3.217827488875934E-3</v>
      </c>
      <c r="D8" s="270">
        <v>3.3426147544188107E-3</v>
      </c>
      <c r="E8" s="270">
        <v>3.7765591594582965E-3</v>
      </c>
      <c r="F8" s="270">
        <v>3.8066386262921338E-3</v>
      </c>
      <c r="G8" s="270">
        <v>5.0593460734547624E-3</v>
      </c>
      <c r="H8" s="270">
        <v>2.7541765056385585E-3</v>
      </c>
      <c r="I8" s="270">
        <v>4.7870705384361577E-3</v>
      </c>
      <c r="J8" s="270">
        <v>3.8478678864530191E-3</v>
      </c>
      <c r="K8" s="276">
        <v>3.8443676826049877E-3</v>
      </c>
    </row>
    <row r="9" spans="1:11">
      <c r="B9" s="275" t="s">
        <v>30</v>
      </c>
      <c r="C9" s="270">
        <v>3.0646557228189157E-3</v>
      </c>
      <c r="D9" s="270">
        <v>2.9328271572507184E-3</v>
      </c>
      <c r="E9" s="270">
        <v>3.3358403420774897E-3</v>
      </c>
      <c r="F9" s="270">
        <v>3.4088512751287619E-3</v>
      </c>
      <c r="G9" s="270">
        <v>4.2191323454922915E-3</v>
      </c>
      <c r="H9" s="270">
        <v>2.4159953056643508E-3</v>
      </c>
      <c r="I9" s="270">
        <v>3.8441286806581631E-3</v>
      </c>
      <c r="J9" s="270">
        <v>3.3550518984992081E-3</v>
      </c>
      <c r="K9" s="276">
        <v>3.3545955783951609E-3</v>
      </c>
    </row>
    <row r="10" spans="1:11" ht="17" thickBot="1">
      <c r="B10" s="277" t="s">
        <v>33</v>
      </c>
      <c r="C10" s="278">
        <v>6.6633192620563317E-2</v>
      </c>
      <c r="D10" s="278">
        <v>0.10125719012822812</v>
      </c>
      <c r="E10" s="278">
        <v>0.25554879787673401</v>
      </c>
      <c r="F10" s="278">
        <v>0.12407782706079737</v>
      </c>
      <c r="G10" s="278">
        <v>0.11920863537852268</v>
      </c>
      <c r="H10" s="278">
        <v>0.17237168934318012</v>
      </c>
      <c r="I10" s="278">
        <v>0.16090266759197439</v>
      </c>
      <c r="J10" s="278">
        <v>1</v>
      </c>
      <c r="K10" s="279">
        <v>1</v>
      </c>
    </row>
    <row r="11" spans="1:11" ht="17" thickBot="1">
      <c r="B11" s="267"/>
      <c r="C11" s="267"/>
      <c r="D11" s="267"/>
      <c r="E11" s="267"/>
      <c r="F11" s="267"/>
      <c r="G11" s="267"/>
      <c r="H11" s="267"/>
      <c r="I11" s="267"/>
      <c r="J11" s="267"/>
      <c r="K11" s="267"/>
    </row>
    <row r="12" spans="1:11">
      <c r="B12" s="563" t="s">
        <v>7</v>
      </c>
      <c r="C12" s="564" t="s">
        <v>7</v>
      </c>
      <c r="D12" s="564"/>
      <c r="E12" s="564"/>
      <c r="F12" s="564"/>
      <c r="G12" s="564"/>
      <c r="H12" s="564"/>
      <c r="I12" s="564"/>
      <c r="J12" s="564"/>
      <c r="K12" s="565"/>
    </row>
    <row r="13" spans="1:11">
      <c r="B13" s="271"/>
      <c r="C13" s="268" t="s">
        <v>17</v>
      </c>
      <c r="D13" s="268" t="s">
        <v>18</v>
      </c>
      <c r="E13" s="268" t="s">
        <v>19</v>
      </c>
      <c r="F13" s="268" t="s">
        <v>20</v>
      </c>
      <c r="G13" s="268" t="s">
        <v>21</v>
      </c>
      <c r="H13" s="268" t="s">
        <v>22</v>
      </c>
      <c r="I13" s="268" t="s">
        <v>23</v>
      </c>
      <c r="J13" s="280" t="s">
        <v>26</v>
      </c>
      <c r="K13" s="281" t="s">
        <v>27</v>
      </c>
    </row>
    <row r="14" spans="1:11">
      <c r="B14" s="272" t="s">
        <v>28</v>
      </c>
      <c r="C14" s="269">
        <v>782879</v>
      </c>
      <c r="D14" s="269">
        <v>1502872</v>
      </c>
      <c r="E14" s="269">
        <v>3410524</v>
      </c>
      <c r="F14" s="269">
        <v>1670443</v>
      </c>
      <c r="G14" s="269">
        <v>1621384</v>
      </c>
      <c r="H14" s="269">
        <v>1960699</v>
      </c>
      <c r="I14" s="269">
        <v>2225417</v>
      </c>
      <c r="J14" s="269">
        <v>13174218</v>
      </c>
      <c r="K14" s="273">
        <v>13177283</v>
      </c>
    </row>
    <row r="15" spans="1:11">
      <c r="B15" s="274" t="s">
        <v>29</v>
      </c>
      <c r="C15" s="269">
        <v>339255</v>
      </c>
      <c r="D15" s="269">
        <v>653047</v>
      </c>
      <c r="E15" s="269">
        <v>1547497</v>
      </c>
      <c r="F15" s="269">
        <v>729763</v>
      </c>
      <c r="G15" s="269">
        <v>691721</v>
      </c>
      <c r="H15" s="269">
        <v>874382</v>
      </c>
      <c r="I15" s="269">
        <v>946814</v>
      </c>
      <c r="J15" s="269">
        <v>5782479</v>
      </c>
      <c r="K15" s="273">
        <v>5784968</v>
      </c>
    </row>
    <row r="16" spans="1:11">
      <c r="B16" s="274" t="s">
        <v>30</v>
      </c>
      <c r="C16" s="269">
        <v>443624</v>
      </c>
      <c r="D16" s="269">
        <v>849825</v>
      </c>
      <c r="E16" s="269">
        <v>1863027</v>
      </c>
      <c r="F16" s="269">
        <v>940680</v>
      </c>
      <c r="G16" s="269">
        <v>929663</v>
      </c>
      <c r="H16" s="269">
        <v>1086317</v>
      </c>
      <c r="I16" s="269">
        <v>1278603</v>
      </c>
      <c r="J16" s="269">
        <v>7391739</v>
      </c>
      <c r="K16" s="273">
        <v>7392315</v>
      </c>
    </row>
    <row r="17" spans="2:11">
      <c r="B17" s="560" t="s">
        <v>39</v>
      </c>
      <c r="C17" s="561"/>
      <c r="D17" s="561"/>
      <c r="E17" s="561"/>
      <c r="F17" s="561"/>
      <c r="G17" s="561"/>
      <c r="H17" s="561"/>
      <c r="I17" s="561"/>
      <c r="J17" s="561"/>
      <c r="K17" s="562"/>
    </row>
    <row r="18" spans="2:11">
      <c r="B18" s="275" t="s">
        <v>29</v>
      </c>
      <c r="C18" s="270">
        <v>5.7596792972837542E-3</v>
      </c>
      <c r="D18" s="270">
        <v>4.7132901613513266E-3</v>
      </c>
      <c r="E18" s="270">
        <v>5.7622082627623835E-3</v>
      </c>
      <c r="F18" s="270">
        <v>5.7854399304979832E-3</v>
      </c>
      <c r="G18" s="270">
        <v>7.8384204036020307E-3</v>
      </c>
      <c r="H18" s="270">
        <v>4.9955282702525902E-3</v>
      </c>
      <c r="I18" s="270">
        <v>7.1714190960420945E-3</v>
      </c>
      <c r="J18" s="270">
        <v>6.0384136284801033E-3</v>
      </c>
      <c r="K18" s="276">
        <v>6.0358155827309676E-3</v>
      </c>
    </row>
    <row r="19" spans="2:11">
      <c r="B19" s="275" t="s">
        <v>30</v>
      </c>
      <c r="C19" s="270">
        <v>5.3558869673417126E-3</v>
      </c>
      <c r="D19" s="270">
        <v>4.0726031830082667E-3</v>
      </c>
      <c r="E19" s="270">
        <v>5.2661609305715909E-3</v>
      </c>
      <c r="F19" s="270">
        <v>5.3099885189437429E-3</v>
      </c>
      <c r="G19" s="270">
        <v>6.3614449537090318E-3</v>
      </c>
      <c r="H19" s="270">
        <v>4.4268846018243289E-3</v>
      </c>
      <c r="I19" s="270">
        <v>5.7727066180823915E-3</v>
      </c>
      <c r="J19" s="270">
        <v>5.2987531080304646E-3</v>
      </c>
      <c r="K19" s="276">
        <v>5.2983402357718789E-3</v>
      </c>
    </row>
    <row r="20" spans="2:11" ht="17" thickBot="1">
      <c r="B20" s="277" t="s">
        <v>33</v>
      </c>
      <c r="C20" s="278">
        <v>5.942508314345489E-2</v>
      </c>
      <c r="D20" s="278">
        <v>0.1140767520318853</v>
      </c>
      <c r="E20" s="278">
        <v>0.25887866740932935</v>
      </c>
      <c r="F20" s="278">
        <v>0.12679636848274409</v>
      </c>
      <c r="G20" s="278">
        <v>0.12307250418962248</v>
      </c>
      <c r="H20" s="278">
        <v>0.14882849213516886</v>
      </c>
      <c r="I20" s="278">
        <v>0.16892213260779501</v>
      </c>
      <c r="J20" s="278">
        <v>1</v>
      </c>
      <c r="K20" s="279">
        <v>1</v>
      </c>
    </row>
    <row r="21" spans="2:11" ht="17" thickBot="1"/>
    <row r="22" spans="2:11">
      <c r="B22" s="566" t="s">
        <v>9</v>
      </c>
      <c r="C22" s="567"/>
      <c r="D22" s="567"/>
      <c r="E22" s="567"/>
      <c r="F22" s="567"/>
      <c r="G22" s="567"/>
      <c r="H22" s="567"/>
      <c r="I22" s="567"/>
      <c r="J22" s="567"/>
      <c r="K22" s="568"/>
    </row>
    <row r="23" spans="2:11">
      <c r="B23" s="271"/>
      <c r="C23" s="268" t="s">
        <v>17</v>
      </c>
      <c r="D23" s="268" t="s">
        <v>18</v>
      </c>
      <c r="E23" s="268" t="s">
        <v>19</v>
      </c>
      <c r="F23" s="268" t="s">
        <v>20</v>
      </c>
      <c r="G23" s="268" t="s">
        <v>21</v>
      </c>
      <c r="H23" s="268" t="s">
        <v>22</v>
      </c>
      <c r="I23" s="268" t="s">
        <v>23</v>
      </c>
      <c r="J23" s="280" t="s">
        <v>26</v>
      </c>
      <c r="K23" s="281" t="s">
        <v>27</v>
      </c>
    </row>
    <row r="24" spans="2:11">
      <c r="B24" s="272" t="s">
        <v>28</v>
      </c>
      <c r="C24" s="269">
        <v>42281</v>
      </c>
      <c r="D24" s="269">
        <v>92549</v>
      </c>
      <c r="E24" s="269">
        <v>170076</v>
      </c>
      <c r="F24" s="269">
        <v>161651</v>
      </c>
      <c r="G24" s="269">
        <v>113588</v>
      </c>
      <c r="H24" s="269">
        <v>121094</v>
      </c>
      <c r="I24" s="269">
        <v>197822</v>
      </c>
      <c r="J24" s="269">
        <v>899061</v>
      </c>
      <c r="K24" s="273">
        <v>919897</v>
      </c>
    </row>
    <row r="25" spans="2:11">
      <c r="B25" s="274" t="s">
        <v>29</v>
      </c>
      <c r="C25" s="269">
        <v>14554</v>
      </c>
      <c r="D25" s="269">
        <v>30387</v>
      </c>
      <c r="E25" s="269">
        <v>57719</v>
      </c>
      <c r="F25" s="269">
        <v>51260</v>
      </c>
      <c r="G25" s="269">
        <v>37094</v>
      </c>
      <c r="H25" s="269">
        <v>39100</v>
      </c>
      <c r="I25" s="269">
        <v>63190</v>
      </c>
      <c r="J25" s="269">
        <v>293304</v>
      </c>
      <c r="K25" s="273">
        <v>299076</v>
      </c>
    </row>
    <row r="26" spans="2:11">
      <c r="B26" s="274" t="s">
        <v>30</v>
      </c>
      <c r="C26" s="269">
        <v>27727</v>
      </c>
      <c r="D26" s="269">
        <v>62162</v>
      </c>
      <c r="E26" s="269">
        <v>112357</v>
      </c>
      <c r="F26" s="269">
        <v>110391</v>
      </c>
      <c r="G26" s="269">
        <v>76494</v>
      </c>
      <c r="H26" s="269">
        <v>81994</v>
      </c>
      <c r="I26" s="269">
        <v>134632</v>
      </c>
      <c r="J26" s="269">
        <v>605757</v>
      </c>
      <c r="K26" s="273">
        <v>620821</v>
      </c>
    </row>
    <row r="27" spans="2:11">
      <c r="B27" s="560" t="s">
        <v>32</v>
      </c>
      <c r="C27" s="561"/>
      <c r="D27" s="561"/>
      <c r="E27" s="561"/>
      <c r="F27" s="561"/>
      <c r="G27" s="561"/>
      <c r="H27" s="561"/>
      <c r="I27" s="561"/>
      <c r="J27" s="561"/>
      <c r="K27" s="562"/>
    </row>
    <row r="28" spans="2:11">
      <c r="B28" s="275" t="s">
        <v>29</v>
      </c>
      <c r="C28" s="270">
        <v>0.11151573450597774</v>
      </c>
      <c r="D28" s="270">
        <v>8.2041662553065456E-2</v>
      </c>
      <c r="E28" s="270">
        <v>0.12841525320951505</v>
      </c>
      <c r="F28" s="270">
        <v>6.6562621927428789E-2</v>
      </c>
      <c r="G28" s="270">
        <v>0.12098991750687443</v>
      </c>
      <c r="H28" s="270">
        <v>9.3964194373401533E-2</v>
      </c>
      <c r="I28" s="270">
        <v>8.8384238012343727E-2</v>
      </c>
      <c r="J28" s="270">
        <v>9.8249597687041432E-2</v>
      </c>
      <c r="K28" s="276">
        <v>9.6353435247228128E-2</v>
      </c>
    </row>
    <row r="29" spans="2:11">
      <c r="B29" s="275" t="s">
        <v>30</v>
      </c>
      <c r="C29" s="270">
        <v>9.7630468496411438E-2</v>
      </c>
      <c r="D29" s="270">
        <v>6.508799588172838E-2</v>
      </c>
      <c r="E29" s="270">
        <v>0.10071468622337727</v>
      </c>
      <c r="F29" s="270">
        <v>5.2585808625703181E-2</v>
      </c>
      <c r="G29" s="270">
        <v>8.9523361309383737E-2</v>
      </c>
      <c r="H29" s="270">
        <v>6.711466692684831E-2</v>
      </c>
      <c r="I29" s="270">
        <v>6.3773842771406505E-2</v>
      </c>
      <c r="J29" s="270">
        <v>7.4727984984077775E-2</v>
      </c>
      <c r="K29" s="276">
        <v>7.2914737098132953E-2</v>
      </c>
    </row>
    <row r="30" spans="2:11" ht="17" thickBot="1">
      <c r="B30" s="277" t="s">
        <v>33</v>
      </c>
      <c r="C30" s="278">
        <v>4.7027954721648474E-2</v>
      </c>
      <c r="D30" s="278">
        <v>0.10293962256176166</v>
      </c>
      <c r="E30" s="278">
        <v>0.18917070143182721</v>
      </c>
      <c r="F30" s="278">
        <v>0.17979981336082868</v>
      </c>
      <c r="G30" s="278">
        <v>0.12634070435710146</v>
      </c>
      <c r="H30" s="278">
        <v>0.13468941484504388</v>
      </c>
      <c r="I30" s="278">
        <v>0.22003178872178863</v>
      </c>
      <c r="J30" s="278">
        <v>1</v>
      </c>
      <c r="K30" s="279">
        <v>1</v>
      </c>
    </row>
    <row r="31" spans="2:11" ht="17" thickBot="1"/>
    <row r="32" spans="2:11">
      <c r="B32" s="566" t="s">
        <v>10</v>
      </c>
      <c r="C32" s="567"/>
      <c r="D32" s="567"/>
      <c r="E32" s="567"/>
      <c r="F32" s="567"/>
      <c r="G32" s="567"/>
      <c r="H32" s="567"/>
      <c r="I32" s="567"/>
      <c r="J32" s="567"/>
      <c r="K32" s="568"/>
    </row>
    <row r="33" spans="2:11">
      <c r="B33" s="271"/>
      <c r="C33" s="268" t="s">
        <v>17</v>
      </c>
      <c r="D33" s="268" t="s">
        <v>18</v>
      </c>
      <c r="E33" s="268" t="s">
        <v>19</v>
      </c>
      <c r="F33" s="268" t="s">
        <v>20</v>
      </c>
      <c r="G33" s="268" t="s">
        <v>21</v>
      </c>
      <c r="H33" s="268" t="s">
        <v>22</v>
      </c>
      <c r="I33" s="268" t="s">
        <v>23</v>
      </c>
      <c r="J33" s="280" t="s">
        <v>26</v>
      </c>
      <c r="K33" s="281" t="s">
        <v>27</v>
      </c>
    </row>
    <row r="34" spans="2:11">
      <c r="B34" s="272" t="s">
        <v>28</v>
      </c>
      <c r="C34" s="269">
        <v>46913</v>
      </c>
      <c r="D34" s="269">
        <v>90064</v>
      </c>
      <c r="E34" s="269">
        <v>169826</v>
      </c>
      <c r="F34" s="269">
        <v>158478</v>
      </c>
      <c r="G34" s="269">
        <v>124581</v>
      </c>
      <c r="H34" s="269">
        <v>128477</v>
      </c>
      <c r="I34" s="269">
        <v>196425</v>
      </c>
      <c r="J34" s="269">
        <v>914764</v>
      </c>
      <c r="K34" s="273">
        <v>923377</v>
      </c>
    </row>
    <row r="35" spans="2:11">
      <c r="B35" s="274" t="s">
        <v>29</v>
      </c>
      <c r="C35" s="269">
        <v>17879</v>
      </c>
      <c r="D35" s="269">
        <v>32580</v>
      </c>
      <c r="E35" s="269">
        <v>63704</v>
      </c>
      <c r="F35" s="269">
        <v>56387</v>
      </c>
      <c r="G35" s="269">
        <v>45896</v>
      </c>
      <c r="H35" s="269">
        <v>46952</v>
      </c>
      <c r="I35" s="269">
        <v>70280</v>
      </c>
      <c r="J35" s="269">
        <v>333678</v>
      </c>
      <c r="K35" s="273">
        <v>336553</v>
      </c>
    </row>
    <row r="36" spans="2:11">
      <c r="B36" s="274" t="s">
        <v>30</v>
      </c>
      <c r="C36" s="269">
        <v>29034</v>
      </c>
      <c r="D36" s="269">
        <v>57484</v>
      </c>
      <c r="E36" s="269">
        <v>106122</v>
      </c>
      <c r="F36" s="269">
        <v>102091</v>
      </c>
      <c r="G36" s="269">
        <v>78685</v>
      </c>
      <c r="H36" s="269">
        <v>81525</v>
      </c>
      <c r="I36" s="269">
        <v>126145</v>
      </c>
      <c r="J36" s="269">
        <v>581086</v>
      </c>
      <c r="K36" s="273">
        <v>586824</v>
      </c>
    </row>
    <row r="37" spans="2:11">
      <c r="B37" s="560" t="s">
        <v>32</v>
      </c>
      <c r="C37" s="561"/>
      <c r="D37" s="561"/>
      <c r="E37" s="561"/>
      <c r="F37" s="561"/>
      <c r="G37" s="561"/>
      <c r="H37" s="561"/>
      <c r="I37" s="561"/>
      <c r="J37" s="561"/>
      <c r="K37" s="562"/>
    </row>
    <row r="38" spans="2:11">
      <c r="B38" s="275" t="s">
        <v>29</v>
      </c>
      <c r="C38" s="270">
        <v>9.0776889087756579E-2</v>
      </c>
      <c r="D38" s="270">
        <v>7.6519337016574582E-2</v>
      </c>
      <c r="E38" s="270">
        <v>0.11635062162501569</v>
      </c>
      <c r="F38" s="270">
        <v>6.0510401333640731E-2</v>
      </c>
      <c r="G38" s="270">
        <v>9.7786299459647896E-2</v>
      </c>
      <c r="H38" s="270">
        <v>7.8250127790083487E-2</v>
      </c>
      <c r="I38" s="270">
        <v>7.9467842914058048E-2</v>
      </c>
      <c r="J38" s="270">
        <v>8.6361702000131865E-2</v>
      </c>
      <c r="K38" s="276">
        <v>8.5623958187863433E-2</v>
      </c>
    </row>
    <row r="39" spans="2:11">
      <c r="B39" s="275" t="s">
        <v>30</v>
      </c>
      <c r="C39" s="270">
        <v>9.3235516980092303E-2</v>
      </c>
      <c r="D39" s="270">
        <v>7.0384802727715537E-2</v>
      </c>
      <c r="E39" s="270">
        <v>0.10663198959687907</v>
      </c>
      <c r="F39" s="270">
        <v>5.6861035742621781E-2</v>
      </c>
      <c r="G39" s="270">
        <v>8.7030564910719962E-2</v>
      </c>
      <c r="H39" s="270">
        <v>6.7500766636001228E-2</v>
      </c>
      <c r="I39" s="270">
        <v>6.806452891513734E-2</v>
      </c>
      <c r="J39" s="270">
        <v>7.7900689398815323E-2</v>
      </c>
      <c r="K39" s="276">
        <v>7.7138971821193406E-2</v>
      </c>
    </row>
    <row r="40" spans="2:11" ht="17" thickBot="1">
      <c r="B40" s="277" t="s">
        <v>33</v>
      </c>
      <c r="C40" s="278">
        <v>5.1284265668522157E-2</v>
      </c>
      <c r="D40" s="278">
        <v>9.8455995207507072E-2</v>
      </c>
      <c r="E40" s="278">
        <v>0.1856500693074935</v>
      </c>
      <c r="F40" s="278">
        <v>0.17324468387474803</v>
      </c>
      <c r="G40" s="278">
        <v>0.13618922476179648</v>
      </c>
      <c r="H40" s="278">
        <v>0.14044824676091319</v>
      </c>
      <c r="I40" s="278">
        <v>0.21472751441901955</v>
      </c>
      <c r="J40" s="278">
        <v>1</v>
      </c>
      <c r="K40" s="279">
        <v>1</v>
      </c>
    </row>
    <row r="41" spans="2:11" ht="17" thickBot="1"/>
    <row r="42" spans="2:11">
      <c r="B42" s="569" t="s">
        <v>11</v>
      </c>
      <c r="C42" s="570"/>
      <c r="D42" s="570"/>
      <c r="E42" s="570"/>
      <c r="F42" s="570"/>
      <c r="G42" s="570"/>
      <c r="H42" s="570"/>
      <c r="I42" s="570"/>
      <c r="J42" s="570"/>
      <c r="K42" s="571"/>
    </row>
    <row r="43" spans="2:11">
      <c r="B43" s="271"/>
      <c r="C43" s="268" t="s">
        <v>17</v>
      </c>
      <c r="D43" s="268" t="s">
        <v>18</v>
      </c>
      <c r="E43" s="268" t="s">
        <v>19</v>
      </c>
      <c r="F43" s="268" t="s">
        <v>20</v>
      </c>
      <c r="G43" s="268" t="s">
        <v>21</v>
      </c>
      <c r="H43" s="268" t="s">
        <v>22</v>
      </c>
      <c r="I43" s="268" t="s">
        <v>23</v>
      </c>
      <c r="J43" s="280" t="s">
        <v>26</v>
      </c>
      <c r="K43" s="281" t="s">
        <v>27</v>
      </c>
    </row>
    <row r="44" spans="2:11">
      <c r="B44" s="272" t="s">
        <v>28</v>
      </c>
      <c r="C44" s="269">
        <v>359856</v>
      </c>
      <c r="D44" s="269">
        <v>584457</v>
      </c>
      <c r="E44" s="269">
        <v>1103246</v>
      </c>
      <c r="F44" s="269">
        <v>1032905</v>
      </c>
      <c r="G44" s="269">
        <v>879558</v>
      </c>
      <c r="H44" s="269">
        <v>844887</v>
      </c>
      <c r="I44" s="269">
        <v>1410224</v>
      </c>
      <c r="J44" s="269">
        <v>6215133</v>
      </c>
      <c r="K44" s="273">
        <v>6374314</v>
      </c>
    </row>
    <row r="45" spans="2:11">
      <c r="B45" s="274" t="s">
        <v>29</v>
      </c>
      <c r="C45" s="269">
        <v>139243</v>
      </c>
      <c r="D45" s="269">
        <v>220667</v>
      </c>
      <c r="E45" s="269">
        <v>430789</v>
      </c>
      <c r="F45" s="269">
        <v>385348</v>
      </c>
      <c r="G45" s="269">
        <v>332040</v>
      </c>
      <c r="H45" s="269">
        <v>323709</v>
      </c>
      <c r="I45" s="269">
        <v>511648</v>
      </c>
      <c r="J45" s="269">
        <v>2343444</v>
      </c>
      <c r="K45" s="273">
        <v>2395842</v>
      </c>
    </row>
    <row r="46" spans="2:11">
      <c r="B46" s="274" t="s">
        <v>30</v>
      </c>
      <c r="C46" s="269">
        <v>220613</v>
      </c>
      <c r="D46" s="269">
        <v>363790</v>
      </c>
      <c r="E46" s="269">
        <v>672457</v>
      </c>
      <c r="F46" s="269">
        <v>647557</v>
      </c>
      <c r="G46" s="269">
        <v>547518</v>
      </c>
      <c r="H46" s="269">
        <v>521178</v>
      </c>
      <c r="I46" s="269">
        <v>898576</v>
      </c>
      <c r="J46" s="269">
        <v>3871689</v>
      </c>
      <c r="K46" s="273">
        <v>3978472</v>
      </c>
    </row>
    <row r="47" spans="2:11">
      <c r="B47" s="560" t="s">
        <v>32</v>
      </c>
      <c r="C47" s="561"/>
      <c r="D47" s="561"/>
      <c r="E47" s="561"/>
      <c r="F47" s="561"/>
      <c r="G47" s="561"/>
      <c r="H47" s="561"/>
      <c r="I47" s="561"/>
      <c r="J47" s="561"/>
      <c r="K47" s="562"/>
    </row>
    <row r="48" spans="2:11">
      <c r="B48" s="275" t="s">
        <v>29</v>
      </c>
      <c r="C48" s="270">
        <v>1.165588216283763E-2</v>
      </c>
      <c r="D48" s="270">
        <v>1.1297566015761306E-2</v>
      </c>
      <c r="E48" s="270">
        <v>1.7205638955497937E-2</v>
      </c>
      <c r="F48" s="270">
        <v>8.854334264093754E-3</v>
      </c>
      <c r="G48" s="270">
        <v>1.3516443801951572E-2</v>
      </c>
      <c r="H48" s="270">
        <v>1.1349699884773053E-2</v>
      </c>
      <c r="I48" s="270">
        <v>1.0915707674025893E-2</v>
      </c>
      <c r="J48" s="270">
        <v>1.2296858811219726E-2</v>
      </c>
      <c r="K48" s="276">
        <v>1.2027921707691909E-2</v>
      </c>
    </row>
    <row r="49" spans="2:11">
      <c r="B49" s="275" t="s">
        <v>30</v>
      </c>
      <c r="C49" s="270">
        <v>1.2270355781390942E-2</v>
      </c>
      <c r="D49" s="270">
        <v>1.1121801039060996E-2</v>
      </c>
      <c r="E49" s="270">
        <v>1.6827841780217918E-2</v>
      </c>
      <c r="F49" s="270">
        <v>8.9644618157166088E-3</v>
      </c>
      <c r="G49" s="270">
        <v>1.2507351356485084E-2</v>
      </c>
      <c r="H49" s="270">
        <v>1.0558772626626604E-2</v>
      </c>
      <c r="I49" s="270">
        <v>9.5551183205427256E-3</v>
      </c>
      <c r="J49" s="270">
        <v>1.169179652601229E-2</v>
      </c>
      <c r="K49" s="276">
        <v>1.1377986322387087E-2</v>
      </c>
    </row>
    <row r="50" spans="2:11" ht="17" thickBot="1">
      <c r="B50" s="277" t="s">
        <v>34</v>
      </c>
      <c r="C50" s="278">
        <v>5.7899967707851142E-2</v>
      </c>
      <c r="D50" s="278">
        <v>9.4037730166031841E-2</v>
      </c>
      <c r="E50" s="278">
        <v>0.17750963655966814</v>
      </c>
      <c r="F50" s="278">
        <v>0.16619193828997705</v>
      </c>
      <c r="G50" s="278">
        <v>0.1415187736127288</v>
      </c>
      <c r="H50" s="278">
        <v>0.13594029283041892</v>
      </c>
      <c r="I50" s="278">
        <v>0.22690166083332408</v>
      </c>
      <c r="J50" s="278">
        <v>1</v>
      </c>
      <c r="K50" s="279">
        <v>1</v>
      </c>
    </row>
  </sheetData>
  <mergeCells count="10">
    <mergeCell ref="B47:K47"/>
    <mergeCell ref="B2:K2"/>
    <mergeCell ref="B7:K7"/>
    <mergeCell ref="B12:K12"/>
    <mergeCell ref="B17:K17"/>
    <mergeCell ref="B22:K22"/>
    <mergeCell ref="B27:K27"/>
    <mergeCell ref="B32:K32"/>
    <mergeCell ref="B37:K37"/>
    <mergeCell ref="B42:K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CA46-64F5-8749-9560-7B04AD7367A0}">
  <sheetPr>
    <tabColor theme="2" tint="-9.9978637043366805E-2"/>
  </sheetPr>
  <dimension ref="B1:G16"/>
  <sheetViews>
    <sheetView zoomScaleNormal="100" workbookViewId="0">
      <selection activeCell="E20" sqref="E20"/>
    </sheetView>
  </sheetViews>
  <sheetFormatPr baseColWidth="10" defaultColWidth="11" defaultRowHeight="16"/>
  <cols>
    <col min="1" max="1" width="3.33203125" customWidth="1"/>
    <col min="2" max="4" width="40" customWidth="1"/>
    <col min="5" max="5" width="128.6640625" customWidth="1"/>
  </cols>
  <sheetData>
    <row r="1" spans="2:7" ht="17" thickBot="1"/>
    <row r="2" spans="2:7" ht="40" customHeight="1" thickBot="1">
      <c r="B2" s="580" t="s">
        <v>40</v>
      </c>
      <c r="C2" s="581"/>
      <c r="D2" s="581"/>
      <c r="E2" s="250" t="s">
        <v>41</v>
      </c>
      <c r="F2" s="47"/>
      <c r="G2" s="47"/>
    </row>
    <row r="3" spans="2:7" ht="40" customHeight="1">
      <c r="B3" s="582" t="s">
        <v>42</v>
      </c>
      <c r="C3" s="583" t="s">
        <v>43</v>
      </c>
      <c r="D3" s="421" t="s">
        <v>44</v>
      </c>
      <c r="E3" s="283" t="s">
        <v>45</v>
      </c>
    </row>
    <row r="4" spans="2:7" ht="40" customHeight="1">
      <c r="B4" s="577"/>
      <c r="C4" s="579"/>
      <c r="D4" s="229" t="s">
        <v>46</v>
      </c>
      <c r="E4" s="251" t="s">
        <v>47</v>
      </c>
    </row>
    <row r="5" spans="2:7" ht="40" customHeight="1">
      <c r="B5" s="577" t="s">
        <v>48</v>
      </c>
      <c r="C5" s="579" t="s">
        <v>49</v>
      </c>
      <c r="D5" s="230" t="s">
        <v>50</v>
      </c>
      <c r="E5" s="252" t="s">
        <v>51</v>
      </c>
    </row>
    <row r="6" spans="2:7" ht="40" customHeight="1">
      <c r="B6" s="577"/>
      <c r="C6" s="579"/>
      <c r="D6" s="229" t="s">
        <v>52</v>
      </c>
      <c r="E6" s="251" t="s">
        <v>53</v>
      </c>
    </row>
    <row r="7" spans="2:7" ht="40" customHeight="1">
      <c r="B7" s="577"/>
      <c r="C7" s="579"/>
      <c r="D7" s="229" t="s">
        <v>14</v>
      </c>
      <c r="E7" s="251" t="s">
        <v>54</v>
      </c>
    </row>
    <row r="8" spans="2:7" ht="40" customHeight="1">
      <c r="B8" s="577"/>
      <c r="C8" s="233" t="s">
        <v>43</v>
      </c>
      <c r="D8" s="229" t="s">
        <v>55</v>
      </c>
      <c r="E8" s="251" t="s">
        <v>56</v>
      </c>
    </row>
    <row r="9" spans="2:7" ht="40" customHeight="1">
      <c r="B9" s="577" t="s">
        <v>57</v>
      </c>
      <c r="C9" s="579" t="s">
        <v>49</v>
      </c>
      <c r="D9" s="230" t="s">
        <v>58</v>
      </c>
      <c r="E9" s="253" t="s">
        <v>59</v>
      </c>
    </row>
    <row r="10" spans="2:7" ht="40" customHeight="1">
      <c r="B10" s="577"/>
      <c r="C10" s="579"/>
      <c r="D10" s="229" t="s">
        <v>60</v>
      </c>
      <c r="E10" s="251" t="s">
        <v>61</v>
      </c>
    </row>
    <row r="11" spans="2:7" ht="40" customHeight="1">
      <c r="B11" s="577"/>
      <c r="C11" s="579"/>
      <c r="D11" s="229" t="s">
        <v>62</v>
      </c>
      <c r="E11" s="251" t="s">
        <v>63</v>
      </c>
    </row>
    <row r="12" spans="2:7" ht="40" customHeight="1">
      <c r="B12" s="577"/>
      <c r="C12" s="579"/>
      <c r="D12" s="229" t="s">
        <v>64</v>
      </c>
      <c r="E12" s="251" t="s">
        <v>65</v>
      </c>
    </row>
    <row r="13" spans="2:7" ht="40" customHeight="1" thickBot="1">
      <c r="B13" s="578"/>
      <c r="C13" s="282" t="s">
        <v>66</v>
      </c>
      <c r="D13" s="422" t="s">
        <v>67</v>
      </c>
      <c r="E13" s="284" t="s">
        <v>68</v>
      </c>
    </row>
    <row r="14" spans="2:7" ht="40" customHeight="1" thickBot="1">
      <c r="B14" s="572"/>
      <c r="C14" s="573"/>
      <c r="D14" s="573"/>
      <c r="E14" s="574"/>
    </row>
    <row r="15" spans="2:7" ht="40" customHeight="1" thickBot="1">
      <c r="B15" s="285" t="s">
        <v>69</v>
      </c>
      <c r="C15" s="575" t="s">
        <v>70</v>
      </c>
      <c r="D15" s="576"/>
      <c r="E15" s="286" t="s">
        <v>71</v>
      </c>
    </row>
    <row r="16" spans="2:7" ht="40" customHeight="1"/>
  </sheetData>
  <mergeCells count="9">
    <mergeCell ref="B14:E14"/>
    <mergeCell ref="C15:D15"/>
    <mergeCell ref="B9:B13"/>
    <mergeCell ref="C9:C12"/>
    <mergeCell ref="B2:D2"/>
    <mergeCell ref="B3:B4"/>
    <mergeCell ref="C3:C4"/>
    <mergeCell ref="B5:B8"/>
    <mergeCell ref="C5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730B-B05D-0948-A22C-7576FD4E7C37}">
  <sheetPr>
    <tabColor theme="7" tint="-0.249977111117893"/>
  </sheetPr>
  <dimension ref="B1:AJ122"/>
  <sheetViews>
    <sheetView topLeftCell="B1" zoomScale="90" zoomScaleNormal="90" workbookViewId="0">
      <selection activeCell="AH25" sqref="AH25"/>
    </sheetView>
  </sheetViews>
  <sheetFormatPr baseColWidth="10" defaultColWidth="8.6640625" defaultRowHeight="14"/>
  <cols>
    <col min="1" max="1" width="3.1640625" style="298" customWidth="1"/>
    <col min="2" max="2" width="8.6640625" style="298"/>
    <col min="3" max="3" width="13.83203125" style="298" customWidth="1"/>
    <col min="4" max="16" width="8.6640625" style="298"/>
    <col min="17" max="17" width="3.83203125" style="298" customWidth="1"/>
    <col min="18" max="18" width="13.83203125" style="298" customWidth="1"/>
    <col min="19" max="16384" width="8.6640625" style="298"/>
  </cols>
  <sheetData>
    <row r="1" spans="2:34" ht="15" thickBot="1"/>
    <row r="2" spans="2:34" ht="17">
      <c r="B2" s="593" t="s">
        <v>72</v>
      </c>
      <c r="C2" s="314" t="s">
        <v>73</v>
      </c>
      <c r="D2" s="300" t="s">
        <v>74</v>
      </c>
      <c r="E2" s="300" t="s">
        <v>75</v>
      </c>
      <c r="F2" s="300" t="s">
        <v>76</v>
      </c>
      <c r="G2" s="300" t="s">
        <v>77</v>
      </c>
      <c r="H2" s="300" t="s">
        <v>78</v>
      </c>
      <c r="I2" s="300" t="s">
        <v>79</v>
      </c>
      <c r="J2" s="300" t="s">
        <v>80</v>
      </c>
      <c r="K2" s="300" t="s">
        <v>81</v>
      </c>
      <c r="L2" s="300" t="s">
        <v>82</v>
      </c>
      <c r="M2" s="300" t="s">
        <v>83</v>
      </c>
      <c r="N2" s="300" t="s">
        <v>84</v>
      </c>
      <c r="O2" s="300" t="s">
        <v>85</v>
      </c>
      <c r="P2" s="301" t="s">
        <v>86</v>
      </c>
      <c r="R2" s="584" t="s">
        <v>87</v>
      </c>
      <c r="S2" s="585"/>
      <c r="T2" s="585"/>
      <c r="U2" s="585"/>
      <c r="V2" s="585"/>
      <c r="W2" s="585"/>
      <c r="X2" s="585"/>
      <c r="Y2" s="585"/>
      <c r="Z2" s="585"/>
      <c r="AA2" s="585"/>
      <c r="AB2" s="585"/>
      <c r="AC2" s="585"/>
      <c r="AD2" s="585"/>
      <c r="AE2" s="586"/>
    </row>
    <row r="3" spans="2:34">
      <c r="B3" s="594"/>
      <c r="C3" s="315" t="s">
        <v>88</v>
      </c>
      <c r="D3" s="500"/>
      <c r="E3" s="500"/>
      <c r="F3" s="500"/>
      <c r="G3" s="303"/>
      <c r="H3" s="303"/>
      <c r="I3" s="303"/>
      <c r="J3" s="303"/>
      <c r="K3" s="303"/>
      <c r="L3" s="303"/>
      <c r="M3" s="303"/>
      <c r="N3" s="303"/>
      <c r="O3" s="303"/>
      <c r="P3" s="304"/>
      <c r="R3" s="587"/>
      <c r="S3" s="588"/>
      <c r="T3" s="588"/>
      <c r="U3" s="588"/>
      <c r="V3" s="588"/>
      <c r="W3" s="588"/>
      <c r="X3" s="588"/>
      <c r="Y3" s="588"/>
      <c r="Z3" s="588"/>
      <c r="AA3" s="588"/>
      <c r="AB3" s="588"/>
      <c r="AC3" s="588"/>
      <c r="AD3" s="588"/>
      <c r="AE3" s="589"/>
    </row>
    <row r="4" spans="2:34">
      <c r="B4" s="594"/>
      <c r="C4" s="315" t="s">
        <v>89</v>
      </c>
      <c r="D4" s="500"/>
      <c r="E4" s="500"/>
      <c r="F4" s="500"/>
      <c r="G4" s="303"/>
      <c r="H4" s="303"/>
      <c r="I4" s="303"/>
      <c r="J4" s="303"/>
      <c r="K4" s="303"/>
      <c r="L4" s="303"/>
      <c r="M4" s="303"/>
      <c r="N4" s="303"/>
      <c r="O4" s="303"/>
      <c r="P4" s="304"/>
      <c r="R4" s="587"/>
      <c r="S4" s="588"/>
      <c r="T4" s="588"/>
      <c r="U4" s="588"/>
      <c r="V4" s="588"/>
      <c r="W4" s="588"/>
      <c r="X4" s="588"/>
      <c r="Y4" s="588"/>
      <c r="Z4" s="588"/>
      <c r="AA4" s="588"/>
      <c r="AB4" s="588"/>
      <c r="AC4" s="588"/>
      <c r="AD4" s="588"/>
      <c r="AE4" s="589"/>
      <c r="AG4" s="499"/>
      <c r="AH4" s="298" t="s">
        <v>90</v>
      </c>
    </row>
    <row r="5" spans="2:34">
      <c r="B5" s="594"/>
      <c r="C5" s="315" t="s">
        <v>91</v>
      </c>
      <c r="D5" s="500"/>
      <c r="E5" s="500"/>
      <c r="F5" s="500"/>
      <c r="G5" s="303"/>
      <c r="H5" s="303"/>
      <c r="I5" s="303"/>
      <c r="J5" s="303"/>
      <c r="K5" s="303"/>
      <c r="L5" s="303"/>
      <c r="M5" s="303"/>
      <c r="N5" s="303"/>
      <c r="O5" s="303"/>
      <c r="P5" s="304"/>
      <c r="R5" s="587"/>
      <c r="S5" s="588"/>
      <c r="T5" s="588"/>
      <c r="U5" s="588"/>
      <c r="V5" s="588"/>
      <c r="W5" s="588"/>
      <c r="X5" s="588"/>
      <c r="Y5" s="588"/>
      <c r="Z5" s="588"/>
      <c r="AA5" s="588"/>
      <c r="AB5" s="588"/>
      <c r="AC5" s="588"/>
      <c r="AD5" s="588"/>
      <c r="AE5" s="589"/>
    </row>
    <row r="6" spans="2:34">
      <c r="B6" s="594"/>
      <c r="C6" s="315" t="s">
        <v>92</v>
      </c>
      <c r="D6" s="500"/>
      <c r="E6" s="500"/>
      <c r="F6" s="500"/>
      <c r="G6" s="303"/>
      <c r="H6" s="303"/>
      <c r="I6" s="303"/>
      <c r="J6" s="303"/>
      <c r="K6" s="303"/>
      <c r="L6" s="303"/>
      <c r="M6" s="303"/>
      <c r="N6" s="303"/>
      <c r="O6" s="303"/>
      <c r="P6" s="304"/>
      <c r="R6" s="587"/>
      <c r="S6" s="588"/>
      <c r="T6" s="588"/>
      <c r="U6" s="588"/>
      <c r="V6" s="588"/>
      <c r="W6" s="588"/>
      <c r="X6" s="588"/>
      <c r="Y6" s="588"/>
      <c r="Z6" s="588"/>
      <c r="AA6" s="588"/>
      <c r="AB6" s="588"/>
      <c r="AC6" s="588"/>
      <c r="AD6" s="588"/>
      <c r="AE6" s="589"/>
    </row>
    <row r="7" spans="2:34">
      <c r="B7" s="594"/>
      <c r="C7" s="315" t="s">
        <v>93</v>
      </c>
      <c r="D7" s="500"/>
      <c r="E7" s="500"/>
      <c r="F7" s="500"/>
      <c r="G7" s="303"/>
      <c r="H7" s="303"/>
      <c r="I7" s="303"/>
      <c r="J7" s="303"/>
      <c r="K7" s="303"/>
      <c r="L7" s="303"/>
      <c r="M7" s="303"/>
      <c r="N7" s="303"/>
      <c r="O7" s="303"/>
      <c r="P7" s="304"/>
      <c r="R7" s="587"/>
      <c r="S7" s="588"/>
      <c r="T7" s="588"/>
      <c r="U7" s="588"/>
      <c r="V7" s="588"/>
      <c r="W7" s="588"/>
      <c r="X7" s="588"/>
      <c r="Y7" s="588"/>
      <c r="Z7" s="588"/>
      <c r="AA7" s="588"/>
      <c r="AB7" s="588"/>
      <c r="AC7" s="588"/>
      <c r="AD7" s="588"/>
      <c r="AE7" s="589"/>
    </row>
    <row r="8" spans="2:34">
      <c r="B8" s="594"/>
      <c r="C8" s="315" t="s">
        <v>94</v>
      </c>
      <c r="D8" s="500"/>
      <c r="E8" s="500"/>
      <c r="F8" s="500"/>
      <c r="G8" s="303"/>
      <c r="H8" s="303"/>
      <c r="I8" s="303"/>
      <c r="J8" s="303"/>
      <c r="K8" s="303"/>
      <c r="L8" s="303"/>
      <c r="M8" s="303"/>
      <c r="N8" s="303"/>
      <c r="O8" s="303"/>
      <c r="P8" s="304"/>
      <c r="R8" s="587"/>
      <c r="S8" s="588"/>
      <c r="T8" s="588"/>
      <c r="U8" s="588"/>
      <c r="V8" s="588"/>
      <c r="W8" s="588"/>
      <c r="X8" s="588"/>
      <c r="Y8" s="588"/>
      <c r="Z8" s="588"/>
      <c r="AA8" s="588"/>
      <c r="AB8" s="588"/>
      <c r="AC8" s="588"/>
      <c r="AD8" s="588"/>
      <c r="AE8" s="589"/>
    </row>
    <row r="9" spans="2:34">
      <c r="B9" s="594"/>
      <c r="C9" s="315" t="s">
        <v>95</v>
      </c>
      <c r="D9" s="500"/>
      <c r="E9" s="500"/>
      <c r="F9" s="500"/>
      <c r="G9" s="303"/>
      <c r="H9" s="303"/>
      <c r="I9" s="303"/>
      <c r="J9" s="303"/>
      <c r="K9" s="303"/>
      <c r="L9" s="303"/>
      <c r="M9" s="303"/>
      <c r="N9" s="303"/>
      <c r="O9" s="303"/>
      <c r="P9" s="304"/>
      <c r="R9" s="587"/>
      <c r="S9" s="588"/>
      <c r="T9" s="588"/>
      <c r="U9" s="588"/>
      <c r="V9" s="588"/>
      <c r="W9" s="588"/>
      <c r="X9" s="588"/>
      <c r="Y9" s="588"/>
      <c r="Z9" s="588"/>
      <c r="AA9" s="588"/>
      <c r="AB9" s="588"/>
      <c r="AC9" s="588"/>
      <c r="AD9" s="588"/>
      <c r="AE9" s="589"/>
    </row>
    <row r="10" spans="2:34">
      <c r="B10" s="594"/>
      <c r="C10" s="315" t="s">
        <v>96</v>
      </c>
      <c r="D10" s="500"/>
      <c r="E10" s="500"/>
      <c r="F10" s="500"/>
      <c r="G10" s="303"/>
      <c r="H10" s="303"/>
      <c r="I10" s="303"/>
      <c r="J10" s="303"/>
      <c r="K10" s="303"/>
      <c r="L10" s="303"/>
      <c r="M10" s="303"/>
      <c r="N10" s="303"/>
      <c r="O10" s="303"/>
      <c r="P10" s="304"/>
      <c r="R10" s="587"/>
      <c r="S10" s="588"/>
      <c r="T10" s="588"/>
      <c r="U10" s="588"/>
      <c r="V10" s="588"/>
      <c r="W10" s="588"/>
      <c r="X10" s="588"/>
      <c r="Y10" s="588"/>
      <c r="Z10" s="588"/>
      <c r="AA10" s="588"/>
      <c r="AB10" s="588"/>
      <c r="AC10" s="588"/>
      <c r="AD10" s="588"/>
      <c r="AE10" s="589"/>
    </row>
    <row r="11" spans="2:34">
      <c r="B11" s="594"/>
      <c r="C11" s="315" t="s">
        <v>97</v>
      </c>
      <c r="D11" s="500"/>
      <c r="E11" s="500"/>
      <c r="F11" s="500"/>
      <c r="G11" s="303"/>
      <c r="H11" s="303"/>
      <c r="I11" s="303"/>
      <c r="J11" s="303"/>
      <c r="K11" s="303"/>
      <c r="L11" s="303"/>
      <c r="M11" s="303"/>
      <c r="N11" s="303"/>
      <c r="O11" s="303"/>
      <c r="P11" s="304"/>
      <c r="R11" s="587"/>
      <c r="S11" s="588"/>
      <c r="T11" s="588"/>
      <c r="U11" s="588"/>
      <c r="V11" s="588"/>
      <c r="W11" s="588"/>
      <c r="X11" s="588"/>
      <c r="Y11" s="588"/>
      <c r="Z11" s="588"/>
      <c r="AA11" s="588"/>
      <c r="AB11" s="588"/>
      <c r="AC11" s="588"/>
      <c r="AD11" s="588"/>
      <c r="AE11" s="589"/>
    </row>
    <row r="12" spans="2:34" ht="18" thickBot="1">
      <c r="B12" s="594"/>
      <c r="C12" s="338" t="s">
        <v>86</v>
      </c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7"/>
      <c r="R12" s="590"/>
      <c r="S12" s="591"/>
      <c r="T12" s="591"/>
      <c r="U12" s="591"/>
      <c r="V12" s="591"/>
      <c r="W12" s="591"/>
      <c r="X12" s="591"/>
      <c r="Y12" s="591"/>
      <c r="Z12" s="591"/>
      <c r="AA12" s="591"/>
      <c r="AB12" s="591"/>
      <c r="AC12" s="591"/>
      <c r="AD12" s="591"/>
      <c r="AE12" s="592"/>
    </row>
    <row r="13" spans="2:34" ht="17">
      <c r="B13" s="594"/>
      <c r="C13" s="308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</row>
    <row r="14" spans="2:34" ht="15" thickBot="1">
      <c r="B14" s="594"/>
    </row>
    <row r="15" spans="2:34" ht="17">
      <c r="B15" s="594"/>
      <c r="C15" s="314" t="s">
        <v>98</v>
      </c>
      <c r="D15" s="310" t="s">
        <v>74</v>
      </c>
      <c r="E15" s="310" t="s">
        <v>75</v>
      </c>
      <c r="F15" s="310" t="s">
        <v>76</v>
      </c>
      <c r="G15" s="310" t="s">
        <v>77</v>
      </c>
      <c r="H15" s="310" t="s">
        <v>78</v>
      </c>
      <c r="I15" s="310" t="s">
        <v>79</v>
      </c>
      <c r="J15" s="310" t="s">
        <v>80</v>
      </c>
      <c r="K15" s="310" t="s">
        <v>81</v>
      </c>
      <c r="L15" s="310" t="s">
        <v>82</v>
      </c>
      <c r="M15" s="310" t="s">
        <v>83</v>
      </c>
      <c r="N15" s="310" t="s">
        <v>84</v>
      </c>
      <c r="O15" s="311" t="s">
        <v>85</v>
      </c>
      <c r="P15" s="320" t="s">
        <v>86</v>
      </c>
      <c r="R15" s="299" t="s">
        <v>98</v>
      </c>
      <c r="S15" s="310" t="s">
        <v>74</v>
      </c>
      <c r="T15" s="310" t="s">
        <v>75</v>
      </c>
      <c r="U15" s="310" t="s">
        <v>76</v>
      </c>
      <c r="V15" s="310" t="s">
        <v>77</v>
      </c>
      <c r="W15" s="310" t="s">
        <v>78</v>
      </c>
      <c r="X15" s="310" t="s">
        <v>79</v>
      </c>
      <c r="Y15" s="310" t="s">
        <v>80</v>
      </c>
      <c r="Z15" s="310" t="s">
        <v>81</v>
      </c>
      <c r="AA15" s="310" t="s">
        <v>82</v>
      </c>
      <c r="AB15" s="310" t="s">
        <v>83</v>
      </c>
      <c r="AC15" s="310" t="s">
        <v>84</v>
      </c>
      <c r="AD15" s="311" t="s">
        <v>85</v>
      </c>
      <c r="AE15" s="320" t="s">
        <v>86</v>
      </c>
    </row>
    <row r="16" spans="2:34">
      <c r="B16" s="594"/>
      <c r="C16" s="315" t="s">
        <v>99</v>
      </c>
      <c r="D16" s="500">
        <v>585</v>
      </c>
      <c r="E16" s="500">
        <v>704</v>
      </c>
      <c r="F16" s="500">
        <v>865</v>
      </c>
      <c r="G16" s="303">
        <v>542</v>
      </c>
      <c r="H16" s="303">
        <v>733</v>
      </c>
      <c r="I16" s="303">
        <v>784</v>
      </c>
      <c r="J16" s="303">
        <v>706</v>
      </c>
      <c r="K16" s="303">
        <v>732</v>
      </c>
      <c r="L16" s="303">
        <v>853</v>
      </c>
      <c r="M16" s="303">
        <v>848</v>
      </c>
      <c r="N16" s="303">
        <v>833</v>
      </c>
      <c r="O16" s="312">
        <v>803</v>
      </c>
      <c r="P16" s="304">
        <v>9009</v>
      </c>
      <c r="R16" s="302" t="s">
        <v>99</v>
      </c>
      <c r="S16" s="502">
        <f>D16/D23</f>
        <v>0.12074303405572756</v>
      </c>
      <c r="T16" s="502">
        <f t="shared" ref="T16" si="0">E16/E23</f>
        <v>0.13486590038314175</v>
      </c>
      <c r="U16" s="502">
        <f t="shared" ref="U16" si="1">F16/F23</f>
        <v>0.13348765432098766</v>
      </c>
      <c r="V16" s="339">
        <f t="shared" ref="V16" si="2">G16/G23</f>
        <v>8.9809444904722452E-2</v>
      </c>
      <c r="W16" s="339">
        <f t="shared" ref="W16" si="3">H16/H23</f>
        <v>0.10811209439528023</v>
      </c>
      <c r="X16" s="339">
        <f t="shared" ref="X16" si="4">I16/I23</f>
        <v>0.11597633136094675</v>
      </c>
      <c r="Y16" s="339">
        <f t="shared" ref="Y16" si="5">J16/J23</f>
        <v>0.11996601529311809</v>
      </c>
      <c r="Z16" s="339">
        <f t="shared" ref="Z16" si="6">K16/K23</f>
        <v>0.11970564186426819</v>
      </c>
      <c r="AA16" s="339">
        <f t="shared" ref="AA16" si="7">L16/L23</f>
        <v>0.12211882605583393</v>
      </c>
      <c r="AB16" s="339">
        <f t="shared" ref="AB16" si="8">M16/M23</f>
        <v>0.1239766081871345</v>
      </c>
      <c r="AC16" s="339">
        <f t="shared" ref="AC16" si="9">N16/N23</f>
        <v>0.12386617100371747</v>
      </c>
      <c r="AD16" s="339">
        <f t="shared" ref="AD16" si="10">O16/O23</f>
        <v>0.12231530845392231</v>
      </c>
      <c r="AE16" s="339">
        <f t="shared" ref="AE16" si="11">P16/P23</f>
        <v>0.11742547672736278</v>
      </c>
    </row>
    <row r="17" spans="2:31">
      <c r="B17" s="594"/>
      <c r="C17" s="315" t="s">
        <v>100</v>
      </c>
      <c r="D17" s="500">
        <v>935</v>
      </c>
      <c r="E17" s="500">
        <v>1015</v>
      </c>
      <c r="F17" s="500">
        <v>1284</v>
      </c>
      <c r="G17" s="303">
        <v>1306</v>
      </c>
      <c r="H17" s="303">
        <v>1218</v>
      </c>
      <c r="I17" s="303">
        <v>1212</v>
      </c>
      <c r="J17" s="303">
        <v>1088</v>
      </c>
      <c r="K17" s="303">
        <v>1127</v>
      </c>
      <c r="L17" s="303">
        <v>1341</v>
      </c>
      <c r="M17" s="303">
        <v>1311</v>
      </c>
      <c r="N17" s="303">
        <v>1290</v>
      </c>
      <c r="O17" s="312">
        <v>1260</v>
      </c>
      <c r="P17" s="304">
        <v>14926</v>
      </c>
      <c r="R17" s="302" t="s">
        <v>100</v>
      </c>
      <c r="S17" s="502">
        <f>D17/D23</f>
        <v>0.19298245614035087</v>
      </c>
      <c r="T17" s="502">
        <f t="shared" ref="T17" si="12">E17/E23</f>
        <v>0.19444444444444445</v>
      </c>
      <c r="U17" s="502">
        <f t="shared" ref="U17" si="13">F17/F23</f>
        <v>0.19814814814814816</v>
      </c>
      <c r="V17" s="339">
        <f t="shared" ref="V17" si="14">G17/G23</f>
        <v>0.21640430820215409</v>
      </c>
      <c r="W17" s="339">
        <f t="shared" ref="W17" si="15">H17/H23</f>
        <v>0.17964601769911503</v>
      </c>
      <c r="X17" s="339">
        <f t="shared" ref="X17" si="16">I17/I23</f>
        <v>0.17928994082840236</v>
      </c>
      <c r="Y17" s="339">
        <f t="shared" ref="Y17" si="17">J17/J23</f>
        <v>0.18487680543755311</v>
      </c>
      <c r="Z17" s="339">
        <f t="shared" ref="Z17" si="18">K17/K23</f>
        <v>0.18430089942763697</v>
      </c>
      <c r="AA17" s="339">
        <f t="shared" ref="AA17" si="19">L17/L23</f>
        <v>0.19198282032927702</v>
      </c>
      <c r="AB17" s="339">
        <f t="shared" ref="AB17" si="20">M17/M23</f>
        <v>0.19166666666666668</v>
      </c>
      <c r="AC17" s="339">
        <f t="shared" ref="AC17" si="21">N17/N23</f>
        <v>0.19182156133828995</v>
      </c>
      <c r="AD17" s="339">
        <f t="shared" ref="AD17" si="22">O17/O23</f>
        <v>0.19192688499619193</v>
      </c>
      <c r="AE17" s="339">
        <f t="shared" ref="AE17" si="23">P17/P23</f>
        <v>0.19454908043430091</v>
      </c>
    </row>
    <row r="18" spans="2:31">
      <c r="B18" s="594"/>
      <c r="C18" s="315" t="s">
        <v>101</v>
      </c>
      <c r="D18" s="500">
        <v>415</v>
      </c>
      <c r="E18" s="500">
        <v>470</v>
      </c>
      <c r="F18" s="500">
        <v>570</v>
      </c>
      <c r="G18" s="303">
        <v>484</v>
      </c>
      <c r="H18" s="303">
        <v>537</v>
      </c>
      <c r="I18" s="303">
        <v>536</v>
      </c>
      <c r="J18" s="303">
        <v>487</v>
      </c>
      <c r="K18" s="303">
        <v>511</v>
      </c>
      <c r="L18" s="303">
        <v>599</v>
      </c>
      <c r="M18" s="303">
        <v>603</v>
      </c>
      <c r="N18" s="303">
        <v>587</v>
      </c>
      <c r="O18" s="312">
        <v>578</v>
      </c>
      <c r="P18" s="304">
        <v>6440</v>
      </c>
      <c r="R18" s="302" t="s">
        <v>101</v>
      </c>
      <c r="S18" s="502">
        <f>D18/D23</f>
        <v>8.5655314757481935E-2</v>
      </c>
      <c r="T18" s="502">
        <f t="shared" ref="T18" si="24">E18/E23</f>
        <v>9.0038314176245207E-2</v>
      </c>
      <c r="U18" s="502">
        <f t="shared" ref="U18" si="25">F18/F23</f>
        <v>8.7962962962962965E-2</v>
      </c>
      <c r="V18" s="339">
        <f t="shared" ref="V18" si="26">G18/G23</f>
        <v>8.0198840099420049E-2</v>
      </c>
      <c r="W18" s="339">
        <f t="shared" ref="W18" si="27">H18/H23</f>
        <v>7.9203539823008845E-2</v>
      </c>
      <c r="X18" s="339">
        <f t="shared" ref="X18" si="28">I18/I23</f>
        <v>7.9289940828402364E-2</v>
      </c>
      <c r="Y18" s="339">
        <f t="shared" ref="Y18" si="29">J18/J23</f>
        <v>8.2752761257434151E-2</v>
      </c>
      <c r="Z18" s="339">
        <f t="shared" ref="Z18" si="30">K18/K23</f>
        <v>8.3565004088307443E-2</v>
      </c>
      <c r="AA18" s="339">
        <f t="shared" ref="AA18" si="31">L18/L23</f>
        <v>8.5755189692197573E-2</v>
      </c>
      <c r="AB18" s="339">
        <f t="shared" ref="AB18" si="32">M18/M23</f>
        <v>8.8157894736842102E-2</v>
      </c>
      <c r="AC18" s="339">
        <f t="shared" ref="AC18" si="33">N18/N23</f>
        <v>8.7286245353159847E-2</v>
      </c>
      <c r="AD18" s="339">
        <f t="shared" ref="AD18" si="34">O18/O23</f>
        <v>8.8042650418888049E-2</v>
      </c>
      <c r="AE18" s="339">
        <f t="shared" ref="AE18" si="35">P18/P23</f>
        <v>8.3940511724299741E-2</v>
      </c>
    </row>
    <row r="19" spans="2:31">
      <c r="B19" s="594"/>
      <c r="C19" s="315" t="s">
        <v>102</v>
      </c>
      <c r="D19" s="500">
        <v>255</v>
      </c>
      <c r="E19" s="500">
        <v>290</v>
      </c>
      <c r="F19" s="500">
        <v>355</v>
      </c>
      <c r="G19" s="303">
        <v>294</v>
      </c>
      <c r="H19" s="303">
        <v>349</v>
      </c>
      <c r="I19" s="303">
        <v>397</v>
      </c>
      <c r="J19" s="303">
        <v>355</v>
      </c>
      <c r="K19" s="303">
        <v>376</v>
      </c>
      <c r="L19" s="303">
        <v>415</v>
      </c>
      <c r="M19" s="303">
        <v>411</v>
      </c>
      <c r="N19" s="303">
        <v>394</v>
      </c>
      <c r="O19" s="312">
        <v>382</v>
      </c>
      <c r="P19" s="304">
        <v>4398</v>
      </c>
      <c r="R19" s="302" t="s">
        <v>102</v>
      </c>
      <c r="S19" s="502">
        <f>D19/D23</f>
        <v>5.2631578947368418E-2</v>
      </c>
      <c r="T19" s="502">
        <f>E19/E23</f>
        <v>5.5555555555555552E-2</v>
      </c>
      <c r="U19" s="502">
        <f t="shared" ref="U19" si="36">F19/F23</f>
        <v>5.4783950617283951E-2</v>
      </c>
      <c r="V19" s="339">
        <f t="shared" ref="V19" si="37">G19/G23</f>
        <v>4.8715824357912177E-2</v>
      </c>
      <c r="W19" s="339">
        <f t="shared" ref="W19" si="38">H19/H23</f>
        <v>5.1474926253687318E-2</v>
      </c>
      <c r="X19" s="339">
        <f t="shared" ref="X19" si="39">I19/I23</f>
        <v>5.8727810650887571E-2</v>
      </c>
      <c r="Y19" s="339">
        <f t="shared" ref="Y19" si="40">J19/J23</f>
        <v>6.0322854715378078E-2</v>
      </c>
      <c r="Z19" s="339">
        <f t="shared" ref="Z19" si="41">K19/K23</f>
        <v>6.1488143908421916E-2</v>
      </c>
      <c r="AA19" s="339">
        <f t="shared" ref="AA19" si="42">L19/L23</f>
        <v>5.9413027916964928E-2</v>
      </c>
      <c r="AB19" s="339">
        <f t="shared" ref="AB19" si="43">M19/M23</f>
        <v>6.0087719298245613E-2</v>
      </c>
      <c r="AC19" s="339">
        <f t="shared" ref="AC19" si="44">N19/N23</f>
        <v>5.8587360594795537E-2</v>
      </c>
      <c r="AD19" s="339">
        <f t="shared" ref="AD19" si="45">O19/O23</f>
        <v>5.8187357197258184E-2</v>
      </c>
      <c r="AE19" s="339">
        <f t="shared" ref="AE19" si="46">P19/P23</f>
        <v>5.7324591702402214E-2</v>
      </c>
    </row>
    <row r="20" spans="2:31">
      <c r="B20" s="594"/>
      <c r="C20" s="315" t="s">
        <v>103</v>
      </c>
      <c r="D20" s="500">
        <v>630</v>
      </c>
      <c r="E20" s="500">
        <v>675</v>
      </c>
      <c r="F20" s="500">
        <v>825</v>
      </c>
      <c r="G20" s="303">
        <v>695</v>
      </c>
      <c r="H20" s="303">
        <v>885</v>
      </c>
      <c r="I20" s="303">
        <v>848</v>
      </c>
      <c r="J20" s="303">
        <v>726</v>
      </c>
      <c r="K20" s="303">
        <v>754</v>
      </c>
      <c r="L20" s="303">
        <v>867</v>
      </c>
      <c r="M20" s="303">
        <v>854</v>
      </c>
      <c r="N20" s="303">
        <v>839</v>
      </c>
      <c r="O20" s="312">
        <v>818</v>
      </c>
      <c r="P20" s="304">
        <v>9473</v>
      </c>
      <c r="R20" s="302" t="s">
        <v>103</v>
      </c>
      <c r="S20" s="502">
        <f>D20/D23</f>
        <v>0.13003095975232198</v>
      </c>
      <c r="T20" s="502">
        <f t="shared" ref="T20" si="47">E20/E23</f>
        <v>0.12931034482758622</v>
      </c>
      <c r="U20" s="502">
        <f t="shared" ref="U20" si="48">F20/F23</f>
        <v>0.12731481481481483</v>
      </c>
      <c r="V20" s="339">
        <f t="shared" ref="V20" si="49">G20/G23</f>
        <v>0.11516155758077878</v>
      </c>
      <c r="W20" s="339">
        <f t="shared" ref="W20" si="50">H20/H23</f>
        <v>0.13053097345132744</v>
      </c>
      <c r="X20" s="339">
        <f t="shared" ref="X20" si="51">I20/I23</f>
        <v>0.12544378698224853</v>
      </c>
      <c r="Y20" s="339">
        <f t="shared" ref="Y20" si="52">J20/J23</f>
        <v>0.12336448598130841</v>
      </c>
      <c r="Z20" s="339">
        <f t="shared" ref="Z20" si="53">K20/K23</f>
        <v>0.12330335241210139</v>
      </c>
      <c r="AA20" s="339">
        <f t="shared" ref="AA20" si="54">L20/L23</f>
        <v>0.12412312097351468</v>
      </c>
      <c r="AB20" s="339">
        <f t="shared" ref="AB20" si="55">M20/M23</f>
        <v>0.12485380116959065</v>
      </c>
      <c r="AC20" s="339">
        <f t="shared" ref="AC20" si="56">N20/N23</f>
        <v>0.12475836431226765</v>
      </c>
      <c r="AD20" s="339">
        <f t="shared" ref="AD20" si="57">O20/O23</f>
        <v>0.1246001523229246</v>
      </c>
      <c r="AE20" s="339">
        <f t="shared" ref="AE20" si="58">P20/P23</f>
        <v>0.12347336452861668</v>
      </c>
    </row>
    <row r="21" spans="2:31">
      <c r="B21" s="594"/>
      <c r="C21" s="315" t="s">
        <v>104</v>
      </c>
      <c r="D21" s="500">
        <v>1310</v>
      </c>
      <c r="E21" s="500">
        <v>1251</v>
      </c>
      <c r="F21" s="500">
        <v>1621</v>
      </c>
      <c r="G21" s="303">
        <v>1629</v>
      </c>
      <c r="H21" s="303">
        <v>1875</v>
      </c>
      <c r="I21" s="303">
        <v>1835</v>
      </c>
      <c r="J21" s="303">
        <v>1543</v>
      </c>
      <c r="K21" s="303">
        <v>1606</v>
      </c>
      <c r="L21" s="303">
        <v>1804</v>
      </c>
      <c r="M21" s="303">
        <v>1754</v>
      </c>
      <c r="N21" s="303">
        <v>1724</v>
      </c>
      <c r="O21" s="312">
        <v>1695</v>
      </c>
      <c r="P21" s="304">
        <v>19786</v>
      </c>
      <c r="R21" s="302" t="s">
        <v>104</v>
      </c>
      <c r="S21" s="502">
        <f>D21/D23</f>
        <v>0.27038183694530443</v>
      </c>
      <c r="T21" s="502">
        <f t="shared" ref="T21" si="59">E21/E23</f>
        <v>0.23965517241379311</v>
      </c>
      <c r="U21" s="502">
        <f t="shared" ref="U21" si="60">F21/F23</f>
        <v>0.25015432098765433</v>
      </c>
      <c r="V21" s="339">
        <f t="shared" ref="V21" si="61">G21/G23</f>
        <v>0.26992543496271748</v>
      </c>
      <c r="W21" s="339">
        <f t="shared" ref="W21" si="62">H21/H23</f>
        <v>0.27654867256637167</v>
      </c>
      <c r="X21" s="339">
        <f t="shared" ref="X21" si="63">I21/I23</f>
        <v>0.27144970414201186</v>
      </c>
      <c r="Y21" s="339">
        <f t="shared" ref="Y21" si="64">J21/J23</f>
        <v>0.26219201359388278</v>
      </c>
      <c r="Z21" s="339">
        <f t="shared" ref="Z21" si="65">K21/K23</f>
        <v>0.26263286999182339</v>
      </c>
      <c r="AA21" s="339">
        <f t="shared" ref="AA21" si="66">L21/L23</f>
        <v>0.25826771653543307</v>
      </c>
      <c r="AB21" s="339">
        <f t="shared" ref="AB21" si="67">M21/M23</f>
        <v>0.25643274853801168</v>
      </c>
      <c r="AC21" s="339">
        <f t="shared" ref="AC21" si="68">N21/N23</f>
        <v>0.25635687732342005</v>
      </c>
      <c r="AD21" s="339">
        <f t="shared" ref="AD21" si="69">O21/O23</f>
        <v>0.25818735719725816</v>
      </c>
      <c r="AE21" s="339">
        <f t="shared" ref="AE21" si="70">P21/P23</f>
        <v>0.25789549145605506</v>
      </c>
    </row>
    <row r="22" spans="2:31">
      <c r="B22" s="594"/>
      <c r="C22" s="315" t="s">
        <v>105</v>
      </c>
      <c r="D22" s="500">
        <v>715</v>
      </c>
      <c r="E22" s="500">
        <v>815</v>
      </c>
      <c r="F22" s="500">
        <v>960</v>
      </c>
      <c r="G22" s="303">
        <v>1085</v>
      </c>
      <c r="H22" s="303">
        <v>1183</v>
      </c>
      <c r="I22" s="303">
        <v>1148</v>
      </c>
      <c r="J22" s="303">
        <v>980</v>
      </c>
      <c r="K22" s="303">
        <v>1009</v>
      </c>
      <c r="L22" s="303">
        <v>1106</v>
      </c>
      <c r="M22" s="303">
        <v>1059</v>
      </c>
      <c r="N22" s="303">
        <v>1058</v>
      </c>
      <c r="O22" s="312">
        <v>1029</v>
      </c>
      <c r="P22" s="304">
        <v>12541</v>
      </c>
      <c r="R22" s="302" t="s">
        <v>105</v>
      </c>
      <c r="S22" s="502">
        <f>D22/D23</f>
        <v>0.14757481940144479</v>
      </c>
      <c r="T22" s="502">
        <f t="shared" ref="T22" si="71">E22/E23</f>
        <v>0.15613026819923373</v>
      </c>
      <c r="U22" s="502">
        <f t="shared" ref="U22" si="72">F22/F23</f>
        <v>0.14814814814814814</v>
      </c>
      <c r="V22" s="339">
        <f t="shared" ref="V22" si="73">G22/G23</f>
        <v>0.17978458989229495</v>
      </c>
      <c r="W22" s="339">
        <f t="shared" ref="W22" si="74">H22/H23</f>
        <v>0.17448377581120944</v>
      </c>
      <c r="X22" s="339">
        <f t="shared" ref="X22" si="75">I22/I23</f>
        <v>0.16982248520710058</v>
      </c>
      <c r="Y22" s="339">
        <f t="shared" ref="Y22" si="76">J22/J23</f>
        <v>0.16652506372132542</v>
      </c>
      <c r="Z22" s="339">
        <f t="shared" ref="Z22" si="77">K22/K23</f>
        <v>0.16500408830744073</v>
      </c>
      <c r="AA22" s="339">
        <f t="shared" ref="AA22" si="78">L22/L23</f>
        <v>0.1583392984967788</v>
      </c>
      <c r="AB22" s="339">
        <f t="shared" ref="AB22" si="79">M22/M23</f>
        <v>0.15482456140350878</v>
      </c>
      <c r="AC22" s="339">
        <f t="shared" ref="AC22" si="80">N22/N23</f>
        <v>0.15732342007434943</v>
      </c>
      <c r="AD22" s="339">
        <f t="shared" ref="AD22" si="81">O22/O23</f>
        <v>0.15674028941355675</v>
      </c>
      <c r="AE22" s="339">
        <f t="shared" ref="AE22" si="82">P22/P23</f>
        <v>0.16346241576621787</v>
      </c>
    </row>
    <row r="23" spans="2:31" ht="18" thickBot="1">
      <c r="B23" s="595"/>
      <c r="C23" s="338" t="s">
        <v>86</v>
      </c>
      <c r="D23" s="306">
        <v>4845</v>
      </c>
      <c r="E23" s="306">
        <v>5220</v>
      </c>
      <c r="F23" s="306">
        <v>6480</v>
      </c>
      <c r="G23" s="306">
        <v>6035</v>
      </c>
      <c r="H23" s="306">
        <v>6780</v>
      </c>
      <c r="I23" s="306">
        <v>6760</v>
      </c>
      <c r="J23" s="306">
        <v>5885</v>
      </c>
      <c r="K23" s="306">
        <v>6115</v>
      </c>
      <c r="L23" s="306">
        <v>6985</v>
      </c>
      <c r="M23" s="306">
        <v>6840</v>
      </c>
      <c r="N23" s="306">
        <v>6725</v>
      </c>
      <c r="O23" s="313">
        <v>6565</v>
      </c>
      <c r="P23" s="307">
        <v>76721</v>
      </c>
      <c r="R23" s="305" t="s">
        <v>86</v>
      </c>
      <c r="S23" s="340">
        <f>D23/D23</f>
        <v>1</v>
      </c>
      <c r="T23" s="340">
        <f t="shared" ref="T23" si="83">E23/E23</f>
        <v>1</v>
      </c>
      <c r="U23" s="340">
        <f t="shared" ref="U23" si="84">F23/F23</f>
        <v>1</v>
      </c>
      <c r="V23" s="340">
        <f t="shared" ref="V23" si="85">G23/G23</f>
        <v>1</v>
      </c>
      <c r="W23" s="340">
        <f t="shared" ref="W23" si="86">H23/H23</f>
        <v>1</v>
      </c>
      <c r="X23" s="340">
        <f t="shared" ref="X23" si="87">I23/I23</f>
        <v>1</v>
      </c>
      <c r="Y23" s="340">
        <f t="shared" ref="Y23" si="88">J23/J23</f>
        <v>1</v>
      </c>
      <c r="Z23" s="340">
        <f t="shared" ref="Z23" si="89">K23/K23</f>
        <v>1</v>
      </c>
      <c r="AA23" s="340">
        <f t="shared" ref="AA23" si="90">L23/L23</f>
        <v>1</v>
      </c>
      <c r="AB23" s="340">
        <f t="shared" ref="AB23" si="91">M23/M23</f>
        <v>1</v>
      </c>
      <c r="AC23" s="340">
        <f t="shared" ref="AC23" si="92">N23/N23</f>
        <v>1</v>
      </c>
      <c r="AD23" s="340">
        <f t="shared" ref="AD23" si="93">O23/O23</f>
        <v>1</v>
      </c>
      <c r="AE23" s="340">
        <f t="shared" ref="AE23" si="94">P23/P23</f>
        <v>1</v>
      </c>
    </row>
    <row r="25" spans="2:31" ht="15" thickBot="1"/>
    <row r="26" spans="2:31" ht="15" customHeight="1">
      <c r="B26" s="596" t="s">
        <v>88</v>
      </c>
      <c r="C26" s="314" t="s">
        <v>98</v>
      </c>
      <c r="D26" s="332" t="s">
        <v>74</v>
      </c>
      <c r="E26" s="332" t="s">
        <v>75</v>
      </c>
      <c r="F26" s="332" t="s">
        <v>76</v>
      </c>
      <c r="G26" s="332" t="s">
        <v>77</v>
      </c>
      <c r="H26" s="332" t="s">
        <v>78</v>
      </c>
      <c r="I26" s="332" t="s">
        <v>79</v>
      </c>
      <c r="J26" s="332" t="s">
        <v>80</v>
      </c>
      <c r="K26" s="332" t="s">
        <v>81</v>
      </c>
      <c r="L26" s="332" t="s">
        <v>82</v>
      </c>
      <c r="M26" s="332" t="s">
        <v>83</v>
      </c>
      <c r="N26" s="332" t="s">
        <v>84</v>
      </c>
      <c r="O26" s="332" t="s">
        <v>85</v>
      </c>
      <c r="P26" s="333" t="s">
        <v>86</v>
      </c>
      <c r="R26" s="299" t="s">
        <v>98</v>
      </c>
      <c r="S26" s="310" t="s">
        <v>74</v>
      </c>
      <c r="T26" s="310" t="s">
        <v>75</v>
      </c>
      <c r="U26" s="310" t="s">
        <v>76</v>
      </c>
      <c r="V26" s="310" t="s">
        <v>77</v>
      </c>
      <c r="W26" s="310" t="s">
        <v>78</v>
      </c>
      <c r="X26" s="310" t="s">
        <v>79</v>
      </c>
      <c r="Y26" s="310" t="s">
        <v>80</v>
      </c>
      <c r="Z26" s="310" t="s">
        <v>81</v>
      </c>
      <c r="AA26" s="310" t="s">
        <v>82</v>
      </c>
      <c r="AB26" s="310" t="s">
        <v>83</v>
      </c>
      <c r="AC26" s="310" t="s">
        <v>84</v>
      </c>
      <c r="AD26" s="311" t="s">
        <v>85</v>
      </c>
      <c r="AE26" s="320" t="s">
        <v>86</v>
      </c>
    </row>
    <row r="27" spans="2:31">
      <c r="B27" s="597"/>
      <c r="C27" s="315" t="s">
        <v>99</v>
      </c>
      <c r="D27" s="501">
        <v>66</v>
      </c>
      <c r="E27" s="501">
        <v>62</v>
      </c>
      <c r="F27" s="501">
        <v>82</v>
      </c>
      <c r="G27" s="316">
        <v>74</v>
      </c>
      <c r="H27" s="316">
        <v>82</v>
      </c>
      <c r="I27" s="316">
        <v>74</v>
      </c>
      <c r="J27" s="316">
        <v>80</v>
      </c>
      <c r="K27" s="316">
        <v>78</v>
      </c>
      <c r="L27" s="316">
        <v>77</v>
      </c>
      <c r="M27" s="316">
        <v>78</v>
      </c>
      <c r="N27" s="316">
        <v>70</v>
      </c>
      <c r="O27" s="316">
        <v>82</v>
      </c>
      <c r="P27" s="334">
        <v>910</v>
      </c>
      <c r="R27" s="302" t="s">
        <v>99</v>
      </c>
      <c r="S27" s="502">
        <f>D27/D34</f>
        <v>0.11785714285714285</v>
      </c>
      <c r="T27" s="502">
        <f t="shared" ref="T27:AE27" si="95">E27/E34</f>
        <v>0.10508474576271186</v>
      </c>
      <c r="U27" s="502">
        <f t="shared" si="95"/>
        <v>0.10649350649350649</v>
      </c>
      <c r="V27" s="339">
        <f t="shared" si="95"/>
        <v>0.10571428571428572</v>
      </c>
      <c r="W27" s="339">
        <f t="shared" si="95"/>
        <v>0.10512820512820513</v>
      </c>
      <c r="X27" s="339">
        <f t="shared" si="95"/>
        <v>0.10571428571428572</v>
      </c>
      <c r="Y27" s="339">
        <f t="shared" si="95"/>
        <v>0.10526315789473684</v>
      </c>
      <c r="Z27" s="339">
        <f t="shared" si="95"/>
        <v>0.10540540540540541</v>
      </c>
      <c r="AA27" s="339">
        <f t="shared" si="95"/>
        <v>0.10547945205479452</v>
      </c>
      <c r="AB27" s="339">
        <f t="shared" si="95"/>
        <v>0.10612244897959183</v>
      </c>
      <c r="AC27" s="339">
        <f t="shared" si="95"/>
        <v>0.10526315789473684</v>
      </c>
      <c r="AD27" s="339">
        <f t="shared" si="95"/>
        <v>0.10512820512820513</v>
      </c>
      <c r="AE27" s="339">
        <f t="shared" si="95"/>
        <v>0.10522664199814986</v>
      </c>
    </row>
    <row r="28" spans="2:31">
      <c r="B28" s="597"/>
      <c r="C28" s="315" t="s">
        <v>100</v>
      </c>
      <c r="D28" s="501">
        <v>121</v>
      </c>
      <c r="E28" s="501">
        <v>115</v>
      </c>
      <c r="F28" s="501">
        <v>159</v>
      </c>
      <c r="G28" s="316">
        <v>142</v>
      </c>
      <c r="H28" s="316">
        <v>159</v>
      </c>
      <c r="I28" s="316">
        <v>142</v>
      </c>
      <c r="J28" s="316">
        <v>155</v>
      </c>
      <c r="K28" s="316">
        <v>151</v>
      </c>
      <c r="L28" s="316">
        <v>149</v>
      </c>
      <c r="M28" s="316">
        <v>150</v>
      </c>
      <c r="N28" s="316">
        <v>135</v>
      </c>
      <c r="O28" s="316">
        <v>159</v>
      </c>
      <c r="P28" s="334">
        <v>1786</v>
      </c>
      <c r="R28" s="302" t="s">
        <v>100</v>
      </c>
      <c r="S28" s="502">
        <f>D28/D34</f>
        <v>0.21607142857142858</v>
      </c>
      <c r="T28" s="502">
        <f t="shared" ref="T28:AE28" si="96">E28/E34</f>
        <v>0.19491525423728814</v>
      </c>
      <c r="U28" s="502">
        <f t="shared" si="96"/>
        <v>0.20649350649350651</v>
      </c>
      <c r="V28" s="339">
        <f t="shared" si="96"/>
        <v>0.20285714285714285</v>
      </c>
      <c r="W28" s="339">
        <f t="shared" si="96"/>
        <v>0.20384615384615384</v>
      </c>
      <c r="X28" s="339">
        <f t="shared" si="96"/>
        <v>0.20285714285714285</v>
      </c>
      <c r="Y28" s="339">
        <f t="shared" si="96"/>
        <v>0.20394736842105263</v>
      </c>
      <c r="Z28" s="339">
        <f t="shared" si="96"/>
        <v>0.20405405405405405</v>
      </c>
      <c r="AA28" s="339">
        <f t="shared" si="96"/>
        <v>0.20410958904109588</v>
      </c>
      <c r="AB28" s="339">
        <f t="shared" si="96"/>
        <v>0.20408163265306123</v>
      </c>
      <c r="AC28" s="339">
        <f t="shared" si="96"/>
        <v>0.20300751879699247</v>
      </c>
      <c r="AD28" s="339">
        <f t="shared" si="96"/>
        <v>0.20384615384615384</v>
      </c>
      <c r="AE28" s="339">
        <f t="shared" si="96"/>
        <v>0.20652173913043478</v>
      </c>
    </row>
    <row r="29" spans="2:31">
      <c r="B29" s="597"/>
      <c r="C29" s="315" t="s">
        <v>101</v>
      </c>
      <c r="D29" s="501">
        <v>45</v>
      </c>
      <c r="E29" s="501">
        <v>55</v>
      </c>
      <c r="F29" s="501">
        <v>59</v>
      </c>
      <c r="G29" s="316">
        <v>58</v>
      </c>
      <c r="H29" s="316">
        <v>65</v>
      </c>
      <c r="I29" s="316">
        <v>58</v>
      </c>
      <c r="J29" s="316">
        <v>63</v>
      </c>
      <c r="K29" s="316">
        <v>61</v>
      </c>
      <c r="L29" s="316">
        <v>60</v>
      </c>
      <c r="M29" s="316">
        <v>61</v>
      </c>
      <c r="N29" s="316">
        <v>55</v>
      </c>
      <c r="O29" s="316">
        <v>65</v>
      </c>
      <c r="P29" s="334">
        <v>693</v>
      </c>
      <c r="R29" s="302" t="s">
        <v>101</v>
      </c>
      <c r="S29" s="502">
        <f>D29/D34</f>
        <v>8.0357142857142863E-2</v>
      </c>
      <c r="T29" s="502">
        <f t="shared" ref="T29:AE29" si="97">E29/E34</f>
        <v>9.3220338983050849E-2</v>
      </c>
      <c r="U29" s="502">
        <f t="shared" si="97"/>
        <v>7.6623376623376621E-2</v>
      </c>
      <c r="V29" s="339">
        <f t="shared" si="97"/>
        <v>8.2857142857142851E-2</v>
      </c>
      <c r="W29" s="339">
        <f t="shared" si="97"/>
        <v>8.3333333333333329E-2</v>
      </c>
      <c r="X29" s="339">
        <f t="shared" si="97"/>
        <v>8.2857142857142851E-2</v>
      </c>
      <c r="Y29" s="339">
        <f t="shared" si="97"/>
        <v>8.2894736842105257E-2</v>
      </c>
      <c r="Z29" s="339">
        <f t="shared" si="97"/>
        <v>8.2432432432432437E-2</v>
      </c>
      <c r="AA29" s="339">
        <f t="shared" si="97"/>
        <v>8.2191780821917804E-2</v>
      </c>
      <c r="AB29" s="339">
        <f t="shared" si="97"/>
        <v>8.2993197278911565E-2</v>
      </c>
      <c r="AC29" s="339">
        <f t="shared" si="97"/>
        <v>8.2706766917293228E-2</v>
      </c>
      <c r="AD29" s="339">
        <f t="shared" si="97"/>
        <v>8.3333333333333329E-2</v>
      </c>
      <c r="AE29" s="339">
        <f t="shared" si="97"/>
        <v>8.0134135060129508E-2</v>
      </c>
    </row>
    <row r="30" spans="2:31">
      <c r="B30" s="597"/>
      <c r="C30" s="315" t="s">
        <v>102</v>
      </c>
      <c r="D30" s="501">
        <v>22</v>
      </c>
      <c r="E30" s="501">
        <v>20</v>
      </c>
      <c r="F30" s="501">
        <v>33</v>
      </c>
      <c r="G30" s="316">
        <v>29</v>
      </c>
      <c r="H30" s="316">
        <v>32</v>
      </c>
      <c r="I30" s="316">
        <v>29</v>
      </c>
      <c r="J30" s="316">
        <v>31</v>
      </c>
      <c r="K30" s="316">
        <v>30</v>
      </c>
      <c r="L30" s="316">
        <v>30</v>
      </c>
      <c r="M30" s="316">
        <v>30</v>
      </c>
      <c r="N30" s="316">
        <v>27</v>
      </c>
      <c r="O30" s="316">
        <v>32</v>
      </c>
      <c r="P30" s="334">
        <v>347</v>
      </c>
      <c r="R30" s="302" t="s">
        <v>102</v>
      </c>
      <c r="S30" s="502">
        <f>D30/D34</f>
        <v>3.9285714285714285E-2</v>
      </c>
      <c r="T30" s="502">
        <f t="shared" ref="T30:AE30" si="98">E30/E34</f>
        <v>3.3898305084745763E-2</v>
      </c>
      <c r="U30" s="502">
        <f t="shared" si="98"/>
        <v>4.2857142857142858E-2</v>
      </c>
      <c r="V30" s="339">
        <f t="shared" si="98"/>
        <v>4.1428571428571426E-2</v>
      </c>
      <c r="W30" s="339">
        <f t="shared" si="98"/>
        <v>4.1025641025641026E-2</v>
      </c>
      <c r="X30" s="339">
        <f t="shared" si="98"/>
        <v>4.1428571428571426E-2</v>
      </c>
      <c r="Y30" s="339">
        <f t="shared" si="98"/>
        <v>4.0789473684210528E-2</v>
      </c>
      <c r="Z30" s="339">
        <f t="shared" si="98"/>
        <v>4.0540540540540543E-2</v>
      </c>
      <c r="AA30" s="339">
        <f t="shared" si="98"/>
        <v>4.1095890410958902E-2</v>
      </c>
      <c r="AB30" s="339">
        <f t="shared" si="98"/>
        <v>4.0816326530612242E-2</v>
      </c>
      <c r="AC30" s="339">
        <f t="shared" si="98"/>
        <v>4.06015037593985E-2</v>
      </c>
      <c r="AD30" s="339">
        <f t="shared" si="98"/>
        <v>4.1025641025641026E-2</v>
      </c>
      <c r="AE30" s="339">
        <f t="shared" si="98"/>
        <v>4.0124884366327475E-2</v>
      </c>
    </row>
    <row r="31" spans="2:31">
      <c r="B31" s="597"/>
      <c r="C31" s="315" t="s">
        <v>103</v>
      </c>
      <c r="D31" s="501">
        <v>57</v>
      </c>
      <c r="E31" s="501">
        <v>81</v>
      </c>
      <c r="F31" s="501">
        <v>91</v>
      </c>
      <c r="G31" s="316">
        <v>80</v>
      </c>
      <c r="H31" s="316">
        <v>89</v>
      </c>
      <c r="I31" s="316">
        <v>80</v>
      </c>
      <c r="J31" s="316">
        <v>86</v>
      </c>
      <c r="K31" s="316">
        <v>84</v>
      </c>
      <c r="L31" s="316">
        <v>83</v>
      </c>
      <c r="M31" s="316">
        <v>84</v>
      </c>
      <c r="N31" s="316">
        <v>76</v>
      </c>
      <c r="O31" s="316">
        <v>89</v>
      </c>
      <c r="P31" s="334">
        <v>941</v>
      </c>
      <c r="R31" s="302" t="s">
        <v>103</v>
      </c>
      <c r="S31" s="502">
        <f>D31/D34</f>
        <v>0.10178571428571428</v>
      </c>
      <c r="T31" s="502">
        <f t="shared" ref="T31:AE31" si="99">E31/E34</f>
        <v>0.13728813559322034</v>
      </c>
      <c r="U31" s="502">
        <f t="shared" si="99"/>
        <v>0.11818181818181818</v>
      </c>
      <c r="V31" s="339">
        <f t="shared" si="99"/>
        <v>0.11428571428571428</v>
      </c>
      <c r="W31" s="339">
        <f t="shared" si="99"/>
        <v>0.1141025641025641</v>
      </c>
      <c r="X31" s="339">
        <f t="shared" si="99"/>
        <v>0.11428571428571428</v>
      </c>
      <c r="Y31" s="339">
        <f t="shared" si="99"/>
        <v>0.11315789473684211</v>
      </c>
      <c r="Z31" s="339">
        <f t="shared" si="99"/>
        <v>0.11351351351351352</v>
      </c>
      <c r="AA31" s="339">
        <f t="shared" si="99"/>
        <v>0.11369863013698631</v>
      </c>
      <c r="AB31" s="339">
        <f t="shared" si="99"/>
        <v>0.11428571428571428</v>
      </c>
      <c r="AC31" s="339">
        <f t="shared" si="99"/>
        <v>0.11428571428571428</v>
      </c>
      <c r="AD31" s="339">
        <f t="shared" si="99"/>
        <v>0.1141025641025641</v>
      </c>
      <c r="AE31" s="339">
        <f t="shared" si="99"/>
        <v>0.10881128584643848</v>
      </c>
    </row>
    <row r="32" spans="2:31">
      <c r="B32" s="597"/>
      <c r="C32" s="315" t="s">
        <v>104</v>
      </c>
      <c r="D32" s="501">
        <v>163</v>
      </c>
      <c r="E32" s="501">
        <v>156</v>
      </c>
      <c r="F32" s="501">
        <v>219</v>
      </c>
      <c r="G32" s="316">
        <v>199</v>
      </c>
      <c r="H32" s="316">
        <v>222</v>
      </c>
      <c r="I32" s="316">
        <v>199</v>
      </c>
      <c r="J32" s="316">
        <v>216</v>
      </c>
      <c r="K32" s="316">
        <v>211</v>
      </c>
      <c r="L32" s="316">
        <v>208</v>
      </c>
      <c r="M32" s="316">
        <v>209</v>
      </c>
      <c r="N32" s="316">
        <v>189</v>
      </c>
      <c r="O32" s="316">
        <v>222</v>
      </c>
      <c r="P32" s="334">
        <v>2498</v>
      </c>
      <c r="R32" s="302" t="s">
        <v>104</v>
      </c>
      <c r="S32" s="502">
        <f>D32/D34</f>
        <v>0.29107142857142859</v>
      </c>
      <c r="T32" s="502">
        <f t="shared" ref="T32:AE32" si="100">E32/E34</f>
        <v>0.26440677966101694</v>
      </c>
      <c r="U32" s="502">
        <f t="shared" si="100"/>
        <v>0.2844155844155844</v>
      </c>
      <c r="V32" s="339">
        <f t="shared" si="100"/>
        <v>0.28428571428571431</v>
      </c>
      <c r="W32" s="339">
        <f t="shared" si="100"/>
        <v>0.2846153846153846</v>
      </c>
      <c r="X32" s="339">
        <f t="shared" si="100"/>
        <v>0.28428571428571431</v>
      </c>
      <c r="Y32" s="339">
        <f t="shared" si="100"/>
        <v>0.28421052631578947</v>
      </c>
      <c r="Z32" s="339">
        <f t="shared" si="100"/>
        <v>0.28513513513513511</v>
      </c>
      <c r="AA32" s="339">
        <f t="shared" si="100"/>
        <v>0.28493150684931506</v>
      </c>
      <c r="AB32" s="339">
        <f t="shared" si="100"/>
        <v>0.28435374149659864</v>
      </c>
      <c r="AC32" s="339">
        <f t="shared" si="100"/>
        <v>0.28421052631578947</v>
      </c>
      <c r="AD32" s="339">
        <f t="shared" si="100"/>
        <v>0.2846153846153846</v>
      </c>
      <c r="AE32" s="339">
        <f t="shared" si="100"/>
        <v>0.28885291396854762</v>
      </c>
    </row>
    <row r="33" spans="2:36">
      <c r="B33" s="597"/>
      <c r="C33" s="315" t="s">
        <v>105</v>
      </c>
      <c r="D33" s="501">
        <v>86</v>
      </c>
      <c r="E33" s="501">
        <v>101</v>
      </c>
      <c r="F33" s="501">
        <v>127</v>
      </c>
      <c r="G33" s="316">
        <v>118</v>
      </c>
      <c r="H33" s="316">
        <v>131</v>
      </c>
      <c r="I33" s="316">
        <v>118</v>
      </c>
      <c r="J33" s="316">
        <v>129</v>
      </c>
      <c r="K33" s="316">
        <v>125</v>
      </c>
      <c r="L33" s="316">
        <v>123</v>
      </c>
      <c r="M33" s="316">
        <v>123</v>
      </c>
      <c r="N33" s="316">
        <v>113</v>
      </c>
      <c r="O33" s="316">
        <v>131</v>
      </c>
      <c r="P33" s="334">
        <v>1464</v>
      </c>
      <c r="R33" s="302" t="s">
        <v>105</v>
      </c>
      <c r="S33" s="502">
        <f>D33/D34</f>
        <v>0.15357142857142858</v>
      </c>
      <c r="T33" s="502">
        <f t="shared" ref="T33:AE33" si="101">E33/E34</f>
        <v>0.1711864406779661</v>
      </c>
      <c r="U33" s="502">
        <f t="shared" si="101"/>
        <v>0.16493506493506493</v>
      </c>
      <c r="V33" s="339">
        <f t="shared" si="101"/>
        <v>0.16857142857142857</v>
      </c>
      <c r="W33" s="339">
        <f t="shared" si="101"/>
        <v>0.16794871794871793</v>
      </c>
      <c r="X33" s="339">
        <f t="shared" si="101"/>
        <v>0.16857142857142857</v>
      </c>
      <c r="Y33" s="339">
        <f t="shared" si="101"/>
        <v>0.16973684210526316</v>
      </c>
      <c r="Z33" s="339">
        <f t="shared" si="101"/>
        <v>0.16891891891891891</v>
      </c>
      <c r="AA33" s="339">
        <f t="shared" si="101"/>
        <v>0.16849315068493151</v>
      </c>
      <c r="AB33" s="339">
        <f t="shared" si="101"/>
        <v>0.16734693877551021</v>
      </c>
      <c r="AC33" s="339">
        <f t="shared" si="101"/>
        <v>0.1699248120300752</v>
      </c>
      <c r="AD33" s="339">
        <f t="shared" si="101"/>
        <v>0.16794871794871793</v>
      </c>
      <c r="AE33" s="339">
        <f t="shared" si="101"/>
        <v>0.1692876965772433</v>
      </c>
    </row>
    <row r="34" spans="2:36" ht="18" thickBot="1">
      <c r="B34" s="598"/>
      <c r="C34" s="317" t="s">
        <v>24</v>
      </c>
      <c r="D34" s="335">
        <v>560</v>
      </c>
      <c r="E34" s="335">
        <v>590</v>
      </c>
      <c r="F34" s="335">
        <v>770</v>
      </c>
      <c r="G34" s="335">
        <v>700</v>
      </c>
      <c r="H34" s="335">
        <v>780</v>
      </c>
      <c r="I34" s="335">
        <v>700</v>
      </c>
      <c r="J34" s="335">
        <v>760</v>
      </c>
      <c r="K34" s="335">
        <v>740</v>
      </c>
      <c r="L34" s="335">
        <v>730</v>
      </c>
      <c r="M34" s="335">
        <v>735</v>
      </c>
      <c r="N34" s="335">
        <v>665</v>
      </c>
      <c r="O34" s="335">
        <v>780</v>
      </c>
      <c r="P34" s="336">
        <v>8648</v>
      </c>
      <c r="R34" s="305" t="s">
        <v>86</v>
      </c>
      <c r="S34" s="340">
        <f>D34/D34</f>
        <v>1</v>
      </c>
      <c r="T34" s="340">
        <f t="shared" ref="T34:AE34" si="102">E34/E34</f>
        <v>1</v>
      </c>
      <c r="U34" s="340">
        <f t="shared" si="102"/>
        <v>1</v>
      </c>
      <c r="V34" s="340">
        <f t="shared" si="102"/>
        <v>1</v>
      </c>
      <c r="W34" s="340">
        <f t="shared" si="102"/>
        <v>1</v>
      </c>
      <c r="X34" s="340">
        <f t="shared" si="102"/>
        <v>1</v>
      </c>
      <c r="Y34" s="340">
        <f t="shared" si="102"/>
        <v>1</v>
      </c>
      <c r="Z34" s="340">
        <f t="shared" si="102"/>
        <v>1</v>
      </c>
      <c r="AA34" s="340">
        <f t="shared" si="102"/>
        <v>1</v>
      </c>
      <c r="AB34" s="340">
        <f t="shared" si="102"/>
        <v>1</v>
      </c>
      <c r="AC34" s="340">
        <f t="shared" si="102"/>
        <v>1</v>
      </c>
      <c r="AD34" s="340">
        <f t="shared" si="102"/>
        <v>1</v>
      </c>
      <c r="AE34" s="340">
        <f t="shared" si="102"/>
        <v>1</v>
      </c>
    </row>
    <row r="36" spans="2:36" ht="15" thickBot="1">
      <c r="AJ36" s="503"/>
    </row>
    <row r="37" spans="2:36" ht="17">
      <c r="B37" s="599" t="s">
        <v>89</v>
      </c>
      <c r="C37" s="314" t="s">
        <v>98</v>
      </c>
      <c r="D37" s="332" t="s">
        <v>74</v>
      </c>
      <c r="E37" s="332" t="s">
        <v>75</v>
      </c>
      <c r="F37" s="332" t="s">
        <v>76</v>
      </c>
      <c r="G37" s="332" t="s">
        <v>77</v>
      </c>
      <c r="H37" s="332" t="s">
        <v>78</v>
      </c>
      <c r="I37" s="332" t="s">
        <v>79</v>
      </c>
      <c r="J37" s="332" t="s">
        <v>80</v>
      </c>
      <c r="K37" s="332" t="s">
        <v>81</v>
      </c>
      <c r="L37" s="332" t="s">
        <v>82</v>
      </c>
      <c r="M37" s="332" t="s">
        <v>83</v>
      </c>
      <c r="N37" s="332" t="s">
        <v>84</v>
      </c>
      <c r="O37" s="332" t="s">
        <v>85</v>
      </c>
      <c r="P37" s="333" t="s">
        <v>86</v>
      </c>
      <c r="R37" s="299" t="s">
        <v>98</v>
      </c>
      <c r="S37" s="310" t="s">
        <v>74</v>
      </c>
      <c r="T37" s="310" t="s">
        <v>75</v>
      </c>
      <c r="U37" s="310" t="s">
        <v>76</v>
      </c>
      <c r="V37" s="310" t="s">
        <v>77</v>
      </c>
      <c r="W37" s="310" t="s">
        <v>78</v>
      </c>
      <c r="X37" s="310" t="s">
        <v>79</v>
      </c>
      <c r="Y37" s="310" t="s">
        <v>80</v>
      </c>
      <c r="Z37" s="310" t="s">
        <v>81</v>
      </c>
      <c r="AA37" s="310" t="s">
        <v>82</v>
      </c>
      <c r="AB37" s="310" t="s">
        <v>83</v>
      </c>
      <c r="AC37" s="310" t="s">
        <v>84</v>
      </c>
      <c r="AD37" s="311" t="s">
        <v>85</v>
      </c>
      <c r="AE37" s="320" t="s">
        <v>86</v>
      </c>
    </row>
    <row r="38" spans="2:36">
      <c r="B38" s="600"/>
      <c r="C38" s="315" t="s">
        <v>99</v>
      </c>
      <c r="D38" s="501">
        <v>35</v>
      </c>
      <c r="E38" s="501">
        <v>35</v>
      </c>
      <c r="F38" s="501">
        <v>44</v>
      </c>
      <c r="G38" s="316">
        <v>38</v>
      </c>
      <c r="H38" s="316">
        <v>40</v>
      </c>
      <c r="I38" s="316">
        <v>38</v>
      </c>
      <c r="J38" s="316">
        <v>34</v>
      </c>
      <c r="K38" s="316">
        <v>39</v>
      </c>
      <c r="L38" s="316">
        <v>45</v>
      </c>
      <c r="M38" s="316">
        <v>47</v>
      </c>
      <c r="N38" s="316">
        <v>43</v>
      </c>
      <c r="O38" s="316">
        <v>54</v>
      </c>
      <c r="P38" s="337">
        <v>486</v>
      </c>
      <c r="R38" s="302" t="s">
        <v>99</v>
      </c>
      <c r="S38" s="502">
        <f>D38/D45</f>
        <v>0.13461538461538461</v>
      </c>
      <c r="T38" s="502">
        <f t="shared" ref="T38" si="103">E38/E45</f>
        <v>0.125</v>
      </c>
      <c r="U38" s="502">
        <f t="shared" ref="U38" si="104">F38/F45</f>
        <v>0.12571428571428572</v>
      </c>
      <c r="V38" s="339">
        <f t="shared" ref="V38" si="105">G38/G45</f>
        <v>0.12459016393442623</v>
      </c>
      <c r="W38" s="339">
        <f t="shared" ref="W38" si="106">H38/H45</f>
        <v>0.125</v>
      </c>
      <c r="X38" s="339">
        <f t="shared" ref="X38" si="107">I38/I45</f>
        <v>0.12666666666666668</v>
      </c>
      <c r="Y38" s="339">
        <f t="shared" ref="Y38" si="108">J38/J45</f>
        <v>0.12592592592592591</v>
      </c>
      <c r="Z38" s="339">
        <f t="shared" ref="Z38" si="109">K38/K45</f>
        <v>0.12621359223300971</v>
      </c>
      <c r="AA38" s="339">
        <f t="shared" ref="AA38" si="110">L38/L45</f>
        <v>0.12676056338028169</v>
      </c>
      <c r="AB38" s="339">
        <f t="shared" ref="AB38" si="111">M38/M45</f>
        <v>0.12702702702702703</v>
      </c>
      <c r="AC38" s="339">
        <f t="shared" ref="AC38" si="112">N38/N45</f>
        <v>0.12647058823529411</v>
      </c>
      <c r="AD38" s="339">
        <f t="shared" ref="AD38" si="113">O38/O45</f>
        <v>0.12558139534883722</v>
      </c>
      <c r="AE38" s="339">
        <f t="shared" ref="AE38" si="114">P38/P45</f>
        <v>0.1254841208365608</v>
      </c>
    </row>
    <row r="39" spans="2:36">
      <c r="B39" s="600"/>
      <c r="C39" s="315" t="s">
        <v>100</v>
      </c>
      <c r="D39" s="501">
        <v>50</v>
      </c>
      <c r="E39" s="501">
        <v>54</v>
      </c>
      <c r="F39" s="501">
        <v>70</v>
      </c>
      <c r="G39" s="316">
        <v>58</v>
      </c>
      <c r="H39" s="316">
        <v>61</v>
      </c>
      <c r="I39" s="316">
        <v>57</v>
      </c>
      <c r="J39" s="316">
        <v>51</v>
      </c>
      <c r="K39" s="316">
        <v>59</v>
      </c>
      <c r="L39" s="316">
        <v>68</v>
      </c>
      <c r="M39" s="316">
        <v>70</v>
      </c>
      <c r="N39" s="316">
        <v>65</v>
      </c>
      <c r="O39" s="316">
        <v>82</v>
      </c>
      <c r="P39" s="337">
        <v>708</v>
      </c>
      <c r="R39" s="302" t="s">
        <v>100</v>
      </c>
      <c r="S39" s="502">
        <f>D39/D45</f>
        <v>0.19230769230769232</v>
      </c>
      <c r="T39" s="502">
        <f t="shared" ref="T39" si="115">E39/E45</f>
        <v>0.19285714285714287</v>
      </c>
      <c r="U39" s="502">
        <f t="shared" ref="U39" si="116">F39/F45</f>
        <v>0.2</v>
      </c>
      <c r="V39" s="339">
        <f t="shared" ref="V39" si="117">G39/G45</f>
        <v>0.1901639344262295</v>
      </c>
      <c r="W39" s="339">
        <f t="shared" ref="W39" si="118">H39/H45</f>
        <v>0.19062499999999999</v>
      </c>
      <c r="X39" s="339">
        <f t="shared" ref="X39" si="119">I39/I45</f>
        <v>0.19</v>
      </c>
      <c r="Y39" s="339">
        <f t="shared" ref="Y39" si="120">J39/J45</f>
        <v>0.18888888888888888</v>
      </c>
      <c r="Z39" s="339">
        <f t="shared" ref="Z39" si="121">K39/K45</f>
        <v>0.19093851132686085</v>
      </c>
      <c r="AA39" s="339">
        <f t="shared" ref="AA39" si="122">L39/L45</f>
        <v>0.19154929577464788</v>
      </c>
      <c r="AB39" s="339">
        <f t="shared" ref="AB39" si="123">M39/M45</f>
        <v>0.1891891891891892</v>
      </c>
      <c r="AC39" s="339">
        <f t="shared" ref="AC39" si="124">N39/N45</f>
        <v>0.19117647058823528</v>
      </c>
      <c r="AD39" s="339">
        <f t="shared" ref="AD39" si="125">O39/O45</f>
        <v>0.19069767441860466</v>
      </c>
      <c r="AE39" s="339">
        <f t="shared" ref="AE39" si="126">P39/P45</f>
        <v>0.18280402788536018</v>
      </c>
    </row>
    <row r="40" spans="2:36">
      <c r="B40" s="600"/>
      <c r="C40" s="315" t="s">
        <v>101</v>
      </c>
      <c r="D40" s="501">
        <v>26</v>
      </c>
      <c r="E40" s="501">
        <v>25</v>
      </c>
      <c r="F40" s="501">
        <v>33</v>
      </c>
      <c r="G40" s="316">
        <v>27</v>
      </c>
      <c r="H40" s="316">
        <v>29</v>
      </c>
      <c r="I40" s="316">
        <v>27</v>
      </c>
      <c r="J40" s="316">
        <v>24</v>
      </c>
      <c r="K40" s="316">
        <v>28</v>
      </c>
      <c r="L40" s="316">
        <v>32</v>
      </c>
      <c r="M40" s="316">
        <v>33</v>
      </c>
      <c r="N40" s="316">
        <v>30</v>
      </c>
      <c r="O40" s="316">
        <v>39</v>
      </c>
      <c r="P40" s="337">
        <v>343</v>
      </c>
      <c r="R40" s="302" t="s">
        <v>101</v>
      </c>
      <c r="S40" s="502">
        <f>D40/D45</f>
        <v>0.1</v>
      </c>
      <c r="T40" s="502">
        <f t="shared" ref="T40" si="127">E40/E45</f>
        <v>8.9285714285714288E-2</v>
      </c>
      <c r="U40" s="502">
        <f t="shared" ref="U40" si="128">F40/F45</f>
        <v>9.4285714285714292E-2</v>
      </c>
      <c r="V40" s="339">
        <f t="shared" ref="V40" si="129">G40/G45</f>
        <v>8.8524590163934422E-2</v>
      </c>
      <c r="W40" s="339">
        <f t="shared" ref="W40" si="130">H40/H45</f>
        <v>9.0624999999999997E-2</v>
      </c>
      <c r="X40" s="339">
        <f t="shared" ref="X40" si="131">I40/I45</f>
        <v>0.09</v>
      </c>
      <c r="Y40" s="339">
        <f t="shared" ref="Y40" si="132">J40/J45</f>
        <v>8.8888888888888892E-2</v>
      </c>
      <c r="Z40" s="339">
        <f t="shared" ref="Z40" si="133">K40/K45</f>
        <v>9.0614886731391592E-2</v>
      </c>
      <c r="AA40" s="339">
        <f t="shared" ref="AA40" si="134">L40/L45</f>
        <v>9.014084507042254E-2</v>
      </c>
      <c r="AB40" s="339">
        <f t="shared" ref="AB40" si="135">M40/M45</f>
        <v>8.9189189189189194E-2</v>
      </c>
      <c r="AC40" s="339">
        <f t="shared" ref="AC40" si="136">N40/N45</f>
        <v>8.8235294117647065E-2</v>
      </c>
      <c r="AD40" s="339">
        <f t="shared" ref="AD40" si="137">O40/O45</f>
        <v>9.0697674418604657E-2</v>
      </c>
      <c r="AE40" s="339">
        <f t="shared" ref="AE40" si="138">P40/P45</f>
        <v>8.8561838368190038E-2</v>
      </c>
    </row>
    <row r="41" spans="2:36">
      <c r="B41" s="600"/>
      <c r="C41" s="315" t="s">
        <v>102</v>
      </c>
      <c r="D41" s="501">
        <v>9</v>
      </c>
      <c r="E41" s="501">
        <v>13</v>
      </c>
      <c r="F41" s="501">
        <v>14</v>
      </c>
      <c r="G41" s="316">
        <v>13</v>
      </c>
      <c r="H41" s="316">
        <v>14</v>
      </c>
      <c r="I41" s="316">
        <v>13</v>
      </c>
      <c r="J41" s="316">
        <v>12</v>
      </c>
      <c r="K41" s="316">
        <v>13</v>
      </c>
      <c r="L41" s="316">
        <v>15</v>
      </c>
      <c r="M41" s="316">
        <v>16</v>
      </c>
      <c r="N41" s="316">
        <v>15</v>
      </c>
      <c r="O41" s="316">
        <v>19</v>
      </c>
      <c r="P41" s="337">
        <v>167</v>
      </c>
      <c r="R41" s="302" t="s">
        <v>102</v>
      </c>
      <c r="S41" s="502">
        <f>D41/D45</f>
        <v>3.4615384615384617E-2</v>
      </c>
      <c r="T41" s="502">
        <f t="shared" ref="T41" si="139">E41/E45</f>
        <v>4.642857142857143E-2</v>
      </c>
      <c r="U41" s="502">
        <f t="shared" ref="U41" si="140">F41/F45</f>
        <v>0.04</v>
      </c>
      <c r="V41" s="339">
        <f t="shared" ref="V41" si="141">G41/G45</f>
        <v>4.2622950819672129E-2</v>
      </c>
      <c r="W41" s="339">
        <f t="shared" ref="W41" si="142">H41/H45</f>
        <v>4.3749999999999997E-2</v>
      </c>
      <c r="X41" s="339">
        <f t="shared" ref="X41" si="143">I41/I45</f>
        <v>4.3333333333333335E-2</v>
      </c>
      <c r="Y41" s="339">
        <f t="shared" ref="Y41" si="144">J41/J45</f>
        <v>4.4444444444444446E-2</v>
      </c>
      <c r="Z41" s="339">
        <f t="shared" ref="Z41" si="145">K41/K45</f>
        <v>4.2071197411003236E-2</v>
      </c>
      <c r="AA41" s="339">
        <f t="shared" ref="AA41" si="146">L41/L45</f>
        <v>4.2253521126760563E-2</v>
      </c>
      <c r="AB41" s="339">
        <f t="shared" ref="AB41" si="147">M41/M45</f>
        <v>4.3243243243243246E-2</v>
      </c>
      <c r="AC41" s="339">
        <f t="shared" ref="AC41" si="148">N41/N45</f>
        <v>4.4117647058823532E-2</v>
      </c>
      <c r="AD41" s="339">
        <f t="shared" ref="AD41" si="149">O41/O45</f>
        <v>4.4186046511627906E-2</v>
      </c>
      <c r="AE41" s="339">
        <f t="shared" ref="AE41" si="150">P41/P45</f>
        <v>4.3119029176349084E-2</v>
      </c>
    </row>
    <row r="42" spans="2:36">
      <c r="B42" s="600"/>
      <c r="C42" s="315" t="s">
        <v>103</v>
      </c>
      <c r="D42" s="501">
        <v>28</v>
      </c>
      <c r="E42" s="501">
        <v>34</v>
      </c>
      <c r="F42" s="501">
        <v>42</v>
      </c>
      <c r="G42" s="316">
        <v>38</v>
      </c>
      <c r="H42" s="316">
        <v>40</v>
      </c>
      <c r="I42" s="316">
        <v>37</v>
      </c>
      <c r="J42" s="316">
        <v>33</v>
      </c>
      <c r="K42" s="316">
        <v>38</v>
      </c>
      <c r="L42" s="316">
        <v>44</v>
      </c>
      <c r="M42" s="316">
        <v>46</v>
      </c>
      <c r="N42" s="316">
        <v>42</v>
      </c>
      <c r="O42" s="316">
        <v>53</v>
      </c>
      <c r="P42" s="337">
        <v>461</v>
      </c>
      <c r="R42" s="302" t="s">
        <v>103</v>
      </c>
      <c r="S42" s="502">
        <f>D42/D45</f>
        <v>0.1076923076923077</v>
      </c>
      <c r="T42" s="502">
        <f t="shared" ref="T42" si="151">E42/E45</f>
        <v>0.12142857142857143</v>
      </c>
      <c r="U42" s="502">
        <f t="shared" ref="U42" si="152">F42/F45</f>
        <v>0.12</v>
      </c>
      <c r="V42" s="339">
        <f t="shared" ref="V42" si="153">G42/G45</f>
        <v>0.12459016393442623</v>
      </c>
      <c r="W42" s="339">
        <f t="shared" ref="W42" si="154">H42/H45</f>
        <v>0.125</v>
      </c>
      <c r="X42" s="339">
        <f t="shared" ref="X42" si="155">I42/I45</f>
        <v>0.12333333333333334</v>
      </c>
      <c r="Y42" s="339">
        <f t="shared" ref="Y42" si="156">J42/J45</f>
        <v>0.12222222222222222</v>
      </c>
      <c r="Z42" s="339">
        <f t="shared" ref="Z42" si="157">K42/K45</f>
        <v>0.12297734627831715</v>
      </c>
      <c r="AA42" s="339">
        <f t="shared" ref="AA42" si="158">L42/L45</f>
        <v>0.12394366197183099</v>
      </c>
      <c r="AB42" s="339">
        <f t="shared" ref="AB42" si="159">M42/M45</f>
        <v>0.12432432432432433</v>
      </c>
      <c r="AC42" s="339">
        <f t="shared" ref="AC42" si="160">N42/N45</f>
        <v>0.12352941176470589</v>
      </c>
      <c r="AD42" s="339">
        <f t="shared" ref="AD42" si="161">O42/O45</f>
        <v>0.12325581395348838</v>
      </c>
      <c r="AE42" s="339">
        <f t="shared" ref="AE42" si="162">P42/P45</f>
        <v>0.1190291763490834</v>
      </c>
    </row>
    <row r="43" spans="2:36">
      <c r="B43" s="600"/>
      <c r="C43" s="315" t="s">
        <v>104</v>
      </c>
      <c r="D43" s="501">
        <v>72</v>
      </c>
      <c r="E43" s="501">
        <v>78</v>
      </c>
      <c r="F43" s="501">
        <v>96</v>
      </c>
      <c r="G43" s="316">
        <v>86</v>
      </c>
      <c r="H43" s="316">
        <v>89</v>
      </c>
      <c r="I43" s="316">
        <v>84</v>
      </c>
      <c r="J43" s="316">
        <v>76</v>
      </c>
      <c r="K43" s="316">
        <v>87</v>
      </c>
      <c r="L43" s="316">
        <v>100</v>
      </c>
      <c r="M43" s="316">
        <v>104</v>
      </c>
      <c r="N43" s="316">
        <v>95</v>
      </c>
      <c r="O43" s="316">
        <v>121</v>
      </c>
      <c r="P43" s="337">
        <v>1116</v>
      </c>
      <c r="R43" s="302" t="s">
        <v>104</v>
      </c>
      <c r="S43" s="502">
        <f>D43/D45</f>
        <v>0.27692307692307694</v>
      </c>
      <c r="T43" s="502">
        <f t="shared" ref="T43" si="163">E43/E45</f>
        <v>0.27857142857142858</v>
      </c>
      <c r="U43" s="502">
        <f t="shared" ref="U43" si="164">F43/F45</f>
        <v>0.2742857142857143</v>
      </c>
      <c r="V43" s="339">
        <f t="shared" ref="V43" si="165">G43/G45</f>
        <v>0.28196721311475409</v>
      </c>
      <c r="W43" s="339">
        <f t="shared" ref="W43" si="166">H43/H45</f>
        <v>0.27812500000000001</v>
      </c>
      <c r="X43" s="339">
        <f t="shared" ref="X43" si="167">I43/I45</f>
        <v>0.28000000000000003</v>
      </c>
      <c r="Y43" s="339">
        <f t="shared" ref="Y43" si="168">J43/J45</f>
        <v>0.2814814814814815</v>
      </c>
      <c r="Z43" s="339">
        <f t="shared" ref="Z43" si="169">K43/K45</f>
        <v>0.28155339805825241</v>
      </c>
      <c r="AA43" s="339">
        <f t="shared" ref="AA43" si="170">L43/L45</f>
        <v>0.28169014084507044</v>
      </c>
      <c r="AB43" s="339">
        <f t="shared" ref="AB43" si="171">M43/M45</f>
        <v>0.2810810810810811</v>
      </c>
      <c r="AC43" s="339">
        <f t="shared" ref="AC43" si="172">N43/N45</f>
        <v>0.27941176470588236</v>
      </c>
      <c r="AD43" s="339">
        <f t="shared" ref="AD43" si="173">O43/O45</f>
        <v>0.28139534883720929</v>
      </c>
      <c r="AE43" s="339">
        <f t="shared" ref="AE43" si="174">P43/P45</f>
        <v>0.2881487219209915</v>
      </c>
    </row>
    <row r="44" spans="2:36">
      <c r="B44" s="600"/>
      <c r="C44" s="315" t="s">
        <v>105</v>
      </c>
      <c r="D44" s="501">
        <v>40</v>
      </c>
      <c r="E44" s="501">
        <v>41</v>
      </c>
      <c r="F44" s="501">
        <v>51</v>
      </c>
      <c r="G44" s="316">
        <v>45</v>
      </c>
      <c r="H44" s="316">
        <v>47</v>
      </c>
      <c r="I44" s="316">
        <v>44</v>
      </c>
      <c r="J44" s="316">
        <v>40</v>
      </c>
      <c r="K44" s="316">
        <v>45</v>
      </c>
      <c r="L44" s="316">
        <v>51</v>
      </c>
      <c r="M44" s="316">
        <v>54</v>
      </c>
      <c r="N44" s="316">
        <v>50</v>
      </c>
      <c r="O44" s="316">
        <v>62</v>
      </c>
      <c r="P44" s="337">
        <v>580</v>
      </c>
      <c r="R44" s="302" t="s">
        <v>105</v>
      </c>
      <c r="S44" s="502">
        <f>D44/D45</f>
        <v>0.15384615384615385</v>
      </c>
      <c r="T44" s="502">
        <f t="shared" ref="T44" si="175">E44/E45</f>
        <v>0.14642857142857144</v>
      </c>
      <c r="U44" s="502">
        <f t="shared" ref="U44" si="176">F44/F45</f>
        <v>0.14571428571428571</v>
      </c>
      <c r="V44" s="339">
        <f t="shared" ref="V44" si="177">G44/G45</f>
        <v>0.14754098360655737</v>
      </c>
      <c r="W44" s="339">
        <f t="shared" ref="W44" si="178">H44/H45</f>
        <v>0.14687500000000001</v>
      </c>
      <c r="X44" s="339">
        <f t="shared" ref="X44" si="179">I44/I45</f>
        <v>0.14666666666666667</v>
      </c>
      <c r="Y44" s="339">
        <f t="shared" ref="Y44" si="180">J44/J45</f>
        <v>0.14814814814814814</v>
      </c>
      <c r="Z44" s="339">
        <f t="shared" ref="Z44" si="181">K44/K45</f>
        <v>0.14563106796116504</v>
      </c>
      <c r="AA44" s="339">
        <f t="shared" ref="AA44" si="182">L44/L45</f>
        <v>0.14366197183098592</v>
      </c>
      <c r="AB44" s="339">
        <f t="shared" ref="AB44" si="183">M44/M45</f>
        <v>0.14594594594594595</v>
      </c>
      <c r="AC44" s="339">
        <f t="shared" ref="AC44" si="184">N44/N45</f>
        <v>0.14705882352941177</v>
      </c>
      <c r="AD44" s="339">
        <f t="shared" ref="AD44" si="185">O44/O45</f>
        <v>0.14418604651162792</v>
      </c>
      <c r="AE44" s="339">
        <f>P44/P45</f>
        <v>0.14975471210947586</v>
      </c>
    </row>
    <row r="45" spans="2:36" ht="18" thickBot="1">
      <c r="B45" s="601"/>
      <c r="C45" s="317" t="s">
        <v>24</v>
      </c>
      <c r="D45" s="335">
        <v>260</v>
      </c>
      <c r="E45" s="335">
        <v>280</v>
      </c>
      <c r="F45" s="335">
        <v>350</v>
      </c>
      <c r="G45" s="335">
        <v>305</v>
      </c>
      <c r="H45" s="335">
        <v>320</v>
      </c>
      <c r="I45" s="335">
        <v>300</v>
      </c>
      <c r="J45" s="335">
        <v>270</v>
      </c>
      <c r="K45" s="335">
        <v>309</v>
      </c>
      <c r="L45" s="335">
        <v>355</v>
      </c>
      <c r="M45" s="335">
        <v>370</v>
      </c>
      <c r="N45" s="335">
        <v>340</v>
      </c>
      <c r="O45" s="335">
        <v>430</v>
      </c>
      <c r="P45" s="336">
        <v>3873</v>
      </c>
      <c r="R45" s="305" t="s">
        <v>86</v>
      </c>
      <c r="S45" s="340">
        <f>D45/D45</f>
        <v>1</v>
      </c>
      <c r="T45" s="340">
        <f t="shared" ref="T45" si="186">E45/E45</f>
        <v>1</v>
      </c>
      <c r="U45" s="340">
        <f t="shared" ref="U45" si="187">F45/F45</f>
        <v>1</v>
      </c>
      <c r="V45" s="340">
        <f t="shared" ref="V45" si="188">G45/G45</f>
        <v>1</v>
      </c>
      <c r="W45" s="340">
        <f t="shared" ref="W45" si="189">H45/H45</f>
        <v>1</v>
      </c>
      <c r="X45" s="340">
        <f t="shared" ref="X45" si="190">I45/I45</f>
        <v>1</v>
      </c>
      <c r="Y45" s="340">
        <f t="shared" ref="Y45" si="191">J45/J45</f>
        <v>1</v>
      </c>
      <c r="Z45" s="340">
        <f t="shared" ref="Z45" si="192">K45/K45</f>
        <v>1</v>
      </c>
      <c r="AA45" s="340">
        <f t="shared" ref="AA45" si="193">L45/L45</f>
        <v>1</v>
      </c>
      <c r="AB45" s="340">
        <f t="shared" ref="AB45" si="194">M45/M45</f>
        <v>1</v>
      </c>
      <c r="AC45" s="340">
        <f t="shared" ref="AC45" si="195">N45/N45</f>
        <v>1</v>
      </c>
      <c r="AD45" s="340">
        <f t="shared" ref="AD45" si="196">O45/O45</f>
        <v>1</v>
      </c>
      <c r="AE45" s="340">
        <f t="shared" ref="AE45" si="197">P45/P45</f>
        <v>1</v>
      </c>
    </row>
    <row r="47" spans="2:36" ht="15" thickBot="1"/>
    <row r="48" spans="2:36" ht="17">
      <c r="B48" s="614" t="s">
        <v>91</v>
      </c>
      <c r="C48" s="314" t="s">
        <v>98</v>
      </c>
      <c r="D48" s="332" t="s">
        <v>74</v>
      </c>
      <c r="E48" s="332" t="s">
        <v>75</v>
      </c>
      <c r="F48" s="332" t="s">
        <v>76</v>
      </c>
      <c r="G48" s="332" t="s">
        <v>77</v>
      </c>
      <c r="H48" s="332" t="s">
        <v>78</v>
      </c>
      <c r="I48" s="332" t="s">
        <v>79</v>
      </c>
      <c r="J48" s="332" t="s">
        <v>80</v>
      </c>
      <c r="K48" s="332" t="s">
        <v>81</v>
      </c>
      <c r="L48" s="332" t="s">
        <v>82</v>
      </c>
      <c r="M48" s="332" t="s">
        <v>83</v>
      </c>
      <c r="N48" s="332" t="s">
        <v>84</v>
      </c>
      <c r="O48" s="332" t="s">
        <v>85</v>
      </c>
      <c r="P48" s="333" t="s">
        <v>86</v>
      </c>
      <c r="R48" s="299" t="s">
        <v>98</v>
      </c>
      <c r="S48" s="310" t="s">
        <v>74</v>
      </c>
      <c r="T48" s="310" t="s">
        <v>75</v>
      </c>
      <c r="U48" s="310" t="s">
        <v>76</v>
      </c>
      <c r="V48" s="310" t="s">
        <v>77</v>
      </c>
      <c r="W48" s="310" t="s">
        <v>78</v>
      </c>
      <c r="X48" s="310" t="s">
        <v>79</v>
      </c>
      <c r="Y48" s="310" t="s">
        <v>80</v>
      </c>
      <c r="Z48" s="310" t="s">
        <v>81</v>
      </c>
      <c r="AA48" s="310" t="s">
        <v>82</v>
      </c>
      <c r="AB48" s="310" t="s">
        <v>83</v>
      </c>
      <c r="AC48" s="310" t="s">
        <v>84</v>
      </c>
      <c r="AD48" s="311" t="s">
        <v>85</v>
      </c>
      <c r="AE48" s="320" t="s">
        <v>86</v>
      </c>
    </row>
    <row r="49" spans="2:31">
      <c r="B49" s="615"/>
      <c r="C49" s="315" t="s">
        <v>99</v>
      </c>
      <c r="D49" s="501">
        <v>0</v>
      </c>
      <c r="E49" s="501">
        <v>0</v>
      </c>
      <c r="F49" s="501">
        <v>0</v>
      </c>
      <c r="G49" s="316">
        <v>0</v>
      </c>
      <c r="H49" s="316">
        <v>0</v>
      </c>
      <c r="I49" s="316">
        <v>0</v>
      </c>
      <c r="J49" s="316">
        <v>0</v>
      </c>
      <c r="K49" s="316">
        <v>0</v>
      </c>
      <c r="L49" s="316">
        <v>0</v>
      </c>
      <c r="M49" s="316">
        <v>0</v>
      </c>
      <c r="N49" s="316">
        <v>0</v>
      </c>
      <c r="O49" s="316">
        <v>0</v>
      </c>
      <c r="P49" s="337">
        <v>0</v>
      </c>
      <c r="R49" s="302" t="s">
        <v>99</v>
      </c>
      <c r="S49" s="502"/>
      <c r="T49" s="502"/>
      <c r="U49" s="502"/>
      <c r="V49" s="339"/>
      <c r="W49" s="339"/>
      <c r="X49" s="339"/>
      <c r="Y49" s="339"/>
      <c r="Z49" s="339"/>
      <c r="AA49" s="339"/>
      <c r="AB49" s="339"/>
      <c r="AC49" s="339"/>
      <c r="AD49" s="339"/>
      <c r="AE49" s="339"/>
    </row>
    <row r="50" spans="2:31">
      <c r="B50" s="615"/>
      <c r="C50" s="315" t="s">
        <v>100</v>
      </c>
      <c r="D50" s="501">
        <v>0</v>
      </c>
      <c r="E50" s="501">
        <v>0</v>
      </c>
      <c r="F50" s="501">
        <v>0</v>
      </c>
      <c r="G50" s="316">
        <v>0</v>
      </c>
      <c r="H50" s="316">
        <v>0</v>
      </c>
      <c r="I50" s="316">
        <v>0</v>
      </c>
      <c r="J50" s="316">
        <v>0</v>
      </c>
      <c r="K50" s="316">
        <v>0</v>
      </c>
      <c r="L50" s="316">
        <v>0</v>
      </c>
      <c r="M50" s="316">
        <v>0</v>
      </c>
      <c r="N50" s="316">
        <v>0</v>
      </c>
      <c r="O50" s="316">
        <v>0</v>
      </c>
      <c r="P50" s="337">
        <v>0</v>
      </c>
      <c r="R50" s="302" t="s">
        <v>100</v>
      </c>
      <c r="S50" s="502"/>
      <c r="T50" s="502"/>
      <c r="U50" s="502"/>
      <c r="V50" s="339"/>
      <c r="W50" s="339"/>
      <c r="X50" s="339"/>
      <c r="Y50" s="339"/>
      <c r="Z50" s="339"/>
      <c r="AA50" s="339"/>
      <c r="AB50" s="339"/>
      <c r="AC50" s="339"/>
      <c r="AD50" s="339"/>
      <c r="AE50" s="339"/>
    </row>
    <row r="51" spans="2:31">
      <c r="B51" s="615"/>
      <c r="C51" s="315" t="s">
        <v>101</v>
      </c>
      <c r="D51" s="501">
        <v>0</v>
      </c>
      <c r="E51" s="501">
        <v>0</v>
      </c>
      <c r="F51" s="501">
        <v>0</v>
      </c>
      <c r="G51" s="316">
        <v>0</v>
      </c>
      <c r="H51" s="316">
        <v>0</v>
      </c>
      <c r="I51" s="316">
        <v>0</v>
      </c>
      <c r="J51" s="316">
        <v>0</v>
      </c>
      <c r="K51" s="316">
        <v>0</v>
      </c>
      <c r="L51" s="316">
        <v>0</v>
      </c>
      <c r="M51" s="316">
        <v>0</v>
      </c>
      <c r="N51" s="316">
        <v>0</v>
      </c>
      <c r="O51" s="316">
        <v>0</v>
      </c>
      <c r="P51" s="337">
        <v>0</v>
      </c>
      <c r="R51" s="302" t="s">
        <v>101</v>
      </c>
      <c r="S51" s="502"/>
      <c r="T51" s="502"/>
      <c r="U51" s="502"/>
      <c r="V51" s="339"/>
      <c r="W51" s="339"/>
      <c r="X51" s="339"/>
      <c r="Y51" s="339"/>
      <c r="Z51" s="339"/>
      <c r="AA51" s="339"/>
      <c r="AB51" s="339"/>
      <c r="AC51" s="339"/>
      <c r="AD51" s="339"/>
      <c r="AE51" s="339"/>
    </row>
    <row r="52" spans="2:31">
      <c r="B52" s="615"/>
      <c r="C52" s="315" t="s">
        <v>102</v>
      </c>
      <c r="D52" s="501">
        <v>0</v>
      </c>
      <c r="E52" s="501">
        <v>0</v>
      </c>
      <c r="F52" s="501">
        <v>0</v>
      </c>
      <c r="G52" s="316">
        <v>0</v>
      </c>
      <c r="H52" s="316">
        <v>0</v>
      </c>
      <c r="I52" s="316">
        <v>0</v>
      </c>
      <c r="J52" s="316">
        <v>0</v>
      </c>
      <c r="K52" s="316">
        <v>0</v>
      </c>
      <c r="L52" s="316">
        <v>0</v>
      </c>
      <c r="M52" s="316">
        <v>0</v>
      </c>
      <c r="N52" s="316">
        <v>0</v>
      </c>
      <c r="O52" s="316">
        <v>0</v>
      </c>
      <c r="P52" s="337">
        <v>0</v>
      </c>
      <c r="R52" s="302" t="s">
        <v>102</v>
      </c>
      <c r="S52" s="502"/>
      <c r="T52" s="502"/>
      <c r="U52" s="502"/>
      <c r="V52" s="339"/>
      <c r="W52" s="339"/>
      <c r="X52" s="339"/>
      <c r="Y52" s="339"/>
      <c r="Z52" s="339"/>
      <c r="AA52" s="339"/>
      <c r="AB52" s="339"/>
      <c r="AC52" s="339"/>
      <c r="AD52" s="339"/>
      <c r="AE52" s="339"/>
    </row>
    <row r="53" spans="2:31">
      <c r="B53" s="615"/>
      <c r="C53" s="315" t="s">
        <v>103</v>
      </c>
      <c r="D53" s="501">
        <v>0</v>
      </c>
      <c r="E53" s="501">
        <v>0</v>
      </c>
      <c r="F53" s="501">
        <v>0</v>
      </c>
      <c r="G53" s="316">
        <v>0</v>
      </c>
      <c r="H53" s="316">
        <v>0</v>
      </c>
      <c r="I53" s="316">
        <v>0</v>
      </c>
      <c r="J53" s="316">
        <v>0</v>
      </c>
      <c r="K53" s="316">
        <v>0</v>
      </c>
      <c r="L53" s="316">
        <v>0</v>
      </c>
      <c r="M53" s="316">
        <v>0</v>
      </c>
      <c r="N53" s="316">
        <v>0</v>
      </c>
      <c r="O53" s="316">
        <v>0</v>
      </c>
      <c r="P53" s="337">
        <v>0</v>
      </c>
      <c r="R53" s="302" t="s">
        <v>103</v>
      </c>
      <c r="S53" s="502"/>
      <c r="T53" s="502"/>
      <c r="U53" s="502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</row>
    <row r="54" spans="2:31">
      <c r="B54" s="615"/>
      <c r="C54" s="315" t="s">
        <v>104</v>
      </c>
      <c r="D54" s="501">
        <v>0</v>
      </c>
      <c r="E54" s="501">
        <v>0</v>
      </c>
      <c r="F54" s="501">
        <v>0</v>
      </c>
      <c r="G54" s="316">
        <v>0</v>
      </c>
      <c r="H54" s="316">
        <v>0</v>
      </c>
      <c r="I54" s="316">
        <v>0</v>
      </c>
      <c r="J54" s="316">
        <v>0</v>
      </c>
      <c r="K54" s="316">
        <v>0</v>
      </c>
      <c r="L54" s="316">
        <v>0</v>
      </c>
      <c r="M54" s="316">
        <v>0</v>
      </c>
      <c r="N54" s="316">
        <v>0</v>
      </c>
      <c r="O54" s="316">
        <v>0</v>
      </c>
      <c r="P54" s="337">
        <v>0</v>
      </c>
      <c r="R54" s="302" t="s">
        <v>104</v>
      </c>
      <c r="S54" s="502"/>
      <c r="T54" s="502"/>
      <c r="U54" s="502"/>
      <c r="V54" s="339"/>
      <c r="W54" s="339"/>
      <c r="X54" s="339"/>
      <c r="Y54" s="339"/>
      <c r="Z54" s="339"/>
      <c r="AA54" s="339"/>
      <c r="AB54" s="339"/>
      <c r="AC54" s="339"/>
      <c r="AD54" s="339"/>
      <c r="AE54" s="339"/>
    </row>
    <row r="55" spans="2:31">
      <c r="B55" s="615"/>
      <c r="C55" s="315" t="s">
        <v>105</v>
      </c>
      <c r="D55" s="501">
        <v>0</v>
      </c>
      <c r="E55" s="501">
        <v>0</v>
      </c>
      <c r="F55" s="501">
        <v>0</v>
      </c>
      <c r="G55" s="316">
        <v>0</v>
      </c>
      <c r="H55" s="316">
        <v>0</v>
      </c>
      <c r="I55" s="316">
        <v>0</v>
      </c>
      <c r="J55" s="316">
        <v>0</v>
      </c>
      <c r="K55" s="316">
        <v>0</v>
      </c>
      <c r="L55" s="316">
        <v>0</v>
      </c>
      <c r="M55" s="316">
        <v>0</v>
      </c>
      <c r="N55" s="316">
        <v>0</v>
      </c>
      <c r="O55" s="316">
        <v>0</v>
      </c>
      <c r="P55" s="337">
        <v>0</v>
      </c>
      <c r="R55" s="302" t="s">
        <v>105</v>
      </c>
      <c r="S55" s="502"/>
      <c r="T55" s="502"/>
      <c r="U55" s="502"/>
      <c r="V55" s="339"/>
      <c r="W55" s="339"/>
      <c r="X55" s="339"/>
      <c r="Y55" s="339"/>
      <c r="Z55" s="339"/>
      <c r="AA55" s="339"/>
      <c r="AB55" s="339"/>
      <c r="AC55" s="339"/>
      <c r="AD55" s="339"/>
      <c r="AE55" s="339"/>
    </row>
    <row r="56" spans="2:31" ht="18" thickBot="1">
      <c r="B56" s="616"/>
      <c r="C56" s="317" t="s">
        <v>24</v>
      </c>
      <c r="D56" s="335">
        <v>0</v>
      </c>
      <c r="E56" s="335">
        <v>0</v>
      </c>
      <c r="F56" s="335">
        <v>0</v>
      </c>
      <c r="G56" s="335">
        <v>0</v>
      </c>
      <c r="H56" s="335">
        <v>0</v>
      </c>
      <c r="I56" s="335">
        <v>0</v>
      </c>
      <c r="J56" s="335">
        <v>0</v>
      </c>
      <c r="K56" s="335">
        <v>0</v>
      </c>
      <c r="L56" s="335">
        <v>0</v>
      </c>
      <c r="M56" s="335">
        <v>0</v>
      </c>
      <c r="N56" s="335">
        <v>0</v>
      </c>
      <c r="O56" s="335">
        <v>0</v>
      </c>
      <c r="P56" s="336">
        <v>0</v>
      </c>
      <c r="R56" s="305" t="s">
        <v>86</v>
      </c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  <c r="AE56" s="340"/>
    </row>
    <row r="58" spans="2:31" ht="15" thickBot="1"/>
    <row r="59" spans="2:31" ht="17">
      <c r="B59" s="617" t="s">
        <v>92</v>
      </c>
      <c r="C59" s="314" t="s">
        <v>98</v>
      </c>
      <c r="D59" s="332" t="s">
        <v>74</v>
      </c>
      <c r="E59" s="332" t="s">
        <v>75</v>
      </c>
      <c r="F59" s="332" t="s">
        <v>76</v>
      </c>
      <c r="G59" s="332" t="s">
        <v>77</v>
      </c>
      <c r="H59" s="332" t="s">
        <v>78</v>
      </c>
      <c r="I59" s="332" t="s">
        <v>79</v>
      </c>
      <c r="J59" s="332" t="s">
        <v>80</v>
      </c>
      <c r="K59" s="332" t="s">
        <v>81</v>
      </c>
      <c r="L59" s="332" t="s">
        <v>82</v>
      </c>
      <c r="M59" s="332" t="s">
        <v>83</v>
      </c>
      <c r="N59" s="332" t="s">
        <v>84</v>
      </c>
      <c r="O59" s="332" t="s">
        <v>85</v>
      </c>
      <c r="P59" s="333" t="s">
        <v>86</v>
      </c>
      <c r="R59" s="299" t="s">
        <v>98</v>
      </c>
      <c r="S59" s="310" t="s">
        <v>74</v>
      </c>
      <c r="T59" s="310" t="s">
        <v>75</v>
      </c>
      <c r="U59" s="310" t="s">
        <v>76</v>
      </c>
      <c r="V59" s="310" t="s">
        <v>77</v>
      </c>
      <c r="W59" s="310" t="s">
        <v>78</v>
      </c>
      <c r="X59" s="310" t="s">
        <v>79</v>
      </c>
      <c r="Y59" s="310" t="s">
        <v>80</v>
      </c>
      <c r="Z59" s="310" t="s">
        <v>81</v>
      </c>
      <c r="AA59" s="310" t="s">
        <v>82</v>
      </c>
      <c r="AB59" s="310" t="s">
        <v>83</v>
      </c>
      <c r="AC59" s="310" t="s">
        <v>84</v>
      </c>
      <c r="AD59" s="311" t="s">
        <v>85</v>
      </c>
      <c r="AE59" s="320" t="s">
        <v>86</v>
      </c>
    </row>
    <row r="60" spans="2:31">
      <c r="B60" s="618"/>
      <c r="C60" s="315" t="s">
        <v>99</v>
      </c>
      <c r="D60" s="501">
        <v>15</v>
      </c>
      <c r="E60" s="501">
        <v>15</v>
      </c>
      <c r="F60" s="501">
        <v>16</v>
      </c>
      <c r="G60" s="316">
        <v>13</v>
      </c>
      <c r="H60" s="316">
        <v>14</v>
      </c>
      <c r="I60" s="316">
        <v>15</v>
      </c>
      <c r="J60" s="316">
        <v>16</v>
      </c>
      <c r="K60" s="316">
        <v>17</v>
      </c>
      <c r="L60" s="316">
        <v>14</v>
      </c>
      <c r="M60" s="316">
        <v>15</v>
      </c>
      <c r="N60" s="316">
        <v>15</v>
      </c>
      <c r="O60" s="316">
        <v>19</v>
      </c>
      <c r="P60" s="337">
        <v>176</v>
      </c>
      <c r="R60" s="302" t="s">
        <v>99</v>
      </c>
      <c r="S60" s="502">
        <f>D60/D67</f>
        <v>0.13636363636363635</v>
      </c>
      <c r="T60" s="502">
        <f t="shared" ref="T60" si="198">E60/E67</f>
        <v>0.10714285714285714</v>
      </c>
      <c r="U60" s="502">
        <f t="shared" ref="U60" si="199">F60/F67</f>
        <v>0.1</v>
      </c>
      <c r="V60" s="339">
        <f t="shared" ref="V60" si="200">G60/G67</f>
        <v>0.1</v>
      </c>
      <c r="W60" s="339">
        <f t="shared" ref="W60" si="201">H60/H67</f>
        <v>0.1</v>
      </c>
      <c r="X60" s="339">
        <f t="shared" ref="X60" si="202">I60/I67</f>
        <v>0.10563380281690141</v>
      </c>
      <c r="Y60" s="339">
        <f t="shared" ref="Y60" si="203">J60/J67</f>
        <v>0.1</v>
      </c>
      <c r="Z60" s="339">
        <f t="shared" ref="Z60" si="204">K60/K67</f>
        <v>0.1</v>
      </c>
      <c r="AA60" s="339">
        <f t="shared" ref="AA60" si="205">L60/L67</f>
        <v>0.1</v>
      </c>
      <c r="AB60" s="339">
        <f t="shared" ref="AB60" si="206">M60/M67</f>
        <v>0.1</v>
      </c>
      <c r="AC60" s="339">
        <f t="shared" ref="AC60" si="207">N60/N67</f>
        <v>0.1</v>
      </c>
      <c r="AD60" s="339">
        <f t="shared" ref="AD60" si="208">O60/O67</f>
        <v>0.10270270270270271</v>
      </c>
      <c r="AE60" s="339">
        <f t="shared" ref="AE60" si="209">P60/P67</f>
        <v>0.10438908659549229</v>
      </c>
    </row>
    <row r="61" spans="2:31">
      <c r="B61" s="618"/>
      <c r="C61" s="315" t="s">
        <v>100</v>
      </c>
      <c r="D61" s="501">
        <v>17</v>
      </c>
      <c r="E61" s="501">
        <v>21</v>
      </c>
      <c r="F61" s="501">
        <v>25</v>
      </c>
      <c r="G61" s="316">
        <v>19</v>
      </c>
      <c r="H61" s="316">
        <v>21</v>
      </c>
      <c r="I61" s="316">
        <v>21</v>
      </c>
      <c r="J61" s="316">
        <v>24</v>
      </c>
      <c r="K61" s="316">
        <v>25</v>
      </c>
      <c r="L61" s="316">
        <v>21</v>
      </c>
      <c r="M61" s="316">
        <v>22</v>
      </c>
      <c r="N61" s="316">
        <v>22</v>
      </c>
      <c r="O61" s="316">
        <v>27</v>
      </c>
      <c r="P61" s="337">
        <v>250</v>
      </c>
      <c r="R61" s="302" t="s">
        <v>100</v>
      </c>
      <c r="S61" s="502">
        <f>D61/D67</f>
        <v>0.15454545454545454</v>
      </c>
      <c r="T61" s="502">
        <f t="shared" ref="T61" si="210">E61/E67</f>
        <v>0.15</v>
      </c>
      <c r="U61" s="502">
        <f t="shared" ref="U61" si="211">F61/F67</f>
        <v>0.15625</v>
      </c>
      <c r="V61" s="339">
        <f t="shared" ref="V61" si="212">G61/G67</f>
        <v>0.14615384615384616</v>
      </c>
      <c r="W61" s="339">
        <f t="shared" ref="W61" si="213">H61/H67</f>
        <v>0.15</v>
      </c>
      <c r="X61" s="339">
        <f t="shared" ref="X61" si="214">I61/I67</f>
        <v>0.14788732394366197</v>
      </c>
      <c r="Y61" s="339">
        <f t="shared" ref="Y61" si="215">J61/J67</f>
        <v>0.15</v>
      </c>
      <c r="Z61" s="339">
        <f t="shared" ref="Z61" si="216">K61/K67</f>
        <v>0.14705882352941177</v>
      </c>
      <c r="AA61" s="339">
        <f t="shared" ref="AA61" si="217">L61/L67</f>
        <v>0.15</v>
      </c>
      <c r="AB61" s="339">
        <f t="shared" ref="AB61" si="218">M61/M67</f>
        <v>0.14666666666666667</v>
      </c>
      <c r="AC61" s="339">
        <f t="shared" ref="AC61" si="219">N61/N67</f>
        <v>0.14666666666666667</v>
      </c>
      <c r="AD61" s="339">
        <f t="shared" ref="AD61" si="220">O61/O67</f>
        <v>0.14594594594594595</v>
      </c>
      <c r="AE61" s="339">
        <f t="shared" ref="AE61" si="221">P61/P67</f>
        <v>0.14827995255041518</v>
      </c>
    </row>
    <row r="62" spans="2:31">
      <c r="B62" s="618"/>
      <c r="C62" s="315" t="s">
        <v>101</v>
      </c>
      <c r="D62" s="501">
        <v>9</v>
      </c>
      <c r="E62" s="501">
        <v>11</v>
      </c>
      <c r="F62" s="501">
        <v>13</v>
      </c>
      <c r="G62" s="316">
        <v>10</v>
      </c>
      <c r="H62" s="316">
        <v>11</v>
      </c>
      <c r="I62" s="316">
        <v>11</v>
      </c>
      <c r="J62" s="316">
        <v>12</v>
      </c>
      <c r="K62" s="316">
        <v>13</v>
      </c>
      <c r="L62" s="316">
        <v>11</v>
      </c>
      <c r="M62" s="316">
        <v>12</v>
      </c>
      <c r="N62" s="316">
        <v>12</v>
      </c>
      <c r="O62" s="316">
        <v>14</v>
      </c>
      <c r="P62" s="337">
        <v>131</v>
      </c>
      <c r="R62" s="302" t="s">
        <v>101</v>
      </c>
      <c r="S62" s="502">
        <f>D62/D67</f>
        <v>8.1818181818181818E-2</v>
      </c>
      <c r="T62" s="502">
        <f t="shared" ref="T62" si="222">E62/E67</f>
        <v>7.857142857142857E-2</v>
      </c>
      <c r="U62" s="502">
        <f t="shared" ref="U62" si="223">F62/F67</f>
        <v>8.1250000000000003E-2</v>
      </c>
      <c r="V62" s="339">
        <f t="shared" ref="V62" si="224">G62/G67</f>
        <v>7.6923076923076927E-2</v>
      </c>
      <c r="W62" s="339">
        <f t="shared" ref="W62" si="225">H62/H67</f>
        <v>7.857142857142857E-2</v>
      </c>
      <c r="X62" s="339">
        <f t="shared" ref="X62" si="226">I62/I67</f>
        <v>7.746478873239436E-2</v>
      </c>
      <c r="Y62" s="339">
        <f t="shared" ref="Y62" si="227">J62/J67</f>
        <v>7.4999999999999997E-2</v>
      </c>
      <c r="Z62" s="339">
        <f t="shared" ref="Z62" si="228">K62/K67</f>
        <v>7.6470588235294124E-2</v>
      </c>
      <c r="AA62" s="339">
        <f t="shared" ref="AA62" si="229">L62/L67</f>
        <v>7.857142857142857E-2</v>
      </c>
      <c r="AB62" s="339">
        <f t="shared" ref="AB62" si="230">M62/M67</f>
        <v>0.08</v>
      </c>
      <c r="AC62" s="339">
        <f t="shared" ref="AC62" si="231">N62/N67</f>
        <v>0.08</v>
      </c>
      <c r="AD62" s="339">
        <f t="shared" ref="AD62" si="232">O62/O67</f>
        <v>7.567567567567568E-2</v>
      </c>
      <c r="AE62" s="339">
        <f t="shared" ref="AE62" si="233">P62/P67</f>
        <v>7.7698695136417556E-2</v>
      </c>
    </row>
    <row r="63" spans="2:31">
      <c r="B63" s="618"/>
      <c r="C63" s="315" t="s">
        <v>102</v>
      </c>
      <c r="D63" s="501">
        <v>2</v>
      </c>
      <c r="E63" s="501">
        <v>6</v>
      </c>
      <c r="F63" s="501">
        <v>7</v>
      </c>
      <c r="G63" s="316">
        <v>7</v>
      </c>
      <c r="H63" s="316">
        <v>6</v>
      </c>
      <c r="I63" s="316">
        <v>6</v>
      </c>
      <c r="J63" s="316">
        <v>7</v>
      </c>
      <c r="K63" s="316">
        <v>7</v>
      </c>
      <c r="L63" s="316">
        <v>6</v>
      </c>
      <c r="M63" s="316">
        <v>6</v>
      </c>
      <c r="N63" s="316">
        <v>6</v>
      </c>
      <c r="O63" s="316">
        <v>8</v>
      </c>
      <c r="P63" s="337">
        <v>65</v>
      </c>
      <c r="R63" s="302" t="s">
        <v>102</v>
      </c>
      <c r="S63" s="502">
        <f>D63/D67</f>
        <v>1.8181818181818181E-2</v>
      </c>
      <c r="T63" s="502">
        <f t="shared" ref="T63" si="234">E63/E67</f>
        <v>4.2857142857142858E-2</v>
      </c>
      <c r="U63" s="502">
        <f t="shared" ref="U63" si="235">F63/F67</f>
        <v>4.3749999999999997E-2</v>
      </c>
      <c r="V63" s="339">
        <f t="shared" ref="V63" si="236">G63/G67</f>
        <v>5.3846153846153849E-2</v>
      </c>
      <c r="W63" s="339">
        <f t="shared" ref="W63" si="237">H63/H67</f>
        <v>4.2857142857142858E-2</v>
      </c>
      <c r="X63" s="339">
        <f t="shared" ref="X63" si="238">I63/I67</f>
        <v>4.2253521126760563E-2</v>
      </c>
      <c r="Y63" s="339">
        <f t="shared" ref="Y63" si="239">J63/J67</f>
        <v>4.3749999999999997E-2</v>
      </c>
      <c r="Z63" s="339">
        <f t="shared" ref="Z63" si="240">K63/K67</f>
        <v>4.1176470588235294E-2</v>
      </c>
      <c r="AA63" s="339">
        <f t="shared" ref="AA63" si="241">L63/L67</f>
        <v>4.2857142857142858E-2</v>
      </c>
      <c r="AB63" s="339">
        <f t="shared" ref="AB63" si="242">M63/M67</f>
        <v>0.04</v>
      </c>
      <c r="AC63" s="339">
        <f t="shared" ref="AC63" si="243">N63/N67</f>
        <v>0.04</v>
      </c>
      <c r="AD63" s="339">
        <f t="shared" ref="AD63" si="244">O63/O67</f>
        <v>4.3243243243243246E-2</v>
      </c>
      <c r="AE63" s="339">
        <f t="shared" ref="AE63" si="245">P63/P67</f>
        <v>3.8552787663107949E-2</v>
      </c>
    </row>
    <row r="64" spans="2:31">
      <c r="B64" s="618"/>
      <c r="C64" s="315" t="s">
        <v>103</v>
      </c>
      <c r="D64" s="501">
        <v>18</v>
      </c>
      <c r="E64" s="501">
        <v>21</v>
      </c>
      <c r="F64" s="501">
        <v>26</v>
      </c>
      <c r="G64" s="316">
        <v>20</v>
      </c>
      <c r="H64" s="316">
        <v>22</v>
      </c>
      <c r="I64" s="316">
        <v>22</v>
      </c>
      <c r="J64" s="316">
        <v>25</v>
      </c>
      <c r="K64" s="316">
        <v>26</v>
      </c>
      <c r="L64" s="316">
        <v>22</v>
      </c>
      <c r="M64" s="316">
        <v>23</v>
      </c>
      <c r="N64" s="316">
        <v>23</v>
      </c>
      <c r="O64" s="316">
        <v>29</v>
      </c>
      <c r="P64" s="337">
        <v>254</v>
      </c>
      <c r="R64" s="302" t="s">
        <v>103</v>
      </c>
      <c r="S64" s="502">
        <f>D64/D67</f>
        <v>0.16363636363636364</v>
      </c>
      <c r="T64" s="502">
        <f t="shared" ref="T64" si="246">E64/E67</f>
        <v>0.15</v>
      </c>
      <c r="U64" s="502">
        <f t="shared" ref="U64" si="247">F64/F67</f>
        <v>0.16250000000000001</v>
      </c>
      <c r="V64" s="339">
        <f t="shared" ref="V64" si="248">G64/G67</f>
        <v>0.15384615384615385</v>
      </c>
      <c r="W64" s="339">
        <f t="shared" ref="W64" si="249">H64/H67</f>
        <v>0.15714285714285714</v>
      </c>
      <c r="X64" s="339">
        <f t="shared" ref="X64" si="250">I64/I67</f>
        <v>0.15492957746478872</v>
      </c>
      <c r="Y64" s="339">
        <f t="shared" ref="Y64" si="251">J64/J67</f>
        <v>0.15625</v>
      </c>
      <c r="Z64" s="339">
        <f t="shared" ref="Z64" si="252">K64/K67</f>
        <v>0.15294117647058825</v>
      </c>
      <c r="AA64" s="339">
        <f t="shared" ref="AA64" si="253">L64/L67</f>
        <v>0.15714285714285714</v>
      </c>
      <c r="AB64" s="339">
        <f t="shared" ref="AB64" si="254">M64/M67</f>
        <v>0.15333333333333332</v>
      </c>
      <c r="AC64" s="339">
        <f t="shared" ref="AC64" si="255">N64/N67</f>
        <v>0.15333333333333332</v>
      </c>
      <c r="AD64" s="339">
        <f t="shared" ref="AD64" si="256">O64/O67</f>
        <v>0.15675675675675677</v>
      </c>
      <c r="AE64" s="339">
        <f t="shared" ref="AE64" si="257">P64/P67</f>
        <v>0.15065243179122181</v>
      </c>
    </row>
    <row r="65" spans="2:31">
      <c r="B65" s="618"/>
      <c r="C65" s="315" t="s">
        <v>104</v>
      </c>
      <c r="D65" s="501">
        <v>29</v>
      </c>
      <c r="E65" s="501">
        <v>39</v>
      </c>
      <c r="F65" s="501">
        <v>45</v>
      </c>
      <c r="G65" s="316">
        <v>36</v>
      </c>
      <c r="H65" s="316">
        <v>39</v>
      </c>
      <c r="I65" s="316">
        <v>40</v>
      </c>
      <c r="J65" s="316">
        <v>45</v>
      </c>
      <c r="K65" s="316">
        <v>48</v>
      </c>
      <c r="L65" s="316">
        <v>39</v>
      </c>
      <c r="M65" s="316">
        <v>42</v>
      </c>
      <c r="N65" s="316">
        <v>42</v>
      </c>
      <c r="O65" s="316">
        <v>52</v>
      </c>
      <c r="P65" s="337">
        <v>472</v>
      </c>
      <c r="R65" s="302" t="s">
        <v>104</v>
      </c>
      <c r="S65" s="502">
        <f>D65/D67</f>
        <v>0.26363636363636361</v>
      </c>
      <c r="T65" s="502">
        <f t="shared" ref="T65" si="258">E65/E67</f>
        <v>0.27857142857142858</v>
      </c>
      <c r="U65" s="502">
        <f t="shared" ref="U65" si="259">F65/F67</f>
        <v>0.28125</v>
      </c>
      <c r="V65" s="339">
        <f t="shared" ref="V65" si="260">G65/G67</f>
        <v>0.27692307692307694</v>
      </c>
      <c r="W65" s="339">
        <f t="shared" ref="W65" si="261">H65/H67</f>
        <v>0.27857142857142858</v>
      </c>
      <c r="X65" s="339">
        <f t="shared" ref="X65" si="262">I65/I67</f>
        <v>0.28169014084507044</v>
      </c>
      <c r="Y65" s="339">
        <f t="shared" ref="Y65" si="263">J65/J67</f>
        <v>0.28125</v>
      </c>
      <c r="Z65" s="339">
        <f t="shared" ref="Z65" si="264">K65/K67</f>
        <v>0.28235294117647058</v>
      </c>
      <c r="AA65" s="339">
        <f t="shared" ref="AA65" si="265">L65/L67</f>
        <v>0.27857142857142858</v>
      </c>
      <c r="AB65" s="339">
        <f t="shared" ref="AB65" si="266">M65/M67</f>
        <v>0.28000000000000003</v>
      </c>
      <c r="AC65" s="339">
        <f t="shared" ref="AC65" si="267">N65/N67</f>
        <v>0.28000000000000003</v>
      </c>
      <c r="AD65" s="339">
        <f t="shared" ref="AD65" si="268">O65/O67</f>
        <v>0.2810810810810811</v>
      </c>
      <c r="AE65" s="339">
        <f t="shared" ref="AE65" si="269">P65/P67</f>
        <v>0.27995255041518385</v>
      </c>
    </row>
    <row r="66" spans="2:31">
      <c r="B66" s="618"/>
      <c r="C66" s="315" t="s">
        <v>105</v>
      </c>
      <c r="D66" s="501">
        <v>20</v>
      </c>
      <c r="E66" s="501">
        <v>27</v>
      </c>
      <c r="F66" s="501">
        <v>28</v>
      </c>
      <c r="G66" s="316">
        <v>25</v>
      </c>
      <c r="H66" s="316">
        <v>27</v>
      </c>
      <c r="I66" s="316">
        <v>27</v>
      </c>
      <c r="J66" s="316">
        <v>31</v>
      </c>
      <c r="K66" s="316">
        <v>34</v>
      </c>
      <c r="L66" s="316">
        <v>27</v>
      </c>
      <c r="M66" s="316">
        <v>30</v>
      </c>
      <c r="N66" s="316">
        <v>30</v>
      </c>
      <c r="O66" s="316">
        <v>36</v>
      </c>
      <c r="P66" s="337">
        <v>332</v>
      </c>
      <c r="R66" s="302" t="s">
        <v>105</v>
      </c>
      <c r="S66" s="502">
        <f>D66/D67</f>
        <v>0.18181818181818182</v>
      </c>
      <c r="T66" s="502">
        <f t="shared" ref="T66" si="270">E66/E67</f>
        <v>0.19285714285714287</v>
      </c>
      <c r="U66" s="502">
        <f t="shared" ref="U66" si="271">F66/F67</f>
        <v>0.17499999999999999</v>
      </c>
      <c r="V66" s="339">
        <f t="shared" ref="V66" si="272">G66/G67</f>
        <v>0.19230769230769232</v>
      </c>
      <c r="W66" s="339">
        <f t="shared" ref="W66" si="273">H66/H67</f>
        <v>0.19285714285714287</v>
      </c>
      <c r="X66" s="339">
        <f t="shared" ref="X66" si="274">I66/I67</f>
        <v>0.19014084507042253</v>
      </c>
      <c r="Y66" s="339">
        <f t="shared" ref="Y66" si="275">J66/J67</f>
        <v>0.19375000000000001</v>
      </c>
      <c r="Z66" s="339">
        <f t="shared" ref="Z66" si="276">K66/K67</f>
        <v>0.2</v>
      </c>
      <c r="AA66" s="339">
        <f t="shared" ref="AA66" si="277">L66/L67</f>
        <v>0.19285714285714287</v>
      </c>
      <c r="AB66" s="339">
        <f t="shared" ref="AB66" si="278">M66/M67</f>
        <v>0.2</v>
      </c>
      <c r="AC66" s="339">
        <f t="shared" ref="AC66" si="279">N66/N67</f>
        <v>0.2</v>
      </c>
      <c r="AD66" s="339">
        <f t="shared" ref="AD66" si="280">O66/O67</f>
        <v>0.19459459459459461</v>
      </c>
      <c r="AE66" s="339">
        <f>P66/P67</f>
        <v>0.19691577698695137</v>
      </c>
    </row>
    <row r="67" spans="2:31" ht="18" thickBot="1">
      <c r="B67" s="619"/>
      <c r="C67" s="317" t="s">
        <v>24</v>
      </c>
      <c r="D67" s="335">
        <v>110</v>
      </c>
      <c r="E67" s="335">
        <v>140</v>
      </c>
      <c r="F67" s="335">
        <v>160</v>
      </c>
      <c r="G67" s="335">
        <v>130</v>
      </c>
      <c r="H67" s="335">
        <v>140</v>
      </c>
      <c r="I67" s="335">
        <v>142</v>
      </c>
      <c r="J67" s="335">
        <v>160</v>
      </c>
      <c r="K67" s="335">
        <v>170</v>
      </c>
      <c r="L67" s="335">
        <v>140</v>
      </c>
      <c r="M67" s="335">
        <v>150</v>
      </c>
      <c r="N67" s="335">
        <v>150</v>
      </c>
      <c r="O67" s="335">
        <v>185</v>
      </c>
      <c r="P67" s="336">
        <v>1686</v>
      </c>
      <c r="R67" s="305" t="s">
        <v>86</v>
      </c>
      <c r="S67" s="340">
        <f>D67/D67</f>
        <v>1</v>
      </c>
      <c r="T67" s="340">
        <f t="shared" ref="T67" si="281">E67/E67</f>
        <v>1</v>
      </c>
      <c r="U67" s="340">
        <f t="shared" ref="U67" si="282">F67/F67</f>
        <v>1</v>
      </c>
      <c r="V67" s="340">
        <f t="shared" ref="V67" si="283">G67/G67</f>
        <v>1</v>
      </c>
      <c r="W67" s="340">
        <f t="shared" ref="W67" si="284">H67/H67</f>
        <v>1</v>
      </c>
      <c r="X67" s="340">
        <f t="shared" ref="X67" si="285">I67/I67</f>
        <v>1</v>
      </c>
      <c r="Y67" s="340">
        <f t="shared" ref="Y67" si="286">J67/J67</f>
        <v>1</v>
      </c>
      <c r="Z67" s="340">
        <f t="shared" ref="Z67" si="287">K67/K67</f>
        <v>1</v>
      </c>
      <c r="AA67" s="340">
        <f t="shared" ref="AA67" si="288">L67/L67</f>
        <v>1</v>
      </c>
      <c r="AB67" s="340">
        <f t="shared" ref="AB67" si="289">M67/M67</f>
        <v>1</v>
      </c>
      <c r="AC67" s="340">
        <f t="shared" ref="AC67" si="290">N67/N67</f>
        <v>1</v>
      </c>
      <c r="AD67" s="340">
        <f t="shared" ref="AD67" si="291">O67/O67</f>
        <v>1</v>
      </c>
      <c r="AE67" s="340">
        <f t="shared" ref="AE67" si="292">P67/P67</f>
        <v>1</v>
      </c>
    </row>
    <row r="68" spans="2:31" ht="17">
      <c r="B68" s="318"/>
      <c r="C68" s="319"/>
      <c r="D68" s="309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09"/>
      <c r="P68" s="309"/>
    </row>
    <row r="69" spans="2:31" ht="18" thickBot="1">
      <c r="B69" s="318"/>
      <c r="C69" s="31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</row>
    <row r="70" spans="2:31" ht="17">
      <c r="B70" s="620" t="s">
        <v>93</v>
      </c>
      <c r="C70" s="314" t="s">
        <v>98</v>
      </c>
      <c r="D70" s="332" t="s">
        <v>74</v>
      </c>
      <c r="E70" s="332" t="s">
        <v>75</v>
      </c>
      <c r="F70" s="332" t="s">
        <v>76</v>
      </c>
      <c r="G70" s="332" t="s">
        <v>77</v>
      </c>
      <c r="H70" s="332" t="s">
        <v>78</v>
      </c>
      <c r="I70" s="332" t="s">
        <v>79</v>
      </c>
      <c r="J70" s="332" t="s">
        <v>80</v>
      </c>
      <c r="K70" s="332" t="s">
        <v>81</v>
      </c>
      <c r="L70" s="332" t="s">
        <v>82</v>
      </c>
      <c r="M70" s="332" t="s">
        <v>83</v>
      </c>
      <c r="N70" s="332" t="s">
        <v>84</v>
      </c>
      <c r="O70" s="332" t="s">
        <v>85</v>
      </c>
      <c r="P70" s="333" t="s">
        <v>86</v>
      </c>
      <c r="R70" s="299" t="s">
        <v>98</v>
      </c>
      <c r="S70" s="310" t="s">
        <v>74</v>
      </c>
      <c r="T70" s="310" t="s">
        <v>75</v>
      </c>
      <c r="U70" s="310" t="s">
        <v>76</v>
      </c>
      <c r="V70" s="310" t="s">
        <v>77</v>
      </c>
      <c r="W70" s="310" t="s">
        <v>78</v>
      </c>
      <c r="X70" s="310" t="s">
        <v>79</v>
      </c>
      <c r="Y70" s="310" t="s">
        <v>80</v>
      </c>
      <c r="Z70" s="310" t="s">
        <v>81</v>
      </c>
      <c r="AA70" s="310" t="s">
        <v>82</v>
      </c>
      <c r="AB70" s="310" t="s">
        <v>83</v>
      </c>
      <c r="AC70" s="310" t="s">
        <v>84</v>
      </c>
      <c r="AD70" s="311" t="s">
        <v>85</v>
      </c>
      <c r="AE70" s="320" t="s">
        <v>86</v>
      </c>
    </row>
    <row r="71" spans="2:31">
      <c r="B71" s="621"/>
      <c r="C71" s="315" t="s">
        <v>99</v>
      </c>
      <c r="D71" s="501">
        <v>0</v>
      </c>
      <c r="E71" s="501">
        <v>5</v>
      </c>
      <c r="F71" s="501">
        <v>7</v>
      </c>
      <c r="G71" s="316">
        <v>7</v>
      </c>
      <c r="H71" s="316">
        <v>3</v>
      </c>
      <c r="I71" s="316">
        <v>3</v>
      </c>
      <c r="J71" s="316">
        <v>7</v>
      </c>
      <c r="K71" s="316">
        <v>8</v>
      </c>
      <c r="L71" s="316">
        <v>6</v>
      </c>
      <c r="M71" s="316">
        <v>6</v>
      </c>
      <c r="N71" s="316">
        <v>8</v>
      </c>
      <c r="O71" s="316">
        <v>9</v>
      </c>
      <c r="P71" s="337">
        <v>59</v>
      </c>
      <c r="R71" s="302" t="s">
        <v>99</v>
      </c>
      <c r="S71" s="502">
        <f>D71/D78</f>
        <v>0</v>
      </c>
      <c r="T71" s="502">
        <f t="shared" ref="T71" si="293">E71/E78</f>
        <v>5.5555555555555552E-2</v>
      </c>
      <c r="U71" s="502">
        <f t="shared" ref="U71" si="294">F71/F78</f>
        <v>5.8333333333333334E-2</v>
      </c>
      <c r="V71" s="339">
        <f t="shared" ref="V71" si="295">G71/G78</f>
        <v>5.8333333333333334E-2</v>
      </c>
      <c r="W71" s="339">
        <f t="shared" ref="W71" si="296">H71/H78</f>
        <v>0.02</v>
      </c>
      <c r="X71" s="339">
        <f t="shared" ref="X71" si="297">I71/I78</f>
        <v>2.1428571428571429E-2</v>
      </c>
      <c r="Y71" s="339">
        <f t="shared" ref="Y71" si="298">J71/J78</f>
        <v>0.05</v>
      </c>
      <c r="Z71" s="339">
        <f t="shared" ref="Z71" si="299">K71/K78</f>
        <v>0.05</v>
      </c>
      <c r="AA71" s="339">
        <f t="shared" ref="AA71" si="300">L71/L78</f>
        <v>3.870967741935484E-2</v>
      </c>
      <c r="AB71" s="339">
        <f t="shared" ref="AB71" si="301">M71/M78</f>
        <v>3.5294117647058823E-2</v>
      </c>
      <c r="AC71" s="339">
        <f t="shared" ref="AC71" si="302">N71/N78</f>
        <v>4.8484848484848485E-2</v>
      </c>
      <c r="AD71" s="339">
        <f t="shared" ref="AD71" si="303">O71/O78</f>
        <v>4.7619047619047616E-2</v>
      </c>
      <c r="AE71" s="339">
        <f t="shared" ref="AE71" si="304">P71/P78</f>
        <v>3.9491298527443104E-2</v>
      </c>
    </row>
    <row r="72" spans="2:31">
      <c r="B72" s="621"/>
      <c r="C72" s="315" t="s">
        <v>100</v>
      </c>
      <c r="D72" s="501">
        <v>1</v>
      </c>
      <c r="E72" s="501">
        <v>14</v>
      </c>
      <c r="F72" s="501">
        <v>18</v>
      </c>
      <c r="G72" s="316">
        <v>19</v>
      </c>
      <c r="H72" s="316">
        <v>24</v>
      </c>
      <c r="I72" s="316">
        <v>20</v>
      </c>
      <c r="J72" s="316">
        <v>17</v>
      </c>
      <c r="K72" s="316">
        <v>27</v>
      </c>
      <c r="L72" s="316">
        <v>26</v>
      </c>
      <c r="M72" s="316">
        <v>32</v>
      </c>
      <c r="N72" s="316">
        <v>27</v>
      </c>
      <c r="O72" s="316">
        <v>30</v>
      </c>
      <c r="P72" s="337">
        <v>224</v>
      </c>
      <c r="R72" s="302" t="s">
        <v>100</v>
      </c>
      <c r="S72" s="502">
        <f>D72/D78</f>
        <v>6.6666666666666666E-2</v>
      </c>
      <c r="T72" s="502">
        <f t="shared" ref="T72" si="305">E72/E78</f>
        <v>0.15555555555555556</v>
      </c>
      <c r="U72" s="502">
        <f t="shared" ref="U72" si="306">F72/F78</f>
        <v>0.15</v>
      </c>
      <c r="V72" s="339">
        <f t="shared" ref="V72" si="307">G72/G78</f>
        <v>0.15833333333333333</v>
      </c>
      <c r="W72" s="339">
        <f t="shared" ref="W72" si="308">H72/H78</f>
        <v>0.16</v>
      </c>
      <c r="X72" s="339">
        <f t="shared" ref="X72" si="309">I72/I78</f>
        <v>0.14285714285714285</v>
      </c>
      <c r="Y72" s="339">
        <f t="shared" ref="Y72" si="310">J72/J78</f>
        <v>0.12142857142857143</v>
      </c>
      <c r="Z72" s="339">
        <f t="shared" ref="Z72" si="311">K72/K78</f>
        <v>0.16875000000000001</v>
      </c>
      <c r="AA72" s="339">
        <f t="shared" ref="AA72" si="312">L72/L78</f>
        <v>0.16774193548387098</v>
      </c>
      <c r="AB72" s="339">
        <f t="shared" ref="AB72" si="313">M72/M78</f>
        <v>0.18823529411764706</v>
      </c>
      <c r="AC72" s="339">
        <f t="shared" ref="AC72" si="314">N72/N78</f>
        <v>0.16363636363636364</v>
      </c>
      <c r="AD72" s="339">
        <f t="shared" ref="AD72" si="315">O72/O78</f>
        <v>0.15873015873015872</v>
      </c>
      <c r="AE72" s="339">
        <f t="shared" ref="AE72" si="316">P72/P78</f>
        <v>0.1499330655957162</v>
      </c>
    </row>
    <row r="73" spans="2:31">
      <c r="B73" s="621"/>
      <c r="C73" s="315" t="s">
        <v>101</v>
      </c>
      <c r="D73" s="501">
        <v>0</v>
      </c>
      <c r="E73" s="501">
        <v>8</v>
      </c>
      <c r="F73" s="501">
        <v>10</v>
      </c>
      <c r="G73" s="316">
        <v>10</v>
      </c>
      <c r="H73" s="316">
        <v>7</v>
      </c>
      <c r="I73" s="316">
        <v>4</v>
      </c>
      <c r="J73" s="316">
        <v>8</v>
      </c>
      <c r="K73" s="316">
        <v>12</v>
      </c>
      <c r="L73" s="316">
        <v>10</v>
      </c>
      <c r="M73" s="316">
        <v>9</v>
      </c>
      <c r="N73" s="316">
        <v>11</v>
      </c>
      <c r="O73" s="316">
        <v>13</v>
      </c>
      <c r="P73" s="337">
        <v>84</v>
      </c>
      <c r="R73" s="302" t="s">
        <v>101</v>
      </c>
      <c r="S73" s="502">
        <f>D73/D78</f>
        <v>0</v>
      </c>
      <c r="T73" s="502">
        <f t="shared" ref="T73" si="317">E73/E78</f>
        <v>8.8888888888888892E-2</v>
      </c>
      <c r="U73" s="502">
        <f t="shared" ref="U73" si="318">F73/F78</f>
        <v>8.3333333333333329E-2</v>
      </c>
      <c r="V73" s="339">
        <f t="shared" ref="V73" si="319">G73/G78</f>
        <v>8.3333333333333329E-2</v>
      </c>
      <c r="W73" s="339">
        <f t="shared" ref="W73" si="320">H73/H78</f>
        <v>4.6666666666666669E-2</v>
      </c>
      <c r="X73" s="339">
        <f t="shared" ref="X73" si="321">I73/I78</f>
        <v>2.8571428571428571E-2</v>
      </c>
      <c r="Y73" s="339">
        <f t="shared" ref="Y73" si="322">J73/J78</f>
        <v>5.7142857142857141E-2</v>
      </c>
      <c r="Z73" s="339">
        <f t="shared" ref="Z73" si="323">K73/K78</f>
        <v>7.4999999999999997E-2</v>
      </c>
      <c r="AA73" s="339">
        <f t="shared" ref="AA73" si="324">L73/L78</f>
        <v>6.4516129032258063E-2</v>
      </c>
      <c r="AB73" s="339">
        <f t="shared" ref="AB73" si="325">M73/M78</f>
        <v>5.2941176470588235E-2</v>
      </c>
      <c r="AC73" s="339">
        <f t="shared" ref="AC73" si="326">N73/N78</f>
        <v>6.6666666666666666E-2</v>
      </c>
      <c r="AD73" s="339">
        <f t="shared" ref="AD73" si="327">O73/O78</f>
        <v>6.8783068783068779E-2</v>
      </c>
      <c r="AE73" s="339">
        <f t="shared" ref="AE73" si="328">P73/P78</f>
        <v>5.6224899598393573E-2</v>
      </c>
    </row>
    <row r="74" spans="2:31">
      <c r="B74" s="621"/>
      <c r="C74" s="315" t="s">
        <v>102</v>
      </c>
      <c r="D74" s="501">
        <v>3</v>
      </c>
      <c r="E74" s="501">
        <v>11</v>
      </c>
      <c r="F74" s="501">
        <v>14</v>
      </c>
      <c r="G74" s="316">
        <v>14</v>
      </c>
      <c r="H74" s="316">
        <v>18</v>
      </c>
      <c r="I74" s="316">
        <v>16</v>
      </c>
      <c r="J74" s="316">
        <v>28</v>
      </c>
      <c r="K74" s="316">
        <v>21</v>
      </c>
      <c r="L74" s="316">
        <v>24</v>
      </c>
      <c r="M74" s="316">
        <v>23</v>
      </c>
      <c r="N74" s="316">
        <v>22</v>
      </c>
      <c r="O74" s="316">
        <v>24</v>
      </c>
      <c r="P74" s="337">
        <v>209</v>
      </c>
      <c r="R74" s="302" t="s">
        <v>102</v>
      </c>
      <c r="S74" s="502">
        <f>D74/D78</f>
        <v>0.2</v>
      </c>
      <c r="T74" s="502">
        <f t="shared" ref="T74" si="329">E74/E78</f>
        <v>0.12222222222222222</v>
      </c>
      <c r="U74" s="502">
        <f t="shared" ref="U74" si="330">F74/F78</f>
        <v>0.11666666666666667</v>
      </c>
      <c r="V74" s="339">
        <f t="shared" ref="V74" si="331">G74/G78</f>
        <v>0.11666666666666667</v>
      </c>
      <c r="W74" s="339">
        <f t="shared" ref="W74" si="332">H74/H78</f>
        <v>0.12</v>
      </c>
      <c r="X74" s="339">
        <f t="shared" ref="X74" si="333">I74/I78</f>
        <v>0.11428571428571428</v>
      </c>
      <c r="Y74" s="339">
        <f t="shared" ref="Y74" si="334">J74/J78</f>
        <v>0.2</v>
      </c>
      <c r="Z74" s="339">
        <f t="shared" ref="Z74" si="335">K74/K78</f>
        <v>0.13125000000000001</v>
      </c>
      <c r="AA74" s="339">
        <f t="shared" ref="AA74" si="336">L74/L78</f>
        <v>0.15483870967741936</v>
      </c>
      <c r="AB74" s="339">
        <f t="shared" ref="AB74" si="337">M74/M78</f>
        <v>0.13529411764705881</v>
      </c>
      <c r="AC74" s="339">
        <f t="shared" ref="AC74" si="338">N74/N78</f>
        <v>0.13333333333333333</v>
      </c>
      <c r="AD74" s="339">
        <f t="shared" ref="AD74" si="339">O74/O78</f>
        <v>0.12698412698412698</v>
      </c>
      <c r="AE74" s="339">
        <f t="shared" ref="AE74" si="340">P74/P78</f>
        <v>0.13989290495314591</v>
      </c>
    </row>
    <row r="75" spans="2:31">
      <c r="B75" s="621"/>
      <c r="C75" s="315" t="s">
        <v>103</v>
      </c>
      <c r="D75" s="501">
        <v>0</v>
      </c>
      <c r="E75" s="501">
        <v>5</v>
      </c>
      <c r="F75" s="501">
        <v>7</v>
      </c>
      <c r="G75" s="316">
        <v>7</v>
      </c>
      <c r="H75" s="316">
        <v>3</v>
      </c>
      <c r="I75" s="316">
        <v>2</v>
      </c>
      <c r="J75" s="316">
        <v>6</v>
      </c>
      <c r="K75" s="316">
        <v>7</v>
      </c>
      <c r="L75" s="316">
        <v>6</v>
      </c>
      <c r="M75" s="316">
        <v>5</v>
      </c>
      <c r="N75" s="316">
        <v>7</v>
      </c>
      <c r="O75" s="316">
        <v>8</v>
      </c>
      <c r="P75" s="337">
        <v>51</v>
      </c>
      <c r="R75" s="302" t="s">
        <v>103</v>
      </c>
      <c r="S75" s="502">
        <f>D75/D78</f>
        <v>0</v>
      </c>
      <c r="T75" s="502">
        <f t="shared" ref="T75" si="341">E75/E78</f>
        <v>5.5555555555555552E-2</v>
      </c>
      <c r="U75" s="502">
        <f t="shared" ref="U75" si="342">F75/F78</f>
        <v>5.8333333333333334E-2</v>
      </c>
      <c r="V75" s="339">
        <f t="shared" ref="V75" si="343">G75/G78</f>
        <v>5.8333333333333334E-2</v>
      </c>
      <c r="W75" s="339">
        <f t="shared" ref="W75" si="344">H75/H78</f>
        <v>0.02</v>
      </c>
      <c r="X75" s="339">
        <f t="shared" ref="X75" si="345">I75/I78</f>
        <v>1.4285714285714285E-2</v>
      </c>
      <c r="Y75" s="339">
        <f t="shared" ref="Y75" si="346">J75/J78</f>
        <v>4.2857142857142858E-2</v>
      </c>
      <c r="Z75" s="339">
        <f t="shared" ref="Z75" si="347">K75/K78</f>
        <v>4.3749999999999997E-2</v>
      </c>
      <c r="AA75" s="339">
        <f t="shared" ref="AA75" si="348">L75/L78</f>
        <v>3.870967741935484E-2</v>
      </c>
      <c r="AB75" s="339">
        <f t="shared" ref="AB75" si="349">M75/M78</f>
        <v>2.9411764705882353E-2</v>
      </c>
      <c r="AC75" s="339">
        <f t="shared" ref="AC75" si="350">N75/N78</f>
        <v>4.2424242424242427E-2</v>
      </c>
      <c r="AD75" s="339">
        <f t="shared" ref="AD75" si="351">O75/O78</f>
        <v>4.2328042328042326E-2</v>
      </c>
      <c r="AE75" s="339">
        <f t="shared" ref="AE75" si="352">P75/P78</f>
        <v>3.4136546184738957E-2</v>
      </c>
    </row>
    <row r="76" spans="2:31">
      <c r="B76" s="621"/>
      <c r="C76" s="315" t="s">
        <v>104</v>
      </c>
      <c r="D76" s="501">
        <v>0</v>
      </c>
      <c r="E76" s="501">
        <v>8</v>
      </c>
      <c r="F76" s="501">
        <v>12</v>
      </c>
      <c r="G76" s="316">
        <v>16</v>
      </c>
      <c r="H76" s="316">
        <v>20</v>
      </c>
      <c r="I76" s="316">
        <v>19</v>
      </c>
      <c r="J76" s="316">
        <v>19</v>
      </c>
      <c r="K76" s="316">
        <v>22</v>
      </c>
      <c r="L76" s="316">
        <v>23</v>
      </c>
      <c r="M76" s="316">
        <v>26</v>
      </c>
      <c r="N76" s="316">
        <v>25</v>
      </c>
      <c r="O76" s="316">
        <v>24</v>
      </c>
      <c r="P76" s="337">
        <v>195</v>
      </c>
      <c r="R76" s="302" t="s">
        <v>104</v>
      </c>
      <c r="S76" s="502">
        <f>D76/D78</f>
        <v>0</v>
      </c>
      <c r="T76" s="502">
        <f t="shared" ref="T76" si="353">E76/E78</f>
        <v>8.8888888888888892E-2</v>
      </c>
      <c r="U76" s="502">
        <f t="shared" ref="U76" si="354">F76/F78</f>
        <v>0.1</v>
      </c>
      <c r="V76" s="339">
        <f t="shared" ref="V76" si="355">G76/G78</f>
        <v>0.13333333333333333</v>
      </c>
      <c r="W76" s="339">
        <f t="shared" ref="W76" si="356">H76/H78</f>
        <v>0.13333333333333333</v>
      </c>
      <c r="X76" s="339">
        <f t="shared" ref="X76" si="357">I76/I78</f>
        <v>0.1357142857142857</v>
      </c>
      <c r="Y76" s="339">
        <f t="shared" ref="Y76" si="358">J76/J78</f>
        <v>0.1357142857142857</v>
      </c>
      <c r="Z76" s="339">
        <f t="shared" ref="Z76" si="359">K76/K78</f>
        <v>0.13750000000000001</v>
      </c>
      <c r="AA76" s="339">
        <f t="shared" ref="AA76" si="360">L76/L78</f>
        <v>0.14838709677419354</v>
      </c>
      <c r="AB76" s="339">
        <f t="shared" ref="AB76" si="361">M76/M78</f>
        <v>0.15294117647058825</v>
      </c>
      <c r="AC76" s="339">
        <f t="shared" ref="AC76" si="362">N76/N78</f>
        <v>0.15151515151515152</v>
      </c>
      <c r="AD76" s="339">
        <f t="shared" ref="AD76" si="363">O76/O78</f>
        <v>0.12698412698412698</v>
      </c>
      <c r="AE76" s="339">
        <f t="shared" ref="AE76" si="364">P76/P78</f>
        <v>0.13052208835341367</v>
      </c>
    </row>
    <row r="77" spans="2:31">
      <c r="B77" s="621"/>
      <c r="C77" s="315" t="s">
        <v>105</v>
      </c>
      <c r="D77" s="501">
        <v>11</v>
      </c>
      <c r="E77" s="501">
        <v>39</v>
      </c>
      <c r="F77" s="501">
        <v>52</v>
      </c>
      <c r="G77" s="316">
        <v>47</v>
      </c>
      <c r="H77" s="316">
        <v>75</v>
      </c>
      <c r="I77" s="316">
        <v>76</v>
      </c>
      <c r="J77" s="316">
        <v>55</v>
      </c>
      <c r="K77" s="316">
        <v>63</v>
      </c>
      <c r="L77" s="316">
        <v>60</v>
      </c>
      <c r="M77" s="316">
        <v>69</v>
      </c>
      <c r="N77" s="316">
        <v>65</v>
      </c>
      <c r="O77" s="316">
        <v>81</v>
      </c>
      <c r="P77" s="337">
        <v>671</v>
      </c>
      <c r="R77" s="302" t="s">
        <v>105</v>
      </c>
      <c r="S77" s="502">
        <f>D77/D78</f>
        <v>0.73333333333333328</v>
      </c>
      <c r="T77" s="502">
        <f t="shared" ref="T77" si="365">E77/E78</f>
        <v>0.43333333333333335</v>
      </c>
      <c r="U77" s="502">
        <f t="shared" ref="U77" si="366">F77/F78</f>
        <v>0.43333333333333335</v>
      </c>
      <c r="V77" s="339">
        <f t="shared" ref="V77" si="367">G77/G78</f>
        <v>0.39166666666666666</v>
      </c>
      <c r="W77" s="339">
        <f t="shared" ref="W77" si="368">H77/H78</f>
        <v>0.5</v>
      </c>
      <c r="X77" s="339">
        <f t="shared" ref="X77" si="369">I77/I78</f>
        <v>0.54285714285714282</v>
      </c>
      <c r="Y77" s="339">
        <f t="shared" ref="Y77" si="370">J77/J78</f>
        <v>0.39285714285714285</v>
      </c>
      <c r="Z77" s="339">
        <f t="shared" ref="Z77" si="371">K77/K78</f>
        <v>0.39374999999999999</v>
      </c>
      <c r="AA77" s="339">
        <f t="shared" ref="AA77" si="372">L77/L78</f>
        <v>0.38709677419354838</v>
      </c>
      <c r="AB77" s="339">
        <f t="shared" ref="AB77" si="373">M77/M78</f>
        <v>0.40588235294117647</v>
      </c>
      <c r="AC77" s="339">
        <f t="shared" ref="AC77" si="374">N77/N78</f>
        <v>0.39393939393939392</v>
      </c>
      <c r="AD77" s="339">
        <f t="shared" ref="AD77" si="375">O77/O78</f>
        <v>0.42857142857142855</v>
      </c>
      <c r="AE77" s="339">
        <f>P77/P78</f>
        <v>0.44912985274431055</v>
      </c>
    </row>
    <row r="78" spans="2:31" ht="18" thickBot="1">
      <c r="B78" s="622"/>
      <c r="C78" s="317" t="s">
        <v>24</v>
      </c>
      <c r="D78" s="335">
        <v>15</v>
      </c>
      <c r="E78" s="335">
        <v>90</v>
      </c>
      <c r="F78" s="335">
        <v>120</v>
      </c>
      <c r="G78" s="335">
        <v>120</v>
      </c>
      <c r="H78" s="335">
        <v>150</v>
      </c>
      <c r="I78" s="335">
        <v>140</v>
      </c>
      <c r="J78" s="335">
        <v>140</v>
      </c>
      <c r="K78" s="335">
        <v>160</v>
      </c>
      <c r="L78" s="335">
        <v>155</v>
      </c>
      <c r="M78" s="335">
        <v>170</v>
      </c>
      <c r="N78" s="335">
        <v>165</v>
      </c>
      <c r="O78" s="335">
        <v>189</v>
      </c>
      <c r="P78" s="336">
        <v>1494</v>
      </c>
      <c r="R78" s="305" t="s">
        <v>86</v>
      </c>
      <c r="S78" s="340">
        <f>D78/D78</f>
        <v>1</v>
      </c>
      <c r="T78" s="340">
        <f t="shared" ref="T78" si="376">E78/E78</f>
        <v>1</v>
      </c>
      <c r="U78" s="340">
        <f t="shared" ref="U78" si="377">F78/F78</f>
        <v>1</v>
      </c>
      <c r="V78" s="340">
        <f t="shared" ref="V78" si="378">G78/G78</f>
        <v>1</v>
      </c>
      <c r="W78" s="340">
        <f t="shared" ref="W78" si="379">H78/H78</f>
        <v>1</v>
      </c>
      <c r="X78" s="340">
        <f t="shared" ref="X78" si="380">I78/I78</f>
        <v>1</v>
      </c>
      <c r="Y78" s="340">
        <f t="shared" ref="Y78" si="381">J78/J78</f>
        <v>1</v>
      </c>
      <c r="Z78" s="340">
        <f t="shared" ref="Z78" si="382">K78/K78</f>
        <v>1</v>
      </c>
      <c r="AA78" s="340">
        <f t="shared" ref="AA78" si="383">L78/L78</f>
        <v>1</v>
      </c>
      <c r="AB78" s="340">
        <f t="shared" ref="AB78" si="384">M78/M78</f>
        <v>1</v>
      </c>
      <c r="AC78" s="340">
        <f t="shared" ref="AC78" si="385">N78/N78</f>
        <v>1</v>
      </c>
      <c r="AD78" s="340">
        <f t="shared" ref="AD78" si="386">O78/O78</f>
        <v>1</v>
      </c>
      <c r="AE78" s="340">
        <f t="shared" ref="AE78" si="387">P78/P78</f>
        <v>1</v>
      </c>
    </row>
    <row r="79" spans="2:31" ht="17">
      <c r="B79" s="318"/>
      <c r="C79" s="319"/>
      <c r="D79" s="309"/>
      <c r="E79" s="309"/>
      <c r="F79" s="309"/>
      <c r="G79" s="309"/>
      <c r="H79" s="309"/>
      <c r="I79" s="309"/>
      <c r="J79" s="309"/>
      <c r="K79" s="309"/>
      <c r="L79" s="309"/>
      <c r="M79" s="309"/>
      <c r="N79" s="309"/>
      <c r="O79" s="309"/>
      <c r="P79" s="309"/>
    </row>
    <row r="80" spans="2:31" ht="18" thickBot="1">
      <c r="B80" s="318"/>
      <c r="C80" s="319"/>
      <c r="D80" s="309"/>
      <c r="E80" s="309"/>
      <c r="F80" s="309"/>
      <c r="G80" s="309"/>
      <c r="H80" s="309"/>
      <c r="I80" s="309"/>
      <c r="J80" s="309"/>
      <c r="K80" s="309"/>
      <c r="L80" s="309"/>
      <c r="M80" s="309"/>
      <c r="N80" s="309"/>
      <c r="O80" s="309"/>
      <c r="P80" s="309"/>
    </row>
    <row r="81" spans="2:31" ht="17">
      <c r="B81" s="605" t="s">
        <v>94</v>
      </c>
      <c r="C81" s="314" t="s">
        <v>98</v>
      </c>
      <c r="D81" s="332" t="s">
        <v>74</v>
      </c>
      <c r="E81" s="332" t="s">
        <v>75</v>
      </c>
      <c r="F81" s="332" t="s">
        <v>76</v>
      </c>
      <c r="G81" s="332" t="s">
        <v>77</v>
      </c>
      <c r="H81" s="332" t="s">
        <v>78</v>
      </c>
      <c r="I81" s="332" t="s">
        <v>79</v>
      </c>
      <c r="J81" s="332" t="s">
        <v>80</v>
      </c>
      <c r="K81" s="332" t="s">
        <v>81</v>
      </c>
      <c r="L81" s="332" t="s">
        <v>82</v>
      </c>
      <c r="M81" s="332" t="s">
        <v>83</v>
      </c>
      <c r="N81" s="332" t="s">
        <v>84</v>
      </c>
      <c r="O81" s="332" t="s">
        <v>85</v>
      </c>
      <c r="P81" s="333" t="s">
        <v>86</v>
      </c>
      <c r="R81" s="299" t="s">
        <v>98</v>
      </c>
      <c r="S81" s="310" t="s">
        <v>74</v>
      </c>
      <c r="T81" s="310" t="s">
        <v>75</v>
      </c>
      <c r="U81" s="310" t="s">
        <v>76</v>
      </c>
      <c r="V81" s="310" t="s">
        <v>77</v>
      </c>
      <c r="W81" s="310" t="s">
        <v>78</v>
      </c>
      <c r="X81" s="310" t="s">
        <v>79</v>
      </c>
      <c r="Y81" s="310" t="s">
        <v>80</v>
      </c>
      <c r="Z81" s="310" t="s">
        <v>81</v>
      </c>
      <c r="AA81" s="310" t="s">
        <v>82</v>
      </c>
      <c r="AB81" s="310" t="s">
        <v>83</v>
      </c>
      <c r="AC81" s="310" t="s">
        <v>84</v>
      </c>
      <c r="AD81" s="311" t="s">
        <v>85</v>
      </c>
      <c r="AE81" s="320" t="s">
        <v>86</v>
      </c>
    </row>
    <row r="82" spans="2:31">
      <c r="B82" s="606"/>
      <c r="C82" s="315" t="s">
        <v>99</v>
      </c>
      <c r="D82" s="501">
        <v>251</v>
      </c>
      <c r="E82" s="501">
        <v>313</v>
      </c>
      <c r="F82" s="501">
        <v>394</v>
      </c>
      <c r="G82" s="316">
        <v>341</v>
      </c>
      <c r="H82" s="316">
        <v>387</v>
      </c>
      <c r="I82" s="316">
        <v>372</v>
      </c>
      <c r="J82" s="316">
        <v>366</v>
      </c>
      <c r="K82" s="316">
        <v>418</v>
      </c>
      <c r="L82" s="316">
        <v>355</v>
      </c>
      <c r="M82" s="316">
        <v>339</v>
      </c>
      <c r="N82" s="316">
        <v>325</v>
      </c>
      <c r="O82" s="316">
        <v>494</v>
      </c>
      <c r="P82" s="337">
        <v>4343</v>
      </c>
      <c r="R82" s="302" t="s">
        <v>99</v>
      </c>
      <c r="S82" s="502">
        <f>D82/D89</f>
        <v>0.12009569377990431</v>
      </c>
      <c r="T82" s="502">
        <f t="shared" ref="T82" si="388">E82/E89</f>
        <v>0.14357798165137614</v>
      </c>
      <c r="U82" s="502">
        <f t="shared" ref="U82" si="389">F82/F89</f>
        <v>0.14223826714801444</v>
      </c>
      <c r="V82" s="339">
        <f t="shared" ref="V82" si="390">G82/G89</f>
        <v>0.13335940555338288</v>
      </c>
      <c r="W82" s="339">
        <f t="shared" ref="W82" si="391">H82/H89</f>
        <v>0.13344827586206898</v>
      </c>
      <c r="X82" s="339">
        <f t="shared" ref="X82" si="392">I82/I89</f>
        <v>0.1333811401936178</v>
      </c>
      <c r="Y82" s="339">
        <f t="shared" ref="Y82" si="393">J82/J89</f>
        <v>0.13357664233576641</v>
      </c>
      <c r="Z82" s="339">
        <f t="shared" ref="Z82" si="394">K82/K89</f>
        <v>0.13350367294793997</v>
      </c>
      <c r="AA82" s="339">
        <f t="shared" ref="AA82" si="395">L82/L89</f>
        <v>0.13345864661654136</v>
      </c>
      <c r="AB82" s="339">
        <f t="shared" ref="AB82" si="396">M82/M89</f>
        <v>0.13346456692913386</v>
      </c>
      <c r="AC82" s="339">
        <f t="shared" ref="AC82" si="397">N82/N89</f>
        <v>0.13347022587268995</v>
      </c>
      <c r="AD82" s="339">
        <f t="shared" ref="AD82" si="398">O82/O89</f>
        <v>0.13358572201189833</v>
      </c>
      <c r="AE82" s="339">
        <f t="shared" ref="AE82" si="399">P82/P89</f>
        <v>0.13090393947614312</v>
      </c>
    </row>
    <row r="83" spans="2:31">
      <c r="B83" s="606"/>
      <c r="C83" s="315" t="s">
        <v>100</v>
      </c>
      <c r="D83" s="501">
        <v>434</v>
      </c>
      <c r="E83" s="501">
        <v>488</v>
      </c>
      <c r="F83" s="501">
        <v>625</v>
      </c>
      <c r="G83" s="316">
        <v>567</v>
      </c>
      <c r="H83" s="316">
        <v>643</v>
      </c>
      <c r="I83" s="316">
        <v>619</v>
      </c>
      <c r="J83" s="316">
        <v>608</v>
      </c>
      <c r="K83" s="316">
        <v>695</v>
      </c>
      <c r="L83" s="316">
        <v>590</v>
      </c>
      <c r="M83" s="316">
        <v>563</v>
      </c>
      <c r="N83" s="316">
        <v>540</v>
      </c>
      <c r="O83" s="316">
        <v>820</v>
      </c>
      <c r="P83" s="337">
        <v>7250</v>
      </c>
      <c r="R83" s="302" t="s">
        <v>100</v>
      </c>
      <c r="S83" s="502">
        <f>D83/D89</f>
        <v>0.20765550239234451</v>
      </c>
      <c r="T83" s="502">
        <f t="shared" ref="T83" si="400">E83/E89</f>
        <v>0.22385321100917432</v>
      </c>
      <c r="U83" s="502">
        <f t="shared" ref="U83" si="401">F83/F89</f>
        <v>0.22563176895306858</v>
      </c>
      <c r="V83" s="339">
        <f t="shared" ref="V83" si="402">G83/G89</f>
        <v>0.22174423152131403</v>
      </c>
      <c r="W83" s="339">
        <f t="shared" ref="W83" si="403">H83/H89</f>
        <v>0.22172413793103449</v>
      </c>
      <c r="X83" s="339">
        <f t="shared" ref="X83" si="404">I83/I89</f>
        <v>0.22194334887056291</v>
      </c>
      <c r="Y83" s="339">
        <f t="shared" ref="Y83" si="405">J83/J89</f>
        <v>0.22189781021897811</v>
      </c>
      <c r="Z83" s="339">
        <f t="shared" ref="Z83" si="406">K83/K89</f>
        <v>0.22197381028425422</v>
      </c>
      <c r="AA83" s="339">
        <f t="shared" ref="AA83" si="407">L83/L89</f>
        <v>0.22180451127819548</v>
      </c>
      <c r="AB83" s="339">
        <f t="shared" ref="AB83" si="408">M83/M89</f>
        <v>0.22165354330708661</v>
      </c>
      <c r="AC83" s="339">
        <f t="shared" ref="AC83" si="409">N83/N89</f>
        <v>0.22176591375770022</v>
      </c>
      <c r="AD83" s="339">
        <f t="shared" ref="AD83" si="410">O83/O89</f>
        <v>0.22174148188209844</v>
      </c>
      <c r="AE83" s="339">
        <f t="shared" ref="AE83" si="411">P83/P89</f>
        <v>0.21852488169515025</v>
      </c>
    </row>
    <row r="84" spans="2:31">
      <c r="B84" s="606"/>
      <c r="C84" s="315" t="s">
        <v>101</v>
      </c>
      <c r="D84" s="501">
        <v>167</v>
      </c>
      <c r="E84" s="501">
        <v>194</v>
      </c>
      <c r="F84" s="501">
        <v>245</v>
      </c>
      <c r="G84" s="316">
        <v>227</v>
      </c>
      <c r="H84" s="316">
        <v>257</v>
      </c>
      <c r="I84" s="316">
        <v>247</v>
      </c>
      <c r="J84" s="316">
        <v>243</v>
      </c>
      <c r="K84" s="316">
        <v>278</v>
      </c>
      <c r="L84" s="316">
        <v>236</v>
      </c>
      <c r="M84" s="316">
        <v>225</v>
      </c>
      <c r="N84" s="316">
        <v>216</v>
      </c>
      <c r="O84" s="316">
        <v>328</v>
      </c>
      <c r="P84" s="337">
        <v>2914</v>
      </c>
      <c r="R84" s="302" t="s">
        <v>101</v>
      </c>
      <c r="S84" s="502">
        <f>D84/D89</f>
        <v>7.99043062200957E-2</v>
      </c>
      <c r="T84" s="502">
        <f t="shared" ref="T84" si="412">E84/E89</f>
        <v>8.8990825688073399E-2</v>
      </c>
      <c r="U84" s="502">
        <f t="shared" ref="U84" si="413">F84/F89</f>
        <v>8.8447653429602882E-2</v>
      </c>
      <c r="V84" s="339">
        <f t="shared" ref="V84" si="414">G84/G89</f>
        <v>8.8775909268674222E-2</v>
      </c>
      <c r="W84" s="339">
        <f t="shared" ref="W84" si="415">H84/H89</f>
        <v>8.8620689655172419E-2</v>
      </c>
      <c r="X84" s="339">
        <f t="shared" ref="X84" si="416">I84/I89</f>
        <v>8.8562208676945142E-2</v>
      </c>
      <c r="Y84" s="339">
        <f t="shared" ref="Y84" si="417">J84/J89</f>
        <v>8.8686131386861308E-2</v>
      </c>
      <c r="Z84" s="339">
        <f t="shared" ref="Z84" si="418">K84/K89</f>
        <v>8.8789524113701696E-2</v>
      </c>
      <c r="AA84" s="339">
        <f t="shared" ref="AA84" si="419">L84/L89</f>
        <v>8.8721804511278202E-2</v>
      </c>
      <c r="AB84" s="339">
        <f t="shared" ref="AB84" si="420">M84/M89</f>
        <v>8.8582677165354326E-2</v>
      </c>
      <c r="AC84" s="339">
        <f t="shared" ref="AC84" si="421">N84/N89</f>
        <v>8.8706365503080087E-2</v>
      </c>
      <c r="AD84" s="339">
        <f t="shared" ref="AD84" si="422">O84/O89</f>
        <v>8.8696592752839379E-2</v>
      </c>
      <c r="AE84" s="339">
        <f t="shared" ref="AE84" si="423">P84/P89</f>
        <v>8.7831931759954185E-2</v>
      </c>
    </row>
    <row r="85" spans="2:31">
      <c r="B85" s="606"/>
      <c r="C85" s="315" t="s">
        <v>102</v>
      </c>
      <c r="D85" s="501">
        <v>112</v>
      </c>
      <c r="E85" s="501">
        <v>116</v>
      </c>
      <c r="F85" s="501">
        <v>142</v>
      </c>
      <c r="G85" s="316">
        <v>142</v>
      </c>
      <c r="H85" s="316">
        <v>161</v>
      </c>
      <c r="I85" s="316">
        <v>154</v>
      </c>
      <c r="J85" s="316">
        <v>152</v>
      </c>
      <c r="K85" s="316">
        <v>173</v>
      </c>
      <c r="L85" s="316">
        <v>147</v>
      </c>
      <c r="M85" s="316">
        <v>141</v>
      </c>
      <c r="N85" s="316">
        <v>135</v>
      </c>
      <c r="O85" s="316">
        <v>205</v>
      </c>
      <c r="P85" s="337">
        <v>1806</v>
      </c>
      <c r="R85" s="302" t="s">
        <v>102</v>
      </c>
      <c r="S85" s="502">
        <f>D85/D89</f>
        <v>5.3588516746411484E-2</v>
      </c>
      <c r="T85" s="502">
        <f t="shared" ref="T85" si="424">E85/E89</f>
        <v>5.321100917431193E-2</v>
      </c>
      <c r="U85" s="502">
        <f t="shared" ref="U85" si="425">F85/F89</f>
        <v>5.1263537906137184E-2</v>
      </c>
      <c r="V85" s="339">
        <f t="shared" ref="V85" si="426">G85/G89</f>
        <v>5.5533828705514272E-2</v>
      </c>
      <c r="W85" s="339">
        <f t="shared" ref="W85" si="427">H85/H89</f>
        <v>5.5517241379310342E-2</v>
      </c>
      <c r="X85" s="339">
        <f t="shared" ref="X85" si="428">I85/I89</f>
        <v>5.5216923628540693E-2</v>
      </c>
      <c r="Y85" s="339">
        <f t="shared" ref="Y85" si="429">J85/J89</f>
        <v>5.5474452554744529E-2</v>
      </c>
      <c r="Z85" s="339">
        <f t="shared" ref="Z85" si="430">K85/K89</f>
        <v>5.5253912488022999E-2</v>
      </c>
      <c r="AA85" s="339">
        <f t="shared" ref="AA85" si="431">L85/L89</f>
        <v>5.526315789473684E-2</v>
      </c>
      <c r="AB85" s="339">
        <f t="shared" ref="AB85" si="432">M85/M89</f>
        <v>5.551181102362205E-2</v>
      </c>
      <c r="AC85" s="339">
        <f t="shared" ref="AC85" si="433">N85/N89</f>
        <v>5.5441478439425054E-2</v>
      </c>
      <c r="AD85" s="339">
        <f t="shared" ref="AD85" si="434">O85/O89</f>
        <v>5.543537047052461E-2</v>
      </c>
      <c r="AE85" s="339">
        <f t="shared" ref="AE85" si="435">P85/P89</f>
        <v>5.4435301564336742E-2</v>
      </c>
    </row>
    <row r="86" spans="2:31">
      <c r="B86" s="606"/>
      <c r="C86" s="315" t="s">
        <v>103</v>
      </c>
      <c r="D86" s="501">
        <v>283</v>
      </c>
      <c r="E86" s="501">
        <v>275</v>
      </c>
      <c r="F86" s="501">
        <v>351</v>
      </c>
      <c r="G86" s="316">
        <v>322</v>
      </c>
      <c r="H86" s="316">
        <v>365</v>
      </c>
      <c r="I86" s="316">
        <v>351</v>
      </c>
      <c r="J86" s="316">
        <v>345</v>
      </c>
      <c r="K86" s="316">
        <v>394</v>
      </c>
      <c r="L86" s="316">
        <v>335</v>
      </c>
      <c r="M86" s="316">
        <v>320</v>
      </c>
      <c r="N86" s="316">
        <v>307</v>
      </c>
      <c r="O86" s="316">
        <v>466</v>
      </c>
      <c r="P86" s="337">
        <v>4118</v>
      </c>
      <c r="R86" s="302" t="s">
        <v>103</v>
      </c>
      <c r="S86" s="502">
        <f>D86/D89</f>
        <v>0.13540669856459331</v>
      </c>
      <c r="T86" s="502">
        <f t="shared" ref="T86" si="436">E86/E89</f>
        <v>0.12614678899082568</v>
      </c>
      <c r="U86" s="502">
        <f t="shared" ref="U86" si="437">F86/F89</f>
        <v>0.12671480144404332</v>
      </c>
      <c r="V86" s="339">
        <f t="shared" ref="V86" si="438">G86/G89</f>
        <v>0.12592882283926476</v>
      </c>
      <c r="W86" s="339">
        <f t="shared" ref="W86" si="439">H86/H89</f>
        <v>0.12586206896551724</v>
      </c>
      <c r="X86" s="339">
        <f t="shared" ref="X86" si="440">I86/I89</f>
        <v>0.12585155969881678</v>
      </c>
      <c r="Y86" s="339">
        <f t="shared" ref="Y86" si="441">J86/J89</f>
        <v>0.1259124087591241</v>
      </c>
      <c r="Z86" s="339">
        <f t="shared" ref="Z86" si="442">K86/K89</f>
        <v>0.12583839029064198</v>
      </c>
      <c r="AA86" s="339">
        <f t="shared" ref="AA86" si="443">L86/L89</f>
        <v>0.12593984962406016</v>
      </c>
      <c r="AB86" s="339">
        <f t="shared" ref="AB86" si="444">M86/M89</f>
        <v>0.12598425196850394</v>
      </c>
      <c r="AC86" s="339">
        <f t="shared" ref="AC86" si="445">N86/N89</f>
        <v>0.12607802874743326</v>
      </c>
      <c r="AD86" s="339">
        <f t="shared" ref="AD86" si="446">O86/O89</f>
        <v>0.12601406165494863</v>
      </c>
      <c r="AE86" s="339">
        <f t="shared" ref="AE86" si="447">P86/P89</f>
        <v>0.12412213280284534</v>
      </c>
    </row>
    <row r="87" spans="2:31">
      <c r="B87" s="606"/>
      <c r="C87" s="315" t="s">
        <v>104</v>
      </c>
      <c r="D87" s="501">
        <v>583</v>
      </c>
      <c r="E87" s="501">
        <v>495</v>
      </c>
      <c r="F87" s="501">
        <v>656</v>
      </c>
      <c r="G87" s="316">
        <v>619</v>
      </c>
      <c r="H87" s="316">
        <v>702</v>
      </c>
      <c r="I87" s="316">
        <v>675</v>
      </c>
      <c r="J87" s="316">
        <v>663</v>
      </c>
      <c r="K87" s="316">
        <v>758</v>
      </c>
      <c r="L87" s="316">
        <v>644</v>
      </c>
      <c r="M87" s="316">
        <v>615</v>
      </c>
      <c r="N87" s="316">
        <v>589</v>
      </c>
      <c r="O87" s="316">
        <v>895</v>
      </c>
      <c r="P87" s="337">
        <v>8206</v>
      </c>
      <c r="R87" s="302" t="s">
        <v>104</v>
      </c>
      <c r="S87" s="502">
        <f>D87/D89</f>
        <v>0.27894736842105261</v>
      </c>
      <c r="T87" s="502">
        <f t="shared" ref="T87" si="448">E87/E89</f>
        <v>0.22706422018348624</v>
      </c>
      <c r="U87" s="502">
        <f t="shared" ref="U87" si="449">F87/F89</f>
        <v>0.2368231046931408</v>
      </c>
      <c r="V87" s="339">
        <f t="shared" ref="V87" si="450">G87/G89</f>
        <v>0.24208056315995308</v>
      </c>
      <c r="W87" s="339">
        <f t="shared" ref="W87" si="451">H87/H89</f>
        <v>0.24206896551724139</v>
      </c>
      <c r="X87" s="339">
        <f t="shared" ref="X87" si="452">I87/I89</f>
        <v>0.24202223019003227</v>
      </c>
      <c r="Y87" s="339">
        <f t="shared" ref="Y87" si="453">J87/J89</f>
        <v>0.24197080291970802</v>
      </c>
      <c r="Z87" s="339">
        <f t="shared" ref="Z87" si="454">K87/K89</f>
        <v>0.24209517725966145</v>
      </c>
      <c r="AA87" s="339">
        <f t="shared" ref="AA87" si="455">L87/L89</f>
        <v>0.24210526315789474</v>
      </c>
      <c r="AB87" s="339">
        <f t="shared" ref="AB87" si="456">M87/M89</f>
        <v>0.24212598425196849</v>
      </c>
      <c r="AC87" s="339">
        <f t="shared" ref="AC87" si="457">N87/N89</f>
        <v>0.24188911704312116</v>
      </c>
      <c r="AD87" s="339">
        <f t="shared" ref="AD87" si="458">O87/O89</f>
        <v>0.24202271498107084</v>
      </c>
      <c r="AE87" s="339">
        <f t="shared" ref="AE87" si="459">P87/P89</f>
        <v>0.24734002471591765</v>
      </c>
    </row>
    <row r="88" spans="2:31">
      <c r="B88" s="606"/>
      <c r="C88" s="315" t="s">
        <v>105</v>
      </c>
      <c r="D88" s="501">
        <v>260</v>
      </c>
      <c r="E88" s="501">
        <v>299</v>
      </c>
      <c r="F88" s="501">
        <v>357</v>
      </c>
      <c r="G88" s="316">
        <v>339</v>
      </c>
      <c r="H88" s="316">
        <v>385</v>
      </c>
      <c r="I88" s="316">
        <v>371</v>
      </c>
      <c r="J88" s="316">
        <v>363</v>
      </c>
      <c r="K88" s="316">
        <v>415</v>
      </c>
      <c r="L88" s="316">
        <v>353</v>
      </c>
      <c r="M88" s="316">
        <v>337</v>
      </c>
      <c r="N88" s="316">
        <v>323</v>
      </c>
      <c r="O88" s="316">
        <v>490</v>
      </c>
      <c r="P88" s="337">
        <v>4499</v>
      </c>
      <c r="R88" s="302" t="s">
        <v>105</v>
      </c>
      <c r="S88" s="502">
        <f>D88/D89</f>
        <v>0.12440191387559808</v>
      </c>
      <c r="T88" s="502">
        <f t="shared" ref="T88" si="460">E88/E89</f>
        <v>0.13715596330275229</v>
      </c>
      <c r="U88" s="502">
        <f t="shared" ref="U88" si="461">F88/F89</f>
        <v>0.12888086642599278</v>
      </c>
      <c r="V88" s="339">
        <f t="shared" ref="V88" si="462">G88/G89</f>
        <v>0.13257723895189674</v>
      </c>
      <c r="W88" s="339">
        <f t="shared" ref="W88" si="463">H88/H89</f>
        <v>0.13275862068965516</v>
      </c>
      <c r="X88" s="339">
        <f t="shared" ref="X88" si="464">I88/I89</f>
        <v>0.1330225887414844</v>
      </c>
      <c r="Y88" s="339">
        <f t="shared" ref="Y88" si="465">J88/J89</f>
        <v>0.13248175182481753</v>
      </c>
      <c r="Z88" s="339">
        <f t="shared" ref="Z88" si="466">K88/K89</f>
        <v>0.13254551261577771</v>
      </c>
      <c r="AA88" s="339">
        <f t="shared" ref="AA88" si="467">L88/L89</f>
        <v>0.13270676691729325</v>
      </c>
      <c r="AB88" s="339">
        <f t="shared" ref="AB88" si="468">M88/M89</f>
        <v>0.13267716535433072</v>
      </c>
      <c r="AC88" s="339">
        <f t="shared" ref="AC88" si="469">N88/N89</f>
        <v>0.13264887063655031</v>
      </c>
      <c r="AD88" s="339">
        <f t="shared" ref="AD88" si="470">O88/O89</f>
        <v>0.13250405624661979</v>
      </c>
      <c r="AE88" s="339">
        <f>P88/P89</f>
        <v>0.1356059921029629</v>
      </c>
    </row>
    <row r="89" spans="2:31" ht="18" thickBot="1">
      <c r="B89" s="607"/>
      <c r="C89" s="317" t="s">
        <v>24</v>
      </c>
      <c r="D89" s="335">
        <v>2090</v>
      </c>
      <c r="E89" s="335">
        <v>2180</v>
      </c>
      <c r="F89" s="335">
        <v>2770</v>
      </c>
      <c r="G89" s="335">
        <v>2557</v>
      </c>
      <c r="H89" s="335">
        <v>2900</v>
      </c>
      <c r="I89" s="335">
        <v>2789</v>
      </c>
      <c r="J89" s="335">
        <v>2740</v>
      </c>
      <c r="K89" s="335">
        <v>3131</v>
      </c>
      <c r="L89" s="335">
        <v>2660</v>
      </c>
      <c r="M89" s="335">
        <v>2540</v>
      </c>
      <c r="N89" s="335">
        <v>2435</v>
      </c>
      <c r="O89" s="335">
        <v>3698</v>
      </c>
      <c r="P89" s="336">
        <v>33177</v>
      </c>
      <c r="R89" s="305" t="s">
        <v>86</v>
      </c>
      <c r="S89" s="340">
        <f>D89/D89</f>
        <v>1</v>
      </c>
      <c r="T89" s="340">
        <f t="shared" ref="T89" si="471">E89/E89</f>
        <v>1</v>
      </c>
      <c r="U89" s="340">
        <f t="shared" ref="U89" si="472">F89/F89</f>
        <v>1</v>
      </c>
      <c r="V89" s="340">
        <f t="shared" ref="V89" si="473">G89/G89</f>
        <v>1</v>
      </c>
      <c r="W89" s="340">
        <f t="shared" ref="W89" si="474">H89/H89</f>
        <v>1</v>
      </c>
      <c r="X89" s="340">
        <f t="shared" ref="X89" si="475">I89/I89</f>
        <v>1</v>
      </c>
      <c r="Y89" s="340">
        <f t="shared" ref="Y89" si="476">J89/J89</f>
        <v>1</v>
      </c>
      <c r="Z89" s="340">
        <f t="shared" ref="Z89" si="477">K89/K89</f>
        <v>1</v>
      </c>
      <c r="AA89" s="340">
        <f t="shared" ref="AA89" si="478">L89/L89</f>
        <v>1</v>
      </c>
      <c r="AB89" s="340">
        <f t="shared" ref="AB89" si="479">M89/M89</f>
        <v>1</v>
      </c>
      <c r="AC89" s="340">
        <f t="shared" ref="AC89" si="480">N89/N89</f>
        <v>1</v>
      </c>
      <c r="AD89" s="340">
        <f t="shared" ref="AD89" si="481">O89/O89</f>
        <v>1</v>
      </c>
      <c r="AE89" s="340">
        <f t="shared" ref="AE89" si="482">P89/P89</f>
        <v>1</v>
      </c>
    </row>
    <row r="91" spans="2:31" ht="15" thickBot="1"/>
    <row r="92" spans="2:31" ht="17">
      <c r="B92" s="608" t="s">
        <v>95</v>
      </c>
      <c r="C92" s="314" t="s">
        <v>98</v>
      </c>
      <c r="D92" s="332" t="s">
        <v>74</v>
      </c>
      <c r="E92" s="332" t="s">
        <v>75</v>
      </c>
      <c r="F92" s="332" t="s">
        <v>76</v>
      </c>
      <c r="G92" s="332" t="s">
        <v>77</v>
      </c>
      <c r="H92" s="332" t="s">
        <v>78</v>
      </c>
      <c r="I92" s="332" t="s">
        <v>79</v>
      </c>
      <c r="J92" s="332" t="s">
        <v>80</v>
      </c>
      <c r="K92" s="332" t="s">
        <v>81</v>
      </c>
      <c r="L92" s="332" t="s">
        <v>82</v>
      </c>
      <c r="M92" s="332" t="s">
        <v>83</v>
      </c>
      <c r="N92" s="332" t="s">
        <v>84</v>
      </c>
      <c r="O92" s="332" t="s">
        <v>85</v>
      </c>
      <c r="P92" s="333" t="s">
        <v>86</v>
      </c>
      <c r="R92" s="299" t="s">
        <v>98</v>
      </c>
      <c r="S92" s="310" t="s">
        <v>74</v>
      </c>
      <c r="T92" s="310" t="s">
        <v>75</v>
      </c>
      <c r="U92" s="310" t="s">
        <v>76</v>
      </c>
      <c r="V92" s="310" t="s">
        <v>77</v>
      </c>
      <c r="W92" s="310" t="s">
        <v>78</v>
      </c>
      <c r="X92" s="310" t="s">
        <v>79</v>
      </c>
      <c r="Y92" s="310" t="s">
        <v>80</v>
      </c>
      <c r="Z92" s="310" t="s">
        <v>81</v>
      </c>
      <c r="AA92" s="310" t="s">
        <v>82</v>
      </c>
      <c r="AB92" s="310" t="s">
        <v>83</v>
      </c>
      <c r="AC92" s="310" t="s">
        <v>84</v>
      </c>
      <c r="AD92" s="311" t="s">
        <v>85</v>
      </c>
      <c r="AE92" s="320" t="s">
        <v>86</v>
      </c>
    </row>
    <row r="93" spans="2:31">
      <c r="B93" s="609"/>
      <c r="C93" s="315" t="s">
        <v>99</v>
      </c>
      <c r="D93" s="501">
        <v>1</v>
      </c>
      <c r="E93" s="501">
        <v>3</v>
      </c>
      <c r="F93" s="501">
        <v>0</v>
      </c>
      <c r="G93" s="316">
        <v>3</v>
      </c>
      <c r="H93" s="316">
        <v>0</v>
      </c>
      <c r="I93" s="316">
        <v>3</v>
      </c>
      <c r="J93" s="316">
        <v>15</v>
      </c>
      <c r="K93" s="316">
        <v>15</v>
      </c>
      <c r="L93" s="316">
        <v>14</v>
      </c>
      <c r="M93" s="316">
        <v>15</v>
      </c>
      <c r="N93" s="316">
        <v>13</v>
      </c>
      <c r="O93" s="316">
        <v>17</v>
      </c>
      <c r="P93" s="337">
        <v>98</v>
      </c>
      <c r="R93" s="302" t="s">
        <v>99</v>
      </c>
      <c r="S93" s="502">
        <f>D93/D100</f>
        <v>0.05</v>
      </c>
      <c r="T93" s="502">
        <f t="shared" ref="T93" si="483">E93/E100</f>
        <v>0.1</v>
      </c>
      <c r="U93" s="502" t="e">
        <f t="shared" ref="U93" si="484">F93/F100</f>
        <v>#DIV/0!</v>
      </c>
      <c r="V93" s="339">
        <f t="shared" ref="V93" si="485">G93/G100</f>
        <v>0.16666666666666666</v>
      </c>
      <c r="W93" s="339" t="e">
        <f t="shared" ref="W93" si="486">H93/H100</f>
        <v>#DIV/0!</v>
      </c>
      <c r="X93" s="339">
        <f t="shared" ref="X93" si="487">I93/I100</f>
        <v>0.10344827586206896</v>
      </c>
      <c r="Y93" s="339">
        <f t="shared" ref="Y93" si="488">J93/J100</f>
        <v>0.1</v>
      </c>
      <c r="Z93" s="339">
        <f t="shared" ref="Z93" si="489">K93/K100</f>
        <v>0.1</v>
      </c>
      <c r="AA93" s="339">
        <f t="shared" ref="AA93" si="490">L93/L100</f>
        <v>0.1</v>
      </c>
      <c r="AB93" s="339">
        <f t="shared" ref="AB93" si="491">M93/M100</f>
        <v>9.6774193548387094E-2</v>
      </c>
      <c r="AC93" s="339">
        <f t="shared" ref="AC93" si="492">N93/N100</f>
        <v>9.6296296296296297E-2</v>
      </c>
      <c r="AD93" s="339">
        <f t="shared" ref="AD93" si="493">O93/O100</f>
        <v>0.1</v>
      </c>
      <c r="AE93" s="339">
        <f t="shared" ref="AE93" si="494">P93/P100</f>
        <v>9.6837944664031617E-2</v>
      </c>
    </row>
    <row r="94" spans="2:31">
      <c r="B94" s="609"/>
      <c r="C94" s="315" t="s">
        <v>100</v>
      </c>
      <c r="D94" s="501">
        <v>0</v>
      </c>
      <c r="E94" s="501">
        <v>4</v>
      </c>
      <c r="F94" s="501">
        <v>0</v>
      </c>
      <c r="G94" s="316">
        <v>3</v>
      </c>
      <c r="H94" s="316">
        <v>0</v>
      </c>
      <c r="I94" s="316">
        <v>4</v>
      </c>
      <c r="J94" s="316">
        <v>17</v>
      </c>
      <c r="K94" s="316">
        <v>11</v>
      </c>
      <c r="L94" s="316">
        <v>21</v>
      </c>
      <c r="M94" s="316">
        <v>23</v>
      </c>
      <c r="N94" s="316">
        <v>20</v>
      </c>
      <c r="O94" s="316">
        <v>25</v>
      </c>
      <c r="P94" s="337">
        <v>124</v>
      </c>
      <c r="R94" s="302" t="s">
        <v>100</v>
      </c>
      <c r="S94" s="502">
        <f>D94/D100</f>
        <v>0</v>
      </c>
      <c r="T94" s="502">
        <f t="shared" ref="T94" si="495">E94/E100</f>
        <v>0.13333333333333333</v>
      </c>
      <c r="U94" s="502" t="e">
        <f t="shared" ref="U94" si="496">F94/F100</f>
        <v>#DIV/0!</v>
      </c>
      <c r="V94" s="339">
        <f t="shared" ref="V94" si="497">G94/G100</f>
        <v>0.16666666666666666</v>
      </c>
      <c r="W94" s="339" t="e">
        <f t="shared" ref="W94" si="498">H94/H100</f>
        <v>#DIV/0!</v>
      </c>
      <c r="X94" s="339">
        <f t="shared" ref="X94" si="499">I94/I100</f>
        <v>0.13793103448275862</v>
      </c>
      <c r="Y94" s="339">
        <f t="shared" ref="Y94" si="500">J94/J100</f>
        <v>0.11333333333333333</v>
      </c>
      <c r="Z94" s="339">
        <f t="shared" ref="Z94" si="501">K94/K100</f>
        <v>7.3333333333333334E-2</v>
      </c>
      <c r="AA94" s="339">
        <f t="shared" ref="AA94" si="502">L94/L100</f>
        <v>0.15</v>
      </c>
      <c r="AB94" s="339">
        <f t="shared" ref="AB94" si="503">M94/M100</f>
        <v>0.14838709677419354</v>
      </c>
      <c r="AC94" s="339">
        <f t="shared" ref="AC94" si="504">N94/N100</f>
        <v>0.14814814814814814</v>
      </c>
      <c r="AD94" s="339">
        <f t="shared" ref="AD94" si="505">O94/O100</f>
        <v>0.14705882352941177</v>
      </c>
      <c r="AE94" s="339">
        <f t="shared" ref="AE94" si="506">P94/P100</f>
        <v>0.1225296442687747</v>
      </c>
    </row>
    <row r="95" spans="2:31">
      <c r="B95" s="609"/>
      <c r="C95" s="315" t="s">
        <v>101</v>
      </c>
      <c r="D95" s="501">
        <v>0</v>
      </c>
      <c r="E95" s="501">
        <v>3</v>
      </c>
      <c r="F95" s="501">
        <v>0</v>
      </c>
      <c r="G95" s="316">
        <v>0</v>
      </c>
      <c r="H95" s="316">
        <v>0</v>
      </c>
      <c r="I95" s="316">
        <v>3</v>
      </c>
      <c r="J95" s="316">
        <v>14</v>
      </c>
      <c r="K95" s="316">
        <v>7</v>
      </c>
      <c r="L95" s="316">
        <v>13</v>
      </c>
      <c r="M95" s="316">
        <v>14</v>
      </c>
      <c r="N95" s="316">
        <v>12</v>
      </c>
      <c r="O95" s="316">
        <v>15</v>
      </c>
      <c r="P95" s="337">
        <v>80</v>
      </c>
      <c r="R95" s="302" t="s">
        <v>101</v>
      </c>
      <c r="S95" s="502">
        <f>D95/D100</f>
        <v>0</v>
      </c>
      <c r="T95" s="502">
        <f t="shared" ref="T95" si="507">E95/E100</f>
        <v>0.1</v>
      </c>
      <c r="U95" s="502" t="e">
        <f t="shared" ref="U95" si="508">F95/F100</f>
        <v>#DIV/0!</v>
      </c>
      <c r="V95" s="339">
        <f t="shared" ref="V95" si="509">G95/G100</f>
        <v>0</v>
      </c>
      <c r="W95" s="339" t="e">
        <f t="shared" ref="W95" si="510">H95/H100</f>
        <v>#DIV/0!</v>
      </c>
      <c r="X95" s="339">
        <f t="shared" ref="X95" si="511">I95/I100</f>
        <v>0.10344827586206896</v>
      </c>
      <c r="Y95" s="339">
        <f t="shared" ref="Y95" si="512">J95/J100</f>
        <v>9.3333333333333338E-2</v>
      </c>
      <c r="Z95" s="339">
        <f t="shared" ref="Z95" si="513">K95/K100</f>
        <v>4.6666666666666669E-2</v>
      </c>
      <c r="AA95" s="339">
        <f t="shared" ref="AA95" si="514">L95/L100</f>
        <v>9.285714285714286E-2</v>
      </c>
      <c r="AB95" s="339">
        <f t="shared" ref="AB95" si="515">M95/M100</f>
        <v>9.0322580645161285E-2</v>
      </c>
      <c r="AC95" s="339">
        <f t="shared" ref="AC95" si="516">N95/N100</f>
        <v>8.8888888888888892E-2</v>
      </c>
      <c r="AD95" s="339">
        <f t="shared" ref="AD95" si="517">O95/O100</f>
        <v>8.8235294117647065E-2</v>
      </c>
      <c r="AE95" s="339">
        <f t="shared" ref="AE95" si="518">P95/P100</f>
        <v>7.9051383399209488E-2</v>
      </c>
    </row>
    <row r="96" spans="2:31">
      <c r="B96" s="609"/>
      <c r="C96" s="315" t="s">
        <v>102</v>
      </c>
      <c r="D96" s="501">
        <v>1</v>
      </c>
      <c r="E96" s="501">
        <v>4</v>
      </c>
      <c r="F96" s="501">
        <v>0</v>
      </c>
      <c r="G96" s="316">
        <v>3</v>
      </c>
      <c r="H96" s="316">
        <v>0</v>
      </c>
      <c r="I96" s="316">
        <v>4</v>
      </c>
      <c r="J96" s="316">
        <v>18</v>
      </c>
      <c r="K96" s="316">
        <v>18</v>
      </c>
      <c r="L96" s="316">
        <v>17</v>
      </c>
      <c r="M96" s="316">
        <v>19</v>
      </c>
      <c r="N96" s="316">
        <v>17</v>
      </c>
      <c r="O96" s="316">
        <v>21</v>
      </c>
      <c r="P96" s="337">
        <v>128</v>
      </c>
      <c r="R96" s="302" t="s">
        <v>102</v>
      </c>
      <c r="S96" s="502">
        <f>D96/D100</f>
        <v>0.05</v>
      </c>
      <c r="T96" s="502">
        <f t="shared" ref="T96" si="519">E96/E100</f>
        <v>0.13333333333333333</v>
      </c>
      <c r="U96" s="502" t="e">
        <f t="shared" ref="U96" si="520">F96/F100</f>
        <v>#DIV/0!</v>
      </c>
      <c r="V96" s="339">
        <f t="shared" ref="V96" si="521">G96/G100</f>
        <v>0.16666666666666666</v>
      </c>
      <c r="W96" s="339" t="e">
        <f t="shared" ref="W96" si="522">H96/H100</f>
        <v>#DIV/0!</v>
      </c>
      <c r="X96" s="339">
        <f t="shared" ref="X96" si="523">I96/I100</f>
        <v>0.13793103448275862</v>
      </c>
      <c r="Y96" s="339">
        <f t="shared" ref="Y96" si="524">J96/J100</f>
        <v>0.12</v>
      </c>
      <c r="Z96" s="339">
        <f t="shared" ref="Z96" si="525">K96/K100</f>
        <v>0.12</v>
      </c>
      <c r="AA96" s="339">
        <f t="shared" ref="AA96" si="526">L96/L100</f>
        <v>0.12142857142857143</v>
      </c>
      <c r="AB96" s="339">
        <f t="shared" ref="AB96" si="527">M96/M100</f>
        <v>0.12258064516129032</v>
      </c>
      <c r="AC96" s="339">
        <f t="shared" ref="AC96" si="528">N96/N100</f>
        <v>0.12592592592592591</v>
      </c>
      <c r="AD96" s="339">
        <f t="shared" ref="AD96" si="529">O96/O100</f>
        <v>0.12352941176470589</v>
      </c>
      <c r="AE96" s="339">
        <f t="shared" ref="AE96" si="530">P96/P100</f>
        <v>0.12648221343873517</v>
      </c>
    </row>
    <row r="97" spans="2:31">
      <c r="B97" s="609"/>
      <c r="C97" s="315" t="s">
        <v>103</v>
      </c>
      <c r="D97" s="501">
        <v>0</v>
      </c>
      <c r="E97" s="501">
        <v>1</v>
      </c>
      <c r="F97" s="501">
        <v>0</v>
      </c>
      <c r="G97" s="316">
        <v>1</v>
      </c>
      <c r="H97" s="316">
        <v>0</v>
      </c>
      <c r="I97" s="316">
        <v>1</v>
      </c>
      <c r="J97" s="316">
        <v>4</v>
      </c>
      <c r="K97" s="316">
        <v>4</v>
      </c>
      <c r="L97" s="316">
        <v>6</v>
      </c>
      <c r="M97" s="316">
        <v>7</v>
      </c>
      <c r="N97" s="316">
        <v>6</v>
      </c>
      <c r="O97" s="316">
        <v>7</v>
      </c>
      <c r="P97" s="337">
        <v>36</v>
      </c>
      <c r="R97" s="302" t="s">
        <v>103</v>
      </c>
      <c r="S97" s="502">
        <f>D97/D100</f>
        <v>0</v>
      </c>
      <c r="T97" s="502">
        <f t="shared" ref="T97" si="531">E97/E100</f>
        <v>3.3333333333333333E-2</v>
      </c>
      <c r="U97" s="502" t="e">
        <f t="shared" ref="U97" si="532">F97/F100</f>
        <v>#DIV/0!</v>
      </c>
      <c r="V97" s="339">
        <f t="shared" ref="V97" si="533">G97/G100</f>
        <v>5.5555555555555552E-2</v>
      </c>
      <c r="W97" s="339" t="e">
        <f t="shared" ref="W97" si="534">H97/H100</f>
        <v>#DIV/0!</v>
      </c>
      <c r="X97" s="339">
        <f t="shared" ref="X97" si="535">I97/I100</f>
        <v>3.4482758620689655E-2</v>
      </c>
      <c r="Y97" s="339">
        <f t="shared" ref="Y97" si="536">J97/J100</f>
        <v>2.6666666666666668E-2</v>
      </c>
      <c r="Z97" s="339">
        <f t="shared" ref="Z97" si="537">K97/K100</f>
        <v>2.6666666666666668E-2</v>
      </c>
      <c r="AA97" s="339">
        <f t="shared" ref="AA97" si="538">L97/L100</f>
        <v>4.2857142857142858E-2</v>
      </c>
      <c r="AB97" s="339">
        <f t="shared" ref="AB97" si="539">M97/M100</f>
        <v>4.5161290322580643E-2</v>
      </c>
      <c r="AC97" s="339">
        <f t="shared" ref="AC97" si="540">N97/N100</f>
        <v>4.4444444444444446E-2</v>
      </c>
      <c r="AD97" s="339">
        <f t="shared" ref="AD97" si="541">O97/O100</f>
        <v>4.1176470588235294E-2</v>
      </c>
      <c r="AE97" s="339">
        <f t="shared" ref="AE97" si="542">P97/P100</f>
        <v>3.5573122529644272E-2</v>
      </c>
    </row>
    <row r="98" spans="2:31">
      <c r="B98" s="609"/>
      <c r="C98" s="315" t="s">
        <v>104</v>
      </c>
      <c r="D98" s="501">
        <v>3</v>
      </c>
      <c r="E98" s="501">
        <v>5</v>
      </c>
      <c r="F98" s="501">
        <v>0</v>
      </c>
      <c r="G98" s="316">
        <v>2</v>
      </c>
      <c r="H98" s="316">
        <v>0</v>
      </c>
      <c r="I98" s="316">
        <v>4</v>
      </c>
      <c r="J98" s="316">
        <v>23</v>
      </c>
      <c r="K98" s="316">
        <v>23</v>
      </c>
      <c r="L98" s="316">
        <v>22</v>
      </c>
      <c r="M98" s="316">
        <v>24</v>
      </c>
      <c r="N98" s="316">
        <v>21</v>
      </c>
      <c r="O98" s="316">
        <v>26</v>
      </c>
      <c r="P98" s="337">
        <v>154</v>
      </c>
      <c r="R98" s="302" t="s">
        <v>104</v>
      </c>
      <c r="S98" s="502">
        <f>D98/D100</f>
        <v>0.15</v>
      </c>
      <c r="T98" s="502">
        <f t="shared" ref="T98" si="543">E98/E100</f>
        <v>0.16666666666666666</v>
      </c>
      <c r="U98" s="502" t="e">
        <f t="shared" ref="U98" si="544">F98/F100</f>
        <v>#DIV/0!</v>
      </c>
      <c r="V98" s="339">
        <f t="shared" ref="V98" si="545">G98/G100</f>
        <v>0.1111111111111111</v>
      </c>
      <c r="W98" s="339" t="e">
        <f t="shared" ref="W98" si="546">H98/H100</f>
        <v>#DIV/0!</v>
      </c>
      <c r="X98" s="339">
        <f t="shared" ref="X98" si="547">I98/I100</f>
        <v>0.13793103448275862</v>
      </c>
      <c r="Y98" s="339">
        <f t="shared" ref="Y98" si="548">J98/J100</f>
        <v>0.15333333333333332</v>
      </c>
      <c r="Z98" s="339">
        <f t="shared" ref="Z98" si="549">K98/K100</f>
        <v>0.15333333333333332</v>
      </c>
      <c r="AA98" s="339">
        <f t="shared" ref="AA98" si="550">L98/L100</f>
        <v>0.15714285714285714</v>
      </c>
      <c r="AB98" s="339">
        <f t="shared" ref="AB98" si="551">M98/M100</f>
        <v>0.15483870967741936</v>
      </c>
      <c r="AC98" s="339">
        <f t="shared" ref="AC98" si="552">N98/N100</f>
        <v>0.15555555555555556</v>
      </c>
      <c r="AD98" s="339">
        <f t="shared" ref="AD98" si="553">O98/O100</f>
        <v>0.15294117647058825</v>
      </c>
      <c r="AE98" s="339">
        <f t="shared" ref="AE98" si="554">P98/P100</f>
        <v>0.15217391304347827</v>
      </c>
    </row>
    <row r="99" spans="2:31">
      <c r="B99" s="609"/>
      <c r="C99" s="315" t="s">
        <v>105</v>
      </c>
      <c r="D99" s="501">
        <v>15</v>
      </c>
      <c r="E99" s="501">
        <v>10</v>
      </c>
      <c r="F99" s="501">
        <v>0</v>
      </c>
      <c r="G99" s="316">
        <v>6</v>
      </c>
      <c r="H99" s="316">
        <v>0</v>
      </c>
      <c r="I99" s="316">
        <v>10</v>
      </c>
      <c r="J99" s="316">
        <v>59</v>
      </c>
      <c r="K99" s="316">
        <v>72</v>
      </c>
      <c r="L99" s="316">
        <v>47</v>
      </c>
      <c r="M99" s="316">
        <v>53</v>
      </c>
      <c r="N99" s="316">
        <v>46</v>
      </c>
      <c r="O99" s="316">
        <v>59</v>
      </c>
      <c r="P99" s="337">
        <v>392</v>
      </c>
      <c r="R99" s="302" t="s">
        <v>105</v>
      </c>
      <c r="S99" s="502">
        <f>D99/D100</f>
        <v>0.75</v>
      </c>
      <c r="T99" s="502">
        <f t="shared" ref="T99" si="555">E99/E100</f>
        <v>0.33333333333333331</v>
      </c>
      <c r="U99" s="502" t="e">
        <f t="shared" ref="U99" si="556">F99/F100</f>
        <v>#DIV/0!</v>
      </c>
      <c r="V99" s="339">
        <f t="shared" ref="V99" si="557">G99/G100</f>
        <v>0.33333333333333331</v>
      </c>
      <c r="W99" s="339" t="e">
        <f t="shared" ref="W99" si="558">H99/H100</f>
        <v>#DIV/0!</v>
      </c>
      <c r="X99" s="339">
        <f t="shared" ref="X99" si="559">I99/I100</f>
        <v>0.34482758620689657</v>
      </c>
      <c r="Y99" s="339">
        <f t="shared" ref="Y99" si="560">J99/J100</f>
        <v>0.39333333333333331</v>
      </c>
      <c r="Z99" s="339">
        <f t="shared" ref="Z99" si="561">K99/K100</f>
        <v>0.48</v>
      </c>
      <c r="AA99" s="339">
        <f t="shared" ref="AA99" si="562">L99/L100</f>
        <v>0.33571428571428569</v>
      </c>
      <c r="AB99" s="339">
        <f t="shared" ref="AB99" si="563">M99/M100</f>
        <v>0.34193548387096773</v>
      </c>
      <c r="AC99" s="339">
        <f t="shared" ref="AC99" si="564">N99/N100</f>
        <v>0.34074074074074073</v>
      </c>
      <c r="AD99" s="339">
        <f t="shared" ref="AD99" si="565">O99/O100</f>
        <v>0.34705882352941175</v>
      </c>
      <c r="AE99" s="339">
        <f>P99/P100</f>
        <v>0.38735177865612647</v>
      </c>
    </row>
    <row r="100" spans="2:31" ht="18" thickBot="1">
      <c r="B100" s="610"/>
      <c r="C100" s="317" t="s">
        <v>24</v>
      </c>
      <c r="D100" s="335">
        <v>20</v>
      </c>
      <c r="E100" s="335">
        <v>30</v>
      </c>
      <c r="F100" s="335">
        <v>0</v>
      </c>
      <c r="G100" s="335">
        <v>18</v>
      </c>
      <c r="H100" s="335">
        <v>0</v>
      </c>
      <c r="I100" s="335">
        <v>29</v>
      </c>
      <c r="J100" s="335">
        <v>150</v>
      </c>
      <c r="K100" s="335">
        <v>150</v>
      </c>
      <c r="L100" s="335">
        <v>140</v>
      </c>
      <c r="M100" s="335">
        <v>155</v>
      </c>
      <c r="N100" s="335">
        <v>135</v>
      </c>
      <c r="O100" s="335">
        <v>170</v>
      </c>
      <c r="P100" s="336">
        <v>1012</v>
      </c>
      <c r="R100" s="305" t="s">
        <v>86</v>
      </c>
      <c r="S100" s="340">
        <f>D100/D100</f>
        <v>1</v>
      </c>
      <c r="T100" s="340">
        <f t="shared" ref="T100" si="566">E100/E100</f>
        <v>1</v>
      </c>
      <c r="U100" s="340" t="e">
        <f t="shared" ref="U100" si="567">F100/F100</f>
        <v>#DIV/0!</v>
      </c>
      <c r="V100" s="340">
        <f t="shared" ref="V100" si="568">G100/G100</f>
        <v>1</v>
      </c>
      <c r="W100" s="340" t="e">
        <f t="shared" ref="W100" si="569">H100/H100</f>
        <v>#DIV/0!</v>
      </c>
      <c r="X100" s="340">
        <f t="shared" ref="X100" si="570">I100/I100</f>
        <v>1</v>
      </c>
      <c r="Y100" s="340">
        <f t="shared" ref="Y100" si="571">J100/J100</f>
        <v>1</v>
      </c>
      <c r="Z100" s="340">
        <f t="shared" ref="Z100" si="572">K100/K100</f>
        <v>1</v>
      </c>
      <c r="AA100" s="340">
        <f t="shared" ref="AA100" si="573">L100/L100</f>
        <v>1</v>
      </c>
      <c r="AB100" s="340">
        <f t="shared" ref="AB100" si="574">M100/M100</f>
        <v>1</v>
      </c>
      <c r="AC100" s="340">
        <f t="shared" ref="AC100" si="575">N100/N100</f>
        <v>1</v>
      </c>
      <c r="AD100" s="340">
        <f t="shared" ref="AD100" si="576">O100/O100</f>
        <v>1</v>
      </c>
      <c r="AE100" s="340">
        <f t="shared" ref="AE100" si="577">P100/P100</f>
        <v>1</v>
      </c>
    </row>
    <row r="102" spans="2:31" ht="15" thickBot="1"/>
    <row r="103" spans="2:31" ht="15" customHeight="1">
      <c r="B103" s="611" t="s">
        <v>96</v>
      </c>
      <c r="C103" s="314" t="s">
        <v>98</v>
      </c>
      <c r="D103" s="332" t="s">
        <v>74</v>
      </c>
      <c r="E103" s="332" t="s">
        <v>75</v>
      </c>
      <c r="F103" s="332" t="s">
        <v>76</v>
      </c>
      <c r="G103" s="332" t="s">
        <v>77</v>
      </c>
      <c r="H103" s="332" t="s">
        <v>78</v>
      </c>
      <c r="I103" s="332" t="s">
        <v>79</v>
      </c>
      <c r="J103" s="332" t="s">
        <v>80</v>
      </c>
      <c r="K103" s="332" t="s">
        <v>81</v>
      </c>
      <c r="L103" s="332" t="s">
        <v>82</v>
      </c>
      <c r="M103" s="332" t="s">
        <v>83</v>
      </c>
      <c r="N103" s="332" t="s">
        <v>84</v>
      </c>
      <c r="O103" s="332" t="s">
        <v>85</v>
      </c>
      <c r="P103" s="333" t="s">
        <v>86</v>
      </c>
      <c r="R103" s="299" t="s">
        <v>98</v>
      </c>
      <c r="S103" s="310" t="s">
        <v>74</v>
      </c>
      <c r="T103" s="310" t="s">
        <v>75</v>
      </c>
      <c r="U103" s="310" t="s">
        <v>76</v>
      </c>
      <c r="V103" s="310" t="s">
        <v>77</v>
      </c>
      <c r="W103" s="310" t="s">
        <v>78</v>
      </c>
      <c r="X103" s="310" t="s">
        <v>79</v>
      </c>
      <c r="Y103" s="310" t="s">
        <v>80</v>
      </c>
      <c r="Z103" s="310" t="s">
        <v>81</v>
      </c>
      <c r="AA103" s="310" t="s">
        <v>82</v>
      </c>
      <c r="AB103" s="310" t="s">
        <v>83</v>
      </c>
      <c r="AC103" s="310" t="s">
        <v>84</v>
      </c>
      <c r="AD103" s="311" t="s">
        <v>85</v>
      </c>
      <c r="AE103" s="320" t="s">
        <v>86</v>
      </c>
    </row>
    <row r="104" spans="2:31">
      <c r="B104" s="612"/>
      <c r="C104" s="315" t="s">
        <v>99</v>
      </c>
      <c r="D104" s="501">
        <v>39</v>
      </c>
      <c r="E104" s="501">
        <v>39</v>
      </c>
      <c r="F104" s="501">
        <v>45</v>
      </c>
      <c r="G104" s="316">
        <v>40</v>
      </c>
      <c r="H104" s="316">
        <v>46</v>
      </c>
      <c r="I104" s="316">
        <v>39</v>
      </c>
      <c r="J104" s="316">
        <v>44</v>
      </c>
      <c r="K104" s="316">
        <v>49</v>
      </c>
      <c r="L104" s="316">
        <v>46</v>
      </c>
      <c r="M104" s="316">
        <v>49</v>
      </c>
      <c r="N104" s="316">
        <v>44</v>
      </c>
      <c r="O104" s="316">
        <v>62</v>
      </c>
      <c r="P104" s="337">
        <v>555</v>
      </c>
      <c r="R104" s="302" t="s">
        <v>99</v>
      </c>
      <c r="S104" s="502">
        <f>D104/D111</f>
        <v>0.13448275862068965</v>
      </c>
      <c r="T104" s="502">
        <f t="shared" ref="T104" si="578">E104/E111</f>
        <v>0.12580645161290321</v>
      </c>
      <c r="U104" s="502">
        <f t="shared" ref="U104" si="579">F104/F111</f>
        <v>0.12857142857142856</v>
      </c>
      <c r="V104" s="339">
        <f t="shared" ref="V104" si="580">G104/G111</f>
        <v>0.12903225806451613</v>
      </c>
      <c r="W104" s="339">
        <f t="shared" ref="W104" si="581">H104/H111</f>
        <v>0.12777777777777777</v>
      </c>
      <c r="X104" s="339">
        <f t="shared" ref="X104" si="582">I104/I111</f>
        <v>0.13</v>
      </c>
      <c r="Y104" s="339">
        <f t="shared" ref="Y104" si="583">J104/J111</f>
        <v>0.12941176470588237</v>
      </c>
      <c r="Z104" s="339">
        <f t="shared" ref="Z104" si="584">K104/K111</f>
        <v>0.12894736842105264</v>
      </c>
      <c r="AA104" s="339">
        <f t="shared" ref="AA104" si="585">L104/L111</f>
        <v>0.12777777777777777</v>
      </c>
      <c r="AB104" s="339">
        <f t="shared" ref="AB104" si="586">M104/M111</f>
        <v>0.12894736842105264</v>
      </c>
      <c r="AC104" s="339">
        <f t="shared" ref="AC104" si="587">N104/N111</f>
        <v>0.12941176470588237</v>
      </c>
      <c r="AD104" s="339">
        <f t="shared" ref="AD104" si="588">O104/O111</f>
        <v>0.12916666666666668</v>
      </c>
      <c r="AE104" s="339">
        <f t="shared" ref="AE104" si="589">P104/P111</f>
        <v>0.13108171941426547</v>
      </c>
    </row>
    <row r="105" spans="2:31">
      <c r="B105" s="612"/>
      <c r="C105" s="315" t="s">
        <v>100</v>
      </c>
      <c r="D105" s="501">
        <v>32</v>
      </c>
      <c r="E105" s="501">
        <v>41</v>
      </c>
      <c r="F105" s="501">
        <v>47</v>
      </c>
      <c r="G105" s="316">
        <v>40</v>
      </c>
      <c r="H105" s="316">
        <v>47</v>
      </c>
      <c r="I105" s="316">
        <v>39</v>
      </c>
      <c r="J105" s="316">
        <v>44</v>
      </c>
      <c r="K105" s="316">
        <v>49</v>
      </c>
      <c r="L105" s="316">
        <v>47</v>
      </c>
      <c r="M105" s="316">
        <v>49</v>
      </c>
      <c r="N105" s="316">
        <v>44</v>
      </c>
      <c r="O105" s="316">
        <v>62</v>
      </c>
      <c r="P105" s="337">
        <v>520</v>
      </c>
      <c r="R105" s="302" t="s">
        <v>100</v>
      </c>
      <c r="S105" s="502">
        <f>D105/D111</f>
        <v>0.1103448275862069</v>
      </c>
      <c r="T105" s="502">
        <f t="shared" ref="T105" si="590">E105/E111</f>
        <v>0.13225806451612904</v>
      </c>
      <c r="U105" s="502">
        <f t="shared" ref="U105" si="591">F105/F111</f>
        <v>0.13428571428571429</v>
      </c>
      <c r="V105" s="339">
        <f t="shared" ref="V105" si="592">G105/G111</f>
        <v>0.12903225806451613</v>
      </c>
      <c r="W105" s="339">
        <f t="shared" ref="W105" si="593">H105/H111</f>
        <v>0.13055555555555556</v>
      </c>
      <c r="X105" s="339">
        <f t="shared" ref="X105" si="594">I105/I111</f>
        <v>0.13</v>
      </c>
      <c r="Y105" s="339">
        <f t="shared" ref="Y105" si="595">J105/J111</f>
        <v>0.12941176470588237</v>
      </c>
      <c r="Z105" s="339">
        <f t="shared" ref="Z105" si="596">K105/K111</f>
        <v>0.12894736842105264</v>
      </c>
      <c r="AA105" s="339">
        <f t="shared" ref="AA105" si="597">L105/L111</f>
        <v>0.13055555555555556</v>
      </c>
      <c r="AB105" s="339">
        <f t="shared" ref="AB105" si="598">M105/M111</f>
        <v>0.12894736842105264</v>
      </c>
      <c r="AC105" s="339">
        <f t="shared" ref="AC105" si="599">N105/N111</f>
        <v>0.12941176470588237</v>
      </c>
      <c r="AD105" s="339">
        <f t="shared" ref="AD105" si="600">O105/O111</f>
        <v>0.12916666666666668</v>
      </c>
      <c r="AE105" s="339">
        <f t="shared" ref="AE105" si="601">P105/P111</f>
        <v>0.12281530467642891</v>
      </c>
    </row>
    <row r="106" spans="2:31">
      <c r="B106" s="612"/>
      <c r="C106" s="315" t="s">
        <v>101</v>
      </c>
      <c r="D106" s="501">
        <v>27</v>
      </c>
      <c r="E106" s="501">
        <v>27</v>
      </c>
      <c r="F106" s="501">
        <v>30</v>
      </c>
      <c r="G106" s="316">
        <v>26</v>
      </c>
      <c r="H106" s="316">
        <v>31</v>
      </c>
      <c r="I106" s="316">
        <v>25</v>
      </c>
      <c r="J106" s="316">
        <v>29</v>
      </c>
      <c r="K106" s="316">
        <v>32</v>
      </c>
      <c r="L106" s="316">
        <v>31</v>
      </c>
      <c r="M106" s="316">
        <v>32</v>
      </c>
      <c r="N106" s="316">
        <v>29</v>
      </c>
      <c r="O106" s="316">
        <v>41</v>
      </c>
      <c r="P106" s="337">
        <v>345</v>
      </c>
      <c r="R106" s="302" t="s">
        <v>101</v>
      </c>
      <c r="S106" s="502">
        <f>D106/D111</f>
        <v>9.3103448275862075E-2</v>
      </c>
      <c r="T106" s="502">
        <f t="shared" ref="T106" si="602">E106/E111</f>
        <v>8.7096774193548387E-2</v>
      </c>
      <c r="U106" s="502">
        <f t="shared" ref="U106" si="603">F106/F111</f>
        <v>8.5714285714285715E-2</v>
      </c>
      <c r="V106" s="339">
        <f t="shared" ref="V106" si="604">G106/G111</f>
        <v>8.387096774193549E-2</v>
      </c>
      <c r="W106" s="339">
        <f t="shared" ref="W106" si="605">H106/H111</f>
        <v>8.611111111111111E-2</v>
      </c>
      <c r="X106" s="339">
        <f t="shared" ref="X106" si="606">I106/I111</f>
        <v>8.3333333333333329E-2</v>
      </c>
      <c r="Y106" s="339">
        <f t="shared" ref="Y106" si="607">J106/J111</f>
        <v>8.5294117647058826E-2</v>
      </c>
      <c r="Z106" s="339">
        <f t="shared" ref="Z106" si="608">K106/K111</f>
        <v>8.4210526315789472E-2</v>
      </c>
      <c r="AA106" s="339">
        <f t="shared" ref="AA106" si="609">L106/L111</f>
        <v>8.611111111111111E-2</v>
      </c>
      <c r="AB106" s="339">
        <f t="shared" ref="AB106" si="610">M106/M111</f>
        <v>8.4210526315789472E-2</v>
      </c>
      <c r="AC106" s="339">
        <f t="shared" ref="AC106" si="611">N106/N111</f>
        <v>8.5294117647058826E-2</v>
      </c>
      <c r="AD106" s="339">
        <f t="shared" ref="AD106" si="612">O106/O111</f>
        <v>8.5416666666666669E-2</v>
      </c>
      <c r="AE106" s="339">
        <f t="shared" ref="AE106" si="613">P106/P111</f>
        <v>8.1483230987246108E-2</v>
      </c>
    </row>
    <row r="107" spans="2:31">
      <c r="B107" s="612"/>
      <c r="C107" s="315" t="s">
        <v>102</v>
      </c>
      <c r="D107" s="501">
        <v>18</v>
      </c>
      <c r="E107" s="501">
        <v>22</v>
      </c>
      <c r="F107" s="501">
        <v>25</v>
      </c>
      <c r="G107" s="316">
        <v>22</v>
      </c>
      <c r="H107" s="316">
        <v>25</v>
      </c>
      <c r="I107" s="316">
        <v>21</v>
      </c>
      <c r="J107" s="316">
        <v>24</v>
      </c>
      <c r="K107" s="316">
        <v>27</v>
      </c>
      <c r="L107" s="316">
        <v>25</v>
      </c>
      <c r="M107" s="316">
        <v>27</v>
      </c>
      <c r="N107" s="316">
        <v>24</v>
      </c>
      <c r="O107" s="316">
        <v>34</v>
      </c>
      <c r="P107" s="337">
        <v>317</v>
      </c>
      <c r="R107" s="302" t="s">
        <v>102</v>
      </c>
      <c r="S107" s="502">
        <f>D107/D111</f>
        <v>6.2068965517241378E-2</v>
      </c>
      <c r="T107" s="502">
        <f t="shared" ref="T107" si="614">E107/E111</f>
        <v>7.0967741935483872E-2</v>
      </c>
      <c r="U107" s="502">
        <f t="shared" ref="U107" si="615">F107/F111</f>
        <v>7.1428571428571425E-2</v>
      </c>
      <c r="V107" s="339">
        <f t="shared" ref="V107" si="616">G107/G111</f>
        <v>7.0967741935483872E-2</v>
      </c>
      <c r="W107" s="339">
        <f t="shared" ref="W107" si="617">H107/H111</f>
        <v>6.9444444444444448E-2</v>
      </c>
      <c r="X107" s="339">
        <f t="shared" ref="X107" si="618">I107/I111</f>
        <v>7.0000000000000007E-2</v>
      </c>
      <c r="Y107" s="339">
        <f t="shared" ref="Y107" si="619">J107/J111</f>
        <v>7.0588235294117646E-2</v>
      </c>
      <c r="Z107" s="339">
        <f t="shared" ref="Z107" si="620">K107/K111</f>
        <v>7.1052631578947367E-2</v>
      </c>
      <c r="AA107" s="339">
        <f t="shared" ref="AA107" si="621">L107/L111</f>
        <v>6.9444444444444448E-2</v>
      </c>
      <c r="AB107" s="339">
        <f t="shared" ref="AB107" si="622">M107/M111</f>
        <v>7.1052631578947367E-2</v>
      </c>
      <c r="AC107" s="339">
        <f t="shared" ref="AC107" si="623">N107/N111</f>
        <v>7.0588235294117646E-2</v>
      </c>
      <c r="AD107" s="339">
        <f t="shared" ref="AD107" si="624">O107/O111</f>
        <v>7.0833333333333331E-2</v>
      </c>
      <c r="AE107" s="339">
        <f t="shared" ref="AE107" si="625">P107/P111</f>
        <v>7.4870099196976861E-2</v>
      </c>
    </row>
    <row r="108" spans="2:31">
      <c r="B108" s="612"/>
      <c r="C108" s="315" t="s">
        <v>103</v>
      </c>
      <c r="D108" s="501">
        <v>43</v>
      </c>
      <c r="E108" s="501">
        <v>51</v>
      </c>
      <c r="F108" s="501">
        <v>54</v>
      </c>
      <c r="G108" s="316">
        <v>50</v>
      </c>
      <c r="H108" s="316">
        <v>58</v>
      </c>
      <c r="I108" s="316">
        <v>49</v>
      </c>
      <c r="J108" s="316">
        <v>55</v>
      </c>
      <c r="K108" s="316">
        <v>62</v>
      </c>
      <c r="L108" s="316">
        <v>58</v>
      </c>
      <c r="M108" s="316">
        <v>62</v>
      </c>
      <c r="N108" s="316">
        <v>55</v>
      </c>
      <c r="O108" s="316">
        <v>78</v>
      </c>
      <c r="P108" s="337">
        <v>680</v>
      </c>
      <c r="R108" s="302" t="s">
        <v>103</v>
      </c>
      <c r="S108" s="502">
        <f>D108/D111</f>
        <v>0.14827586206896551</v>
      </c>
      <c r="T108" s="502">
        <f t="shared" ref="T108" si="626">E108/E111</f>
        <v>0.16451612903225807</v>
      </c>
      <c r="U108" s="502">
        <f t="shared" ref="U108" si="627">F108/F111</f>
        <v>0.15428571428571428</v>
      </c>
      <c r="V108" s="339">
        <f t="shared" ref="V108" si="628">G108/G111</f>
        <v>0.16129032258064516</v>
      </c>
      <c r="W108" s="339">
        <f t="shared" ref="W108" si="629">H108/H111</f>
        <v>0.16111111111111112</v>
      </c>
      <c r="X108" s="339">
        <f t="shared" ref="X108" si="630">I108/I111</f>
        <v>0.16333333333333333</v>
      </c>
      <c r="Y108" s="339">
        <f t="shared" ref="Y108" si="631">J108/J111</f>
        <v>0.16176470588235295</v>
      </c>
      <c r="Z108" s="339">
        <f t="shared" ref="Z108" si="632">K108/K111</f>
        <v>0.16315789473684211</v>
      </c>
      <c r="AA108" s="339">
        <f t="shared" ref="AA108" si="633">L108/L111</f>
        <v>0.16111111111111112</v>
      </c>
      <c r="AB108" s="339">
        <f t="shared" ref="AB108" si="634">M108/M111</f>
        <v>0.16315789473684211</v>
      </c>
      <c r="AC108" s="339">
        <f t="shared" ref="AC108" si="635">N108/N111</f>
        <v>0.16176470588235295</v>
      </c>
      <c r="AD108" s="339">
        <f t="shared" ref="AD108" si="636">O108/O111</f>
        <v>0.16250000000000001</v>
      </c>
      <c r="AE108" s="339">
        <f t="shared" ref="AE108" si="637">P108/P111</f>
        <v>0.16060462919225318</v>
      </c>
    </row>
    <row r="109" spans="2:31">
      <c r="B109" s="612"/>
      <c r="C109" s="315" t="s">
        <v>104</v>
      </c>
      <c r="D109" s="501">
        <v>80</v>
      </c>
      <c r="E109" s="501">
        <v>83</v>
      </c>
      <c r="F109" s="501">
        <v>94</v>
      </c>
      <c r="G109" s="316">
        <v>84</v>
      </c>
      <c r="H109" s="316">
        <v>97</v>
      </c>
      <c r="I109" s="316">
        <v>81</v>
      </c>
      <c r="J109" s="316">
        <v>92</v>
      </c>
      <c r="K109" s="316">
        <v>103</v>
      </c>
      <c r="L109" s="316">
        <v>97</v>
      </c>
      <c r="M109" s="316">
        <v>103</v>
      </c>
      <c r="N109" s="316">
        <v>92</v>
      </c>
      <c r="O109" s="316">
        <v>130</v>
      </c>
      <c r="P109" s="337">
        <v>1151</v>
      </c>
      <c r="R109" s="302" t="s">
        <v>104</v>
      </c>
      <c r="S109" s="502">
        <f>D109/D111</f>
        <v>0.27586206896551724</v>
      </c>
      <c r="T109" s="502">
        <f t="shared" ref="T109" si="638">E109/E111</f>
        <v>0.26774193548387099</v>
      </c>
      <c r="U109" s="502">
        <f t="shared" ref="U109" si="639">F109/F111</f>
        <v>0.26857142857142857</v>
      </c>
      <c r="V109" s="339">
        <f t="shared" ref="V109" si="640">G109/G111</f>
        <v>0.2709677419354839</v>
      </c>
      <c r="W109" s="339">
        <f t="shared" ref="W109" si="641">H109/H111</f>
        <v>0.26944444444444443</v>
      </c>
      <c r="X109" s="339">
        <f t="shared" ref="X109" si="642">I109/I111</f>
        <v>0.27</v>
      </c>
      <c r="Y109" s="339">
        <f t="shared" ref="Y109" si="643">J109/J111</f>
        <v>0.27058823529411763</v>
      </c>
      <c r="Z109" s="339">
        <f t="shared" ref="Z109" si="644">K109/K111</f>
        <v>0.27105263157894738</v>
      </c>
      <c r="AA109" s="339">
        <f t="shared" ref="AA109" si="645">L109/L111</f>
        <v>0.26944444444444443</v>
      </c>
      <c r="AB109" s="339">
        <f t="shared" ref="AB109" si="646">M109/M111</f>
        <v>0.27105263157894738</v>
      </c>
      <c r="AC109" s="339">
        <f t="shared" ref="AC109" si="647">N109/N111</f>
        <v>0.27058823529411763</v>
      </c>
      <c r="AD109" s="339">
        <f t="shared" ref="AD109" si="648">O109/O111</f>
        <v>0.27083333333333331</v>
      </c>
      <c r="AE109" s="339">
        <f t="shared" ref="AE109" si="649">P109/P111</f>
        <v>0.2718469532357109</v>
      </c>
    </row>
    <row r="110" spans="2:31">
      <c r="B110" s="612"/>
      <c r="C110" s="315" t="s">
        <v>105</v>
      </c>
      <c r="D110" s="501">
        <v>51</v>
      </c>
      <c r="E110" s="501">
        <v>47</v>
      </c>
      <c r="F110" s="501">
        <v>55</v>
      </c>
      <c r="G110" s="316">
        <v>48</v>
      </c>
      <c r="H110" s="316">
        <v>56</v>
      </c>
      <c r="I110" s="316">
        <v>46</v>
      </c>
      <c r="J110" s="316">
        <v>52</v>
      </c>
      <c r="K110" s="316">
        <v>58</v>
      </c>
      <c r="L110" s="316">
        <v>56</v>
      </c>
      <c r="M110" s="316">
        <v>58</v>
      </c>
      <c r="N110" s="316">
        <v>52</v>
      </c>
      <c r="O110" s="316">
        <v>73</v>
      </c>
      <c r="P110" s="337">
        <v>660</v>
      </c>
      <c r="R110" s="302" t="s">
        <v>105</v>
      </c>
      <c r="S110" s="502">
        <f>D110/D111</f>
        <v>0.17586206896551723</v>
      </c>
      <c r="T110" s="502">
        <f t="shared" ref="T110" si="650">E110/E111</f>
        <v>0.15161290322580645</v>
      </c>
      <c r="U110" s="502">
        <f t="shared" ref="U110" si="651">F110/F111</f>
        <v>0.15714285714285714</v>
      </c>
      <c r="V110" s="339">
        <f t="shared" ref="V110" si="652">G110/G111</f>
        <v>0.15483870967741936</v>
      </c>
      <c r="W110" s="339">
        <f t="shared" ref="W110" si="653">H110/H111</f>
        <v>0.15555555555555556</v>
      </c>
      <c r="X110" s="339">
        <f t="shared" ref="X110" si="654">I110/I111</f>
        <v>0.15333333333333332</v>
      </c>
      <c r="Y110" s="339">
        <f t="shared" ref="Y110" si="655">J110/J111</f>
        <v>0.15294117647058825</v>
      </c>
      <c r="Z110" s="339">
        <f t="shared" ref="Z110" si="656">K110/K111</f>
        <v>0.15263157894736842</v>
      </c>
      <c r="AA110" s="339">
        <f t="shared" ref="AA110" si="657">L110/L111</f>
        <v>0.15555555555555556</v>
      </c>
      <c r="AB110" s="339">
        <f t="shared" ref="AB110" si="658">M110/M111</f>
        <v>0.15263157894736842</v>
      </c>
      <c r="AC110" s="339">
        <f t="shared" ref="AC110" si="659">N110/N111</f>
        <v>0.15294117647058825</v>
      </c>
      <c r="AD110" s="339">
        <f t="shared" ref="AD110" si="660">O110/O111</f>
        <v>0.15208333333333332</v>
      </c>
      <c r="AE110" s="339">
        <f>P110/P111</f>
        <v>0.15588096362777515</v>
      </c>
    </row>
    <row r="111" spans="2:31" ht="18" thickBot="1">
      <c r="B111" s="613"/>
      <c r="C111" s="317" t="s">
        <v>24</v>
      </c>
      <c r="D111" s="335">
        <v>290</v>
      </c>
      <c r="E111" s="335">
        <v>310</v>
      </c>
      <c r="F111" s="335">
        <v>350</v>
      </c>
      <c r="G111" s="335">
        <v>310</v>
      </c>
      <c r="H111" s="335">
        <v>360</v>
      </c>
      <c r="I111" s="335">
        <v>300</v>
      </c>
      <c r="J111" s="335">
        <v>340</v>
      </c>
      <c r="K111" s="335">
        <v>380</v>
      </c>
      <c r="L111" s="335">
        <v>360</v>
      </c>
      <c r="M111" s="335">
        <v>380</v>
      </c>
      <c r="N111" s="335">
        <v>340</v>
      </c>
      <c r="O111" s="335">
        <v>480</v>
      </c>
      <c r="P111" s="336">
        <v>4234</v>
      </c>
      <c r="R111" s="305" t="s">
        <v>86</v>
      </c>
      <c r="S111" s="340">
        <f>D111/D111</f>
        <v>1</v>
      </c>
      <c r="T111" s="340">
        <f t="shared" ref="T111" si="661">E111/E111</f>
        <v>1</v>
      </c>
      <c r="U111" s="340">
        <f t="shared" ref="U111" si="662">F111/F111</f>
        <v>1</v>
      </c>
      <c r="V111" s="340">
        <f t="shared" ref="V111" si="663">G111/G111</f>
        <v>1</v>
      </c>
      <c r="W111" s="340">
        <f t="shared" ref="W111" si="664">H111/H111</f>
        <v>1</v>
      </c>
      <c r="X111" s="340">
        <f t="shared" ref="X111" si="665">I111/I111</f>
        <v>1</v>
      </c>
      <c r="Y111" s="340">
        <f t="shared" ref="Y111" si="666">J111/J111</f>
        <v>1</v>
      </c>
      <c r="Z111" s="340">
        <f t="shared" ref="Z111" si="667">K111/K111</f>
        <v>1</v>
      </c>
      <c r="AA111" s="340">
        <f t="shared" ref="AA111" si="668">L111/L111</f>
        <v>1</v>
      </c>
      <c r="AB111" s="340">
        <f t="shared" ref="AB111" si="669">M111/M111</f>
        <v>1</v>
      </c>
      <c r="AC111" s="340">
        <f t="shared" ref="AC111" si="670">N111/N111</f>
        <v>1</v>
      </c>
      <c r="AD111" s="340">
        <f t="shared" ref="AD111" si="671">O111/O111</f>
        <v>1</v>
      </c>
      <c r="AE111" s="340">
        <f t="shared" ref="AE111" si="672">P111/P111</f>
        <v>1</v>
      </c>
    </row>
    <row r="113" spans="2:31" ht="15" thickBot="1"/>
    <row r="114" spans="2:31" ht="17">
      <c r="B114" s="602" t="s">
        <v>97</v>
      </c>
      <c r="C114" s="314" t="s">
        <v>98</v>
      </c>
      <c r="D114" s="332" t="s">
        <v>74</v>
      </c>
      <c r="E114" s="332" t="s">
        <v>75</v>
      </c>
      <c r="F114" s="332" t="s">
        <v>76</v>
      </c>
      <c r="G114" s="332" t="s">
        <v>77</v>
      </c>
      <c r="H114" s="332" t="s">
        <v>78</v>
      </c>
      <c r="I114" s="332" t="s">
        <v>79</v>
      </c>
      <c r="J114" s="332" t="s">
        <v>80</v>
      </c>
      <c r="K114" s="332" t="s">
        <v>81</v>
      </c>
      <c r="L114" s="332" t="s">
        <v>82</v>
      </c>
      <c r="M114" s="332" t="s">
        <v>83</v>
      </c>
      <c r="N114" s="332" t="s">
        <v>84</v>
      </c>
      <c r="O114" s="332" t="s">
        <v>85</v>
      </c>
      <c r="P114" s="333" t="s">
        <v>86</v>
      </c>
      <c r="R114" s="299" t="s">
        <v>98</v>
      </c>
      <c r="S114" s="310" t="s">
        <v>74</v>
      </c>
      <c r="T114" s="310" t="s">
        <v>75</v>
      </c>
      <c r="U114" s="310" t="s">
        <v>76</v>
      </c>
      <c r="V114" s="310" t="s">
        <v>77</v>
      </c>
      <c r="W114" s="310" t="s">
        <v>78</v>
      </c>
      <c r="X114" s="310" t="s">
        <v>79</v>
      </c>
      <c r="Y114" s="310" t="s">
        <v>80</v>
      </c>
      <c r="Z114" s="310" t="s">
        <v>81</v>
      </c>
      <c r="AA114" s="310" t="s">
        <v>82</v>
      </c>
      <c r="AB114" s="310" t="s">
        <v>83</v>
      </c>
      <c r="AC114" s="310" t="s">
        <v>84</v>
      </c>
      <c r="AD114" s="311" t="s">
        <v>85</v>
      </c>
      <c r="AE114" s="320" t="s">
        <v>86</v>
      </c>
    </row>
    <row r="115" spans="2:31">
      <c r="B115" s="603"/>
      <c r="C115" s="315" t="s">
        <v>99</v>
      </c>
      <c r="D115" s="501">
        <v>178</v>
      </c>
      <c r="E115" s="501">
        <v>232</v>
      </c>
      <c r="F115" s="501">
        <v>277</v>
      </c>
      <c r="G115" s="316">
        <v>216</v>
      </c>
      <c r="H115" s="316">
        <v>238</v>
      </c>
      <c r="I115" s="316">
        <v>216</v>
      </c>
      <c r="J115" s="316">
        <v>242</v>
      </c>
      <c r="K115" s="316">
        <v>266</v>
      </c>
      <c r="L115" s="316">
        <v>261</v>
      </c>
      <c r="M115" s="316">
        <v>276</v>
      </c>
      <c r="N115" s="316">
        <v>261</v>
      </c>
      <c r="O115" s="316">
        <v>362</v>
      </c>
      <c r="P115" s="337">
        <v>2978</v>
      </c>
      <c r="R115" s="302" t="s">
        <v>99</v>
      </c>
      <c r="S115" s="502">
        <f>D115/D122</f>
        <v>0.11866666666666667</v>
      </c>
      <c r="T115" s="502">
        <f t="shared" ref="T115" si="673">E115/E122</f>
        <v>0.14499999999999999</v>
      </c>
      <c r="U115" s="502">
        <f t="shared" ref="U115" si="674">F115/F122</f>
        <v>0.1413265306122449</v>
      </c>
      <c r="V115" s="339">
        <f>G115/G122</f>
        <v>0.12705882352941175</v>
      </c>
      <c r="W115" s="339">
        <f t="shared" ref="W115" si="675">H115/H122</f>
        <v>0.12727272727272726</v>
      </c>
      <c r="X115" s="339">
        <f t="shared" ref="X115" si="676">I115/I122</f>
        <v>0.12705882352941175</v>
      </c>
      <c r="Y115" s="339">
        <f t="shared" ref="Y115" si="677">J115/J122</f>
        <v>0.12736842105263158</v>
      </c>
      <c r="Z115" s="339">
        <f t="shared" ref="Z115" si="678">K115/K122</f>
        <v>0.12727272727272726</v>
      </c>
      <c r="AA115" s="339">
        <f t="shared" ref="AA115" si="679">L115/L122</f>
        <v>0.12731707317073171</v>
      </c>
      <c r="AB115" s="339">
        <f t="shared" ref="AB115" si="680">M115/M122</f>
        <v>0.12718894009216589</v>
      </c>
      <c r="AC115" s="339">
        <f t="shared" ref="AC115" si="681">N115/N122</f>
        <v>0.12731707317073171</v>
      </c>
      <c r="AD115" s="339">
        <f t="shared" ref="AD115" si="682">O115/O122</f>
        <v>0.12701754385964911</v>
      </c>
      <c r="AE115" s="339">
        <f t="shared" ref="AE115" si="683">P115/P122</f>
        <v>0.1284949948222299</v>
      </c>
    </row>
    <row r="116" spans="2:31">
      <c r="B116" s="603"/>
      <c r="C116" s="315" t="s">
        <v>100</v>
      </c>
      <c r="D116" s="501">
        <v>280</v>
      </c>
      <c r="E116" s="501">
        <v>278</v>
      </c>
      <c r="F116" s="501">
        <v>340</v>
      </c>
      <c r="G116" s="316">
        <v>292</v>
      </c>
      <c r="H116" s="316">
        <v>321</v>
      </c>
      <c r="I116" s="316">
        <v>292</v>
      </c>
      <c r="J116" s="316">
        <v>326</v>
      </c>
      <c r="K116" s="316">
        <v>359</v>
      </c>
      <c r="L116" s="316">
        <v>352</v>
      </c>
      <c r="M116" s="316">
        <v>373</v>
      </c>
      <c r="N116" s="316">
        <v>352</v>
      </c>
      <c r="O116" s="316">
        <v>490</v>
      </c>
      <c r="P116" s="337">
        <v>3962</v>
      </c>
      <c r="R116" s="302" t="s">
        <v>100</v>
      </c>
      <c r="S116" s="502">
        <f>D116/D122</f>
        <v>0.18666666666666668</v>
      </c>
      <c r="T116" s="502">
        <f t="shared" ref="T116" si="684">E116/E122</f>
        <v>0.17374999999999999</v>
      </c>
      <c r="U116" s="502">
        <f t="shared" ref="U116" si="685">F116/F122</f>
        <v>0.17346938775510204</v>
      </c>
      <c r="V116" s="339">
        <f t="shared" ref="V116" si="686">G116/G122</f>
        <v>0.17176470588235293</v>
      </c>
      <c r="W116" s="339">
        <f t="shared" ref="W116" si="687">H116/H122</f>
        <v>0.17165775401069519</v>
      </c>
      <c r="X116" s="339">
        <f t="shared" ref="X116" si="688">I116/I122</f>
        <v>0.17176470588235293</v>
      </c>
      <c r="Y116" s="339">
        <f t="shared" ref="Y116" si="689">J116/J122</f>
        <v>0.17157894736842105</v>
      </c>
      <c r="Z116" s="339">
        <f t="shared" ref="Z116" si="690">K116/K122</f>
        <v>0.17177033492822966</v>
      </c>
      <c r="AA116" s="339">
        <f t="shared" ref="AA116" si="691">L116/L122</f>
        <v>0.17170731707317075</v>
      </c>
      <c r="AB116" s="339">
        <f t="shared" ref="AB116" si="692">M116/M122</f>
        <v>0.171889400921659</v>
      </c>
      <c r="AC116" s="339">
        <f t="shared" ref="AC116" si="693">N116/N122</f>
        <v>0.17170731707317075</v>
      </c>
      <c r="AD116" s="339">
        <f t="shared" ref="AD116" si="694">O116/O122</f>
        <v>0.17192982456140352</v>
      </c>
      <c r="AE116" s="339">
        <f t="shared" ref="AE116" si="695">P116/P122</f>
        <v>0.17095270969968934</v>
      </c>
    </row>
    <row r="117" spans="2:31">
      <c r="B117" s="603"/>
      <c r="C117" s="315" t="s">
        <v>101</v>
      </c>
      <c r="D117" s="501">
        <v>141</v>
      </c>
      <c r="E117" s="501">
        <v>147</v>
      </c>
      <c r="F117" s="501">
        <v>180</v>
      </c>
      <c r="G117" s="316">
        <v>154</v>
      </c>
      <c r="H117" s="316">
        <v>170</v>
      </c>
      <c r="I117" s="316">
        <v>154</v>
      </c>
      <c r="J117" s="316">
        <v>172</v>
      </c>
      <c r="K117" s="316">
        <v>190</v>
      </c>
      <c r="L117" s="316">
        <v>186</v>
      </c>
      <c r="M117" s="316">
        <v>197</v>
      </c>
      <c r="N117" s="316">
        <v>186</v>
      </c>
      <c r="O117" s="316">
        <v>259</v>
      </c>
      <c r="P117" s="337">
        <v>2052</v>
      </c>
      <c r="R117" s="302" t="s">
        <v>101</v>
      </c>
      <c r="S117" s="502">
        <f>D117/D122</f>
        <v>9.4E-2</v>
      </c>
      <c r="T117" s="502">
        <f t="shared" ref="T117" si="696">E117/E122</f>
        <v>9.1874999999999998E-2</v>
      </c>
      <c r="U117" s="502">
        <f t="shared" ref="U117" si="697">F117/F122</f>
        <v>9.1836734693877556E-2</v>
      </c>
      <c r="V117" s="339">
        <f t="shared" ref="V117" si="698">G117/G122</f>
        <v>9.058823529411765E-2</v>
      </c>
      <c r="W117" s="339">
        <f t="shared" ref="W117" si="699">H117/H122</f>
        <v>9.0909090909090912E-2</v>
      </c>
      <c r="X117" s="339">
        <f t="shared" ref="X117" si="700">I117/I122</f>
        <v>9.058823529411765E-2</v>
      </c>
      <c r="Y117" s="339">
        <f t="shared" ref="Y117" si="701">J117/J122</f>
        <v>9.0526315789473691E-2</v>
      </c>
      <c r="Z117" s="339">
        <f t="shared" ref="Z117" si="702">K117/K122</f>
        <v>9.0909090909090912E-2</v>
      </c>
      <c r="AA117" s="339">
        <f t="shared" ref="AA117" si="703">L117/L122</f>
        <v>9.0731707317073168E-2</v>
      </c>
      <c r="AB117" s="339">
        <f t="shared" ref="AB117" si="704">M117/M122</f>
        <v>9.0783410138248852E-2</v>
      </c>
      <c r="AC117" s="339">
        <f t="shared" ref="AC117" si="705">N117/N122</f>
        <v>9.0731707317073168E-2</v>
      </c>
      <c r="AD117" s="339">
        <f t="shared" ref="AD117" si="706">O117/O122</f>
        <v>9.087719298245614E-2</v>
      </c>
      <c r="AE117" s="339">
        <f t="shared" ref="AE117" si="707">P117/P122</f>
        <v>8.8539868829823953E-2</v>
      </c>
    </row>
    <row r="118" spans="2:31">
      <c r="B118" s="603"/>
      <c r="C118" s="315" t="s">
        <v>102</v>
      </c>
      <c r="D118" s="501">
        <v>88</v>
      </c>
      <c r="E118" s="501">
        <v>98</v>
      </c>
      <c r="F118" s="501">
        <v>120</v>
      </c>
      <c r="G118" s="316">
        <v>107</v>
      </c>
      <c r="H118" s="316">
        <v>118</v>
      </c>
      <c r="I118" s="316">
        <v>107</v>
      </c>
      <c r="J118" s="316">
        <v>119</v>
      </c>
      <c r="K118" s="316">
        <v>131</v>
      </c>
      <c r="L118" s="316">
        <v>129</v>
      </c>
      <c r="M118" s="316">
        <v>136</v>
      </c>
      <c r="N118" s="316">
        <v>129</v>
      </c>
      <c r="O118" s="316">
        <v>179</v>
      </c>
      <c r="P118" s="337">
        <v>1434</v>
      </c>
      <c r="R118" s="302" t="s">
        <v>102</v>
      </c>
      <c r="S118" s="502">
        <f>D118/D122</f>
        <v>5.8666666666666666E-2</v>
      </c>
      <c r="T118" s="502">
        <f t="shared" ref="T118" si="708">E118/E122</f>
        <v>6.1249999999999999E-2</v>
      </c>
      <c r="U118" s="502">
        <f t="shared" ref="U118" si="709">F118/F122</f>
        <v>6.1224489795918366E-2</v>
      </c>
      <c r="V118" s="339">
        <f t="shared" ref="V118" si="710">G118/G122</f>
        <v>6.2941176470588237E-2</v>
      </c>
      <c r="W118" s="339">
        <f t="shared" ref="W118" si="711">H118/H122</f>
        <v>6.310160427807486E-2</v>
      </c>
      <c r="X118" s="339">
        <f t="shared" ref="X118" si="712">I118/I122</f>
        <v>6.2941176470588237E-2</v>
      </c>
      <c r="Y118" s="339">
        <f t="shared" ref="Y118" si="713">J118/J122</f>
        <v>6.2631578947368427E-2</v>
      </c>
      <c r="Z118" s="339">
        <f t="shared" ref="Z118" si="714">K118/K122</f>
        <v>6.2679425837320571E-2</v>
      </c>
      <c r="AA118" s="339">
        <f t="shared" ref="AA118" si="715">L118/L122</f>
        <v>6.2926829268292683E-2</v>
      </c>
      <c r="AB118" s="339">
        <f t="shared" ref="AB118" si="716">M118/M122</f>
        <v>6.2672811059907838E-2</v>
      </c>
      <c r="AC118" s="339">
        <f t="shared" ref="AC118" si="717">N118/N122</f>
        <v>6.2926829268292683E-2</v>
      </c>
      <c r="AD118" s="339">
        <f t="shared" ref="AD118" si="718">O118/O122</f>
        <v>6.2807017543859645E-2</v>
      </c>
      <c r="AE118" s="339">
        <f>P118/P122</f>
        <v>6.1874352778736624E-2</v>
      </c>
    </row>
    <row r="119" spans="2:31">
      <c r="B119" s="603"/>
      <c r="C119" s="315" t="s">
        <v>103</v>
      </c>
      <c r="D119" s="501">
        <v>201</v>
      </c>
      <c r="E119" s="501">
        <v>207</v>
      </c>
      <c r="F119" s="501">
        <v>254</v>
      </c>
      <c r="G119" s="316">
        <v>221</v>
      </c>
      <c r="H119" s="316">
        <v>243</v>
      </c>
      <c r="I119" s="316">
        <v>221</v>
      </c>
      <c r="J119" s="316">
        <v>247</v>
      </c>
      <c r="K119" s="316">
        <v>272</v>
      </c>
      <c r="L119" s="316">
        <v>267</v>
      </c>
      <c r="M119" s="316">
        <v>282</v>
      </c>
      <c r="N119" s="316">
        <v>267</v>
      </c>
      <c r="O119" s="316">
        <v>371</v>
      </c>
      <c r="P119" s="337">
        <v>3018</v>
      </c>
      <c r="R119" s="302" t="s">
        <v>103</v>
      </c>
      <c r="S119" s="502">
        <f>D119/D122</f>
        <v>0.13400000000000001</v>
      </c>
      <c r="T119" s="502">
        <f t="shared" ref="T119" si="719">E119/E122</f>
        <v>0.12937499999999999</v>
      </c>
      <c r="U119" s="502">
        <f t="shared" ref="U119" si="720">F119/F122</f>
        <v>0.12959183673469388</v>
      </c>
      <c r="V119" s="339">
        <f t="shared" ref="V119" si="721">G119/G122</f>
        <v>0.13</v>
      </c>
      <c r="W119" s="339">
        <f t="shared" ref="W119" si="722">H119/H122</f>
        <v>0.12994652406417112</v>
      </c>
      <c r="X119" s="339">
        <f t="shared" ref="X119" si="723">I119/I122</f>
        <v>0.13</v>
      </c>
      <c r="Y119" s="339">
        <f t="shared" ref="Y119" si="724">J119/J122</f>
        <v>0.13</v>
      </c>
      <c r="Z119" s="339">
        <f t="shared" ref="Z119" si="725">K119/K122</f>
        <v>0.13014354066985645</v>
      </c>
      <c r="AA119" s="339">
        <f t="shared" ref="AA119" si="726">L119/L122</f>
        <v>0.13024390243902439</v>
      </c>
      <c r="AB119" s="339">
        <f t="shared" ref="AB119" si="727">M119/M122</f>
        <v>0.12995391705069123</v>
      </c>
      <c r="AC119" s="339">
        <f t="shared" ref="AC119" si="728">N119/N122</f>
        <v>0.13024390243902439</v>
      </c>
      <c r="AD119" s="339">
        <f t="shared" ref="AD119" si="729">O119/O122</f>
        <v>0.13017543859649122</v>
      </c>
      <c r="AE119" s="339">
        <f t="shared" ref="AE119" si="730">P119/P122</f>
        <v>0.1302209181912323</v>
      </c>
    </row>
    <row r="120" spans="2:31">
      <c r="B120" s="603"/>
      <c r="C120" s="315" t="s">
        <v>104</v>
      </c>
      <c r="D120" s="501">
        <v>380</v>
      </c>
      <c r="E120" s="501">
        <v>387</v>
      </c>
      <c r="F120" s="501">
        <v>499</v>
      </c>
      <c r="G120" s="316">
        <v>449</v>
      </c>
      <c r="H120" s="316">
        <v>493</v>
      </c>
      <c r="I120" s="316">
        <v>449</v>
      </c>
      <c r="J120" s="316">
        <v>501</v>
      </c>
      <c r="K120" s="316">
        <v>551</v>
      </c>
      <c r="L120" s="316">
        <v>541</v>
      </c>
      <c r="M120" s="316">
        <v>572</v>
      </c>
      <c r="N120" s="316">
        <v>541</v>
      </c>
      <c r="O120" s="316">
        <v>752</v>
      </c>
      <c r="P120" s="337">
        <v>6071</v>
      </c>
      <c r="R120" s="302" t="s">
        <v>104</v>
      </c>
      <c r="S120" s="502">
        <f>D120/D122</f>
        <v>0.25333333333333335</v>
      </c>
      <c r="T120" s="502">
        <f t="shared" ref="T120" si="731">E120/E122</f>
        <v>0.24187500000000001</v>
      </c>
      <c r="U120" s="502">
        <f t="shared" ref="U120" si="732">F120/F122</f>
        <v>0.25459183673469388</v>
      </c>
      <c r="V120" s="339">
        <f t="shared" ref="V120" si="733">G120/G122</f>
        <v>0.26411764705882351</v>
      </c>
      <c r="W120" s="339">
        <f t="shared" ref="W120" si="734">H120/H122</f>
        <v>0.26363636363636361</v>
      </c>
      <c r="X120" s="339">
        <f t="shared" ref="X120" si="735">I120/I122</f>
        <v>0.26411764705882351</v>
      </c>
      <c r="Y120" s="339">
        <f t="shared" ref="Y120" si="736">J120/J122</f>
        <v>0.2636842105263158</v>
      </c>
      <c r="Z120" s="339">
        <f t="shared" ref="Z120" si="737">K120/K122</f>
        <v>0.26363636363636361</v>
      </c>
      <c r="AA120" s="339">
        <f t="shared" ref="AA120" si="738">L120/L122</f>
        <v>0.26390243902439026</v>
      </c>
      <c r="AB120" s="339">
        <f t="shared" ref="AB120" si="739">M120/M122</f>
        <v>0.26359447004608294</v>
      </c>
      <c r="AC120" s="339">
        <f t="shared" ref="AC120" si="740">N120/N122</f>
        <v>0.26390243902439026</v>
      </c>
      <c r="AD120" s="339">
        <f t="shared" ref="AD120" si="741">O120/O122</f>
        <v>0.26385964912280702</v>
      </c>
      <c r="AE120" s="339">
        <f t="shared" ref="AE120" si="742">P120/P122</f>
        <v>0.26195201933034173</v>
      </c>
    </row>
    <row r="121" spans="2:31">
      <c r="B121" s="603"/>
      <c r="C121" s="315" t="s">
        <v>105</v>
      </c>
      <c r="D121" s="501">
        <v>232</v>
      </c>
      <c r="E121" s="501">
        <v>251</v>
      </c>
      <c r="F121" s="501">
        <v>290</v>
      </c>
      <c r="G121" s="316">
        <v>261</v>
      </c>
      <c r="H121" s="316">
        <v>287</v>
      </c>
      <c r="I121" s="316">
        <v>261</v>
      </c>
      <c r="J121" s="316">
        <v>293</v>
      </c>
      <c r="K121" s="316">
        <v>321</v>
      </c>
      <c r="L121" s="316">
        <v>314</v>
      </c>
      <c r="M121" s="316">
        <v>334</v>
      </c>
      <c r="N121" s="316">
        <v>314</v>
      </c>
      <c r="O121" s="316">
        <v>437</v>
      </c>
      <c r="P121" s="337">
        <v>3645</v>
      </c>
      <c r="R121" s="302" t="s">
        <v>105</v>
      </c>
      <c r="S121" s="502">
        <f>D121/D122</f>
        <v>0.15466666666666667</v>
      </c>
      <c r="T121" s="502">
        <f t="shared" ref="T121" si="743">E121/E122</f>
        <v>0.15687499999999999</v>
      </c>
      <c r="U121" s="502">
        <f t="shared" ref="U121" si="744">F121/F122</f>
        <v>0.14795918367346939</v>
      </c>
      <c r="V121" s="339">
        <f t="shared" ref="V121" si="745">G121/G122</f>
        <v>0.15352941176470589</v>
      </c>
      <c r="W121" s="339">
        <f t="shared" ref="W121" si="746">H121/H122</f>
        <v>0.153475935828877</v>
      </c>
      <c r="X121" s="339">
        <f t="shared" ref="X121" si="747">I121/I122</f>
        <v>0.15352941176470589</v>
      </c>
      <c r="Y121" s="339">
        <f t="shared" ref="Y121" si="748">J121/J122</f>
        <v>0.15421052631578946</v>
      </c>
      <c r="Z121" s="339">
        <f t="shared" ref="Z121" si="749">K121/K122</f>
        <v>0.1535885167464115</v>
      </c>
      <c r="AA121" s="339">
        <f t="shared" ref="AA121" si="750">L121/L122</f>
        <v>0.15317073170731707</v>
      </c>
      <c r="AB121" s="339">
        <f t="shared" ref="AB121" si="751">M121/M122</f>
        <v>0.15391705069124423</v>
      </c>
      <c r="AC121" s="339">
        <f t="shared" ref="AC121" si="752">N121/N122</f>
        <v>0.15317073170731707</v>
      </c>
      <c r="AD121" s="339">
        <f t="shared" ref="AD121" si="753">O121/O122</f>
        <v>0.15333333333333332</v>
      </c>
      <c r="AE121" s="339">
        <f>P121/P122</f>
        <v>0.15727476700034518</v>
      </c>
    </row>
    <row r="122" spans="2:31" ht="18" thickBot="1">
      <c r="B122" s="604"/>
      <c r="C122" s="317" t="s">
        <v>24</v>
      </c>
      <c r="D122" s="335">
        <v>1500</v>
      </c>
      <c r="E122" s="335">
        <v>1600</v>
      </c>
      <c r="F122" s="335">
        <v>1960</v>
      </c>
      <c r="G122" s="335">
        <v>1700</v>
      </c>
      <c r="H122" s="335">
        <v>1870</v>
      </c>
      <c r="I122" s="335">
        <v>1700</v>
      </c>
      <c r="J122" s="335">
        <v>1900</v>
      </c>
      <c r="K122" s="335">
        <v>2090</v>
      </c>
      <c r="L122" s="335">
        <v>2050</v>
      </c>
      <c r="M122" s="335">
        <v>2170</v>
      </c>
      <c r="N122" s="335">
        <v>2050</v>
      </c>
      <c r="O122" s="335">
        <v>2850</v>
      </c>
      <c r="P122" s="336">
        <v>23176</v>
      </c>
      <c r="R122" s="305" t="s">
        <v>86</v>
      </c>
      <c r="S122" s="340">
        <f>D122/D122</f>
        <v>1</v>
      </c>
      <c r="T122" s="340">
        <f t="shared" ref="T122" si="754">E122/E122</f>
        <v>1</v>
      </c>
      <c r="U122" s="340">
        <f t="shared" ref="U122" si="755">F122/F122</f>
        <v>1</v>
      </c>
      <c r="V122" s="340">
        <f t="shared" ref="V122" si="756">G122/G122</f>
        <v>1</v>
      </c>
      <c r="W122" s="340">
        <f t="shared" ref="W122" si="757">H122/H122</f>
        <v>1</v>
      </c>
      <c r="X122" s="340">
        <f t="shared" ref="X122" si="758">I122/I122</f>
        <v>1</v>
      </c>
      <c r="Y122" s="340">
        <f t="shared" ref="Y122" si="759">J122/J122</f>
        <v>1</v>
      </c>
      <c r="Z122" s="340">
        <f t="shared" ref="Z122" si="760">K122/K122</f>
        <v>1</v>
      </c>
      <c r="AA122" s="340">
        <f t="shared" ref="AA122" si="761">L122/L122</f>
        <v>1</v>
      </c>
      <c r="AB122" s="340">
        <f t="shared" ref="AB122" si="762">M122/M122</f>
        <v>1</v>
      </c>
      <c r="AC122" s="340">
        <f t="shared" ref="AC122" si="763">N122/N122</f>
        <v>1</v>
      </c>
      <c r="AD122" s="340">
        <f t="shared" ref="AD122" si="764">O122/O122</f>
        <v>1</v>
      </c>
      <c r="AE122" s="340">
        <f t="shared" ref="AE122" si="765">P122/P122</f>
        <v>1</v>
      </c>
    </row>
  </sheetData>
  <mergeCells count="11">
    <mergeCell ref="R2:AE12"/>
    <mergeCell ref="B2:B23"/>
    <mergeCell ref="B26:B34"/>
    <mergeCell ref="B37:B45"/>
    <mergeCell ref="B114:B122"/>
    <mergeCell ref="B81:B89"/>
    <mergeCell ref="B92:B100"/>
    <mergeCell ref="B103:B111"/>
    <mergeCell ref="B48:B56"/>
    <mergeCell ref="B59:B67"/>
    <mergeCell ref="B70:B7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3B58-EF94-A047-A5EA-DC93B15FE641}">
  <sheetPr>
    <tabColor theme="4"/>
  </sheetPr>
  <dimension ref="B1:AM148"/>
  <sheetViews>
    <sheetView topLeftCell="A12" workbookViewId="0">
      <selection activeCell="E44" sqref="E44"/>
    </sheetView>
  </sheetViews>
  <sheetFormatPr baseColWidth="10" defaultColWidth="8.83203125" defaultRowHeight="15"/>
  <cols>
    <col min="1" max="1" width="3.5" style="1" customWidth="1"/>
    <col min="2" max="2" width="17.5" style="1" customWidth="1"/>
    <col min="3" max="15" width="15" style="1" customWidth="1"/>
    <col min="16" max="17" width="8.83203125" style="1"/>
    <col min="18" max="19" width="11.5" style="1" customWidth="1"/>
    <col min="20" max="21" width="8.83203125" style="1"/>
    <col min="22" max="22" width="13.33203125" style="1" customWidth="1"/>
    <col min="23" max="28" width="15.5" style="1" customWidth="1"/>
    <col min="29" max="16384" width="8.83203125" style="1"/>
  </cols>
  <sheetData>
    <row r="1" spans="2:26" ht="20" customHeight="1" thickBot="1"/>
    <row r="2" spans="2:26" ht="20" customHeight="1" thickBot="1">
      <c r="B2" s="626" t="s">
        <v>106</v>
      </c>
      <c r="C2" s="627" t="s">
        <v>74</v>
      </c>
      <c r="D2" s="627" t="s">
        <v>75</v>
      </c>
      <c r="E2" s="627" t="s">
        <v>76</v>
      </c>
      <c r="F2" s="627" t="s">
        <v>77</v>
      </c>
      <c r="G2" s="627" t="s">
        <v>78</v>
      </c>
      <c r="H2" s="627" t="s">
        <v>79</v>
      </c>
      <c r="I2" s="627" t="s">
        <v>80</v>
      </c>
      <c r="J2" s="627" t="s">
        <v>81</v>
      </c>
      <c r="K2" s="627" t="s">
        <v>82</v>
      </c>
      <c r="L2" s="627" t="s">
        <v>83</v>
      </c>
      <c r="M2" s="627" t="s">
        <v>84</v>
      </c>
      <c r="N2" s="627" t="s">
        <v>85</v>
      </c>
      <c r="O2" s="628" t="s">
        <v>24</v>
      </c>
    </row>
    <row r="3" spans="2:26" ht="20" customHeight="1">
      <c r="B3" s="44" t="s">
        <v>107</v>
      </c>
      <c r="C3" s="43" t="s">
        <v>74</v>
      </c>
      <c r="D3" s="43" t="s">
        <v>75</v>
      </c>
      <c r="E3" s="43" t="s">
        <v>76</v>
      </c>
      <c r="F3" s="43" t="s">
        <v>77</v>
      </c>
      <c r="G3" s="43" t="s">
        <v>78</v>
      </c>
      <c r="H3" s="43" t="s">
        <v>79</v>
      </c>
      <c r="I3" s="43" t="s">
        <v>80</v>
      </c>
      <c r="J3" s="43" t="s">
        <v>81</v>
      </c>
      <c r="K3" s="43" t="s">
        <v>82</v>
      </c>
      <c r="L3" s="43" t="s">
        <v>83</v>
      </c>
      <c r="M3" s="43" t="s">
        <v>84</v>
      </c>
      <c r="N3" s="43" t="s">
        <v>85</v>
      </c>
      <c r="O3" s="48" t="s">
        <v>24</v>
      </c>
    </row>
    <row r="4" spans="2:26" ht="20" customHeight="1">
      <c r="B4" s="45" t="s">
        <v>88</v>
      </c>
      <c r="C4" s="42">
        <v>560</v>
      </c>
      <c r="D4" s="42">
        <v>590</v>
      </c>
      <c r="E4" s="42">
        <v>770</v>
      </c>
      <c r="F4" s="42">
        <v>700</v>
      </c>
      <c r="G4" s="42">
        <v>780</v>
      </c>
      <c r="H4" s="42">
        <v>700</v>
      </c>
      <c r="I4" s="42">
        <v>730</v>
      </c>
      <c r="J4" s="42">
        <v>720</v>
      </c>
      <c r="K4" s="42">
        <v>710</v>
      </c>
      <c r="L4" s="42">
        <v>735</v>
      </c>
      <c r="M4" s="42">
        <v>620</v>
      </c>
      <c r="N4" s="42">
        <v>780</v>
      </c>
      <c r="O4" s="49">
        <v>8395</v>
      </c>
    </row>
    <row r="5" spans="2:26" ht="20" customHeight="1">
      <c r="B5" s="45" t="s">
        <v>89</v>
      </c>
      <c r="C5" s="42">
        <v>260</v>
      </c>
      <c r="D5" s="42">
        <v>280</v>
      </c>
      <c r="E5" s="42">
        <v>350</v>
      </c>
      <c r="F5" s="42">
        <v>305</v>
      </c>
      <c r="G5" s="42">
        <v>320</v>
      </c>
      <c r="H5" s="42">
        <v>300</v>
      </c>
      <c r="I5" s="42">
        <v>270</v>
      </c>
      <c r="J5" s="42">
        <v>300</v>
      </c>
      <c r="K5" s="42">
        <v>345</v>
      </c>
      <c r="L5" s="42">
        <v>370</v>
      </c>
      <c r="M5" s="42">
        <v>340</v>
      </c>
      <c r="N5" s="42">
        <v>430</v>
      </c>
      <c r="O5" s="49">
        <v>3870</v>
      </c>
    </row>
    <row r="6" spans="2:26" ht="20" customHeight="1">
      <c r="B6" s="45" t="s">
        <v>91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9">
        <v>0</v>
      </c>
    </row>
    <row r="7" spans="2:26" ht="20" customHeight="1">
      <c r="B7" s="45" t="s">
        <v>92</v>
      </c>
      <c r="C7" s="42">
        <v>110</v>
      </c>
      <c r="D7" s="42">
        <v>140</v>
      </c>
      <c r="E7" s="42">
        <v>160</v>
      </c>
      <c r="F7" s="42">
        <v>130</v>
      </c>
      <c r="G7" s="42">
        <v>140</v>
      </c>
      <c r="H7" s="42">
        <v>135</v>
      </c>
      <c r="I7" s="42">
        <v>160</v>
      </c>
      <c r="J7" s="42">
        <v>160</v>
      </c>
      <c r="K7" s="42">
        <v>140</v>
      </c>
      <c r="L7" s="42">
        <v>150</v>
      </c>
      <c r="M7" s="42">
        <v>130</v>
      </c>
      <c r="N7" s="42">
        <v>185</v>
      </c>
      <c r="O7" s="49">
        <v>1740</v>
      </c>
    </row>
    <row r="8" spans="2:26" ht="20" customHeight="1">
      <c r="B8" s="45" t="s">
        <v>93</v>
      </c>
      <c r="C8" s="42">
        <v>15</v>
      </c>
      <c r="D8" s="42">
        <v>90</v>
      </c>
      <c r="E8" s="42">
        <v>120</v>
      </c>
      <c r="F8" s="42">
        <v>120</v>
      </c>
      <c r="G8" s="42">
        <v>150</v>
      </c>
      <c r="H8" s="42">
        <v>140</v>
      </c>
      <c r="I8" s="42">
        <v>130</v>
      </c>
      <c r="J8" s="42">
        <v>160</v>
      </c>
      <c r="K8" s="42">
        <v>150</v>
      </c>
      <c r="L8" s="42">
        <v>160</v>
      </c>
      <c r="M8" s="42">
        <v>145</v>
      </c>
      <c r="N8" s="42">
        <v>170</v>
      </c>
      <c r="O8" s="49">
        <v>1550</v>
      </c>
    </row>
    <row r="9" spans="2:26" ht="20" customHeight="1">
      <c r="B9" s="45" t="s">
        <v>94</v>
      </c>
      <c r="C9" s="42">
        <v>2090</v>
      </c>
      <c r="D9" s="42">
        <v>2180</v>
      </c>
      <c r="E9" s="42">
        <v>2770</v>
      </c>
      <c r="F9" s="42">
        <v>2475</v>
      </c>
      <c r="G9" s="42">
        <v>2860</v>
      </c>
      <c r="H9" s="42">
        <v>2585</v>
      </c>
      <c r="I9" s="42">
        <v>2690</v>
      </c>
      <c r="J9" s="42">
        <v>2880</v>
      </c>
      <c r="K9" s="42">
        <v>2510</v>
      </c>
      <c r="L9" s="42">
        <v>2535</v>
      </c>
      <c r="M9" s="42">
        <v>2475</v>
      </c>
      <c r="N9" s="42">
        <v>3375</v>
      </c>
      <c r="O9" s="49">
        <v>31425</v>
      </c>
      <c r="R9" s="37"/>
    </row>
    <row r="10" spans="2:26" ht="20" customHeight="1" thickBot="1">
      <c r="B10" s="45" t="s">
        <v>95</v>
      </c>
      <c r="C10" s="42">
        <v>20</v>
      </c>
      <c r="D10" s="42">
        <v>30</v>
      </c>
      <c r="E10" s="42">
        <v>0</v>
      </c>
      <c r="F10" s="42">
        <v>0</v>
      </c>
      <c r="G10" s="42">
        <v>0</v>
      </c>
      <c r="H10" s="42">
        <v>30</v>
      </c>
      <c r="I10" s="42">
        <v>150</v>
      </c>
      <c r="J10" s="42">
        <v>140</v>
      </c>
      <c r="K10" s="42">
        <v>140</v>
      </c>
      <c r="L10" s="42">
        <v>155</v>
      </c>
      <c r="M10" s="42">
        <v>135</v>
      </c>
      <c r="N10" s="42">
        <v>170</v>
      </c>
      <c r="O10" s="49">
        <v>970</v>
      </c>
      <c r="R10" s="37"/>
    </row>
    <row r="11" spans="2:26" ht="20" customHeight="1">
      <c r="B11" s="45" t="s">
        <v>108</v>
      </c>
      <c r="C11" s="42">
        <v>290</v>
      </c>
      <c r="D11" s="42">
        <v>310</v>
      </c>
      <c r="E11" s="42">
        <v>350</v>
      </c>
      <c r="F11" s="42">
        <v>310</v>
      </c>
      <c r="G11" s="42">
        <v>360</v>
      </c>
      <c r="H11" s="42">
        <v>300</v>
      </c>
      <c r="I11" s="42">
        <v>340</v>
      </c>
      <c r="J11" s="42">
        <v>370</v>
      </c>
      <c r="K11" s="42">
        <v>350</v>
      </c>
      <c r="L11" s="42">
        <v>360</v>
      </c>
      <c r="M11" s="42">
        <v>330</v>
      </c>
      <c r="N11" s="42">
        <v>380</v>
      </c>
      <c r="O11" s="49">
        <v>4050</v>
      </c>
      <c r="Q11" s="492"/>
      <c r="R11" s="493">
        <v>2025</v>
      </c>
      <c r="S11" s="493">
        <v>2026</v>
      </c>
      <c r="T11" s="494" t="s">
        <v>109</v>
      </c>
    </row>
    <row r="12" spans="2:26" ht="20" customHeight="1">
      <c r="B12" s="45" t="s">
        <v>97</v>
      </c>
      <c r="C12" s="42">
        <v>1500</v>
      </c>
      <c r="D12" s="42">
        <v>1600</v>
      </c>
      <c r="E12" s="42">
        <v>1960</v>
      </c>
      <c r="F12" s="42">
        <v>1700</v>
      </c>
      <c r="G12" s="42">
        <v>1870</v>
      </c>
      <c r="H12" s="42">
        <v>1700</v>
      </c>
      <c r="I12" s="42">
        <v>1900</v>
      </c>
      <c r="J12" s="42">
        <v>1950</v>
      </c>
      <c r="K12" s="42">
        <v>1950</v>
      </c>
      <c r="L12" s="42">
        <v>2170</v>
      </c>
      <c r="M12" s="42">
        <v>2000</v>
      </c>
      <c r="N12" s="42">
        <v>2450</v>
      </c>
      <c r="O12" s="49">
        <v>22750</v>
      </c>
      <c r="Q12" s="495" t="s">
        <v>110</v>
      </c>
      <c r="R12" s="488">
        <v>70000</v>
      </c>
      <c r="S12" s="488">
        <v>74750</v>
      </c>
      <c r="T12" s="489">
        <f>(S12-R12)/R12</f>
        <v>6.7857142857142852E-2</v>
      </c>
    </row>
    <row r="13" spans="2:26" ht="20" customHeight="1" thickBot="1">
      <c r="B13" s="45" t="s">
        <v>111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9">
        <v>0</v>
      </c>
      <c r="P13" s="38"/>
      <c r="Q13" s="496" t="s">
        <v>112</v>
      </c>
      <c r="R13" s="490">
        <v>73634</v>
      </c>
      <c r="S13" s="490">
        <v>77457</v>
      </c>
      <c r="T13" s="491">
        <f>(S13-R13)/R13</f>
        <v>5.1918950484830376E-2</v>
      </c>
    </row>
    <row r="14" spans="2:26" ht="20" customHeight="1">
      <c r="B14" s="45" t="s">
        <v>113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9">
        <v>0</v>
      </c>
      <c r="P14" s="38"/>
    </row>
    <row r="15" spans="2:26" ht="20" customHeight="1">
      <c r="B15" s="50" t="s">
        <v>24</v>
      </c>
      <c r="C15" s="51">
        <v>4845</v>
      </c>
      <c r="D15" s="51">
        <v>5220</v>
      </c>
      <c r="E15" s="51">
        <v>6480</v>
      </c>
      <c r="F15" s="51">
        <v>5740</v>
      </c>
      <c r="G15" s="51">
        <v>6480</v>
      </c>
      <c r="H15" s="51">
        <v>5890</v>
      </c>
      <c r="I15" s="51">
        <v>6370</v>
      </c>
      <c r="J15" s="51">
        <v>6680</v>
      </c>
      <c r="K15" s="51">
        <v>6295</v>
      </c>
      <c r="L15" s="51">
        <v>6635</v>
      </c>
      <c r="M15" s="51">
        <v>6175</v>
      </c>
      <c r="N15" s="51">
        <v>7940</v>
      </c>
      <c r="R15" s="37"/>
      <c r="Y15" s="152"/>
      <c r="Z15" s="152"/>
    </row>
    <row r="16" spans="2:26" ht="20" customHeight="1">
      <c r="O16" s="52">
        <v>74750</v>
      </c>
      <c r="R16" s="39"/>
    </row>
    <row r="17" spans="2:39" ht="20" customHeight="1">
      <c r="B17" s="623" t="s">
        <v>114</v>
      </c>
      <c r="C17" s="624" t="s">
        <v>74</v>
      </c>
      <c r="D17" s="624" t="s">
        <v>75</v>
      </c>
      <c r="E17" s="624" t="s">
        <v>76</v>
      </c>
      <c r="F17" s="624" t="s">
        <v>77</v>
      </c>
      <c r="G17" s="624" t="s">
        <v>78</v>
      </c>
      <c r="H17" s="624" t="s">
        <v>79</v>
      </c>
      <c r="I17" s="624" t="s">
        <v>80</v>
      </c>
      <c r="J17" s="624" t="s">
        <v>81</v>
      </c>
      <c r="K17" s="624" t="s">
        <v>82</v>
      </c>
      <c r="L17" s="624" t="s">
        <v>83</v>
      </c>
      <c r="M17" s="624" t="s">
        <v>84</v>
      </c>
      <c r="N17" s="624" t="s">
        <v>85</v>
      </c>
      <c r="O17" s="625" t="s">
        <v>24</v>
      </c>
      <c r="P17" s="347" t="s">
        <v>115</v>
      </c>
      <c r="Q17" s="348"/>
      <c r="R17" s="347"/>
    </row>
    <row r="18" spans="2:39" ht="20" customHeight="1">
      <c r="B18" s="166" t="s">
        <v>107</v>
      </c>
      <c r="C18" s="425" t="s">
        <v>74</v>
      </c>
      <c r="D18" s="425" t="s">
        <v>75</v>
      </c>
      <c r="E18" s="425" t="s">
        <v>76</v>
      </c>
      <c r="F18" s="425" t="s">
        <v>77</v>
      </c>
      <c r="G18" s="425" t="s">
        <v>78</v>
      </c>
      <c r="H18" s="425" t="s">
        <v>79</v>
      </c>
      <c r="I18" s="425" t="s">
        <v>80</v>
      </c>
      <c r="J18" s="425" t="s">
        <v>81</v>
      </c>
      <c r="K18" s="425" t="s">
        <v>82</v>
      </c>
      <c r="L18" s="425" t="s">
        <v>83</v>
      </c>
      <c r="M18" s="425" t="s">
        <v>84</v>
      </c>
      <c r="N18" s="425" t="s">
        <v>85</v>
      </c>
      <c r="O18" s="426" t="s">
        <v>24</v>
      </c>
      <c r="P18" s="429"/>
      <c r="Q18" s="38" t="s">
        <v>90</v>
      </c>
      <c r="R18" s="38"/>
      <c r="V18" s="38"/>
      <c r="W18" s="38"/>
      <c r="X18" s="38" t="s">
        <v>116</v>
      </c>
      <c r="Y18" s="38" t="s">
        <v>117</v>
      </c>
      <c r="Z18" s="38"/>
      <c r="AA18" s="38"/>
      <c r="AB18" s="38"/>
      <c r="AC18" s="38"/>
      <c r="AD18" s="38"/>
      <c r="AE18" s="38"/>
      <c r="AF18" s="38"/>
    </row>
    <row r="19" spans="2:39" ht="20" customHeight="1">
      <c r="B19" s="45" t="s">
        <v>88</v>
      </c>
      <c r="C19" s="427">
        <v>560</v>
      </c>
      <c r="D19" s="431">
        <v>690</v>
      </c>
      <c r="E19" s="431">
        <v>800</v>
      </c>
      <c r="F19" s="431">
        <v>700</v>
      </c>
      <c r="G19" s="431">
        <v>780</v>
      </c>
      <c r="H19" s="431">
        <v>760</v>
      </c>
      <c r="I19" s="431">
        <v>775</v>
      </c>
      <c r="J19" s="42">
        <v>750</v>
      </c>
      <c r="K19" s="42">
        <v>715</v>
      </c>
      <c r="L19" s="42">
        <v>685</v>
      </c>
      <c r="M19" s="42">
        <v>620</v>
      </c>
      <c r="N19" s="42">
        <v>780</v>
      </c>
      <c r="O19" s="49">
        <f>SUM(C19:N19)</f>
        <v>8615</v>
      </c>
      <c r="P19" s="430"/>
      <c r="Q19" s="38" t="s">
        <v>118</v>
      </c>
      <c r="R19" s="38"/>
      <c r="S19" s="38" t="s">
        <v>119</v>
      </c>
      <c r="T19" s="374"/>
      <c r="U19" s="38"/>
      <c r="V19" s="38"/>
      <c r="W19" s="38" t="s">
        <v>88</v>
      </c>
      <c r="X19" s="38">
        <v>770</v>
      </c>
      <c r="Y19" s="38">
        <v>750</v>
      </c>
      <c r="Z19" s="374">
        <f>(Y19-X19)/X19</f>
        <v>-2.5974025974025976E-2</v>
      </c>
      <c r="AA19" s="38">
        <f>Y19-X19</f>
        <v>-20</v>
      </c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</row>
    <row r="20" spans="2:39" ht="20" customHeight="1">
      <c r="B20" s="45" t="s">
        <v>89</v>
      </c>
      <c r="C20" s="427">
        <v>260</v>
      </c>
      <c r="D20" s="431">
        <v>260</v>
      </c>
      <c r="E20" s="431">
        <v>370</v>
      </c>
      <c r="F20" s="431">
        <v>305</v>
      </c>
      <c r="G20" s="431">
        <v>320</v>
      </c>
      <c r="H20" s="431">
        <v>300</v>
      </c>
      <c r="I20" s="431">
        <v>270</v>
      </c>
      <c r="J20" s="42">
        <v>300</v>
      </c>
      <c r="K20" s="42">
        <v>345</v>
      </c>
      <c r="L20" s="42">
        <v>370</v>
      </c>
      <c r="M20" s="42">
        <v>340</v>
      </c>
      <c r="N20" s="42">
        <v>430</v>
      </c>
      <c r="O20" s="49">
        <f t="shared" ref="O20:O21" si="0">SUM(C20:N20)</f>
        <v>3870</v>
      </c>
      <c r="Q20" s="38"/>
      <c r="R20" s="38"/>
      <c r="S20" s="38"/>
      <c r="T20" s="38"/>
      <c r="U20" s="38"/>
      <c r="V20" s="38"/>
      <c r="W20" s="38" t="s">
        <v>89</v>
      </c>
      <c r="X20" s="38">
        <v>300</v>
      </c>
      <c r="Y20" s="38">
        <v>300</v>
      </c>
      <c r="Z20" s="374">
        <f t="shared" ref="Z20:Z30" si="1">(Y20-X20)/X20</f>
        <v>0</v>
      </c>
      <c r="AA20" s="38">
        <f t="shared" ref="AA20:AA30" si="2">Y20-X20</f>
        <v>0</v>
      </c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</row>
    <row r="21" spans="2:39" ht="20" customHeight="1">
      <c r="B21" s="45" t="s">
        <v>91</v>
      </c>
      <c r="C21" s="427">
        <v>0</v>
      </c>
      <c r="D21" s="431">
        <v>0</v>
      </c>
      <c r="E21" s="431">
        <v>0</v>
      </c>
      <c r="F21" s="431">
        <v>0</v>
      </c>
      <c r="G21" s="431">
        <v>0</v>
      </c>
      <c r="H21" s="431">
        <v>0</v>
      </c>
      <c r="I21" s="431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9">
        <f t="shared" si="0"/>
        <v>0</v>
      </c>
      <c r="Q21" s="374"/>
      <c r="R21" s="38"/>
      <c r="S21" s="38"/>
      <c r="T21" s="38"/>
      <c r="U21" s="38"/>
      <c r="V21" s="38"/>
      <c r="W21" s="38" t="s">
        <v>91</v>
      </c>
      <c r="X21" s="38">
        <v>0</v>
      </c>
      <c r="Y21" s="38">
        <v>0</v>
      </c>
      <c r="Z21" s="374" t="e">
        <f t="shared" si="1"/>
        <v>#DIV/0!</v>
      </c>
      <c r="AA21" s="38">
        <f t="shared" si="2"/>
        <v>0</v>
      </c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</row>
    <row r="22" spans="2:39" ht="20" customHeight="1">
      <c r="B22" s="45" t="s">
        <v>92</v>
      </c>
      <c r="C22" s="427">
        <v>110</v>
      </c>
      <c r="D22" s="431">
        <v>120</v>
      </c>
      <c r="E22" s="431">
        <v>160</v>
      </c>
      <c r="F22" s="431">
        <v>130</v>
      </c>
      <c r="G22" s="431">
        <v>140</v>
      </c>
      <c r="H22" s="431">
        <v>135</v>
      </c>
      <c r="I22" s="431">
        <v>160</v>
      </c>
      <c r="J22" s="42">
        <v>160</v>
      </c>
      <c r="K22" s="42">
        <v>140</v>
      </c>
      <c r="L22" s="42">
        <v>160</v>
      </c>
      <c r="M22" s="42">
        <v>140</v>
      </c>
      <c r="N22" s="42">
        <v>195</v>
      </c>
      <c r="O22" s="49">
        <f>SUM(C22:N22)</f>
        <v>1750</v>
      </c>
      <c r="Q22" s="38"/>
      <c r="R22" s="374"/>
      <c r="S22" s="38"/>
      <c r="T22" s="38"/>
      <c r="U22" s="38"/>
      <c r="V22" s="38"/>
      <c r="W22" s="38" t="s">
        <v>92</v>
      </c>
      <c r="X22" s="38">
        <v>160</v>
      </c>
      <c r="Y22" s="38">
        <v>160</v>
      </c>
      <c r="Z22" s="374">
        <f t="shared" si="1"/>
        <v>0</v>
      </c>
      <c r="AA22" s="38">
        <f t="shared" si="2"/>
        <v>0</v>
      </c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</row>
    <row r="23" spans="2:39" ht="20" customHeight="1">
      <c r="B23" s="45" t="s">
        <v>93</v>
      </c>
      <c r="C23" s="427">
        <v>15</v>
      </c>
      <c r="D23" s="431">
        <v>30</v>
      </c>
      <c r="E23" s="431">
        <v>120</v>
      </c>
      <c r="F23" s="431">
        <v>120</v>
      </c>
      <c r="G23" s="431">
        <v>132</v>
      </c>
      <c r="H23" s="431">
        <v>125</v>
      </c>
      <c r="I23" s="431">
        <v>150</v>
      </c>
      <c r="J23" s="42">
        <v>145</v>
      </c>
      <c r="K23" s="42">
        <v>150</v>
      </c>
      <c r="L23" s="42">
        <v>125</v>
      </c>
      <c r="M23" s="42">
        <v>123</v>
      </c>
      <c r="N23" s="42">
        <v>135</v>
      </c>
      <c r="O23" s="49">
        <f>SUM(C23:N23)</f>
        <v>1370</v>
      </c>
      <c r="Q23" s="38"/>
      <c r="R23" s="38"/>
      <c r="S23" s="38"/>
      <c r="T23" s="38"/>
      <c r="U23" s="38"/>
      <c r="V23" s="38"/>
      <c r="W23" s="38" t="s">
        <v>93</v>
      </c>
      <c r="X23" s="38">
        <v>145</v>
      </c>
      <c r="Y23" s="38">
        <v>145</v>
      </c>
      <c r="Z23" s="374">
        <f t="shared" si="1"/>
        <v>0</v>
      </c>
      <c r="AA23" s="38">
        <f t="shared" si="2"/>
        <v>0</v>
      </c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</row>
    <row r="24" spans="2:39" ht="20" customHeight="1">
      <c r="B24" s="45" t="s">
        <v>94</v>
      </c>
      <c r="C24" s="427">
        <v>2090</v>
      </c>
      <c r="D24" s="431">
        <v>2380</v>
      </c>
      <c r="E24" s="431">
        <v>2930</v>
      </c>
      <c r="F24" s="431">
        <v>2557</v>
      </c>
      <c r="G24" s="431">
        <v>2900</v>
      </c>
      <c r="H24" s="431">
        <v>2779</v>
      </c>
      <c r="I24" s="431">
        <v>2799</v>
      </c>
      <c r="J24" s="42">
        <v>3115</v>
      </c>
      <c r="K24" s="42">
        <v>2617</v>
      </c>
      <c r="L24" s="42">
        <v>2710</v>
      </c>
      <c r="M24" s="42">
        <v>2462</v>
      </c>
      <c r="N24" s="42">
        <v>3400</v>
      </c>
      <c r="O24" s="49">
        <f>SUM(C24:N24)</f>
        <v>32739</v>
      </c>
      <c r="Q24" s="374"/>
      <c r="R24" s="38"/>
      <c r="S24" s="38"/>
      <c r="T24" s="38"/>
      <c r="U24" s="38"/>
      <c r="V24" s="38"/>
      <c r="W24" s="38" t="s">
        <v>94</v>
      </c>
      <c r="X24" s="38">
        <v>2905</v>
      </c>
      <c r="Y24" s="38">
        <v>3115</v>
      </c>
      <c r="Z24" s="374">
        <f t="shared" si="1"/>
        <v>7.2289156626506021E-2</v>
      </c>
      <c r="AA24" s="38">
        <f t="shared" si="2"/>
        <v>210</v>
      </c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</row>
    <row r="25" spans="2:39" ht="20" customHeight="1">
      <c r="B25" s="45" t="s">
        <v>95</v>
      </c>
      <c r="C25" s="427">
        <v>20</v>
      </c>
      <c r="D25" s="431">
        <v>30</v>
      </c>
      <c r="E25" s="431">
        <v>35</v>
      </c>
      <c r="F25" s="431">
        <v>18</v>
      </c>
      <c r="G25" s="431">
        <v>18</v>
      </c>
      <c r="H25" s="431">
        <v>18</v>
      </c>
      <c r="I25" s="431">
        <v>66</v>
      </c>
      <c r="J25" s="42">
        <v>120</v>
      </c>
      <c r="K25" s="42">
        <v>120</v>
      </c>
      <c r="L25" s="42">
        <v>145</v>
      </c>
      <c r="M25" s="42">
        <v>110</v>
      </c>
      <c r="N25" s="42">
        <v>110</v>
      </c>
      <c r="O25" s="49">
        <f>SUM(C25:N25)</f>
        <v>810</v>
      </c>
      <c r="Q25" s="374"/>
      <c r="R25" s="38"/>
      <c r="S25" s="38"/>
      <c r="T25" s="38"/>
      <c r="U25" s="38"/>
      <c r="V25" s="38"/>
      <c r="W25" s="38" t="s">
        <v>95</v>
      </c>
      <c r="X25" s="38">
        <v>120</v>
      </c>
      <c r="Y25" s="38">
        <v>120</v>
      </c>
      <c r="Z25" s="374">
        <f t="shared" si="1"/>
        <v>0</v>
      </c>
      <c r="AA25" s="38">
        <f t="shared" si="2"/>
        <v>0</v>
      </c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</row>
    <row r="26" spans="2:39" ht="20" customHeight="1">
      <c r="B26" s="45" t="s">
        <v>108</v>
      </c>
      <c r="C26" s="427">
        <v>290</v>
      </c>
      <c r="D26" s="431">
        <v>280</v>
      </c>
      <c r="E26" s="431">
        <v>370</v>
      </c>
      <c r="F26" s="431">
        <v>310</v>
      </c>
      <c r="G26" s="431">
        <v>360</v>
      </c>
      <c r="H26" s="431">
        <v>300</v>
      </c>
      <c r="I26" s="431">
        <v>340</v>
      </c>
      <c r="J26" s="42">
        <v>370</v>
      </c>
      <c r="K26" s="42">
        <v>353</v>
      </c>
      <c r="L26" s="42">
        <v>360</v>
      </c>
      <c r="M26" s="42">
        <v>330</v>
      </c>
      <c r="N26" s="42">
        <v>380</v>
      </c>
      <c r="O26" s="49">
        <f>SUM(C26:N26)</f>
        <v>4043</v>
      </c>
      <c r="P26" s="38"/>
      <c r="Q26" s="38"/>
      <c r="R26" s="38"/>
      <c r="S26" s="38"/>
      <c r="T26" s="38"/>
      <c r="U26" s="38"/>
      <c r="V26" s="38"/>
      <c r="W26" s="38" t="s">
        <v>108</v>
      </c>
      <c r="X26" s="38">
        <v>370</v>
      </c>
      <c r="Y26" s="38">
        <v>370</v>
      </c>
      <c r="Z26" s="374">
        <f t="shared" si="1"/>
        <v>0</v>
      </c>
      <c r="AA26" s="38">
        <f t="shared" si="2"/>
        <v>0</v>
      </c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</row>
    <row r="27" spans="2:39" ht="20" customHeight="1">
      <c r="B27" s="45" t="s">
        <v>97</v>
      </c>
      <c r="C27" s="427">
        <v>1500</v>
      </c>
      <c r="D27" s="431">
        <v>1560</v>
      </c>
      <c r="E27" s="431">
        <v>2105</v>
      </c>
      <c r="F27" s="431">
        <v>1700</v>
      </c>
      <c r="G27" s="431">
        <v>1870</v>
      </c>
      <c r="H27" s="431">
        <v>1700</v>
      </c>
      <c r="I27" s="431">
        <v>1900</v>
      </c>
      <c r="J27" s="42">
        <v>1930</v>
      </c>
      <c r="K27" s="42">
        <v>1960</v>
      </c>
      <c r="L27" s="42">
        <v>2080</v>
      </c>
      <c r="M27" s="42">
        <v>2050</v>
      </c>
      <c r="N27" s="42">
        <v>2510</v>
      </c>
      <c r="O27" s="49">
        <f>SUM(C27:N27)</f>
        <v>22865</v>
      </c>
      <c r="Q27" s="38"/>
      <c r="R27" s="38"/>
      <c r="S27" s="38"/>
      <c r="T27" s="38"/>
      <c r="U27" s="38"/>
      <c r="V27" s="38"/>
      <c r="W27" s="38" t="s">
        <v>97</v>
      </c>
      <c r="X27" s="38">
        <v>2033</v>
      </c>
      <c r="Y27" s="38">
        <v>1930</v>
      </c>
      <c r="Z27" s="374">
        <f t="shared" si="1"/>
        <v>-5.0664043285784555E-2</v>
      </c>
      <c r="AA27" s="38">
        <f t="shared" si="2"/>
        <v>-103</v>
      </c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</row>
    <row r="28" spans="2:39" ht="20" customHeight="1">
      <c r="B28" s="45" t="s">
        <v>111</v>
      </c>
      <c r="C28" s="427">
        <v>0</v>
      </c>
      <c r="D28" s="431">
        <v>0</v>
      </c>
      <c r="E28" s="431">
        <v>0</v>
      </c>
      <c r="F28" s="431">
        <v>0</v>
      </c>
      <c r="G28" s="431">
        <v>0</v>
      </c>
      <c r="H28" s="431">
        <v>0</v>
      </c>
      <c r="I28" s="431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9">
        <f>SUM(C28:N28)</f>
        <v>0</v>
      </c>
      <c r="Q28" s="38"/>
      <c r="R28" s="38"/>
      <c r="S28" s="38"/>
      <c r="T28" s="38"/>
      <c r="U28" s="38"/>
      <c r="V28" s="38"/>
      <c r="W28" s="38" t="s">
        <v>111</v>
      </c>
      <c r="X28" s="38">
        <v>0</v>
      </c>
      <c r="Y28" s="38">
        <v>0</v>
      </c>
      <c r="Z28" s="374" t="e">
        <f t="shared" si="1"/>
        <v>#DIV/0!</v>
      </c>
      <c r="AA28" s="38">
        <f t="shared" si="2"/>
        <v>0</v>
      </c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</row>
    <row r="29" spans="2:39" ht="20" customHeight="1">
      <c r="B29" s="45" t="s">
        <v>113</v>
      </c>
      <c r="C29" s="427">
        <v>0</v>
      </c>
      <c r="D29" s="431">
        <v>0</v>
      </c>
      <c r="E29" s="431">
        <v>0</v>
      </c>
      <c r="F29" s="431">
        <v>0</v>
      </c>
      <c r="G29" s="431">
        <v>0</v>
      </c>
      <c r="H29" s="431">
        <v>0</v>
      </c>
      <c r="I29" s="431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9">
        <f>SUM(C29:N29)</f>
        <v>0</v>
      </c>
      <c r="Q29" s="38"/>
      <c r="R29" s="38"/>
      <c r="S29" s="38"/>
      <c r="T29" s="38"/>
      <c r="U29" s="38"/>
      <c r="V29" s="38"/>
      <c r="W29" s="38" t="s">
        <v>113</v>
      </c>
      <c r="X29" s="38">
        <v>0</v>
      </c>
      <c r="Y29" s="38">
        <v>0</v>
      </c>
      <c r="Z29" s="374" t="e">
        <f t="shared" si="1"/>
        <v>#DIV/0!</v>
      </c>
      <c r="AA29" s="38">
        <f t="shared" si="2"/>
        <v>0</v>
      </c>
      <c r="AB29" s="374"/>
      <c r="AC29" s="374"/>
      <c r="AD29" s="374"/>
      <c r="AE29" s="374"/>
      <c r="AF29" s="374"/>
      <c r="AG29" s="38"/>
      <c r="AH29" s="38"/>
      <c r="AI29" s="38"/>
      <c r="AJ29" s="38"/>
      <c r="AK29" s="38"/>
      <c r="AL29" s="38"/>
      <c r="AM29" s="38"/>
    </row>
    <row r="30" spans="2:39" ht="20" customHeight="1" thickBot="1">
      <c r="B30" s="50" t="s">
        <v>24</v>
      </c>
      <c r="C30" s="428">
        <v>4845</v>
      </c>
      <c r="D30" s="432">
        <v>5350</v>
      </c>
      <c r="E30" s="432">
        <v>6890</v>
      </c>
      <c r="F30" s="432">
        <v>5840</v>
      </c>
      <c r="G30" s="432">
        <v>6520</v>
      </c>
      <c r="H30" s="432">
        <v>6117</v>
      </c>
      <c r="I30" s="432">
        <v>6460</v>
      </c>
      <c r="J30" s="51">
        <v>6890</v>
      </c>
      <c r="K30" s="51">
        <v>6400</v>
      </c>
      <c r="L30" s="51">
        <v>6635</v>
      </c>
      <c r="M30" s="51">
        <v>6175</v>
      </c>
      <c r="N30" s="51">
        <v>7940</v>
      </c>
      <c r="O30" s="52">
        <f>SUM(C30:N30)</f>
        <v>76062</v>
      </c>
      <c r="Q30" s="374"/>
      <c r="R30" s="152"/>
      <c r="S30" s="38"/>
      <c r="T30" s="38"/>
      <c r="U30" s="38"/>
      <c r="V30" s="38"/>
      <c r="W30" s="38" t="s">
        <v>24</v>
      </c>
      <c r="X30" s="38">
        <v>6803</v>
      </c>
      <c r="Y30" s="38">
        <v>6890</v>
      </c>
      <c r="Z30" s="152">
        <f t="shared" si="1"/>
        <v>1.2788475672497428E-2</v>
      </c>
      <c r="AA30" s="38">
        <f t="shared" si="2"/>
        <v>87</v>
      </c>
      <c r="AB30" s="152"/>
      <c r="AC30" s="152"/>
      <c r="AD30" s="152"/>
      <c r="AE30" s="152"/>
      <c r="AF30" s="152"/>
      <c r="AG30" s="38"/>
      <c r="AH30" s="38"/>
      <c r="AI30" s="38"/>
      <c r="AJ30" s="38"/>
      <c r="AK30" s="38"/>
      <c r="AL30" s="38"/>
      <c r="AM30" s="38"/>
    </row>
    <row r="31" spans="2:39" ht="20" customHeight="1" thickBot="1">
      <c r="B31" s="519"/>
      <c r="C31" s="520"/>
      <c r="D31" s="520"/>
      <c r="E31" s="520"/>
      <c r="F31" s="520"/>
      <c r="G31" s="520"/>
      <c r="H31" s="520"/>
      <c r="I31" s="520"/>
      <c r="J31" s="520"/>
      <c r="K31" s="520"/>
      <c r="L31" s="520"/>
      <c r="M31" s="520"/>
      <c r="N31" s="520"/>
      <c r="O31" s="521"/>
      <c r="Q31" s="522"/>
      <c r="R31" s="38"/>
      <c r="S31" s="38"/>
      <c r="T31" s="38"/>
      <c r="U31" s="38"/>
      <c r="V31" s="38"/>
      <c r="W31" s="38"/>
      <c r="X31" s="38"/>
      <c r="Y31" s="38"/>
      <c r="Z31" s="374"/>
      <c r="AA31" s="38"/>
      <c r="AB31" s="152"/>
      <c r="AC31" s="152"/>
      <c r="AD31" s="152"/>
      <c r="AE31" s="152"/>
      <c r="AF31" s="152"/>
      <c r="AG31" s="38"/>
      <c r="AH31" s="38"/>
      <c r="AI31" s="38"/>
      <c r="AJ31" s="38"/>
      <c r="AK31" s="38"/>
      <c r="AL31" s="38"/>
      <c r="AM31" s="38"/>
    </row>
    <row r="32" spans="2:39" ht="20" customHeight="1" thickBot="1">
      <c r="B32" s="626" t="s">
        <v>120</v>
      </c>
      <c r="C32" s="627" t="s">
        <v>74</v>
      </c>
      <c r="D32" s="627" t="s">
        <v>75</v>
      </c>
      <c r="E32" s="627" t="s">
        <v>76</v>
      </c>
      <c r="F32" s="627" t="s">
        <v>77</v>
      </c>
      <c r="G32" s="627" t="s">
        <v>78</v>
      </c>
      <c r="H32" s="627" t="s">
        <v>79</v>
      </c>
      <c r="I32" s="627" t="s">
        <v>80</v>
      </c>
      <c r="J32" s="627" t="s">
        <v>81</v>
      </c>
      <c r="K32" s="627" t="s">
        <v>82</v>
      </c>
      <c r="L32" s="627" t="s">
        <v>83</v>
      </c>
      <c r="M32" s="627" t="s">
        <v>84</v>
      </c>
      <c r="N32" s="627" t="s">
        <v>85</v>
      </c>
      <c r="O32" s="628" t="s">
        <v>24</v>
      </c>
      <c r="Q32" s="522"/>
      <c r="R32" s="38"/>
      <c r="S32" s="38"/>
      <c r="T32" s="38"/>
      <c r="U32" s="38"/>
      <c r="V32" s="38"/>
      <c r="W32" s="38"/>
      <c r="X32" s="543"/>
      <c r="Y32" s="543"/>
      <c r="Z32" s="543"/>
      <c r="AA32" s="543"/>
      <c r="AB32" s="543"/>
      <c r="AC32" s="543"/>
      <c r="AD32" s="543"/>
      <c r="AE32" s="543"/>
      <c r="AF32" s="543"/>
      <c r="AG32" s="38"/>
      <c r="AH32" s="38"/>
      <c r="AI32" s="38"/>
      <c r="AJ32" s="38"/>
      <c r="AK32" s="38"/>
      <c r="AL32" s="38"/>
      <c r="AM32" s="38"/>
    </row>
    <row r="33" spans="2:39" ht="20" customHeight="1">
      <c r="B33" s="44" t="s">
        <v>107</v>
      </c>
      <c r="C33" s="43" t="s">
        <v>74</v>
      </c>
      <c r="D33" s="43" t="s">
        <v>75</v>
      </c>
      <c r="E33" s="43" t="s">
        <v>76</v>
      </c>
      <c r="F33" s="43" t="s">
        <v>77</v>
      </c>
      <c r="G33" s="43" t="s">
        <v>78</v>
      </c>
      <c r="H33" s="43" t="s">
        <v>79</v>
      </c>
      <c r="I33" s="43" t="s">
        <v>80</v>
      </c>
      <c r="J33" s="43" t="s">
        <v>81</v>
      </c>
      <c r="K33" s="43" t="s">
        <v>82</v>
      </c>
      <c r="L33" s="43" t="s">
        <v>83</v>
      </c>
      <c r="M33" s="43" t="s">
        <v>84</v>
      </c>
      <c r="N33" s="43" t="s">
        <v>85</v>
      </c>
      <c r="O33" s="48" t="s">
        <v>24</v>
      </c>
      <c r="Q33" s="522"/>
      <c r="R33" s="38"/>
      <c r="S33" s="38"/>
      <c r="T33" s="38"/>
      <c r="U33" s="38"/>
      <c r="V33" s="38"/>
      <c r="W33" s="38"/>
      <c r="X33" s="543"/>
      <c r="Y33" s="543"/>
      <c r="Z33" s="543"/>
      <c r="AA33" s="543"/>
      <c r="AB33" s="543"/>
      <c r="AC33" s="543"/>
      <c r="AD33" s="543"/>
      <c r="AE33" s="543"/>
      <c r="AF33" s="543"/>
      <c r="AG33" s="38"/>
      <c r="AH33" s="38"/>
      <c r="AI33" s="38"/>
      <c r="AJ33" s="38"/>
      <c r="AK33" s="38"/>
      <c r="AL33" s="38"/>
      <c r="AM33" s="38"/>
    </row>
    <row r="34" spans="2:39" ht="20" customHeight="1">
      <c r="B34" s="45" t="s">
        <v>88</v>
      </c>
      <c r="C34" s="427">
        <v>560</v>
      </c>
      <c r="D34" s="431">
        <v>690</v>
      </c>
      <c r="E34" s="431">
        <v>800</v>
      </c>
      <c r="F34" s="431">
        <v>700</v>
      </c>
      <c r="G34" s="431">
        <v>780</v>
      </c>
      <c r="H34" s="431">
        <v>760</v>
      </c>
      <c r="I34" s="42">
        <v>775</v>
      </c>
      <c r="J34" s="42">
        <v>770</v>
      </c>
      <c r="K34" s="42">
        <v>760</v>
      </c>
      <c r="L34" s="42">
        <v>735</v>
      </c>
      <c r="M34" s="42">
        <v>670</v>
      </c>
      <c r="N34" s="42">
        <v>820</v>
      </c>
      <c r="O34" s="49">
        <f>SUM(C34:N34)</f>
        <v>8820</v>
      </c>
      <c r="Q34" s="374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</row>
    <row r="35" spans="2:39" ht="20" customHeight="1">
      <c r="B35" s="45" t="s">
        <v>89</v>
      </c>
      <c r="C35" s="427">
        <v>260</v>
      </c>
      <c r="D35" s="431">
        <v>260</v>
      </c>
      <c r="E35" s="431">
        <v>370</v>
      </c>
      <c r="F35" s="431">
        <v>305</v>
      </c>
      <c r="G35" s="431">
        <v>320</v>
      </c>
      <c r="H35" s="431">
        <v>300</v>
      </c>
      <c r="I35" s="42">
        <v>270</v>
      </c>
      <c r="J35" s="42">
        <v>300</v>
      </c>
      <c r="K35" s="42">
        <v>345</v>
      </c>
      <c r="L35" s="42">
        <v>370</v>
      </c>
      <c r="M35" s="42">
        <v>340</v>
      </c>
      <c r="N35" s="42">
        <v>430</v>
      </c>
      <c r="O35" s="49">
        <f t="shared" ref="O35:O36" si="3">SUM(C35:N35)</f>
        <v>3870</v>
      </c>
      <c r="Q35" s="522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</row>
    <row r="36" spans="2:39" ht="20" customHeight="1">
      <c r="B36" s="45" t="s">
        <v>91</v>
      </c>
      <c r="C36" s="427">
        <v>0</v>
      </c>
      <c r="D36" s="431">
        <v>0</v>
      </c>
      <c r="E36" s="431">
        <v>0</v>
      </c>
      <c r="F36" s="431">
        <v>0</v>
      </c>
      <c r="G36" s="431">
        <v>0</v>
      </c>
      <c r="H36" s="431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9">
        <f t="shared" si="3"/>
        <v>0</v>
      </c>
      <c r="Q36" s="374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</row>
    <row r="37" spans="2:39" ht="20" customHeight="1">
      <c r="B37" s="45" t="s">
        <v>92</v>
      </c>
      <c r="C37" s="427">
        <v>110</v>
      </c>
      <c r="D37" s="431">
        <v>120</v>
      </c>
      <c r="E37" s="431">
        <v>160</v>
      </c>
      <c r="F37" s="431">
        <v>130</v>
      </c>
      <c r="G37" s="431">
        <v>140</v>
      </c>
      <c r="H37" s="431">
        <v>135</v>
      </c>
      <c r="I37" s="42">
        <v>160</v>
      </c>
      <c r="J37" s="42">
        <v>160</v>
      </c>
      <c r="K37" s="42">
        <v>140</v>
      </c>
      <c r="L37" s="42">
        <v>160</v>
      </c>
      <c r="M37" s="42">
        <v>140</v>
      </c>
      <c r="N37" s="42">
        <v>195</v>
      </c>
      <c r="O37" s="49">
        <f>SUM(C37:N37)</f>
        <v>1750</v>
      </c>
      <c r="Q37" s="374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</row>
    <row r="38" spans="2:39" ht="20" customHeight="1">
      <c r="B38" s="45" t="s">
        <v>93</v>
      </c>
      <c r="C38" s="427">
        <v>15</v>
      </c>
      <c r="D38" s="431">
        <v>30</v>
      </c>
      <c r="E38" s="431">
        <v>120</v>
      </c>
      <c r="F38" s="431">
        <v>120</v>
      </c>
      <c r="G38" s="431">
        <v>132</v>
      </c>
      <c r="H38" s="431">
        <v>125</v>
      </c>
      <c r="I38" s="42">
        <v>150</v>
      </c>
      <c r="J38" s="42">
        <v>145</v>
      </c>
      <c r="K38" s="42">
        <v>150</v>
      </c>
      <c r="L38" s="42">
        <v>125</v>
      </c>
      <c r="M38" s="42">
        <v>123</v>
      </c>
      <c r="N38" s="42">
        <v>135</v>
      </c>
      <c r="O38" s="49">
        <f t="shared" ref="O38:O44" si="4">SUM(C38:N38)</f>
        <v>1370</v>
      </c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</row>
    <row r="39" spans="2:39" ht="20" customHeight="1">
      <c r="B39" s="45" t="s">
        <v>94</v>
      </c>
      <c r="C39" s="427">
        <v>2090</v>
      </c>
      <c r="D39" s="431">
        <v>2380</v>
      </c>
      <c r="E39" s="431">
        <v>2930</v>
      </c>
      <c r="F39" s="431">
        <v>2557</v>
      </c>
      <c r="G39" s="431">
        <v>2900</v>
      </c>
      <c r="H39" s="431">
        <v>2779</v>
      </c>
      <c r="I39" s="42">
        <v>2799</v>
      </c>
      <c r="J39" s="42">
        <v>2905</v>
      </c>
      <c r="K39" s="42">
        <v>2517</v>
      </c>
      <c r="L39" s="42">
        <v>2714</v>
      </c>
      <c r="M39" s="42">
        <v>2502</v>
      </c>
      <c r="N39" s="42">
        <v>3454</v>
      </c>
      <c r="O39" s="49">
        <f t="shared" si="4"/>
        <v>32527</v>
      </c>
      <c r="R39" s="38"/>
      <c r="T39" s="38"/>
      <c r="U39" s="38"/>
      <c r="V39" s="38"/>
      <c r="W39" s="38"/>
      <c r="X39" s="38"/>
      <c r="Y39" s="38"/>
      <c r="Z39" s="38"/>
      <c r="AA39" s="38"/>
      <c r="AB39" s="38"/>
    </row>
    <row r="40" spans="2:39" ht="20" customHeight="1">
      <c r="B40" s="45" t="s">
        <v>95</v>
      </c>
      <c r="C40" s="427">
        <v>20</v>
      </c>
      <c r="D40" s="431">
        <v>30</v>
      </c>
      <c r="E40" s="431">
        <v>35</v>
      </c>
      <c r="F40" s="431">
        <v>18</v>
      </c>
      <c r="G40" s="431">
        <v>18</v>
      </c>
      <c r="H40" s="431">
        <v>18</v>
      </c>
      <c r="I40" s="42">
        <v>66</v>
      </c>
      <c r="J40" s="42">
        <v>120</v>
      </c>
      <c r="K40" s="42">
        <v>120</v>
      </c>
      <c r="L40" s="42">
        <v>145</v>
      </c>
      <c r="M40" s="42">
        <v>125</v>
      </c>
      <c r="N40" s="42">
        <v>150</v>
      </c>
      <c r="O40" s="49">
        <f t="shared" si="4"/>
        <v>865</v>
      </c>
      <c r="R40" s="38"/>
      <c r="V40" s="38"/>
      <c r="X40" s="38"/>
      <c r="Y40" s="38"/>
      <c r="Z40" s="152"/>
      <c r="AA40" s="38"/>
      <c r="AB40" s="38"/>
    </row>
    <row r="41" spans="2:39" ht="20" customHeight="1">
      <c r="B41" s="45" t="s">
        <v>108</v>
      </c>
      <c r="C41" s="427">
        <v>290</v>
      </c>
      <c r="D41" s="431">
        <v>280</v>
      </c>
      <c r="E41" s="431">
        <v>370</v>
      </c>
      <c r="F41" s="431">
        <v>310</v>
      </c>
      <c r="G41" s="431">
        <v>360</v>
      </c>
      <c r="H41" s="431">
        <v>300</v>
      </c>
      <c r="I41" s="42">
        <v>340</v>
      </c>
      <c r="J41" s="42">
        <v>370</v>
      </c>
      <c r="K41" s="42">
        <v>353</v>
      </c>
      <c r="L41" s="42">
        <v>360</v>
      </c>
      <c r="M41" s="42">
        <v>340</v>
      </c>
      <c r="N41" s="42">
        <v>450</v>
      </c>
      <c r="O41" s="49">
        <f t="shared" si="4"/>
        <v>4123</v>
      </c>
      <c r="R41" s="38"/>
      <c r="V41" s="38"/>
      <c r="X41" s="38"/>
      <c r="Y41" s="38"/>
      <c r="Z41" s="152"/>
      <c r="AA41" s="38"/>
      <c r="AB41" s="38"/>
    </row>
    <row r="42" spans="2:39" ht="20" customHeight="1">
      <c r="B42" s="45" t="s">
        <v>97</v>
      </c>
      <c r="C42" s="427">
        <v>1500</v>
      </c>
      <c r="D42" s="431">
        <v>1560</v>
      </c>
      <c r="E42" s="431">
        <v>2105</v>
      </c>
      <c r="F42" s="431">
        <v>1700</v>
      </c>
      <c r="G42" s="431">
        <v>1870</v>
      </c>
      <c r="H42" s="431">
        <v>1700</v>
      </c>
      <c r="I42" s="42">
        <v>1900</v>
      </c>
      <c r="J42" s="42">
        <v>2033</v>
      </c>
      <c r="K42" s="42">
        <v>2015</v>
      </c>
      <c r="L42" s="42">
        <v>2080</v>
      </c>
      <c r="M42" s="42">
        <v>2015</v>
      </c>
      <c r="N42" s="42">
        <v>2570</v>
      </c>
      <c r="O42" s="49">
        <f t="shared" si="4"/>
        <v>23048</v>
      </c>
      <c r="T42" s="38"/>
      <c r="U42" s="38"/>
      <c r="V42" s="38"/>
      <c r="W42" s="38"/>
      <c r="X42" s="38"/>
      <c r="Y42" s="38"/>
      <c r="Z42" s="38"/>
      <c r="AA42" s="38"/>
      <c r="AB42" s="38"/>
    </row>
    <row r="43" spans="2:39" ht="20" customHeight="1">
      <c r="B43" s="45" t="s">
        <v>111</v>
      </c>
      <c r="C43" s="427">
        <v>0</v>
      </c>
      <c r="D43" s="431">
        <v>0</v>
      </c>
      <c r="E43" s="431">
        <v>0</v>
      </c>
      <c r="F43" s="431">
        <v>0</v>
      </c>
      <c r="G43" s="431">
        <v>0</v>
      </c>
      <c r="H43" s="431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9">
        <f t="shared" si="4"/>
        <v>0</v>
      </c>
      <c r="T43" s="38"/>
      <c r="U43" s="38"/>
      <c r="V43" s="38"/>
      <c r="W43" s="38"/>
      <c r="X43" s="38"/>
      <c r="Y43" s="38"/>
      <c r="Z43" s="38"/>
      <c r="AA43" s="38"/>
      <c r="AB43" s="38"/>
    </row>
    <row r="44" spans="2:39" ht="20" customHeight="1">
      <c r="B44" s="45" t="s">
        <v>113</v>
      </c>
      <c r="C44" s="427">
        <v>0</v>
      </c>
      <c r="D44" s="431">
        <v>0</v>
      </c>
      <c r="E44" s="431">
        <v>0</v>
      </c>
      <c r="F44" s="431">
        <v>0</v>
      </c>
      <c r="G44" s="431">
        <v>0</v>
      </c>
      <c r="H44" s="431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9">
        <f t="shared" si="4"/>
        <v>0</v>
      </c>
      <c r="T44" s="38"/>
      <c r="U44" s="38"/>
      <c r="V44" s="38"/>
      <c r="W44" s="38"/>
      <c r="X44" s="38"/>
      <c r="Y44" s="38"/>
      <c r="Z44" s="38"/>
      <c r="AA44" s="38"/>
      <c r="AB44" s="38"/>
    </row>
    <row r="45" spans="2:39" ht="20" customHeight="1" thickBot="1">
      <c r="B45" s="50" t="s">
        <v>24</v>
      </c>
      <c r="C45" s="428">
        <v>4845</v>
      </c>
      <c r="D45" s="432">
        <v>5350</v>
      </c>
      <c r="E45" s="432">
        <v>6890</v>
      </c>
      <c r="F45" s="432">
        <v>5840</v>
      </c>
      <c r="G45" s="432">
        <v>6520</v>
      </c>
      <c r="H45" s="432">
        <v>6117</v>
      </c>
      <c r="I45" s="51">
        <v>6460</v>
      </c>
      <c r="J45" s="51">
        <v>6803</v>
      </c>
      <c r="K45" s="51">
        <v>6400</v>
      </c>
      <c r="L45" s="51">
        <v>6689</v>
      </c>
      <c r="M45" s="51">
        <v>6255</v>
      </c>
      <c r="N45" s="51">
        <v>8204</v>
      </c>
      <c r="O45" s="52">
        <f>SUM(C45:N45)</f>
        <v>76373</v>
      </c>
      <c r="T45" s="38"/>
      <c r="U45" s="38"/>
      <c r="V45" s="38"/>
      <c r="W45" s="38"/>
      <c r="X45" s="38"/>
      <c r="Y45" s="38"/>
      <c r="Z45" s="38"/>
      <c r="AA45" s="38"/>
      <c r="AB45" s="38"/>
    </row>
    <row r="46" spans="2:39" ht="20" customHeight="1" thickBot="1">
      <c r="B46" s="519"/>
      <c r="C46" s="520"/>
      <c r="D46" s="520"/>
      <c r="E46" s="520"/>
      <c r="F46" s="520"/>
      <c r="G46" s="520"/>
      <c r="H46" s="520"/>
      <c r="I46" s="520"/>
      <c r="J46" s="520"/>
      <c r="K46" s="520"/>
      <c r="L46" s="520"/>
      <c r="M46" s="520"/>
      <c r="N46" s="520"/>
      <c r="O46" s="521"/>
      <c r="T46" s="38"/>
      <c r="U46" s="38"/>
      <c r="V46" s="38"/>
      <c r="W46" s="38"/>
      <c r="X46" s="38"/>
      <c r="Y46" s="38"/>
      <c r="Z46" s="38"/>
      <c r="AA46" s="38"/>
      <c r="AB46" s="38"/>
    </row>
    <row r="47" spans="2:39" ht="20" customHeight="1" thickBot="1">
      <c r="B47" s="626" t="s">
        <v>121</v>
      </c>
      <c r="C47" s="627" t="s">
        <v>74</v>
      </c>
      <c r="D47" s="627" t="s">
        <v>75</v>
      </c>
      <c r="E47" s="627" t="s">
        <v>76</v>
      </c>
      <c r="F47" s="627" t="s">
        <v>77</v>
      </c>
      <c r="G47" s="627" t="s">
        <v>78</v>
      </c>
      <c r="H47" s="627" t="s">
        <v>79</v>
      </c>
      <c r="I47" s="627" t="s">
        <v>80</v>
      </c>
      <c r="J47" s="627" t="s">
        <v>81</v>
      </c>
      <c r="K47" s="627" t="s">
        <v>82</v>
      </c>
      <c r="L47" s="627" t="s">
        <v>83</v>
      </c>
      <c r="M47" s="627" t="s">
        <v>84</v>
      </c>
      <c r="N47" s="627" t="s">
        <v>85</v>
      </c>
      <c r="O47" s="628" t="s">
        <v>24</v>
      </c>
      <c r="T47" s="38"/>
      <c r="U47" s="38"/>
      <c r="V47" s="38"/>
      <c r="W47" s="38"/>
      <c r="X47" s="38"/>
      <c r="Y47" s="38"/>
      <c r="Z47" s="38"/>
      <c r="AA47" s="38"/>
      <c r="AB47" s="38"/>
    </row>
    <row r="48" spans="2:39" ht="20" customHeight="1">
      <c r="B48" s="44" t="s">
        <v>107</v>
      </c>
      <c r="C48" s="43" t="s">
        <v>74</v>
      </c>
      <c r="D48" s="43" t="s">
        <v>75</v>
      </c>
      <c r="E48" s="43" t="s">
        <v>76</v>
      </c>
      <c r="F48" s="43" t="s">
        <v>77</v>
      </c>
      <c r="G48" s="43" t="s">
        <v>78</v>
      </c>
      <c r="H48" s="43" t="s">
        <v>79</v>
      </c>
      <c r="I48" s="43" t="s">
        <v>80</v>
      </c>
      <c r="J48" s="43" t="s">
        <v>81</v>
      </c>
      <c r="K48" s="43" t="s">
        <v>82</v>
      </c>
      <c r="L48" s="43" t="s">
        <v>83</v>
      </c>
      <c r="M48" s="43" t="s">
        <v>84</v>
      </c>
      <c r="N48" s="43" t="s">
        <v>85</v>
      </c>
      <c r="O48" s="48" t="s">
        <v>24</v>
      </c>
      <c r="T48" s="38"/>
      <c r="U48" s="38"/>
      <c r="V48" s="38"/>
      <c r="W48" s="38"/>
      <c r="X48" s="38"/>
      <c r="Y48" s="38"/>
      <c r="Z48" s="38"/>
      <c r="AA48" s="38"/>
      <c r="AB48" s="38"/>
    </row>
    <row r="49" spans="2:15" ht="20" customHeight="1">
      <c r="B49" s="45" t="s">
        <v>88</v>
      </c>
      <c r="C49" s="427">
        <v>560</v>
      </c>
      <c r="D49" s="431">
        <v>690</v>
      </c>
      <c r="E49" s="431">
        <v>800</v>
      </c>
      <c r="F49" s="431">
        <v>700</v>
      </c>
      <c r="G49" s="431">
        <v>780</v>
      </c>
      <c r="H49" s="42">
        <v>760</v>
      </c>
      <c r="I49" s="42">
        <v>730</v>
      </c>
      <c r="J49" s="42">
        <v>720</v>
      </c>
      <c r="K49" s="42">
        <v>710</v>
      </c>
      <c r="L49" s="42">
        <v>735</v>
      </c>
      <c r="M49" s="42">
        <v>672</v>
      </c>
      <c r="N49" s="42">
        <v>860</v>
      </c>
      <c r="O49" s="49">
        <f>SUM(C49:N49)</f>
        <v>8717</v>
      </c>
    </row>
    <row r="50" spans="2:15" ht="20" customHeight="1">
      <c r="B50" s="45" t="s">
        <v>89</v>
      </c>
      <c r="C50" s="427">
        <v>260</v>
      </c>
      <c r="D50" s="431">
        <v>260</v>
      </c>
      <c r="E50" s="431">
        <v>370</v>
      </c>
      <c r="F50" s="431">
        <v>305</v>
      </c>
      <c r="G50" s="431">
        <v>320</v>
      </c>
      <c r="H50" s="42">
        <v>300</v>
      </c>
      <c r="I50" s="42">
        <v>270</v>
      </c>
      <c r="J50" s="42">
        <v>300</v>
      </c>
      <c r="K50" s="42">
        <v>345</v>
      </c>
      <c r="L50" s="42">
        <v>370</v>
      </c>
      <c r="M50" s="42">
        <v>340</v>
      </c>
      <c r="N50" s="42">
        <v>430</v>
      </c>
      <c r="O50" s="49">
        <f t="shared" ref="O50:O51" si="5">SUM(C50:N50)</f>
        <v>3870</v>
      </c>
    </row>
    <row r="51" spans="2:15" ht="20" customHeight="1">
      <c r="B51" s="45" t="s">
        <v>91</v>
      </c>
      <c r="C51" s="427">
        <v>0</v>
      </c>
      <c r="D51" s="431">
        <v>0</v>
      </c>
      <c r="E51" s="431">
        <v>0</v>
      </c>
      <c r="F51" s="431">
        <v>0</v>
      </c>
      <c r="G51" s="431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9">
        <f t="shared" si="5"/>
        <v>0</v>
      </c>
    </row>
    <row r="52" spans="2:15" ht="20" customHeight="1">
      <c r="B52" s="45" t="s">
        <v>92</v>
      </c>
      <c r="C52" s="427">
        <v>110</v>
      </c>
      <c r="D52" s="431">
        <v>120</v>
      </c>
      <c r="E52" s="431">
        <v>160</v>
      </c>
      <c r="F52" s="431">
        <v>130</v>
      </c>
      <c r="G52" s="431">
        <v>140</v>
      </c>
      <c r="H52" s="42">
        <v>135</v>
      </c>
      <c r="I52" s="42">
        <v>160</v>
      </c>
      <c r="J52" s="42">
        <v>160</v>
      </c>
      <c r="K52" s="42">
        <v>140</v>
      </c>
      <c r="L52" s="42">
        <v>160</v>
      </c>
      <c r="M52" s="42">
        <v>150</v>
      </c>
      <c r="N52" s="42">
        <v>195</v>
      </c>
      <c r="O52" s="49">
        <f>SUM(C52:N52)</f>
        <v>1760</v>
      </c>
    </row>
    <row r="53" spans="2:15" ht="20" customHeight="1">
      <c r="B53" s="45" t="s">
        <v>93</v>
      </c>
      <c r="C53" s="427">
        <v>15</v>
      </c>
      <c r="D53" s="431">
        <v>30</v>
      </c>
      <c r="E53" s="431">
        <v>120</v>
      </c>
      <c r="F53" s="431">
        <v>120</v>
      </c>
      <c r="G53" s="431">
        <v>132</v>
      </c>
      <c r="H53" s="42">
        <v>125</v>
      </c>
      <c r="I53" s="42">
        <v>130</v>
      </c>
      <c r="J53" s="42">
        <v>135</v>
      </c>
      <c r="K53" s="42">
        <v>140</v>
      </c>
      <c r="L53" s="42">
        <v>125</v>
      </c>
      <c r="M53" s="42">
        <v>123</v>
      </c>
      <c r="N53" s="42">
        <v>135</v>
      </c>
      <c r="O53" s="49">
        <f t="shared" ref="O53:O59" si="6">SUM(C53:N53)</f>
        <v>1330</v>
      </c>
    </row>
    <row r="54" spans="2:15" ht="20" customHeight="1">
      <c r="B54" s="45" t="s">
        <v>94</v>
      </c>
      <c r="C54" s="427">
        <v>2090</v>
      </c>
      <c r="D54" s="431">
        <v>2380</v>
      </c>
      <c r="E54" s="431">
        <v>2930</v>
      </c>
      <c r="F54" s="431">
        <v>2557</v>
      </c>
      <c r="G54" s="431">
        <v>2900</v>
      </c>
      <c r="H54" s="42">
        <v>2779</v>
      </c>
      <c r="I54" s="42">
        <v>2788</v>
      </c>
      <c r="J54" s="42">
        <v>2888</v>
      </c>
      <c r="K54" s="42">
        <v>2517</v>
      </c>
      <c r="L54" s="42">
        <v>2679</v>
      </c>
      <c r="M54" s="42">
        <v>2480</v>
      </c>
      <c r="N54" s="42">
        <v>3444</v>
      </c>
      <c r="O54" s="49">
        <f t="shared" si="6"/>
        <v>32432</v>
      </c>
    </row>
    <row r="55" spans="2:15" ht="20" customHeight="1">
      <c r="B55" s="45" t="s">
        <v>95</v>
      </c>
      <c r="C55" s="427">
        <v>20</v>
      </c>
      <c r="D55" s="431">
        <v>30</v>
      </c>
      <c r="E55" s="431">
        <v>35</v>
      </c>
      <c r="F55" s="431">
        <v>18</v>
      </c>
      <c r="G55" s="431">
        <v>18</v>
      </c>
      <c r="H55" s="42">
        <v>18</v>
      </c>
      <c r="I55" s="42">
        <v>142</v>
      </c>
      <c r="J55" s="42">
        <v>140</v>
      </c>
      <c r="K55" s="42">
        <v>140</v>
      </c>
      <c r="L55" s="42">
        <v>155</v>
      </c>
      <c r="M55" s="42">
        <v>135</v>
      </c>
      <c r="N55" s="42">
        <v>170</v>
      </c>
      <c r="O55" s="49">
        <f t="shared" si="6"/>
        <v>1021</v>
      </c>
    </row>
    <row r="56" spans="2:15" ht="20" customHeight="1">
      <c r="B56" s="45" t="s">
        <v>108</v>
      </c>
      <c r="C56" s="427">
        <v>290</v>
      </c>
      <c r="D56" s="431">
        <v>280</v>
      </c>
      <c r="E56" s="431">
        <v>370</v>
      </c>
      <c r="F56" s="431">
        <v>310</v>
      </c>
      <c r="G56" s="431">
        <v>360</v>
      </c>
      <c r="H56" s="42">
        <v>300</v>
      </c>
      <c r="I56" s="42">
        <v>340</v>
      </c>
      <c r="J56" s="42">
        <v>370</v>
      </c>
      <c r="K56" s="42">
        <v>378</v>
      </c>
      <c r="L56" s="42">
        <v>385</v>
      </c>
      <c r="M56" s="42">
        <v>340</v>
      </c>
      <c r="N56" s="42">
        <v>450</v>
      </c>
      <c r="O56" s="49">
        <f t="shared" si="6"/>
        <v>4173</v>
      </c>
    </row>
    <row r="57" spans="2:15" ht="20" customHeight="1">
      <c r="B57" s="45" t="s">
        <v>97</v>
      </c>
      <c r="C57" s="427">
        <v>1500</v>
      </c>
      <c r="D57" s="431">
        <v>1560</v>
      </c>
      <c r="E57" s="431">
        <v>2105</v>
      </c>
      <c r="F57" s="431">
        <v>1700</v>
      </c>
      <c r="G57" s="431">
        <v>1870</v>
      </c>
      <c r="H57" s="42">
        <v>1700</v>
      </c>
      <c r="I57" s="42">
        <v>1900</v>
      </c>
      <c r="J57" s="42">
        <v>2090</v>
      </c>
      <c r="K57" s="42">
        <v>2030</v>
      </c>
      <c r="L57" s="42">
        <v>2200</v>
      </c>
      <c r="M57" s="42">
        <v>2100</v>
      </c>
      <c r="N57" s="42">
        <v>2550</v>
      </c>
      <c r="O57" s="49">
        <f t="shared" si="6"/>
        <v>23305</v>
      </c>
    </row>
    <row r="58" spans="2:15" ht="20" customHeight="1">
      <c r="B58" s="45" t="s">
        <v>111</v>
      </c>
      <c r="C58" s="427">
        <v>0</v>
      </c>
      <c r="D58" s="431">
        <v>0</v>
      </c>
      <c r="E58" s="431">
        <v>0</v>
      </c>
      <c r="F58" s="431">
        <v>0</v>
      </c>
      <c r="G58" s="431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9">
        <f t="shared" si="6"/>
        <v>0</v>
      </c>
    </row>
    <row r="59" spans="2:15" ht="20" customHeight="1">
      <c r="B59" s="45" t="s">
        <v>113</v>
      </c>
      <c r="C59" s="427">
        <v>0</v>
      </c>
      <c r="D59" s="431">
        <v>0</v>
      </c>
      <c r="E59" s="431">
        <v>0</v>
      </c>
      <c r="F59" s="431">
        <v>0</v>
      </c>
      <c r="G59" s="431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9">
        <f t="shared" si="6"/>
        <v>0</v>
      </c>
    </row>
    <row r="60" spans="2:15" ht="20" customHeight="1" thickBot="1">
      <c r="B60" s="50" t="s">
        <v>24</v>
      </c>
      <c r="C60" s="428">
        <v>4845</v>
      </c>
      <c r="D60" s="432">
        <v>5350</v>
      </c>
      <c r="E60" s="432">
        <v>6890</v>
      </c>
      <c r="F60" s="432">
        <v>5840</v>
      </c>
      <c r="G60" s="432">
        <v>6520</v>
      </c>
      <c r="H60" s="51">
        <v>6117</v>
      </c>
      <c r="I60" s="51">
        <v>6460</v>
      </c>
      <c r="J60" s="51">
        <v>6803</v>
      </c>
      <c r="K60" s="51">
        <v>6400</v>
      </c>
      <c r="L60" s="51">
        <v>6809</v>
      </c>
      <c r="M60" s="51">
        <v>6340</v>
      </c>
      <c r="N60" s="51">
        <v>8234</v>
      </c>
      <c r="O60" s="52">
        <f>SUM(C60:N60)</f>
        <v>76608</v>
      </c>
    </row>
    <row r="61" spans="2:15" ht="20" customHeight="1" thickBot="1">
      <c r="B61" s="519"/>
      <c r="C61" s="520"/>
      <c r="D61" s="520"/>
      <c r="E61" s="520"/>
      <c r="F61" s="520"/>
      <c r="G61" s="520"/>
      <c r="H61" s="520"/>
      <c r="I61" s="520"/>
      <c r="J61" s="520"/>
      <c r="K61" s="520"/>
      <c r="L61" s="520"/>
      <c r="M61" s="520"/>
      <c r="N61" s="520"/>
      <c r="O61" s="521"/>
    </row>
    <row r="62" spans="2:15" ht="20" customHeight="1" thickBot="1">
      <c r="B62" s="626" t="s">
        <v>122</v>
      </c>
      <c r="C62" s="627" t="s">
        <v>74</v>
      </c>
      <c r="D62" s="627" t="s">
        <v>75</v>
      </c>
      <c r="E62" s="627" t="s">
        <v>76</v>
      </c>
      <c r="F62" s="627" t="s">
        <v>77</v>
      </c>
      <c r="G62" s="627" t="s">
        <v>78</v>
      </c>
      <c r="H62" s="627" t="s">
        <v>79</v>
      </c>
      <c r="I62" s="627" t="s">
        <v>80</v>
      </c>
      <c r="J62" s="627" t="s">
        <v>81</v>
      </c>
      <c r="K62" s="627" t="s">
        <v>82</v>
      </c>
      <c r="L62" s="627" t="s">
        <v>83</v>
      </c>
      <c r="M62" s="627" t="s">
        <v>84</v>
      </c>
      <c r="N62" s="627" t="s">
        <v>85</v>
      </c>
      <c r="O62" s="628" t="s">
        <v>24</v>
      </c>
    </row>
    <row r="63" spans="2:15" ht="20" customHeight="1">
      <c r="B63" s="44" t="s">
        <v>107</v>
      </c>
      <c r="C63" s="43" t="s">
        <v>74</v>
      </c>
      <c r="D63" s="43" t="s">
        <v>75</v>
      </c>
      <c r="E63" s="43" t="s">
        <v>76</v>
      </c>
      <c r="F63" s="43" t="s">
        <v>77</v>
      </c>
      <c r="G63" s="43" t="s">
        <v>78</v>
      </c>
      <c r="H63" s="43" t="s">
        <v>79</v>
      </c>
      <c r="I63" s="43" t="s">
        <v>80</v>
      </c>
      <c r="J63" s="43" t="s">
        <v>81</v>
      </c>
      <c r="K63" s="43" t="s">
        <v>82</v>
      </c>
      <c r="L63" s="43" t="s">
        <v>83</v>
      </c>
      <c r="M63" s="43" t="s">
        <v>84</v>
      </c>
      <c r="N63" s="43" t="s">
        <v>85</v>
      </c>
      <c r="O63" s="48" t="s">
        <v>24</v>
      </c>
    </row>
    <row r="64" spans="2:15" ht="20" customHeight="1">
      <c r="B64" s="45" t="s">
        <v>88</v>
      </c>
      <c r="C64" s="427">
        <v>560</v>
      </c>
      <c r="D64" s="431">
        <v>690</v>
      </c>
      <c r="E64" s="431">
        <v>800</v>
      </c>
      <c r="F64" s="431">
        <v>700</v>
      </c>
      <c r="G64" s="42">
        <v>780</v>
      </c>
      <c r="H64" s="42">
        <v>700</v>
      </c>
      <c r="I64" s="42">
        <v>730</v>
      </c>
      <c r="J64" s="42">
        <v>750</v>
      </c>
      <c r="K64" s="42">
        <v>721</v>
      </c>
      <c r="L64" s="42">
        <v>735</v>
      </c>
      <c r="M64" s="42">
        <v>679</v>
      </c>
      <c r="N64" s="42">
        <v>850</v>
      </c>
      <c r="O64" s="49">
        <f>SUM(C64:N64)</f>
        <v>8695</v>
      </c>
    </row>
    <row r="65" spans="2:15" ht="20" customHeight="1">
      <c r="B65" s="45" t="s">
        <v>89</v>
      </c>
      <c r="C65" s="427">
        <v>260</v>
      </c>
      <c r="D65" s="431">
        <v>260</v>
      </c>
      <c r="E65" s="431">
        <v>370</v>
      </c>
      <c r="F65" s="431">
        <v>305</v>
      </c>
      <c r="G65" s="42">
        <v>320</v>
      </c>
      <c r="H65" s="42">
        <v>300</v>
      </c>
      <c r="I65" s="42">
        <v>270</v>
      </c>
      <c r="J65" s="42">
        <v>300</v>
      </c>
      <c r="K65" s="42">
        <v>335</v>
      </c>
      <c r="L65" s="42">
        <v>350</v>
      </c>
      <c r="M65" s="42">
        <v>340</v>
      </c>
      <c r="N65" s="42">
        <v>385</v>
      </c>
      <c r="O65" s="49">
        <f t="shared" ref="O65:O66" si="7">SUM(C65:N65)</f>
        <v>3795</v>
      </c>
    </row>
    <row r="66" spans="2:15" ht="20" customHeight="1">
      <c r="B66" s="45" t="s">
        <v>91</v>
      </c>
      <c r="C66" s="427">
        <v>0</v>
      </c>
      <c r="D66" s="431">
        <v>0</v>
      </c>
      <c r="E66" s="431">
        <v>0</v>
      </c>
      <c r="F66" s="431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9">
        <f t="shared" si="7"/>
        <v>0</v>
      </c>
    </row>
    <row r="67" spans="2:15" ht="20" customHeight="1">
      <c r="B67" s="45" t="s">
        <v>92</v>
      </c>
      <c r="C67" s="427">
        <v>110</v>
      </c>
      <c r="D67" s="431">
        <v>120</v>
      </c>
      <c r="E67" s="431">
        <v>160</v>
      </c>
      <c r="F67" s="431">
        <v>130</v>
      </c>
      <c r="G67" s="42">
        <v>140</v>
      </c>
      <c r="H67" s="42">
        <v>135</v>
      </c>
      <c r="I67" s="42">
        <v>160</v>
      </c>
      <c r="J67" s="42">
        <v>160</v>
      </c>
      <c r="K67" s="42">
        <v>140</v>
      </c>
      <c r="L67" s="42">
        <v>150</v>
      </c>
      <c r="M67" s="42">
        <v>150</v>
      </c>
      <c r="N67" s="42">
        <v>185</v>
      </c>
      <c r="O67" s="49">
        <f>SUM(C67:N67)</f>
        <v>1740</v>
      </c>
    </row>
    <row r="68" spans="2:15" ht="20" customHeight="1">
      <c r="B68" s="45" t="s">
        <v>93</v>
      </c>
      <c r="C68" s="427">
        <v>15</v>
      </c>
      <c r="D68" s="431">
        <v>30</v>
      </c>
      <c r="E68" s="431">
        <v>120</v>
      </c>
      <c r="F68" s="431">
        <v>120</v>
      </c>
      <c r="G68" s="42">
        <v>132</v>
      </c>
      <c r="H68" s="42">
        <v>140</v>
      </c>
      <c r="I68" s="42">
        <v>79</v>
      </c>
      <c r="J68" s="42">
        <v>100</v>
      </c>
      <c r="K68" s="42">
        <v>120</v>
      </c>
      <c r="L68" s="42">
        <v>120</v>
      </c>
      <c r="M68" s="42">
        <v>125</v>
      </c>
      <c r="N68" s="42">
        <v>150</v>
      </c>
      <c r="O68" s="49">
        <f t="shared" ref="O68:O74" si="8">SUM(C68:N68)</f>
        <v>1251</v>
      </c>
    </row>
    <row r="69" spans="2:15" ht="20" customHeight="1">
      <c r="B69" s="45" t="s">
        <v>94</v>
      </c>
      <c r="C69" s="427">
        <v>2090</v>
      </c>
      <c r="D69" s="431">
        <v>2380</v>
      </c>
      <c r="E69" s="431">
        <v>2930</v>
      </c>
      <c r="F69" s="431">
        <v>2557</v>
      </c>
      <c r="G69" s="42">
        <v>2900</v>
      </c>
      <c r="H69" s="42">
        <v>2810</v>
      </c>
      <c r="I69" s="42">
        <v>2939</v>
      </c>
      <c r="J69" s="42">
        <v>2990</v>
      </c>
      <c r="K69" s="42">
        <v>2556</v>
      </c>
      <c r="L69" s="42">
        <v>2625</v>
      </c>
      <c r="M69" s="42">
        <v>2461</v>
      </c>
      <c r="N69" s="42">
        <v>3407</v>
      </c>
      <c r="O69" s="49">
        <f t="shared" si="8"/>
        <v>32645</v>
      </c>
    </row>
    <row r="70" spans="2:15" ht="20" customHeight="1">
      <c r="B70" s="45" t="s">
        <v>95</v>
      </c>
      <c r="C70" s="427">
        <v>20</v>
      </c>
      <c r="D70" s="431">
        <v>30</v>
      </c>
      <c r="E70" s="431">
        <v>35</v>
      </c>
      <c r="F70" s="431">
        <v>18</v>
      </c>
      <c r="G70" s="42">
        <v>18</v>
      </c>
      <c r="H70" s="42">
        <v>15</v>
      </c>
      <c r="I70" s="42">
        <v>42</v>
      </c>
      <c r="J70" s="42">
        <v>60</v>
      </c>
      <c r="K70" s="42">
        <v>100</v>
      </c>
      <c r="L70" s="42">
        <v>135</v>
      </c>
      <c r="M70" s="42">
        <v>135</v>
      </c>
      <c r="N70" s="42">
        <v>150</v>
      </c>
      <c r="O70" s="49">
        <f t="shared" si="8"/>
        <v>758</v>
      </c>
    </row>
    <row r="71" spans="2:15" ht="20" customHeight="1">
      <c r="B71" s="45" t="s">
        <v>108</v>
      </c>
      <c r="C71" s="427">
        <v>290</v>
      </c>
      <c r="D71" s="431">
        <v>280</v>
      </c>
      <c r="E71" s="431">
        <v>370</v>
      </c>
      <c r="F71" s="431">
        <v>310</v>
      </c>
      <c r="G71" s="42">
        <v>360</v>
      </c>
      <c r="H71" s="42">
        <v>300</v>
      </c>
      <c r="I71" s="42">
        <v>340</v>
      </c>
      <c r="J71" s="42">
        <v>370</v>
      </c>
      <c r="K71" s="42">
        <v>378</v>
      </c>
      <c r="L71" s="42">
        <v>385</v>
      </c>
      <c r="M71" s="42">
        <v>340</v>
      </c>
      <c r="N71" s="42">
        <v>450</v>
      </c>
      <c r="O71" s="49">
        <f t="shared" si="8"/>
        <v>4173</v>
      </c>
    </row>
    <row r="72" spans="2:15" ht="20" customHeight="1">
      <c r="B72" s="45" t="s">
        <v>97</v>
      </c>
      <c r="C72" s="427">
        <v>1500</v>
      </c>
      <c r="D72" s="431">
        <v>1560</v>
      </c>
      <c r="E72" s="431">
        <v>2105</v>
      </c>
      <c r="F72" s="431">
        <v>1700</v>
      </c>
      <c r="G72" s="42">
        <v>1870</v>
      </c>
      <c r="H72" s="42">
        <v>1700</v>
      </c>
      <c r="I72" s="42">
        <v>1900</v>
      </c>
      <c r="J72" s="42">
        <v>2090</v>
      </c>
      <c r="K72" s="42">
        <v>2050</v>
      </c>
      <c r="L72" s="42">
        <v>2170</v>
      </c>
      <c r="M72" s="42">
        <v>2050</v>
      </c>
      <c r="N72" s="42">
        <v>2489</v>
      </c>
      <c r="O72" s="49">
        <f t="shared" si="8"/>
        <v>23184</v>
      </c>
    </row>
    <row r="73" spans="2:15" ht="20" customHeight="1">
      <c r="B73" s="45" t="s">
        <v>111</v>
      </c>
      <c r="C73" s="427">
        <v>0</v>
      </c>
      <c r="D73" s="431">
        <v>0</v>
      </c>
      <c r="E73" s="431">
        <v>0</v>
      </c>
      <c r="F73" s="431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9">
        <f t="shared" si="8"/>
        <v>0</v>
      </c>
    </row>
    <row r="74" spans="2:15" ht="20" customHeight="1">
      <c r="B74" s="45" t="s">
        <v>113</v>
      </c>
      <c r="C74" s="427">
        <v>0</v>
      </c>
      <c r="D74" s="431">
        <v>0</v>
      </c>
      <c r="E74" s="431">
        <v>0</v>
      </c>
      <c r="F74" s="431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9">
        <f t="shared" si="8"/>
        <v>0</v>
      </c>
    </row>
    <row r="75" spans="2:15" ht="20" customHeight="1" thickBot="1">
      <c r="B75" s="50" t="s">
        <v>24</v>
      </c>
      <c r="C75" s="428">
        <v>4845</v>
      </c>
      <c r="D75" s="432">
        <v>5350</v>
      </c>
      <c r="E75" s="432">
        <v>6890</v>
      </c>
      <c r="F75" s="432">
        <v>5840</v>
      </c>
      <c r="G75" s="51">
        <v>6520</v>
      </c>
      <c r="H75" s="51">
        <v>6100</v>
      </c>
      <c r="I75" s="51">
        <v>6460</v>
      </c>
      <c r="J75" s="51">
        <v>6820</v>
      </c>
      <c r="K75" s="51">
        <v>6400</v>
      </c>
      <c r="L75" s="51">
        <v>6670</v>
      </c>
      <c r="M75" s="51">
        <v>6280</v>
      </c>
      <c r="N75" s="51">
        <v>8066</v>
      </c>
      <c r="O75" s="52">
        <f>SUM(C75:N75)</f>
        <v>76241</v>
      </c>
    </row>
    <row r="76" spans="2:15" ht="20" customHeight="1" thickBot="1">
      <c r="B76" s="519"/>
      <c r="C76" s="520"/>
      <c r="D76" s="520"/>
      <c r="E76" s="520"/>
      <c r="F76" s="520"/>
      <c r="G76" s="520"/>
      <c r="H76" s="520"/>
      <c r="I76" s="520"/>
      <c r="J76" s="520"/>
      <c r="K76" s="520"/>
      <c r="L76" s="520"/>
      <c r="M76" s="520"/>
      <c r="N76" s="520"/>
      <c r="O76" s="521"/>
    </row>
    <row r="77" spans="2:15" ht="20" customHeight="1" thickBot="1">
      <c r="B77" s="626" t="s">
        <v>123</v>
      </c>
      <c r="C77" s="627" t="s">
        <v>74</v>
      </c>
      <c r="D77" s="627" t="s">
        <v>75</v>
      </c>
      <c r="E77" s="627" t="s">
        <v>76</v>
      </c>
      <c r="F77" s="627" t="s">
        <v>77</v>
      </c>
      <c r="G77" s="627" t="s">
        <v>78</v>
      </c>
      <c r="H77" s="627" t="s">
        <v>79</v>
      </c>
      <c r="I77" s="627" t="s">
        <v>80</v>
      </c>
      <c r="J77" s="627" t="s">
        <v>81</v>
      </c>
      <c r="K77" s="627" t="s">
        <v>82</v>
      </c>
      <c r="L77" s="627" t="s">
        <v>83</v>
      </c>
      <c r="M77" s="627" t="s">
        <v>84</v>
      </c>
      <c r="N77" s="627" t="s">
        <v>85</v>
      </c>
      <c r="O77" s="628" t="s">
        <v>24</v>
      </c>
    </row>
    <row r="78" spans="2:15" ht="20" customHeight="1">
      <c r="B78" s="44" t="s">
        <v>107</v>
      </c>
      <c r="C78" s="43" t="s">
        <v>74</v>
      </c>
      <c r="D78" s="43" t="s">
        <v>75</v>
      </c>
      <c r="E78" s="43" t="s">
        <v>76</v>
      </c>
      <c r="F78" s="43" t="s">
        <v>77</v>
      </c>
      <c r="G78" s="43" t="s">
        <v>78</v>
      </c>
      <c r="H78" s="43" t="s">
        <v>79</v>
      </c>
      <c r="I78" s="43" t="s">
        <v>80</v>
      </c>
      <c r="J78" s="43" t="s">
        <v>81</v>
      </c>
      <c r="K78" s="43" t="s">
        <v>82</v>
      </c>
      <c r="L78" s="43" t="s">
        <v>83</v>
      </c>
      <c r="M78" s="43" t="s">
        <v>84</v>
      </c>
      <c r="N78" s="43" t="s">
        <v>85</v>
      </c>
      <c r="O78" s="48" t="s">
        <v>24</v>
      </c>
    </row>
    <row r="79" spans="2:15" ht="20" customHeight="1">
      <c r="B79" s="45" t="s">
        <v>88</v>
      </c>
      <c r="C79" s="427">
        <v>560</v>
      </c>
      <c r="D79" s="431">
        <v>690</v>
      </c>
      <c r="E79" s="431">
        <v>800</v>
      </c>
      <c r="F79" s="42">
        <v>700</v>
      </c>
      <c r="G79" s="42">
        <v>780</v>
      </c>
      <c r="H79" s="42">
        <v>700</v>
      </c>
      <c r="I79" s="42">
        <v>760</v>
      </c>
      <c r="J79" s="42">
        <v>740</v>
      </c>
      <c r="K79" s="42">
        <v>730</v>
      </c>
      <c r="L79" s="42">
        <v>735</v>
      </c>
      <c r="M79" s="42">
        <v>665</v>
      </c>
      <c r="N79" s="42">
        <v>780</v>
      </c>
      <c r="O79" s="49">
        <f>SUM(C79:N79)</f>
        <v>8640</v>
      </c>
    </row>
    <row r="80" spans="2:15" ht="20" customHeight="1">
      <c r="B80" s="45" t="s">
        <v>89</v>
      </c>
      <c r="C80" s="427">
        <v>260</v>
      </c>
      <c r="D80" s="431">
        <v>260</v>
      </c>
      <c r="E80" s="431">
        <v>370</v>
      </c>
      <c r="F80" s="42">
        <v>305</v>
      </c>
      <c r="G80" s="42">
        <v>320</v>
      </c>
      <c r="H80" s="42">
        <v>300</v>
      </c>
      <c r="I80" s="42">
        <v>270</v>
      </c>
      <c r="J80" s="42">
        <v>309</v>
      </c>
      <c r="K80" s="42">
        <v>355</v>
      </c>
      <c r="L80" s="42">
        <v>370</v>
      </c>
      <c r="M80" s="42">
        <v>340</v>
      </c>
      <c r="N80" s="42">
        <v>430</v>
      </c>
      <c r="O80" s="49">
        <f t="shared" ref="O80:O81" si="9">SUM(C80:N80)</f>
        <v>3889</v>
      </c>
    </row>
    <row r="81" spans="2:15" ht="20" customHeight="1">
      <c r="B81" s="45" t="s">
        <v>91</v>
      </c>
      <c r="C81" s="427">
        <v>0</v>
      </c>
      <c r="D81" s="431">
        <v>0</v>
      </c>
      <c r="E81" s="431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42">
        <v>0</v>
      </c>
      <c r="O81" s="49">
        <f t="shared" si="9"/>
        <v>0</v>
      </c>
    </row>
    <row r="82" spans="2:15" ht="20" customHeight="1">
      <c r="B82" s="45" t="s">
        <v>92</v>
      </c>
      <c r="C82" s="427">
        <v>110</v>
      </c>
      <c r="D82" s="431">
        <v>120</v>
      </c>
      <c r="E82" s="431">
        <v>160</v>
      </c>
      <c r="F82" s="42">
        <v>130</v>
      </c>
      <c r="G82" s="42">
        <v>140</v>
      </c>
      <c r="H82" s="42">
        <v>142</v>
      </c>
      <c r="I82" s="42">
        <v>160</v>
      </c>
      <c r="J82" s="42">
        <v>170</v>
      </c>
      <c r="K82" s="42">
        <v>140</v>
      </c>
      <c r="L82" s="42">
        <v>150</v>
      </c>
      <c r="M82" s="42">
        <v>150</v>
      </c>
      <c r="N82" s="42">
        <v>185</v>
      </c>
      <c r="O82" s="49">
        <f>SUM(C82:N82)</f>
        <v>1757</v>
      </c>
    </row>
    <row r="83" spans="2:15" ht="20" customHeight="1">
      <c r="B83" s="45" t="s">
        <v>93</v>
      </c>
      <c r="C83" s="427">
        <v>15</v>
      </c>
      <c r="D83" s="431">
        <v>30</v>
      </c>
      <c r="E83" s="431">
        <v>120</v>
      </c>
      <c r="F83" s="42">
        <v>120</v>
      </c>
      <c r="G83" s="42">
        <v>150</v>
      </c>
      <c r="H83" s="42">
        <v>140</v>
      </c>
      <c r="I83" s="42">
        <v>140</v>
      </c>
      <c r="J83" s="42">
        <v>160</v>
      </c>
      <c r="K83" s="42">
        <v>155</v>
      </c>
      <c r="L83" s="42">
        <v>170</v>
      </c>
      <c r="M83" s="42">
        <v>165</v>
      </c>
      <c r="N83" s="42">
        <v>189</v>
      </c>
      <c r="O83" s="49">
        <f t="shared" ref="O83:O89" si="10">SUM(C83:N83)</f>
        <v>1554</v>
      </c>
    </row>
    <row r="84" spans="2:15" ht="20" customHeight="1">
      <c r="B84" s="45" t="s">
        <v>94</v>
      </c>
      <c r="C84" s="427">
        <v>2090</v>
      </c>
      <c r="D84" s="431">
        <v>2380</v>
      </c>
      <c r="E84" s="431">
        <v>2930</v>
      </c>
      <c r="F84" s="42">
        <v>2557</v>
      </c>
      <c r="G84" s="42">
        <v>2900</v>
      </c>
      <c r="H84" s="42">
        <v>2789</v>
      </c>
      <c r="I84" s="42">
        <v>2740</v>
      </c>
      <c r="J84" s="42">
        <v>3131</v>
      </c>
      <c r="K84" s="42">
        <v>2660</v>
      </c>
      <c r="L84" s="42">
        <v>2540</v>
      </c>
      <c r="M84" s="42">
        <v>2435</v>
      </c>
      <c r="N84" s="42">
        <v>3698</v>
      </c>
      <c r="O84" s="49">
        <f t="shared" si="10"/>
        <v>32850</v>
      </c>
    </row>
    <row r="85" spans="2:15" ht="20" customHeight="1">
      <c r="B85" s="45" t="s">
        <v>95</v>
      </c>
      <c r="C85" s="427">
        <v>20</v>
      </c>
      <c r="D85" s="431">
        <v>30</v>
      </c>
      <c r="E85" s="431">
        <v>35</v>
      </c>
      <c r="F85" s="42">
        <v>18</v>
      </c>
      <c r="G85" s="42">
        <v>0</v>
      </c>
      <c r="H85" s="42">
        <v>29</v>
      </c>
      <c r="I85" s="42">
        <v>150</v>
      </c>
      <c r="J85" s="42">
        <v>150</v>
      </c>
      <c r="K85" s="42">
        <v>140</v>
      </c>
      <c r="L85" s="42">
        <v>155</v>
      </c>
      <c r="M85" s="42">
        <v>135</v>
      </c>
      <c r="N85" s="42">
        <v>170</v>
      </c>
      <c r="O85" s="49">
        <f t="shared" si="10"/>
        <v>1032</v>
      </c>
    </row>
    <row r="86" spans="2:15" ht="20" customHeight="1">
      <c r="B86" s="45" t="s">
        <v>108</v>
      </c>
      <c r="C86" s="427">
        <v>290</v>
      </c>
      <c r="D86" s="431">
        <v>280</v>
      </c>
      <c r="E86" s="431">
        <v>370</v>
      </c>
      <c r="F86" s="42">
        <v>310</v>
      </c>
      <c r="G86" s="42">
        <v>360</v>
      </c>
      <c r="H86" s="42">
        <v>300</v>
      </c>
      <c r="I86" s="42">
        <v>340</v>
      </c>
      <c r="J86" s="42">
        <v>380</v>
      </c>
      <c r="K86" s="42">
        <v>360</v>
      </c>
      <c r="L86" s="42">
        <v>380</v>
      </c>
      <c r="M86" s="42">
        <v>340</v>
      </c>
      <c r="N86" s="42">
        <v>480</v>
      </c>
      <c r="O86" s="49">
        <f t="shared" si="10"/>
        <v>4190</v>
      </c>
    </row>
    <row r="87" spans="2:15" ht="20" customHeight="1">
      <c r="B87" s="45" t="s">
        <v>97</v>
      </c>
      <c r="C87" s="427">
        <v>1500</v>
      </c>
      <c r="D87" s="431">
        <v>1560</v>
      </c>
      <c r="E87" s="431">
        <v>2105</v>
      </c>
      <c r="F87" s="42">
        <v>1700</v>
      </c>
      <c r="G87" s="42">
        <v>1870</v>
      </c>
      <c r="H87" s="42">
        <v>1700</v>
      </c>
      <c r="I87" s="42">
        <v>1900</v>
      </c>
      <c r="J87" s="42">
        <v>2090</v>
      </c>
      <c r="K87" s="42">
        <v>2050</v>
      </c>
      <c r="L87" s="42">
        <v>2170</v>
      </c>
      <c r="M87" s="42">
        <v>2050</v>
      </c>
      <c r="N87" s="42">
        <v>2850</v>
      </c>
      <c r="O87" s="49">
        <f t="shared" si="10"/>
        <v>23545</v>
      </c>
    </row>
    <row r="88" spans="2:15" ht="20" customHeight="1">
      <c r="B88" s="45" t="s">
        <v>111</v>
      </c>
      <c r="C88" s="427">
        <v>0</v>
      </c>
      <c r="D88" s="431">
        <v>0</v>
      </c>
      <c r="E88" s="431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9">
        <f t="shared" si="10"/>
        <v>0</v>
      </c>
    </row>
    <row r="89" spans="2:15" ht="20" customHeight="1">
      <c r="B89" s="45" t="s">
        <v>113</v>
      </c>
      <c r="C89" s="427">
        <v>0</v>
      </c>
      <c r="D89" s="431">
        <v>0</v>
      </c>
      <c r="E89" s="431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42">
        <v>0</v>
      </c>
      <c r="O89" s="49">
        <f t="shared" si="10"/>
        <v>0</v>
      </c>
    </row>
    <row r="90" spans="2:15" ht="20" customHeight="1" thickBot="1">
      <c r="B90" s="50" t="s">
        <v>24</v>
      </c>
      <c r="C90" s="428">
        <v>4845</v>
      </c>
      <c r="D90" s="432">
        <v>5350</v>
      </c>
      <c r="E90" s="432">
        <v>6890</v>
      </c>
      <c r="F90" s="51">
        <v>5840</v>
      </c>
      <c r="G90" s="51">
        <v>6520</v>
      </c>
      <c r="H90" s="51">
        <v>6100</v>
      </c>
      <c r="I90" s="523">
        <v>6460</v>
      </c>
      <c r="J90" s="523">
        <v>7130</v>
      </c>
      <c r="K90" s="523">
        <v>6590</v>
      </c>
      <c r="L90" s="51">
        <v>6670</v>
      </c>
      <c r="M90" s="51">
        <v>6280</v>
      </c>
      <c r="N90" s="523">
        <v>8782</v>
      </c>
      <c r="O90" s="52">
        <f>SUM(C90:N90)</f>
        <v>77457</v>
      </c>
    </row>
    <row r="91" spans="2:15" ht="20" customHeight="1" thickBot="1">
      <c r="B91"/>
      <c r="C91" s="423"/>
      <c r="D91" s="423"/>
      <c r="E91" s="423"/>
      <c r="F91" s="423"/>
      <c r="G91" s="423"/>
      <c r="H91" s="423"/>
      <c r="I91" s="423"/>
      <c r="J91" s="423"/>
      <c r="K91" s="423"/>
      <c r="L91" s="423"/>
      <c r="M91" s="423"/>
      <c r="N91" s="423"/>
      <c r="O91" s="424"/>
    </row>
    <row r="92" spans="2:15" ht="20" customHeight="1" thickBot="1">
      <c r="B92" s="626" t="s">
        <v>124</v>
      </c>
      <c r="C92" s="627" t="s">
        <v>74</v>
      </c>
      <c r="D92" s="627" t="s">
        <v>75</v>
      </c>
      <c r="E92" s="627" t="s">
        <v>76</v>
      </c>
      <c r="F92" s="627" t="s">
        <v>77</v>
      </c>
      <c r="G92" s="627" t="s">
        <v>78</v>
      </c>
      <c r="H92" s="627" t="s">
        <v>79</v>
      </c>
      <c r="I92" s="627" t="s">
        <v>80</v>
      </c>
      <c r="J92" s="627" t="s">
        <v>81</v>
      </c>
      <c r="K92" s="627" t="s">
        <v>82</v>
      </c>
      <c r="L92" s="627" t="s">
        <v>83</v>
      </c>
      <c r="M92" s="627" t="s">
        <v>84</v>
      </c>
      <c r="N92" s="627" t="s">
        <v>85</v>
      </c>
      <c r="O92" s="628" t="s">
        <v>24</v>
      </c>
    </row>
    <row r="93" spans="2:15" ht="20" customHeight="1">
      <c r="B93" s="44" t="s">
        <v>107</v>
      </c>
      <c r="C93" s="43" t="s">
        <v>74</v>
      </c>
      <c r="D93" s="43" t="s">
        <v>75</v>
      </c>
      <c r="E93" s="43" t="s">
        <v>76</v>
      </c>
      <c r="F93" s="43" t="s">
        <v>77</v>
      </c>
      <c r="G93" s="43" t="s">
        <v>78</v>
      </c>
      <c r="H93" s="43" t="s">
        <v>79</v>
      </c>
      <c r="I93" s="43" t="s">
        <v>80</v>
      </c>
      <c r="J93" s="43" t="s">
        <v>81</v>
      </c>
      <c r="K93" s="43" t="s">
        <v>82</v>
      </c>
      <c r="L93" s="43" t="s">
        <v>83</v>
      </c>
      <c r="M93" s="43" t="s">
        <v>84</v>
      </c>
      <c r="N93" s="43" t="s">
        <v>85</v>
      </c>
      <c r="O93" s="48" t="s">
        <v>24</v>
      </c>
    </row>
    <row r="94" spans="2:15" ht="20" customHeight="1">
      <c r="B94" s="45" t="s">
        <v>88</v>
      </c>
      <c r="C94" s="427">
        <v>560</v>
      </c>
      <c r="D94" s="431">
        <v>690</v>
      </c>
      <c r="E94" s="42">
        <v>800</v>
      </c>
      <c r="F94" s="42">
        <v>700</v>
      </c>
      <c r="G94" s="42">
        <v>780</v>
      </c>
      <c r="H94" s="42">
        <v>693</v>
      </c>
      <c r="I94" s="42">
        <v>720</v>
      </c>
      <c r="J94" s="42">
        <v>720</v>
      </c>
      <c r="K94" s="42">
        <v>705</v>
      </c>
      <c r="L94" s="42">
        <v>725</v>
      </c>
      <c r="M94" s="42">
        <v>665</v>
      </c>
      <c r="N94" s="42">
        <v>781</v>
      </c>
      <c r="O94" s="49">
        <f>SUM(C94:N94)</f>
        <v>8539</v>
      </c>
    </row>
    <row r="95" spans="2:15" ht="16">
      <c r="B95" s="45" t="s">
        <v>89</v>
      </c>
      <c r="C95" s="427">
        <v>260</v>
      </c>
      <c r="D95" s="431">
        <v>260</v>
      </c>
      <c r="E95" s="42">
        <v>370</v>
      </c>
      <c r="F95" s="42">
        <v>305</v>
      </c>
      <c r="G95" s="42">
        <v>320</v>
      </c>
      <c r="H95" s="42">
        <v>300</v>
      </c>
      <c r="I95" s="42">
        <v>270</v>
      </c>
      <c r="J95" s="42">
        <v>320</v>
      </c>
      <c r="K95" s="42">
        <v>345</v>
      </c>
      <c r="L95" s="42">
        <v>370</v>
      </c>
      <c r="M95" s="42">
        <v>340</v>
      </c>
      <c r="N95" s="42">
        <v>430</v>
      </c>
      <c r="O95" s="49">
        <f t="shared" ref="O95:O105" si="11">SUM(C95:N95)</f>
        <v>3890</v>
      </c>
    </row>
    <row r="96" spans="2:15" ht="16">
      <c r="B96" s="45" t="s">
        <v>91</v>
      </c>
      <c r="C96" s="427">
        <v>0</v>
      </c>
      <c r="D96" s="431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>
        <v>0</v>
      </c>
      <c r="N96" s="42">
        <v>0</v>
      </c>
      <c r="O96" s="49">
        <f t="shared" si="11"/>
        <v>0</v>
      </c>
    </row>
    <row r="97" spans="2:15" ht="16">
      <c r="B97" s="45" t="s">
        <v>92</v>
      </c>
      <c r="C97" s="427">
        <v>110</v>
      </c>
      <c r="D97" s="431">
        <v>120</v>
      </c>
      <c r="E97" s="42">
        <v>160</v>
      </c>
      <c r="F97" s="42">
        <v>150</v>
      </c>
      <c r="G97" s="42">
        <v>140</v>
      </c>
      <c r="H97" s="42">
        <v>142</v>
      </c>
      <c r="I97" s="42">
        <v>160</v>
      </c>
      <c r="J97" s="42">
        <v>170</v>
      </c>
      <c r="K97" s="42">
        <v>140</v>
      </c>
      <c r="L97" s="42">
        <v>150</v>
      </c>
      <c r="M97" s="42">
        <v>150</v>
      </c>
      <c r="N97" s="42">
        <v>185</v>
      </c>
      <c r="O97" s="49">
        <f t="shared" si="11"/>
        <v>1777</v>
      </c>
    </row>
    <row r="98" spans="2:15" ht="16">
      <c r="B98" s="45" t="s">
        <v>93</v>
      </c>
      <c r="C98" s="427">
        <v>15</v>
      </c>
      <c r="D98" s="431">
        <v>30</v>
      </c>
      <c r="E98" s="42">
        <v>120</v>
      </c>
      <c r="F98" s="42">
        <v>120</v>
      </c>
      <c r="G98" s="42">
        <v>150</v>
      </c>
      <c r="H98" s="42">
        <v>140</v>
      </c>
      <c r="I98" s="42">
        <v>140</v>
      </c>
      <c r="J98" s="42">
        <v>160</v>
      </c>
      <c r="K98" s="42">
        <v>155</v>
      </c>
      <c r="L98" s="42">
        <v>170</v>
      </c>
      <c r="M98" s="42">
        <v>165</v>
      </c>
      <c r="N98" s="42">
        <v>189</v>
      </c>
      <c r="O98" s="49">
        <f t="shared" si="11"/>
        <v>1554</v>
      </c>
    </row>
    <row r="99" spans="2:15" ht="16">
      <c r="B99" s="45" t="s">
        <v>94</v>
      </c>
      <c r="C99" s="427">
        <v>2090</v>
      </c>
      <c r="D99" s="431">
        <v>2380</v>
      </c>
      <c r="E99" s="42">
        <v>2930</v>
      </c>
      <c r="F99" s="42">
        <v>2555</v>
      </c>
      <c r="G99" s="42">
        <v>2900</v>
      </c>
      <c r="H99" s="42">
        <v>2795</v>
      </c>
      <c r="I99" s="42">
        <v>2710</v>
      </c>
      <c r="J99" s="42">
        <v>3070</v>
      </c>
      <c r="K99" s="42">
        <v>2655</v>
      </c>
      <c r="L99" s="42">
        <v>2550</v>
      </c>
      <c r="M99" s="42">
        <v>2435</v>
      </c>
      <c r="N99" s="42">
        <v>3615</v>
      </c>
      <c r="O99" s="49">
        <f t="shared" si="11"/>
        <v>32685</v>
      </c>
    </row>
    <row r="100" spans="2:15" ht="16">
      <c r="B100" s="45" t="s">
        <v>95</v>
      </c>
      <c r="C100" s="427">
        <v>20</v>
      </c>
      <c r="D100" s="431">
        <v>30</v>
      </c>
      <c r="E100" s="42">
        <v>35</v>
      </c>
      <c r="F100" s="42">
        <v>0</v>
      </c>
      <c r="G100" s="42">
        <v>0</v>
      </c>
      <c r="H100" s="42">
        <v>30</v>
      </c>
      <c r="I100" s="42">
        <v>150</v>
      </c>
      <c r="J100" s="42">
        <v>150</v>
      </c>
      <c r="K100" s="42">
        <v>140</v>
      </c>
      <c r="L100" s="42">
        <v>155</v>
      </c>
      <c r="M100" s="42">
        <v>135</v>
      </c>
      <c r="N100" s="42">
        <v>170</v>
      </c>
      <c r="O100" s="49">
        <f t="shared" si="11"/>
        <v>1015</v>
      </c>
    </row>
    <row r="101" spans="2:15" ht="16">
      <c r="B101" s="45" t="s">
        <v>108</v>
      </c>
      <c r="C101" s="427">
        <v>290</v>
      </c>
      <c r="D101" s="431">
        <v>280</v>
      </c>
      <c r="E101" s="42">
        <v>370</v>
      </c>
      <c r="F101" s="42">
        <v>310</v>
      </c>
      <c r="G101" s="42">
        <v>360</v>
      </c>
      <c r="H101" s="42">
        <v>300</v>
      </c>
      <c r="I101" s="42">
        <v>340</v>
      </c>
      <c r="J101" s="42">
        <v>380</v>
      </c>
      <c r="K101" s="42">
        <v>360</v>
      </c>
      <c r="L101" s="42">
        <v>380</v>
      </c>
      <c r="M101" s="42">
        <v>340</v>
      </c>
      <c r="N101" s="42">
        <v>480</v>
      </c>
      <c r="O101" s="49">
        <f t="shared" si="11"/>
        <v>4190</v>
      </c>
    </row>
    <row r="102" spans="2:15" ht="16">
      <c r="B102" s="45" t="s">
        <v>97</v>
      </c>
      <c r="C102" s="427">
        <v>1500</v>
      </c>
      <c r="D102" s="431">
        <v>1560</v>
      </c>
      <c r="E102" s="42">
        <v>2105</v>
      </c>
      <c r="F102" s="42">
        <v>1700</v>
      </c>
      <c r="G102" s="42">
        <v>1870</v>
      </c>
      <c r="H102" s="42">
        <v>1700</v>
      </c>
      <c r="I102" s="42">
        <v>1900</v>
      </c>
      <c r="J102" s="42">
        <v>2090</v>
      </c>
      <c r="K102" s="42">
        <v>1950</v>
      </c>
      <c r="L102" s="42">
        <v>2170</v>
      </c>
      <c r="M102" s="42">
        <v>2050</v>
      </c>
      <c r="N102" s="42">
        <v>2850</v>
      </c>
      <c r="O102" s="49">
        <f t="shared" si="11"/>
        <v>23445</v>
      </c>
    </row>
    <row r="103" spans="2:15" ht="16">
      <c r="B103" s="45" t="s">
        <v>111</v>
      </c>
      <c r="C103" s="427">
        <v>0</v>
      </c>
      <c r="D103" s="431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9">
        <f t="shared" si="11"/>
        <v>0</v>
      </c>
    </row>
    <row r="104" spans="2:15" ht="16">
      <c r="B104" s="45" t="s">
        <v>113</v>
      </c>
      <c r="C104" s="427">
        <v>0</v>
      </c>
      <c r="D104" s="431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>
        <v>0</v>
      </c>
      <c r="N104" s="42">
        <v>0</v>
      </c>
      <c r="O104" s="49">
        <f t="shared" si="11"/>
        <v>0</v>
      </c>
    </row>
    <row r="105" spans="2:15" ht="17" thickBot="1">
      <c r="B105" s="50" t="s">
        <v>24</v>
      </c>
      <c r="C105" s="428">
        <v>4845</v>
      </c>
      <c r="D105" s="432">
        <v>5350</v>
      </c>
      <c r="E105" s="51">
        <v>6890</v>
      </c>
      <c r="F105" s="51">
        <v>5840</v>
      </c>
      <c r="G105" s="51">
        <v>6520</v>
      </c>
      <c r="H105" s="51">
        <v>6100</v>
      </c>
      <c r="I105" s="51">
        <v>6390</v>
      </c>
      <c r="J105" s="51">
        <v>7060</v>
      </c>
      <c r="K105" s="51">
        <v>6450</v>
      </c>
      <c r="L105" s="51">
        <v>6670</v>
      </c>
      <c r="M105" s="51">
        <v>6280</v>
      </c>
      <c r="N105" s="51">
        <v>8700</v>
      </c>
      <c r="O105" s="52">
        <f t="shared" si="11"/>
        <v>77095</v>
      </c>
    </row>
    <row r="106" spans="2:15" ht="17" thickBot="1">
      <c r="B106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4"/>
    </row>
    <row r="107" spans="2:15" ht="16" thickBot="1">
      <c r="B107" s="626" t="s">
        <v>106</v>
      </c>
      <c r="C107" s="627" t="s">
        <v>74</v>
      </c>
      <c r="D107" s="627" t="s">
        <v>75</v>
      </c>
      <c r="E107" s="627" t="s">
        <v>76</v>
      </c>
      <c r="F107" s="627" t="s">
        <v>77</v>
      </c>
      <c r="G107" s="627" t="s">
        <v>78</v>
      </c>
      <c r="H107" s="627" t="s">
        <v>79</v>
      </c>
      <c r="I107" s="627" t="s">
        <v>80</v>
      </c>
      <c r="J107" s="627" t="s">
        <v>81</v>
      </c>
      <c r="K107" s="627" t="s">
        <v>82</v>
      </c>
      <c r="L107" s="627" t="s">
        <v>83</v>
      </c>
      <c r="M107" s="627" t="s">
        <v>84</v>
      </c>
      <c r="N107" s="627" t="s">
        <v>85</v>
      </c>
      <c r="O107" s="628" t="s">
        <v>24</v>
      </c>
    </row>
    <row r="108" spans="2:15" ht="16">
      <c r="B108" s="44" t="s">
        <v>107</v>
      </c>
      <c r="C108" s="43" t="s">
        <v>74</v>
      </c>
      <c r="D108" s="43" t="s">
        <v>75</v>
      </c>
      <c r="E108" s="43" t="s">
        <v>76</v>
      </c>
      <c r="F108" s="43" t="s">
        <v>77</v>
      </c>
      <c r="G108" s="43" t="s">
        <v>78</v>
      </c>
      <c r="H108" s="43" t="s">
        <v>79</v>
      </c>
      <c r="I108" s="43" t="s">
        <v>80</v>
      </c>
      <c r="J108" s="43" t="s">
        <v>81</v>
      </c>
      <c r="K108" s="43" t="s">
        <v>82</v>
      </c>
      <c r="L108" s="43" t="s">
        <v>83</v>
      </c>
      <c r="M108" s="43" t="s">
        <v>84</v>
      </c>
      <c r="N108" s="43" t="s">
        <v>85</v>
      </c>
      <c r="O108" s="48" t="s">
        <v>24</v>
      </c>
    </row>
    <row r="109" spans="2:15" ht="16">
      <c r="B109" s="45" t="s">
        <v>88</v>
      </c>
      <c r="C109" s="42">
        <v>560</v>
      </c>
      <c r="D109" s="42">
        <v>590</v>
      </c>
      <c r="E109" s="42">
        <v>770</v>
      </c>
      <c r="F109" s="42">
        <v>700</v>
      </c>
      <c r="G109" s="42">
        <v>780</v>
      </c>
      <c r="H109" s="42">
        <v>700</v>
      </c>
      <c r="I109" s="42">
        <v>730</v>
      </c>
      <c r="J109" s="42">
        <v>720</v>
      </c>
      <c r="K109" s="42">
        <v>710</v>
      </c>
      <c r="L109" s="42">
        <v>735</v>
      </c>
      <c r="M109" s="42">
        <v>620</v>
      </c>
      <c r="N109" s="42">
        <v>780</v>
      </c>
      <c r="O109" s="49">
        <f>SUM(C109:N109)</f>
        <v>8395</v>
      </c>
    </row>
    <row r="110" spans="2:15" ht="16">
      <c r="B110" s="45" t="s">
        <v>89</v>
      </c>
      <c r="C110" s="42">
        <v>260</v>
      </c>
      <c r="D110" s="42">
        <v>280</v>
      </c>
      <c r="E110" s="42">
        <v>350</v>
      </c>
      <c r="F110" s="42">
        <v>305</v>
      </c>
      <c r="G110" s="42">
        <v>320</v>
      </c>
      <c r="H110" s="42">
        <v>300</v>
      </c>
      <c r="I110" s="42">
        <v>270</v>
      </c>
      <c r="J110" s="42">
        <v>300</v>
      </c>
      <c r="K110" s="42">
        <v>345</v>
      </c>
      <c r="L110" s="42">
        <v>370</v>
      </c>
      <c r="M110" s="42">
        <v>340</v>
      </c>
      <c r="N110" s="42">
        <v>430</v>
      </c>
      <c r="O110" s="49">
        <f t="shared" ref="O110:O120" si="12">SUM(C110:N110)</f>
        <v>3870</v>
      </c>
    </row>
    <row r="111" spans="2:15" ht="16">
      <c r="B111" s="45" t="s">
        <v>91</v>
      </c>
      <c r="C111" s="42">
        <v>0</v>
      </c>
      <c r="D111" s="42">
        <v>0</v>
      </c>
      <c r="E111" s="42">
        <v>0</v>
      </c>
      <c r="F111" s="42">
        <v>0</v>
      </c>
      <c r="G111" s="42">
        <v>0</v>
      </c>
      <c r="H111" s="42">
        <v>0</v>
      </c>
      <c r="I111" s="42">
        <v>0</v>
      </c>
      <c r="J111" s="42">
        <v>0</v>
      </c>
      <c r="K111" s="42">
        <v>0</v>
      </c>
      <c r="L111" s="42">
        <v>0</v>
      </c>
      <c r="M111" s="42">
        <v>0</v>
      </c>
      <c r="N111" s="42">
        <v>0</v>
      </c>
      <c r="O111" s="49">
        <f t="shared" si="12"/>
        <v>0</v>
      </c>
    </row>
    <row r="112" spans="2:15" ht="16">
      <c r="B112" s="45" t="s">
        <v>92</v>
      </c>
      <c r="C112" s="42">
        <v>110</v>
      </c>
      <c r="D112" s="42">
        <v>140</v>
      </c>
      <c r="E112" s="42">
        <v>160</v>
      </c>
      <c r="F112" s="42">
        <v>130</v>
      </c>
      <c r="G112" s="42">
        <v>140</v>
      </c>
      <c r="H112" s="42">
        <v>135</v>
      </c>
      <c r="I112" s="42">
        <v>160</v>
      </c>
      <c r="J112" s="42">
        <v>160</v>
      </c>
      <c r="K112" s="42">
        <v>140</v>
      </c>
      <c r="L112" s="42">
        <v>150</v>
      </c>
      <c r="M112" s="42">
        <v>130</v>
      </c>
      <c r="N112" s="42">
        <v>185</v>
      </c>
      <c r="O112" s="49">
        <f t="shared" si="12"/>
        <v>1740</v>
      </c>
    </row>
    <row r="113" spans="2:15" ht="16">
      <c r="B113" s="45" t="s">
        <v>93</v>
      </c>
      <c r="C113" s="42">
        <v>15</v>
      </c>
      <c r="D113" s="42">
        <v>90</v>
      </c>
      <c r="E113" s="42">
        <v>120</v>
      </c>
      <c r="F113" s="42">
        <v>120</v>
      </c>
      <c r="G113" s="42">
        <v>150</v>
      </c>
      <c r="H113" s="42">
        <v>140</v>
      </c>
      <c r="I113" s="42">
        <v>130</v>
      </c>
      <c r="J113" s="42">
        <v>160</v>
      </c>
      <c r="K113" s="42">
        <v>150</v>
      </c>
      <c r="L113" s="42">
        <v>160</v>
      </c>
      <c r="M113" s="42">
        <v>145</v>
      </c>
      <c r="N113" s="42">
        <v>170</v>
      </c>
      <c r="O113" s="49">
        <f t="shared" si="12"/>
        <v>1550</v>
      </c>
    </row>
    <row r="114" spans="2:15" ht="16">
      <c r="B114" s="45" t="s">
        <v>94</v>
      </c>
      <c r="C114" s="42">
        <v>2090</v>
      </c>
      <c r="D114" s="42">
        <v>2180</v>
      </c>
      <c r="E114" s="42">
        <v>2770</v>
      </c>
      <c r="F114" s="42">
        <v>2475</v>
      </c>
      <c r="G114" s="42">
        <v>2860</v>
      </c>
      <c r="H114" s="42">
        <v>2585</v>
      </c>
      <c r="I114" s="42">
        <v>2690</v>
      </c>
      <c r="J114" s="42">
        <v>2880</v>
      </c>
      <c r="K114" s="42">
        <v>2510</v>
      </c>
      <c r="L114" s="42">
        <v>2535</v>
      </c>
      <c r="M114" s="42">
        <v>2475</v>
      </c>
      <c r="N114" s="42">
        <v>3375</v>
      </c>
      <c r="O114" s="49">
        <f t="shared" si="12"/>
        <v>31425</v>
      </c>
    </row>
    <row r="115" spans="2:15" ht="16">
      <c r="B115" s="45" t="s">
        <v>95</v>
      </c>
      <c r="C115" s="42">
        <v>20</v>
      </c>
      <c r="D115" s="42">
        <v>30</v>
      </c>
      <c r="E115" s="42">
        <v>0</v>
      </c>
      <c r="F115" s="42">
        <v>0</v>
      </c>
      <c r="G115" s="42">
        <v>0</v>
      </c>
      <c r="H115" s="42">
        <v>30</v>
      </c>
      <c r="I115" s="42">
        <v>150</v>
      </c>
      <c r="J115" s="42">
        <v>140</v>
      </c>
      <c r="K115" s="42">
        <v>140</v>
      </c>
      <c r="L115" s="42">
        <v>155</v>
      </c>
      <c r="M115" s="42">
        <v>135</v>
      </c>
      <c r="N115" s="42">
        <v>170</v>
      </c>
      <c r="O115" s="49">
        <f t="shared" si="12"/>
        <v>970</v>
      </c>
    </row>
    <row r="116" spans="2:15" ht="16">
      <c r="B116" s="45" t="s">
        <v>108</v>
      </c>
      <c r="C116" s="42">
        <v>290</v>
      </c>
      <c r="D116" s="42">
        <v>310</v>
      </c>
      <c r="E116" s="42">
        <v>350</v>
      </c>
      <c r="F116" s="42">
        <v>310</v>
      </c>
      <c r="G116" s="42">
        <v>360</v>
      </c>
      <c r="H116" s="42">
        <v>300</v>
      </c>
      <c r="I116" s="42">
        <v>340</v>
      </c>
      <c r="J116" s="42">
        <v>370</v>
      </c>
      <c r="K116" s="42">
        <v>350</v>
      </c>
      <c r="L116" s="42">
        <v>360</v>
      </c>
      <c r="M116" s="42">
        <v>330</v>
      </c>
      <c r="N116" s="42">
        <v>380</v>
      </c>
      <c r="O116" s="49">
        <f t="shared" si="12"/>
        <v>4050</v>
      </c>
    </row>
    <row r="117" spans="2:15" ht="16">
      <c r="B117" s="45" t="s">
        <v>97</v>
      </c>
      <c r="C117" s="42">
        <v>1500</v>
      </c>
      <c r="D117" s="42">
        <v>1600</v>
      </c>
      <c r="E117" s="42">
        <v>1960</v>
      </c>
      <c r="F117" s="42">
        <v>1700</v>
      </c>
      <c r="G117" s="42">
        <v>1870</v>
      </c>
      <c r="H117" s="42">
        <v>1700</v>
      </c>
      <c r="I117" s="42">
        <v>1900</v>
      </c>
      <c r="J117" s="42">
        <v>1950</v>
      </c>
      <c r="K117" s="42">
        <v>1950</v>
      </c>
      <c r="L117" s="42">
        <v>2170</v>
      </c>
      <c r="M117" s="42">
        <v>2000</v>
      </c>
      <c r="N117" s="42">
        <v>2450</v>
      </c>
      <c r="O117" s="49">
        <f t="shared" si="12"/>
        <v>22750</v>
      </c>
    </row>
    <row r="118" spans="2:15" ht="16">
      <c r="B118" s="45" t="s">
        <v>111</v>
      </c>
      <c r="C118" s="42">
        <v>0</v>
      </c>
      <c r="D118" s="42">
        <v>0</v>
      </c>
      <c r="E118" s="42">
        <v>0</v>
      </c>
      <c r="F118" s="42">
        <v>0</v>
      </c>
      <c r="G118" s="42">
        <v>0</v>
      </c>
      <c r="H118" s="42">
        <v>0</v>
      </c>
      <c r="I118" s="42">
        <v>0</v>
      </c>
      <c r="J118" s="42">
        <v>0</v>
      </c>
      <c r="K118" s="42">
        <v>0</v>
      </c>
      <c r="L118" s="42">
        <v>0</v>
      </c>
      <c r="M118" s="42">
        <v>0</v>
      </c>
      <c r="N118" s="42">
        <v>0</v>
      </c>
      <c r="O118" s="49">
        <f t="shared" si="12"/>
        <v>0</v>
      </c>
    </row>
    <row r="119" spans="2:15" ht="16">
      <c r="B119" s="45" t="s">
        <v>113</v>
      </c>
      <c r="C119" s="42">
        <v>0</v>
      </c>
      <c r="D119" s="42">
        <v>0</v>
      </c>
      <c r="E119" s="42">
        <v>0</v>
      </c>
      <c r="F119" s="42">
        <v>0</v>
      </c>
      <c r="G119" s="42">
        <v>0</v>
      </c>
      <c r="H119" s="42">
        <v>0</v>
      </c>
      <c r="I119" s="42">
        <v>0</v>
      </c>
      <c r="J119" s="42">
        <v>0</v>
      </c>
      <c r="K119" s="42">
        <v>0</v>
      </c>
      <c r="L119" s="42">
        <v>0</v>
      </c>
      <c r="M119" s="42">
        <v>0</v>
      </c>
      <c r="N119" s="42">
        <v>0</v>
      </c>
      <c r="O119" s="49">
        <f t="shared" si="12"/>
        <v>0</v>
      </c>
    </row>
    <row r="120" spans="2:15" ht="17" thickBot="1">
      <c r="B120" s="50" t="s">
        <v>24</v>
      </c>
      <c r="C120" s="51">
        <v>4845</v>
      </c>
      <c r="D120" s="51">
        <v>5220</v>
      </c>
      <c r="E120" s="51">
        <v>6480</v>
      </c>
      <c r="F120" s="51">
        <v>5740</v>
      </c>
      <c r="G120" s="51">
        <v>6480</v>
      </c>
      <c r="H120" s="51">
        <v>5890</v>
      </c>
      <c r="I120" s="51">
        <v>6370</v>
      </c>
      <c r="J120" s="51">
        <v>6680</v>
      </c>
      <c r="K120" s="51">
        <v>6295</v>
      </c>
      <c r="L120" s="51">
        <v>6635</v>
      </c>
      <c r="M120" s="51">
        <v>6175</v>
      </c>
      <c r="N120" s="51">
        <v>7940</v>
      </c>
      <c r="O120" s="52">
        <f t="shared" si="12"/>
        <v>74750</v>
      </c>
    </row>
    <row r="121" spans="2:15" ht="16" thickBot="1"/>
    <row r="122" spans="2:15" ht="16" thickBot="1">
      <c r="B122" s="626" t="s">
        <v>125</v>
      </c>
      <c r="C122" s="627" t="s">
        <v>74</v>
      </c>
      <c r="D122" s="627" t="s">
        <v>75</v>
      </c>
      <c r="E122" s="627" t="s">
        <v>76</v>
      </c>
      <c r="F122" s="627" t="s">
        <v>77</v>
      </c>
      <c r="G122" s="627" t="s">
        <v>78</v>
      </c>
      <c r="H122" s="627" t="s">
        <v>79</v>
      </c>
      <c r="I122" s="627" t="s">
        <v>80</v>
      </c>
      <c r="J122" s="627" t="s">
        <v>81</v>
      </c>
      <c r="K122" s="627" t="s">
        <v>82</v>
      </c>
      <c r="L122" s="627" t="s">
        <v>83</v>
      </c>
      <c r="M122" s="627" t="s">
        <v>84</v>
      </c>
      <c r="N122" s="627" t="s">
        <v>85</v>
      </c>
      <c r="O122" s="628" t="s">
        <v>24</v>
      </c>
    </row>
    <row r="123" spans="2:15" ht="16">
      <c r="B123" s="44" t="s">
        <v>107</v>
      </c>
      <c r="C123" s="43" t="s">
        <v>74</v>
      </c>
      <c r="D123" s="43" t="s">
        <v>75</v>
      </c>
      <c r="E123" s="43" t="s">
        <v>76</v>
      </c>
      <c r="F123" s="43" t="s">
        <v>77</v>
      </c>
      <c r="G123" s="43" t="s">
        <v>78</v>
      </c>
      <c r="H123" s="43" t="s">
        <v>79</v>
      </c>
      <c r="I123" s="43" t="s">
        <v>80</v>
      </c>
      <c r="J123" s="43" t="s">
        <v>81</v>
      </c>
      <c r="K123" s="43" t="s">
        <v>82</v>
      </c>
      <c r="L123" s="43" t="s">
        <v>83</v>
      </c>
      <c r="M123" s="43" t="s">
        <v>84</v>
      </c>
      <c r="N123" s="43" t="s">
        <v>85</v>
      </c>
      <c r="O123" s="48" t="s">
        <v>24</v>
      </c>
    </row>
    <row r="124" spans="2:15" ht="16">
      <c r="B124" s="45" t="s">
        <v>88</v>
      </c>
      <c r="C124" s="42">
        <v>560</v>
      </c>
      <c r="D124" s="42">
        <v>590</v>
      </c>
      <c r="E124" s="42">
        <v>770</v>
      </c>
      <c r="F124" s="42">
        <v>700</v>
      </c>
      <c r="G124" s="42">
        <v>780</v>
      </c>
      <c r="H124" s="42">
        <v>700</v>
      </c>
      <c r="I124" s="42">
        <v>730</v>
      </c>
      <c r="J124" s="42">
        <v>720</v>
      </c>
      <c r="K124" s="42">
        <v>710</v>
      </c>
      <c r="L124" s="42">
        <v>735</v>
      </c>
      <c r="M124" s="42">
        <v>620</v>
      </c>
      <c r="N124" s="42">
        <v>780</v>
      </c>
      <c r="O124" s="49">
        <v>8395</v>
      </c>
    </row>
    <row r="125" spans="2:15" ht="16">
      <c r="B125" s="45" t="s">
        <v>89</v>
      </c>
      <c r="C125" s="42">
        <v>260</v>
      </c>
      <c r="D125" s="42">
        <v>280</v>
      </c>
      <c r="E125" s="42">
        <v>350</v>
      </c>
      <c r="F125" s="42">
        <v>305</v>
      </c>
      <c r="G125" s="42">
        <v>320</v>
      </c>
      <c r="H125" s="42">
        <v>300</v>
      </c>
      <c r="I125" s="42">
        <v>270</v>
      </c>
      <c r="J125" s="42">
        <v>300</v>
      </c>
      <c r="K125" s="42">
        <v>345</v>
      </c>
      <c r="L125" s="42">
        <v>370</v>
      </c>
      <c r="M125" s="42">
        <v>340</v>
      </c>
      <c r="N125" s="42">
        <v>430</v>
      </c>
      <c r="O125" s="49">
        <v>3870</v>
      </c>
    </row>
    <row r="126" spans="2:15" ht="16">
      <c r="B126" s="45" t="s">
        <v>91</v>
      </c>
      <c r="C126" s="42">
        <v>0</v>
      </c>
      <c r="D126" s="42">
        <v>0</v>
      </c>
      <c r="E126" s="42">
        <v>0</v>
      </c>
      <c r="F126" s="42">
        <v>0</v>
      </c>
      <c r="G126" s="42">
        <v>0</v>
      </c>
      <c r="H126" s="42">
        <v>0</v>
      </c>
      <c r="I126" s="42">
        <v>0</v>
      </c>
      <c r="J126" s="42">
        <v>0</v>
      </c>
      <c r="K126" s="42">
        <v>0</v>
      </c>
      <c r="L126" s="42">
        <v>0</v>
      </c>
      <c r="M126" s="42">
        <v>0</v>
      </c>
      <c r="N126" s="42">
        <v>0</v>
      </c>
      <c r="O126" s="49">
        <v>0</v>
      </c>
    </row>
    <row r="127" spans="2:15" ht="16">
      <c r="B127" s="45" t="s">
        <v>92</v>
      </c>
      <c r="C127" s="42">
        <v>110</v>
      </c>
      <c r="D127" s="42">
        <v>140</v>
      </c>
      <c r="E127" s="42">
        <v>160</v>
      </c>
      <c r="F127" s="42">
        <v>130</v>
      </c>
      <c r="G127" s="42">
        <v>140</v>
      </c>
      <c r="H127" s="42">
        <v>135</v>
      </c>
      <c r="I127" s="42">
        <v>160</v>
      </c>
      <c r="J127" s="42">
        <v>160</v>
      </c>
      <c r="K127" s="42">
        <v>140</v>
      </c>
      <c r="L127" s="42">
        <v>150</v>
      </c>
      <c r="M127" s="42">
        <v>130</v>
      </c>
      <c r="N127" s="42">
        <v>185</v>
      </c>
      <c r="O127" s="49">
        <v>1740</v>
      </c>
    </row>
    <row r="128" spans="2:15" ht="16">
      <c r="B128" s="45" t="s">
        <v>93</v>
      </c>
      <c r="C128" s="42">
        <v>15</v>
      </c>
      <c r="D128" s="42">
        <v>90</v>
      </c>
      <c r="E128" s="42">
        <v>120</v>
      </c>
      <c r="F128" s="42">
        <v>120</v>
      </c>
      <c r="G128" s="42">
        <v>150</v>
      </c>
      <c r="H128" s="42">
        <v>140</v>
      </c>
      <c r="I128" s="42">
        <v>130</v>
      </c>
      <c r="J128" s="42">
        <v>160</v>
      </c>
      <c r="K128" s="42">
        <v>150</v>
      </c>
      <c r="L128" s="42">
        <v>160</v>
      </c>
      <c r="M128" s="42">
        <v>145</v>
      </c>
      <c r="N128" s="42">
        <v>170</v>
      </c>
      <c r="O128" s="49">
        <v>1550</v>
      </c>
    </row>
    <row r="129" spans="2:15" ht="16">
      <c r="B129" s="45" t="s">
        <v>94</v>
      </c>
      <c r="C129" s="42">
        <v>2090</v>
      </c>
      <c r="D129" s="42">
        <v>2180</v>
      </c>
      <c r="E129" s="42">
        <v>2770</v>
      </c>
      <c r="F129" s="42">
        <v>2475</v>
      </c>
      <c r="G129" s="42">
        <v>2860</v>
      </c>
      <c r="H129" s="42">
        <v>2585</v>
      </c>
      <c r="I129" s="42">
        <v>2690</v>
      </c>
      <c r="J129" s="42">
        <v>2880</v>
      </c>
      <c r="K129" s="42">
        <v>2510</v>
      </c>
      <c r="L129" s="42">
        <v>2535</v>
      </c>
      <c r="M129" s="42">
        <v>2475</v>
      </c>
      <c r="N129" s="42">
        <v>3375</v>
      </c>
      <c r="O129" s="49">
        <v>31425</v>
      </c>
    </row>
    <row r="130" spans="2:15" ht="16">
      <c r="B130" s="45" t="s">
        <v>95</v>
      </c>
      <c r="C130" s="42">
        <v>20</v>
      </c>
      <c r="D130" s="42">
        <v>30</v>
      </c>
      <c r="E130" s="42">
        <v>0</v>
      </c>
      <c r="F130" s="42">
        <v>0</v>
      </c>
      <c r="G130" s="42">
        <v>0</v>
      </c>
      <c r="H130" s="42">
        <v>30</v>
      </c>
      <c r="I130" s="42">
        <v>150</v>
      </c>
      <c r="J130" s="42">
        <v>140</v>
      </c>
      <c r="K130" s="42">
        <v>140</v>
      </c>
      <c r="L130" s="42">
        <v>155</v>
      </c>
      <c r="M130" s="42">
        <v>135</v>
      </c>
      <c r="N130" s="42">
        <v>170</v>
      </c>
      <c r="O130" s="49">
        <v>970</v>
      </c>
    </row>
    <row r="131" spans="2:15" ht="16">
      <c r="B131" s="45" t="s">
        <v>108</v>
      </c>
      <c r="C131" s="42">
        <v>290</v>
      </c>
      <c r="D131" s="42">
        <v>310</v>
      </c>
      <c r="E131" s="42">
        <v>350</v>
      </c>
      <c r="F131" s="42">
        <v>310</v>
      </c>
      <c r="G131" s="42">
        <v>360</v>
      </c>
      <c r="H131" s="42">
        <v>300</v>
      </c>
      <c r="I131" s="42">
        <v>340</v>
      </c>
      <c r="J131" s="42">
        <v>370</v>
      </c>
      <c r="K131" s="42">
        <v>350</v>
      </c>
      <c r="L131" s="42">
        <v>360</v>
      </c>
      <c r="M131" s="42">
        <v>330</v>
      </c>
      <c r="N131" s="42">
        <v>380</v>
      </c>
      <c r="O131" s="49">
        <v>4050</v>
      </c>
    </row>
    <row r="132" spans="2:15" ht="16">
      <c r="B132" s="45" t="s">
        <v>97</v>
      </c>
      <c r="C132" s="42">
        <v>1500</v>
      </c>
      <c r="D132" s="42">
        <v>1600</v>
      </c>
      <c r="E132" s="42">
        <v>1960</v>
      </c>
      <c r="F132" s="42">
        <v>1700</v>
      </c>
      <c r="G132" s="42">
        <v>1870</v>
      </c>
      <c r="H132" s="42">
        <v>1700</v>
      </c>
      <c r="I132" s="42">
        <v>1900</v>
      </c>
      <c r="J132" s="42">
        <v>1950</v>
      </c>
      <c r="K132" s="42">
        <v>1950</v>
      </c>
      <c r="L132" s="42">
        <v>2170</v>
      </c>
      <c r="M132" s="42">
        <v>2000</v>
      </c>
      <c r="N132" s="42">
        <v>2450</v>
      </c>
      <c r="O132" s="49">
        <v>22750</v>
      </c>
    </row>
    <row r="133" spans="2:15" ht="16">
      <c r="B133" s="45" t="s">
        <v>111</v>
      </c>
      <c r="C133" s="42">
        <v>0</v>
      </c>
      <c r="D133" s="42">
        <v>0</v>
      </c>
      <c r="E133" s="42">
        <v>0</v>
      </c>
      <c r="F133" s="42">
        <v>0</v>
      </c>
      <c r="G133" s="42">
        <v>0</v>
      </c>
      <c r="H133" s="42">
        <v>0</v>
      </c>
      <c r="I133" s="42">
        <v>0</v>
      </c>
      <c r="J133" s="42">
        <v>0</v>
      </c>
      <c r="K133" s="42">
        <v>0</v>
      </c>
      <c r="L133" s="42">
        <v>0</v>
      </c>
      <c r="M133" s="42">
        <v>0</v>
      </c>
      <c r="N133" s="42">
        <v>0</v>
      </c>
      <c r="O133" s="49">
        <v>0</v>
      </c>
    </row>
    <row r="134" spans="2:15" ht="16">
      <c r="B134" s="45" t="s">
        <v>24</v>
      </c>
      <c r="C134" s="42">
        <v>4845</v>
      </c>
      <c r="D134" s="42">
        <v>5220</v>
      </c>
      <c r="E134" s="42">
        <v>6480</v>
      </c>
      <c r="F134" s="42">
        <v>5740</v>
      </c>
      <c r="G134" s="42">
        <v>6480</v>
      </c>
      <c r="H134" s="42">
        <v>5890</v>
      </c>
      <c r="I134" s="42">
        <v>6370</v>
      </c>
      <c r="J134" s="42">
        <v>6680</v>
      </c>
      <c r="K134" s="42">
        <v>6295</v>
      </c>
      <c r="L134" s="42">
        <v>6635</v>
      </c>
      <c r="M134" s="42">
        <v>6175</v>
      </c>
      <c r="N134" s="42">
        <v>7940</v>
      </c>
      <c r="O134" s="49">
        <v>74750</v>
      </c>
    </row>
    <row r="135" spans="2:15" ht="16" thickBot="1"/>
    <row r="136" spans="2:15" ht="16" thickBot="1">
      <c r="B136" s="626" t="s">
        <v>126</v>
      </c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8"/>
    </row>
    <row r="137" spans="2:15" ht="16">
      <c r="B137" s="44" t="s">
        <v>107</v>
      </c>
      <c r="C137" s="43" t="s">
        <v>74</v>
      </c>
      <c r="D137" s="43" t="s">
        <v>75</v>
      </c>
      <c r="E137" s="43" t="s">
        <v>76</v>
      </c>
      <c r="F137" s="43" t="s">
        <v>77</v>
      </c>
      <c r="G137" s="43" t="s">
        <v>78</v>
      </c>
      <c r="H137" s="43" t="s">
        <v>79</v>
      </c>
      <c r="I137" s="43" t="s">
        <v>80</v>
      </c>
      <c r="J137" s="43" t="s">
        <v>81</v>
      </c>
      <c r="K137" s="43" t="s">
        <v>82</v>
      </c>
      <c r="L137" s="43" t="s">
        <v>83</v>
      </c>
      <c r="M137" s="43" t="s">
        <v>84</v>
      </c>
      <c r="N137" s="43" t="s">
        <v>85</v>
      </c>
      <c r="O137" s="48" t="s">
        <v>24</v>
      </c>
    </row>
    <row r="138" spans="2:15" ht="16">
      <c r="B138" s="45" t="s">
        <v>88</v>
      </c>
      <c r="C138" s="42">
        <v>590</v>
      </c>
      <c r="D138" s="42">
        <v>580</v>
      </c>
      <c r="E138" s="42">
        <v>750</v>
      </c>
      <c r="F138" s="42">
        <v>700</v>
      </c>
      <c r="G138" s="42">
        <v>780</v>
      </c>
      <c r="H138" s="42">
        <v>700</v>
      </c>
      <c r="I138" s="42">
        <v>730</v>
      </c>
      <c r="J138" s="42">
        <v>720</v>
      </c>
      <c r="K138" s="42">
        <v>710</v>
      </c>
      <c r="L138" s="42">
        <v>735</v>
      </c>
      <c r="M138" s="42">
        <v>620</v>
      </c>
      <c r="N138" s="42">
        <v>780</v>
      </c>
      <c r="O138" s="49">
        <v>8395</v>
      </c>
    </row>
    <row r="139" spans="2:15" ht="16">
      <c r="B139" s="45" t="s">
        <v>89</v>
      </c>
      <c r="C139" s="42">
        <v>280</v>
      </c>
      <c r="D139" s="42">
        <v>280</v>
      </c>
      <c r="E139" s="42">
        <v>330</v>
      </c>
      <c r="F139" s="42">
        <v>305</v>
      </c>
      <c r="G139" s="42">
        <v>320</v>
      </c>
      <c r="H139" s="42">
        <v>300</v>
      </c>
      <c r="I139" s="42">
        <v>270</v>
      </c>
      <c r="J139" s="42">
        <v>300</v>
      </c>
      <c r="K139" s="42">
        <v>345</v>
      </c>
      <c r="L139" s="42">
        <v>370</v>
      </c>
      <c r="M139" s="42">
        <v>340</v>
      </c>
      <c r="N139" s="42">
        <v>430</v>
      </c>
      <c r="O139" s="49">
        <v>3870</v>
      </c>
    </row>
    <row r="140" spans="2:15" ht="16">
      <c r="B140" s="45" t="s">
        <v>91</v>
      </c>
      <c r="C140" s="42">
        <v>0</v>
      </c>
      <c r="D140" s="42">
        <v>0</v>
      </c>
      <c r="E140" s="42">
        <v>0</v>
      </c>
      <c r="F140" s="42">
        <v>0</v>
      </c>
      <c r="G140" s="42">
        <v>0</v>
      </c>
      <c r="H140" s="42">
        <v>0</v>
      </c>
      <c r="I140" s="42">
        <v>0</v>
      </c>
      <c r="J140" s="42">
        <v>0</v>
      </c>
      <c r="K140" s="42">
        <v>0</v>
      </c>
      <c r="L140" s="42">
        <v>0</v>
      </c>
      <c r="M140" s="42">
        <v>0</v>
      </c>
      <c r="N140" s="42">
        <v>0</v>
      </c>
      <c r="O140" s="49">
        <v>0</v>
      </c>
    </row>
    <row r="141" spans="2:15" ht="16">
      <c r="B141" s="45" t="s">
        <v>92</v>
      </c>
      <c r="C141" s="42">
        <v>130</v>
      </c>
      <c r="D141" s="42">
        <v>140</v>
      </c>
      <c r="E141" s="42">
        <v>140</v>
      </c>
      <c r="F141" s="42">
        <v>130</v>
      </c>
      <c r="G141" s="42">
        <v>140</v>
      </c>
      <c r="H141" s="42">
        <v>135</v>
      </c>
      <c r="I141" s="42">
        <v>160</v>
      </c>
      <c r="J141" s="42">
        <v>160</v>
      </c>
      <c r="K141" s="42">
        <v>140</v>
      </c>
      <c r="L141" s="42">
        <v>150</v>
      </c>
      <c r="M141" s="42">
        <v>130</v>
      </c>
      <c r="N141" s="42">
        <v>185</v>
      </c>
      <c r="O141" s="49">
        <v>1740</v>
      </c>
    </row>
    <row r="142" spans="2:15" ht="16">
      <c r="B142" s="45" t="s">
        <v>93</v>
      </c>
      <c r="C142" s="42">
        <v>20</v>
      </c>
      <c r="D142" s="42">
        <v>85</v>
      </c>
      <c r="E142" s="42">
        <v>120</v>
      </c>
      <c r="F142" s="42">
        <v>120</v>
      </c>
      <c r="G142" s="42">
        <v>150</v>
      </c>
      <c r="H142" s="42">
        <v>140</v>
      </c>
      <c r="I142" s="42">
        <v>130</v>
      </c>
      <c r="J142" s="42">
        <v>160</v>
      </c>
      <c r="K142" s="42">
        <v>150</v>
      </c>
      <c r="L142" s="42">
        <v>160</v>
      </c>
      <c r="M142" s="42">
        <v>145</v>
      </c>
      <c r="N142" s="42">
        <v>170</v>
      </c>
      <c r="O142" s="49">
        <v>1550</v>
      </c>
    </row>
    <row r="143" spans="2:15" ht="16">
      <c r="B143" s="45" t="s">
        <v>94</v>
      </c>
      <c r="C143" s="42">
        <v>2020</v>
      </c>
      <c r="D143" s="42">
        <v>2190</v>
      </c>
      <c r="E143" s="42">
        <v>2830</v>
      </c>
      <c r="F143" s="42">
        <v>2475</v>
      </c>
      <c r="G143" s="42">
        <v>2860</v>
      </c>
      <c r="H143" s="42">
        <v>2585</v>
      </c>
      <c r="I143" s="42">
        <v>2690</v>
      </c>
      <c r="J143" s="42">
        <v>2880</v>
      </c>
      <c r="K143" s="42">
        <v>2510</v>
      </c>
      <c r="L143" s="42">
        <v>2535</v>
      </c>
      <c r="M143" s="42">
        <v>2475</v>
      </c>
      <c r="N143" s="42">
        <v>3375</v>
      </c>
      <c r="O143" s="49">
        <v>31425</v>
      </c>
    </row>
    <row r="144" spans="2:15" ht="16">
      <c r="B144" s="45" t="s">
        <v>95</v>
      </c>
      <c r="C144" s="42">
        <v>25</v>
      </c>
      <c r="D144" s="42">
        <v>25</v>
      </c>
      <c r="E144" s="42">
        <v>0</v>
      </c>
      <c r="F144" s="42">
        <v>0</v>
      </c>
      <c r="G144" s="42">
        <v>0</v>
      </c>
      <c r="H144" s="42">
        <v>30</v>
      </c>
      <c r="I144" s="42">
        <v>150</v>
      </c>
      <c r="J144" s="42">
        <v>140</v>
      </c>
      <c r="K144" s="42">
        <v>140</v>
      </c>
      <c r="L144" s="42">
        <v>155</v>
      </c>
      <c r="M144" s="42">
        <v>135</v>
      </c>
      <c r="N144" s="42">
        <v>170</v>
      </c>
      <c r="O144" s="49">
        <v>970</v>
      </c>
    </row>
    <row r="145" spans="2:15" ht="16">
      <c r="B145" s="45" t="s">
        <v>108</v>
      </c>
      <c r="C145" s="42">
        <v>280</v>
      </c>
      <c r="D145" s="42">
        <v>320</v>
      </c>
      <c r="E145" s="42">
        <v>350</v>
      </c>
      <c r="F145" s="42">
        <v>310</v>
      </c>
      <c r="G145" s="42">
        <v>360</v>
      </c>
      <c r="H145" s="42">
        <v>300</v>
      </c>
      <c r="I145" s="42">
        <v>340</v>
      </c>
      <c r="J145" s="42">
        <v>370</v>
      </c>
      <c r="K145" s="42">
        <v>350</v>
      </c>
      <c r="L145" s="42">
        <v>360</v>
      </c>
      <c r="M145" s="42">
        <v>330</v>
      </c>
      <c r="N145" s="42">
        <v>380</v>
      </c>
      <c r="O145" s="49">
        <v>4050</v>
      </c>
    </row>
    <row r="146" spans="2:15" ht="16">
      <c r="B146" s="45" t="s">
        <v>97</v>
      </c>
      <c r="C146" s="42">
        <v>1500</v>
      </c>
      <c r="D146" s="42">
        <v>1600</v>
      </c>
      <c r="E146" s="42">
        <v>1960</v>
      </c>
      <c r="F146" s="42">
        <v>1700</v>
      </c>
      <c r="G146" s="42">
        <v>1870</v>
      </c>
      <c r="H146" s="42">
        <v>1700</v>
      </c>
      <c r="I146" s="42">
        <v>1900</v>
      </c>
      <c r="J146" s="42">
        <v>1950</v>
      </c>
      <c r="K146" s="42">
        <v>1950</v>
      </c>
      <c r="L146" s="42">
        <v>2170</v>
      </c>
      <c r="M146" s="42">
        <v>2000</v>
      </c>
      <c r="N146" s="42">
        <v>2450</v>
      </c>
      <c r="O146" s="49">
        <v>22750</v>
      </c>
    </row>
    <row r="147" spans="2:15" ht="16">
      <c r="B147" s="45" t="s">
        <v>111</v>
      </c>
      <c r="C147" s="42">
        <v>0</v>
      </c>
      <c r="D147" s="42">
        <v>0</v>
      </c>
      <c r="E147" s="42">
        <v>0</v>
      </c>
      <c r="F147" s="42">
        <v>0</v>
      </c>
      <c r="G147" s="42">
        <v>0</v>
      </c>
      <c r="H147" s="42">
        <v>0</v>
      </c>
      <c r="I147" s="42">
        <v>0</v>
      </c>
      <c r="J147" s="42">
        <v>0</v>
      </c>
      <c r="K147" s="42">
        <v>0</v>
      </c>
      <c r="L147" s="42">
        <v>0</v>
      </c>
      <c r="M147" s="42">
        <v>0</v>
      </c>
      <c r="N147" s="42">
        <v>0</v>
      </c>
      <c r="O147" s="49">
        <v>0</v>
      </c>
    </row>
    <row r="148" spans="2:15" ht="17" thickBot="1">
      <c r="B148" s="50" t="s">
        <v>24</v>
      </c>
      <c r="C148" s="51">
        <v>4845</v>
      </c>
      <c r="D148" s="51">
        <v>5220</v>
      </c>
      <c r="E148" s="51">
        <v>6480</v>
      </c>
      <c r="F148" s="51">
        <v>5740</v>
      </c>
      <c r="G148" s="51">
        <v>6480</v>
      </c>
      <c r="H148" s="51">
        <v>5890</v>
      </c>
      <c r="I148" s="51">
        <v>6370</v>
      </c>
      <c r="J148" s="51">
        <v>6680</v>
      </c>
      <c r="K148" s="51">
        <v>6295</v>
      </c>
      <c r="L148" s="51">
        <v>6635</v>
      </c>
      <c r="M148" s="51">
        <v>6175</v>
      </c>
      <c r="N148" s="51">
        <v>7940</v>
      </c>
      <c r="O148" s="52">
        <v>74750</v>
      </c>
    </row>
  </sheetData>
  <mergeCells count="10">
    <mergeCell ref="B17:O17"/>
    <mergeCell ref="B2:O2"/>
    <mergeCell ref="B122:O122"/>
    <mergeCell ref="B136:O136"/>
    <mergeCell ref="B107:O107"/>
    <mergeCell ref="B92:O92"/>
    <mergeCell ref="B77:O77"/>
    <mergeCell ref="B62:O62"/>
    <mergeCell ref="B47:O47"/>
    <mergeCell ref="B32:O32"/>
  </mergeCells>
  <phoneticPr fontId="2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C13C-6C56-B44E-9455-0F0106F85BE9}">
  <sheetPr>
    <tabColor theme="0" tint="-0.34998626667073579"/>
  </sheetPr>
  <dimension ref="B1:HZ120"/>
  <sheetViews>
    <sheetView topLeftCell="CN1" zoomScale="90" zoomScaleNormal="90" workbookViewId="0">
      <pane ySplit="2" topLeftCell="A3" activePane="bottomLeft" state="frozen"/>
      <selection activeCell="X1" sqref="X1"/>
      <selection pane="bottomLeft" activeCell="FT24" sqref="FT23:FT24"/>
    </sheetView>
  </sheetViews>
  <sheetFormatPr baseColWidth="10" defaultColWidth="8.83203125" defaultRowHeight="14"/>
  <cols>
    <col min="1" max="1" width="3.1640625" style="2" customWidth="1"/>
    <col min="2" max="12" width="11.1640625" style="2" customWidth="1"/>
    <col min="13" max="13" width="3.1640625" style="2" customWidth="1"/>
    <col min="14" max="26" width="11.1640625" style="2" customWidth="1"/>
    <col min="27" max="29" width="11.5" style="2" customWidth="1"/>
    <col min="30" max="30" width="10.5" style="2" customWidth="1"/>
    <col min="31" max="31" width="13.5" style="2" customWidth="1"/>
    <col min="32" max="32" width="10.5" style="2" customWidth="1"/>
    <col min="33" max="33" width="12.5" style="2" customWidth="1"/>
    <col min="34" max="34" width="11.5" style="2" customWidth="1"/>
    <col min="35" max="35" width="11.6640625" style="2" customWidth="1"/>
    <col min="36" max="36" width="12.33203125" style="2" customWidth="1"/>
    <col min="37" max="38" width="11.1640625" style="2" customWidth="1"/>
    <col min="39" max="48" width="11.6640625" style="2" customWidth="1"/>
    <col min="49" max="50" width="11.1640625" style="2" customWidth="1"/>
    <col min="51" max="61" width="11.33203125" style="2" customWidth="1"/>
    <col min="62" max="63" width="11.1640625" style="2" customWidth="1"/>
    <col min="64" max="64" width="2.83203125" style="2" customWidth="1"/>
    <col min="65" max="65" width="11.5" style="2" customWidth="1"/>
    <col min="66" max="66" width="2.6640625" style="2" customWidth="1"/>
    <col min="67" max="69" width="11.5" style="2" customWidth="1"/>
    <col min="70" max="70" width="14.1640625" style="2" bestFit="1" customWidth="1"/>
    <col min="71" max="90" width="11.5" style="2" customWidth="1"/>
    <col min="91" max="150" width="11.33203125" style="2" customWidth="1"/>
    <col min="151" max="161" width="11.33203125" style="2" hidden="1" customWidth="1"/>
    <col min="162" max="162" width="11.1640625" style="2" hidden="1" customWidth="1"/>
    <col min="163" max="173" width="11.5" style="2" hidden="1" customWidth="1"/>
    <col min="174" max="174" width="11.1640625" style="2" hidden="1" customWidth="1"/>
    <col min="175" max="186" width="11.1640625" style="2" customWidth="1"/>
    <col min="187" max="198" width="11.1640625" style="2" hidden="1" customWidth="1"/>
    <col min="199" max="201" width="11.1640625" style="2" customWidth="1"/>
    <col min="202" max="208" width="8.83203125" style="2"/>
    <col min="209" max="209" width="9.6640625" style="2" bestFit="1" customWidth="1"/>
    <col min="210" max="210" width="8.83203125" style="2"/>
    <col min="211" max="212" width="11.83203125" style="2" bestFit="1" customWidth="1"/>
    <col min="213" max="214" width="10.5" style="2" bestFit="1" customWidth="1"/>
    <col min="215" max="215" width="9.6640625" style="2" bestFit="1" customWidth="1"/>
    <col min="216" max="216" width="8.83203125" style="2"/>
    <col min="217" max="217" width="12.1640625" style="2" bestFit="1" customWidth="1"/>
    <col min="218" max="218" width="10.5" style="2" bestFit="1" customWidth="1"/>
    <col min="219" max="219" width="11.33203125" style="2" bestFit="1" customWidth="1"/>
    <col min="220" max="220" width="10" style="2" bestFit="1" customWidth="1"/>
    <col min="221" max="223" width="8.83203125" style="2"/>
    <col min="224" max="224" width="9.6640625" style="2" bestFit="1" customWidth="1"/>
    <col min="225" max="225" width="8.83203125" style="2"/>
    <col min="226" max="227" width="9.6640625" style="2" bestFit="1" customWidth="1"/>
    <col min="228" max="16384" width="8.83203125" style="2"/>
  </cols>
  <sheetData>
    <row r="1" spans="2:233" ht="16" customHeight="1">
      <c r="B1" s="551" t="s">
        <v>0</v>
      </c>
      <c r="C1" s="551"/>
      <c r="D1" s="551"/>
      <c r="E1" s="551"/>
      <c r="F1" s="551"/>
      <c r="G1" s="551"/>
      <c r="H1" s="551"/>
      <c r="I1" s="551"/>
      <c r="J1" s="551"/>
      <c r="K1" s="551"/>
      <c r="L1" s="551"/>
      <c r="N1" s="551" t="s">
        <v>127</v>
      </c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3"/>
      <c r="Z1" s="555" t="s">
        <v>2</v>
      </c>
      <c r="AA1" s="555"/>
      <c r="AB1" s="555"/>
      <c r="AC1" s="555"/>
      <c r="AD1" s="555"/>
      <c r="AE1" s="555"/>
      <c r="AF1" s="555"/>
      <c r="AG1" s="555"/>
      <c r="AH1" s="555"/>
      <c r="AI1" s="555"/>
      <c r="AJ1" s="555"/>
      <c r="AL1" s="552" t="s">
        <v>3</v>
      </c>
      <c r="AM1" s="552"/>
      <c r="AN1" s="552"/>
      <c r="AO1" s="552"/>
      <c r="AP1" s="552"/>
      <c r="AQ1" s="552"/>
      <c r="AR1" s="552"/>
      <c r="AS1" s="552"/>
      <c r="AT1" s="552"/>
      <c r="AU1" s="552"/>
      <c r="AV1" s="552"/>
      <c r="AW1" s="3"/>
      <c r="AX1" s="555" t="s">
        <v>4</v>
      </c>
      <c r="AY1" s="555"/>
      <c r="AZ1" s="555"/>
      <c r="BA1" s="555"/>
      <c r="BB1" s="555"/>
      <c r="BC1" s="555"/>
      <c r="BD1" s="555"/>
      <c r="BE1" s="555"/>
      <c r="BF1" s="555"/>
      <c r="BG1" s="555"/>
      <c r="BH1" s="555"/>
      <c r="BI1" s="3"/>
      <c r="BJ1" s="554" t="s">
        <v>5</v>
      </c>
      <c r="BK1" s="554"/>
      <c r="BL1" s="4"/>
      <c r="BM1" s="59" t="s">
        <v>6</v>
      </c>
      <c r="BN1" s="4"/>
      <c r="BO1" s="554" t="s">
        <v>7</v>
      </c>
      <c r="BP1" s="554"/>
      <c r="BQ1" s="554"/>
      <c r="BR1" s="554"/>
      <c r="BS1" s="554"/>
      <c r="BT1" s="554"/>
      <c r="BU1" s="554"/>
      <c r="BV1" s="554"/>
      <c r="BW1" s="554"/>
      <c r="BX1" s="554"/>
      <c r="BY1" s="554"/>
      <c r="BZ1" s="3"/>
      <c r="CA1" s="555" t="s">
        <v>128</v>
      </c>
      <c r="CB1" s="555"/>
      <c r="CC1" s="555"/>
      <c r="CD1" s="555"/>
      <c r="CE1" s="555"/>
      <c r="CF1" s="555"/>
      <c r="CG1" s="555"/>
      <c r="CH1" s="555"/>
      <c r="CI1" s="555"/>
      <c r="CJ1" s="555"/>
      <c r="CK1" s="555"/>
      <c r="CL1" s="4"/>
      <c r="CM1" s="555" t="s">
        <v>8</v>
      </c>
      <c r="CN1" s="555"/>
      <c r="CO1" s="555"/>
      <c r="CP1" s="555"/>
      <c r="CQ1" s="555"/>
      <c r="CR1" s="555"/>
      <c r="CS1" s="555"/>
      <c r="CT1" s="555"/>
      <c r="CU1" s="555"/>
      <c r="CV1" s="555"/>
      <c r="CW1" s="555"/>
      <c r="CX1" s="3"/>
      <c r="CY1" s="557" t="s">
        <v>9</v>
      </c>
      <c r="CZ1" s="557"/>
      <c r="DA1" s="557"/>
      <c r="DB1" s="557"/>
      <c r="DC1" s="557"/>
      <c r="DD1" s="557"/>
      <c r="DE1" s="557"/>
      <c r="DF1" s="557"/>
      <c r="DG1" s="557"/>
      <c r="DH1" s="557"/>
      <c r="DI1" s="557"/>
      <c r="DJ1" s="3"/>
      <c r="DK1" s="558" t="s">
        <v>10</v>
      </c>
      <c r="DL1" s="558"/>
      <c r="DM1" s="558"/>
      <c r="DN1" s="558"/>
      <c r="DO1" s="558"/>
      <c r="DP1" s="558"/>
      <c r="DQ1" s="558"/>
      <c r="DR1" s="558"/>
      <c r="DS1" s="558"/>
      <c r="DT1" s="558"/>
      <c r="DU1" s="558"/>
      <c r="DV1" s="3"/>
      <c r="DW1" s="553" t="s">
        <v>11</v>
      </c>
      <c r="DX1" s="553"/>
      <c r="DY1" s="553"/>
      <c r="DZ1" s="553"/>
      <c r="EA1" s="553"/>
      <c r="EB1" s="553"/>
      <c r="EC1" s="553"/>
      <c r="ED1" s="553"/>
      <c r="EE1" s="553"/>
      <c r="EF1" s="553"/>
      <c r="EG1" s="553"/>
      <c r="EH1" s="3"/>
      <c r="EI1" s="553" t="s">
        <v>12</v>
      </c>
      <c r="EJ1" s="553"/>
      <c r="EK1" s="553"/>
      <c r="EL1" s="553"/>
      <c r="EM1" s="553"/>
      <c r="EN1" s="553"/>
      <c r="EO1" s="553"/>
      <c r="EP1" s="553"/>
      <c r="EQ1" s="553"/>
      <c r="ER1" s="553"/>
      <c r="ES1" s="553"/>
      <c r="ET1" s="3"/>
      <c r="EU1" s="556" t="s">
        <v>129</v>
      </c>
      <c r="EV1" s="556"/>
      <c r="EW1" s="556"/>
      <c r="EX1" s="556"/>
      <c r="EY1" s="556"/>
      <c r="EZ1" s="556"/>
      <c r="FA1" s="556"/>
      <c r="FB1" s="556"/>
      <c r="FC1" s="556"/>
      <c r="FD1" s="556"/>
      <c r="FE1" s="556"/>
      <c r="FF1" s="3"/>
      <c r="FG1" s="556" t="s">
        <v>130</v>
      </c>
      <c r="FH1" s="556"/>
      <c r="FI1" s="556"/>
      <c r="FJ1" s="556"/>
      <c r="FK1" s="556"/>
      <c r="FL1" s="556"/>
      <c r="FM1" s="556"/>
      <c r="FN1" s="556"/>
      <c r="FO1" s="556"/>
      <c r="FP1" s="556"/>
      <c r="FQ1" s="556"/>
      <c r="FR1" s="3"/>
      <c r="FS1" s="555" t="s">
        <v>13</v>
      </c>
      <c r="FT1" s="555"/>
      <c r="FU1" s="555"/>
      <c r="FV1" s="555"/>
      <c r="FW1" s="555"/>
      <c r="FX1" s="555"/>
      <c r="FY1" s="555"/>
      <c r="FZ1" s="555"/>
      <c r="GA1" s="555"/>
      <c r="GB1" s="555"/>
      <c r="GC1" s="555"/>
      <c r="GF1" s="552" t="s">
        <v>131</v>
      </c>
      <c r="GG1" s="552"/>
      <c r="GH1" s="552"/>
      <c r="GI1" s="552"/>
      <c r="GJ1" s="552"/>
      <c r="GK1" s="552"/>
      <c r="GL1" s="552"/>
      <c r="GM1" s="552"/>
      <c r="GN1" s="552"/>
      <c r="GO1" s="552"/>
      <c r="GP1" s="4"/>
      <c r="GQ1" s="557" t="s">
        <v>14</v>
      </c>
      <c r="GR1" s="557"/>
      <c r="GS1" s="557"/>
      <c r="GT1" s="557"/>
      <c r="GU1" s="557"/>
      <c r="GV1" s="557"/>
      <c r="GW1" s="557"/>
      <c r="GX1" s="557"/>
      <c r="GY1" s="557"/>
      <c r="GZ1" s="557"/>
      <c r="HA1" s="557"/>
      <c r="HC1" s="559" t="s">
        <v>37</v>
      </c>
      <c r="HD1" s="559"/>
      <c r="HE1" s="559"/>
      <c r="HF1" s="559"/>
      <c r="HG1" s="559"/>
      <c r="HH1" s="559"/>
      <c r="HI1" s="559"/>
      <c r="HJ1" s="559"/>
      <c r="HK1" s="559"/>
      <c r="HL1" s="559"/>
      <c r="HM1" s="559"/>
      <c r="HO1" s="559" t="s">
        <v>38</v>
      </c>
      <c r="HP1" s="559"/>
      <c r="HQ1" s="559"/>
      <c r="HR1" s="559"/>
      <c r="HS1" s="559"/>
      <c r="HT1" s="559"/>
      <c r="HU1" s="559"/>
      <c r="HV1" s="559"/>
      <c r="HW1" s="559"/>
      <c r="HX1" s="559"/>
      <c r="HY1" s="559"/>
    </row>
    <row r="2" spans="2:233">
      <c r="C2" s="2" t="s">
        <v>132</v>
      </c>
      <c r="D2" s="2" t="s">
        <v>133</v>
      </c>
      <c r="E2" s="2" t="s">
        <v>134</v>
      </c>
      <c r="F2" s="2" t="s">
        <v>135</v>
      </c>
      <c r="G2" s="2" t="s">
        <v>136</v>
      </c>
      <c r="H2" s="2" t="s">
        <v>137</v>
      </c>
      <c r="I2" s="2" t="s">
        <v>138</v>
      </c>
      <c r="J2" s="2" t="s">
        <v>139</v>
      </c>
      <c r="K2" s="2" t="s">
        <v>140</v>
      </c>
      <c r="L2" s="2" t="s">
        <v>141</v>
      </c>
      <c r="O2" s="2" t="s">
        <v>132</v>
      </c>
      <c r="P2" s="2" t="s">
        <v>133</v>
      </c>
      <c r="Q2" s="2" t="s">
        <v>134</v>
      </c>
      <c r="R2" s="2" t="s">
        <v>135</v>
      </c>
      <c r="S2" s="2" t="s">
        <v>136</v>
      </c>
      <c r="T2" s="2" t="s">
        <v>137</v>
      </c>
      <c r="U2" s="2" t="s">
        <v>138</v>
      </c>
      <c r="V2" s="2" t="s">
        <v>139</v>
      </c>
      <c r="W2" s="2" t="s">
        <v>140</v>
      </c>
      <c r="X2" s="2" t="s">
        <v>141</v>
      </c>
      <c r="AA2" s="2" t="s">
        <v>96</v>
      </c>
      <c r="AB2" s="2" t="s">
        <v>97</v>
      </c>
      <c r="AC2" s="2" t="s">
        <v>94</v>
      </c>
      <c r="AD2" s="2" t="s">
        <v>89</v>
      </c>
      <c r="AE2" s="2" t="s">
        <v>142</v>
      </c>
      <c r="AF2" s="2" t="s">
        <v>92</v>
      </c>
      <c r="AG2" s="2" t="s">
        <v>143</v>
      </c>
      <c r="AH2" s="2" t="s">
        <v>93</v>
      </c>
      <c r="AI2" s="2" t="s">
        <v>88</v>
      </c>
      <c r="AJ2" s="2" t="s">
        <v>24</v>
      </c>
      <c r="AM2" s="2" t="s">
        <v>144</v>
      </c>
      <c r="AN2" s="2" t="s">
        <v>145</v>
      </c>
      <c r="AO2" s="2" t="s">
        <v>146</v>
      </c>
      <c r="AP2" s="2" t="s">
        <v>147</v>
      </c>
      <c r="AQ2" s="2" t="s">
        <v>148</v>
      </c>
      <c r="AR2" s="2" t="s">
        <v>149</v>
      </c>
      <c r="AS2" s="2" t="s">
        <v>150</v>
      </c>
      <c r="AT2" s="2" t="s">
        <v>151</v>
      </c>
      <c r="AU2" s="2" t="s">
        <v>152</v>
      </c>
      <c r="AV2" s="2" t="s">
        <v>24</v>
      </c>
      <c r="AY2" s="2" t="s">
        <v>144</v>
      </c>
      <c r="AZ2" s="2" t="s">
        <v>145</v>
      </c>
      <c r="BA2" s="2" t="s">
        <v>146</v>
      </c>
      <c r="BB2" s="2" t="s">
        <v>147</v>
      </c>
      <c r="BC2" s="2" t="s">
        <v>148</v>
      </c>
      <c r="BD2" s="2" t="s">
        <v>149</v>
      </c>
      <c r="BE2" s="2" t="s">
        <v>150</v>
      </c>
      <c r="BF2" s="2" t="s">
        <v>151</v>
      </c>
      <c r="BG2" s="2" t="s">
        <v>152</v>
      </c>
      <c r="BH2" s="2" t="s">
        <v>24</v>
      </c>
      <c r="BK2" s="2" t="s">
        <v>25</v>
      </c>
      <c r="BM2" s="2" t="s">
        <v>6</v>
      </c>
      <c r="BO2" s="2" t="s">
        <v>7</v>
      </c>
      <c r="BP2" s="2" t="s">
        <v>96</v>
      </c>
      <c r="BQ2" s="2" t="s">
        <v>97</v>
      </c>
      <c r="BR2" s="2" t="s">
        <v>94</v>
      </c>
      <c r="BS2" s="2" t="s">
        <v>89</v>
      </c>
      <c r="BT2" s="2" t="s">
        <v>142</v>
      </c>
      <c r="BU2" s="2" t="s">
        <v>92</v>
      </c>
      <c r="BV2" s="2" t="s">
        <v>143</v>
      </c>
      <c r="BW2" s="2" t="s">
        <v>93</v>
      </c>
      <c r="BX2" s="2" t="s">
        <v>88</v>
      </c>
      <c r="BY2" s="2" t="s">
        <v>153</v>
      </c>
      <c r="CB2" s="2" t="s">
        <v>24</v>
      </c>
      <c r="CC2" s="2" t="s">
        <v>96</v>
      </c>
      <c r="CD2" s="2" t="s">
        <v>97</v>
      </c>
      <c r="CE2" s="2" t="s">
        <v>94</v>
      </c>
      <c r="CF2" s="2" t="s">
        <v>89</v>
      </c>
      <c r="CG2" s="2" t="s">
        <v>142</v>
      </c>
      <c r="CH2" s="2" t="s">
        <v>92</v>
      </c>
      <c r="CI2" s="2" t="s">
        <v>143</v>
      </c>
      <c r="CJ2" s="2" t="s">
        <v>93</v>
      </c>
      <c r="CK2" s="2" t="s">
        <v>88</v>
      </c>
      <c r="CN2" s="2" t="s">
        <v>24</v>
      </c>
      <c r="CO2" s="2" t="s">
        <v>96</v>
      </c>
      <c r="CP2" s="2" t="s">
        <v>97</v>
      </c>
      <c r="CQ2" s="2" t="s">
        <v>94</v>
      </c>
      <c r="CR2" s="2" t="s">
        <v>89</v>
      </c>
      <c r="CS2" s="2" t="s">
        <v>142</v>
      </c>
      <c r="CT2" s="2" t="s">
        <v>92</v>
      </c>
      <c r="CU2" s="2" t="s">
        <v>143</v>
      </c>
      <c r="CV2" s="2" t="s">
        <v>93</v>
      </c>
      <c r="CW2" s="2" t="s">
        <v>88</v>
      </c>
      <c r="CZ2" s="2" t="s">
        <v>24</v>
      </c>
      <c r="DA2" s="2" t="s">
        <v>96</v>
      </c>
      <c r="DB2" s="2" t="s">
        <v>97</v>
      </c>
      <c r="DC2" s="2" t="s">
        <v>94</v>
      </c>
      <c r="DD2" s="2" t="s">
        <v>89</v>
      </c>
      <c r="DE2" s="2" t="s">
        <v>142</v>
      </c>
      <c r="DF2" s="2" t="s">
        <v>92</v>
      </c>
      <c r="DG2" s="2" t="s">
        <v>143</v>
      </c>
      <c r="DH2" s="2" t="s">
        <v>93</v>
      </c>
      <c r="DI2" s="2" t="s">
        <v>88</v>
      </c>
      <c r="DL2" s="2" t="s">
        <v>154</v>
      </c>
      <c r="DM2" s="2" t="s">
        <v>96</v>
      </c>
      <c r="DN2" s="2" t="s">
        <v>97</v>
      </c>
      <c r="DO2" s="2" t="s">
        <v>94</v>
      </c>
      <c r="DP2" s="2" t="s">
        <v>89</v>
      </c>
      <c r="DQ2" s="2" t="s">
        <v>142</v>
      </c>
      <c r="DR2" s="2" t="s">
        <v>92</v>
      </c>
      <c r="DS2" s="2" t="s">
        <v>143</v>
      </c>
      <c r="DT2" s="2" t="s">
        <v>93</v>
      </c>
      <c r="DU2" s="2" t="s">
        <v>88</v>
      </c>
      <c r="DX2" s="2" t="s">
        <v>24</v>
      </c>
      <c r="DY2" s="2" t="s">
        <v>96</v>
      </c>
      <c r="DZ2" s="2" t="s">
        <v>97</v>
      </c>
      <c r="EA2" s="2" t="s">
        <v>94</v>
      </c>
      <c r="EB2" s="2" t="s">
        <v>89</v>
      </c>
      <c r="EC2" s="2" t="s">
        <v>142</v>
      </c>
      <c r="ED2" s="2" t="s">
        <v>92</v>
      </c>
      <c r="EE2" s="2" t="s">
        <v>143</v>
      </c>
      <c r="EF2" s="2" t="s">
        <v>93</v>
      </c>
      <c r="EG2" s="2" t="s">
        <v>88</v>
      </c>
      <c r="EJ2" s="2" t="s">
        <v>24</v>
      </c>
      <c r="EK2" s="2" t="s">
        <v>96</v>
      </c>
      <c r="EL2" s="2" t="s">
        <v>97</v>
      </c>
      <c r="EM2" s="2" t="s">
        <v>94</v>
      </c>
      <c r="EN2" s="2" t="s">
        <v>89</v>
      </c>
      <c r="EO2" s="2" t="s">
        <v>142</v>
      </c>
      <c r="EP2" s="2" t="s">
        <v>92</v>
      </c>
      <c r="EQ2" s="2" t="s">
        <v>143</v>
      </c>
      <c r="ER2" s="2" t="s">
        <v>93</v>
      </c>
      <c r="ES2" s="2" t="s">
        <v>88</v>
      </c>
      <c r="EV2" s="2" t="s">
        <v>24</v>
      </c>
      <c r="EW2" s="2" t="s">
        <v>96</v>
      </c>
      <c r="EX2" s="2" t="s">
        <v>97</v>
      </c>
      <c r="EY2" s="2" t="s">
        <v>94</v>
      </c>
      <c r="EZ2" s="2" t="s">
        <v>89</v>
      </c>
      <c r="FA2" s="2" t="s">
        <v>142</v>
      </c>
      <c r="FB2" s="2" t="s">
        <v>92</v>
      </c>
      <c r="FC2" s="2" t="s">
        <v>143</v>
      </c>
      <c r="FD2" s="2" t="s">
        <v>93</v>
      </c>
      <c r="FE2" s="2" t="s">
        <v>88</v>
      </c>
      <c r="FH2" s="2" t="s">
        <v>24</v>
      </c>
      <c r="FI2" s="2" t="s">
        <v>96</v>
      </c>
      <c r="FJ2" s="2" t="s">
        <v>97</v>
      </c>
      <c r="FK2" s="2" t="s">
        <v>94</v>
      </c>
      <c r="FL2" s="2" t="s">
        <v>89</v>
      </c>
      <c r="FM2" s="2" t="s">
        <v>142</v>
      </c>
      <c r="FN2" s="2" t="s">
        <v>92</v>
      </c>
      <c r="FO2" s="2" t="s">
        <v>143</v>
      </c>
      <c r="FP2" s="2" t="s">
        <v>93</v>
      </c>
      <c r="FQ2" s="2" t="s">
        <v>88</v>
      </c>
      <c r="FT2" s="2" t="s">
        <v>88</v>
      </c>
      <c r="FU2" s="2" t="s">
        <v>89</v>
      </c>
      <c r="FV2" s="2" t="s">
        <v>155</v>
      </c>
      <c r="FW2" s="2" t="s">
        <v>92</v>
      </c>
      <c r="FX2" s="2" t="s">
        <v>93</v>
      </c>
      <c r="FY2" s="2" t="s">
        <v>94</v>
      </c>
      <c r="FZ2" s="2" t="s">
        <v>156</v>
      </c>
      <c r="GA2" s="2" t="s">
        <v>97</v>
      </c>
      <c r="GB2" s="2" t="s">
        <v>96</v>
      </c>
      <c r="GC2" s="2" t="s">
        <v>24</v>
      </c>
      <c r="GF2" s="2" t="s">
        <v>88</v>
      </c>
      <c r="GG2" s="2" t="s">
        <v>89</v>
      </c>
      <c r="GH2" s="2" t="s">
        <v>157</v>
      </c>
      <c r="GI2" s="2" t="s">
        <v>92</v>
      </c>
      <c r="GJ2" s="2" t="s">
        <v>93</v>
      </c>
      <c r="GK2" s="2" t="s">
        <v>94</v>
      </c>
      <c r="GL2" s="2" t="s">
        <v>158</v>
      </c>
      <c r="GM2" s="2" t="s">
        <v>97</v>
      </c>
      <c r="GN2" s="2" t="s">
        <v>96</v>
      </c>
      <c r="GO2" s="2" t="s">
        <v>24</v>
      </c>
      <c r="GR2" s="2" t="s">
        <v>159</v>
      </c>
      <c r="GS2" s="2" t="s">
        <v>160</v>
      </c>
      <c r="GT2" s="2" t="s">
        <v>161</v>
      </c>
      <c r="GU2" s="2" t="s">
        <v>162</v>
      </c>
      <c r="GV2" s="2" t="s">
        <v>163</v>
      </c>
      <c r="GW2" s="2" t="s">
        <v>164</v>
      </c>
      <c r="GX2" s="2" t="s">
        <v>165</v>
      </c>
      <c r="GY2" s="2" t="s">
        <v>166</v>
      </c>
      <c r="GZ2" s="2" t="s">
        <v>167</v>
      </c>
      <c r="HA2" s="2" t="s">
        <v>24</v>
      </c>
      <c r="HD2" s="2" t="s">
        <v>24</v>
      </c>
      <c r="HE2" s="2" t="s">
        <v>96</v>
      </c>
      <c r="HF2" s="2" t="s">
        <v>97</v>
      </c>
      <c r="HG2" s="2" t="s">
        <v>94</v>
      </c>
      <c r="HH2" s="2" t="s">
        <v>89</v>
      </c>
      <c r="HI2" s="2" t="s">
        <v>142</v>
      </c>
      <c r="HJ2" s="2" t="s">
        <v>92</v>
      </c>
      <c r="HK2" s="2" t="s">
        <v>143</v>
      </c>
      <c r="HL2" s="2" t="s">
        <v>93</v>
      </c>
      <c r="HM2" s="2" t="s">
        <v>88</v>
      </c>
      <c r="HP2" s="2" t="s">
        <v>24</v>
      </c>
      <c r="HQ2" s="2" t="s">
        <v>96</v>
      </c>
      <c r="HR2" s="2" t="s">
        <v>97</v>
      </c>
      <c r="HS2" s="2" t="s">
        <v>94</v>
      </c>
      <c r="HT2" s="2" t="s">
        <v>89</v>
      </c>
      <c r="HU2" s="2" t="s">
        <v>142</v>
      </c>
      <c r="HV2" s="2" t="s">
        <v>92</v>
      </c>
      <c r="HW2" s="2" t="s">
        <v>143</v>
      </c>
      <c r="HX2" s="2" t="s">
        <v>93</v>
      </c>
      <c r="HY2" s="2" t="s">
        <v>88</v>
      </c>
    </row>
    <row r="3" spans="2:233">
      <c r="B3" s="53" t="s">
        <v>28</v>
      </c>
      <c r="C3" s="5">
        <f>SUM(C45:C56)</f>
        <v>92</v>
      </c>
      <c r="D3" s="5">
        <f t="shared" ref="D3:K3" si="0">SUM(D45:D56)</f>
        <v>1917</v>
      </c>
      <c r="E3" s="5">
        <f t="shared" si="0"/>
        <v>8293</v>
      </c>
      <c r="F3" s="5">
        <f t="shared" si="0"/>
        <v>3653</v>
      </c>
      <c r="G3" s="5">
        <f t="shared" si="0"/>
        <v>1604</v>
      </c>
      <c r="H3" s="5">
        <f t="shared" si="0"/>
        <v>1873</v>
      </c>
      <c r="I3" s="5">
        <f t="shared" si="0"/>
        <v>30557</v>
      </c>
      <c r="J3" s="5">
        <f t="shared" si="0"/>
        <v>22221</v>
      </c>
      <c r="K3" s="5">
        <f t="shared" si="0"/>
        <v>3874</v>
      </c>
      <c r="L3" s="5">
        <f>SUM(L45:L56)</f>
        <v>74084</v>
      </c>
      <c r="N3" s="53" t="s">
        <v>28</v>
      </c>
      <c r="O3" s="5">
        <f>SUM(O45:O56)</f>
        <v>92</v>
      </c>
      <c r="P3" s="5">
        <f t="shared" ref="P3:W3" si="1">SUM(P45:P56)</f>
        <v>1917</v>
      </c>
      <c r="Q3" s="5">
        <f t="shared" si="1"/>
        <v>8293</v>
      </c>
      <c r="R3" s="5">
        <f t="shared" si="1"/>
        <v>3653</v>
      </c>
      <c r="S3" s="5">
        <f t="shared" si="1"/>
        <v>1604</v>
      </c>
      <c r="T3" s="5">
        <f t="shared" si="1"/>
        <v>1873</v>
      </c>
      <c r="U3" s="5">
        <f t="shared" si="1"/>
        <v>30557</v>
      </c>
      <c r="V3" s="5">
        <f t="shared" si="1"/>
        <v>22221</v>
      </c>
      <c r="W3" s="5">
        <f t="shared" si="1"/>
        <v>3874</v>
      </c>
      <c r="X3" s="5">
        <f>SUM(X45:X56)</f>
        <v>74084</v>
      </c>
      <c r="Y3" s="5"/>
      <c r="Z3" s="53" t="s">
        <v>28</v>
      </c>
      <c r="AA3" s="5">
        <f>SUM(AA45:AA56)</f>
        <v>1604791</v>
      </c>
      <c r="AB3" s="5">
        <f t="shared" ref="AB3:AI3" si="2">SUM(AB45:AB56)</f>
        <v>8362467</v>
      </c>
      <c r="AC3" s="5">
        <f t="shared" si="2"/>
        <v>11743934</v>
      </c>
      <c r="AD3" s="5">
        <f t="shared" si="2"/>
        <v>519042</v>
      </c>
      <c r="AE3" s="5">
        <f t="shared" si="2"/>
        <v>1177847</v>
      </c>
      <c r="AF3" s="5">
        <f t="shared" si="2"/>
        <v>457844</v>
      </c>
      <c r="AG3" s="5">
        <f t="shared" si="2"/>
        <v>110630</v>
      </c>
      <c r="AH3" s="5">
        <f t="shared" si="2"/>
        <v>723936</v>
      </c>
      <c r="AI3" s="5">
        <f t="shared" si="2"/>
        <v>3506941</v>
      </c>
      <c r="AJ3" s="5">
        <f>SUM(AJ45:AJ56)</f>
        <v>36706663</v>
      </c>
      <c r="AK3" s="7"/>
      <c r="AL3" s="53" t="s">
        <v>28</v>
      </c>
      <c r="AM3" s="5">
        <f>SUM(AM45:AM56)</f>
        <v>1564211</v>
      </c>
      <c r="AN3" s="5">
        <f t="shared" ref="AN3:AU3" si="3">SUM(AN45:AN56)</f>
        <v>8215788</v>
      </c>
      <c r="AO3" s="5">
        <f t="shared" si="3"/>
        <v>11550078</v>
      </c>
      <c r="AP3" s="5">
        <f t="shared" si="3"/>
        <v>519030</v>
      </c>
      <c r="AQ3" s="5">
        <f t="shared" si="3"/>
        <v>1138599</v>
      </c>
      <c r="AR3" s="5">
        <f t="shared" si="3"/>
        <v>457856</v>
      </c>
      <c r="AS3" s="5">
        <f t="shared" si="3"/>
        <v>110603</v>
      </c>
      <c r="AT3" s="5">
        <f t="shared" si="3"/>
        <v>723958</v>
      </c>
      <c r="AU3" s="5">
        <f t="shared" si="3"/>
        <v>3441061</v>
      </c>
      <c r="AV3" s="5">
        <f>SUM(AV45:AV56)</f>
        <v>27721184</v>
      </c>
      <c r="AW3" s="5"/>
      <c r="AX3" s="53" t="s">
        <v>28</v>
      </c>
      <c r="AY3" s="5">
        <f>SUM(AY45:AY56)</f>
        <v>1256446</v>
      </c>
      <c r="AZ3" s="5">
        <f t="shared" ref="AZ3:BG3" si="4">SUM(AZ45:AZ56)</f>
        <v>6686231</v>
      </c>
      <c r="BA3" s="5">
        <f t="shared" si="4"/>
        <v>9716999</v>
      </c>
      <c r="BB3" s="5">
        <f t="shared" si="4"/>
        <v>256308</v>
      </c>
      <c r="BC3" s="5">
        <f t="shared" si="4"/>
        <v>831890</v>
      </c>
      <c r="BD3" s="5">
        <f t="shared" si="4"/>
        <v>212155</v>
      </c>
      <c r="BE3" s="5">
        <f t="shared" si="4"/>
        <v>57405</v>
      </c>
      <c r="BF3" s="5">
        <f t="shared" si="4"/>
        <v>463433</v>
      </c>
      <c r="BG3" s="5">
        <f t="shared" si="4"/>
        <v>2529774</v>
      </c>
      <c r="BH3" s="5">
        <f>SUM(BH45:BH56)</f>
        <v>22010641</v>
      </c>
      <c r="BI3" s="8"/>
      <c r="BJ3" s="53" t="s">
        <v>28</v>
      </c>
      <c r="BK3" s="5">
        <f>SUM(BK45:BK56)</f>
        <v>33935546</v>
      </c>
      <c r="BL3" s="8"/>
      <c r="BM3" s="5">
        <f>SUM(BM45:BM56)</f>
        <v>20758263</v>
      </c>
      <c r="BN3" s="8"/>
      <c r="BO3" s="5">
        <f>SUM(BO45:BO56)</f>
        <v>13177283</v>
      </c>
      <c r="BP3" s="5">
        <f t="shared" ref="BP3:BY3" si="5">SUM(BP45:BP56)</f>
        <v>859850</v>
      </c>
      <c r="BQ3" s="5">
        <f t="shared" si="5"/>
        <v>3842395</v>
      </c>
      <c r="BR3" s="5">
        <f t="shared" si="5"/>
        <v>4195232</v>
      </c>
      <c r="BS3" s="5">
        <f t="shared" si="5"/>
        <v>855282</v>
      </c>
      <c r="BT3" s="5">
        <f t="shared" si="5"/>
        <v>364689</v>
      </c>
      <c r="BU3" s="5">
        <f t="shared" si="5"/>
        <v>497915</v>
      </c>
      <c r="BV3" s="5">
        <f t="shared" si="5"/>
        <v>34283</v>
      </c>
      <c r="BW3" s="5">
        <f t="shared" si="5"/>
        <v>423001</v>
      </c>
      <c r="BX3" s="5">
        <f t="shared" si="5"/>
        <v>2104636</v>
      </c>
      <c r="BY3" s="5">
        <f t="shared" si="5"/>
        <v>28344</v>
      </c>
      <c r="BZ3" s="8"/>
      <c r="CA3" s="53" t="s">
        <v>28</v>
      </c>
      <c r="CB3" s="5">
        <f>SUM(CB45:CB56)</f>
        <v>1284340</v>
      </c>
      <c r="CC3" s="5">
        <f t="shared" ref="CC3:CK3" si="6">SUM(CC45:CC56)</f>
        <v>41567</v>
      </c>
      <c r="CD3" s="5">
        <f t="shared" si="6"/>
        <v>185411</v>
      </c>
      <c r="CE3" s="5">
        <f t="shared" si="6"/>
        <v>245901</v>
      </c>
      <c r="CF3" s="5">
        <f t="shared" si="6"/>
        <v>45950</v>
      </c>
      <c r="CG3" s="5">
        <f t="shared" si="6"/>
        <v>28896</v>
      </c>
      <c r="CH3" s="5">
        <f t="shared" si="6"/>
        <v>18523</v>
      </c>
      <c r="CI3" s="5">
        <f t="shared" si="6"/>
        <v>3278</v>
      </c>
      <c r="CJ3" s="5">
        <f t="shared" si="6"/>
        <v>27799</v>
      </c>
      <c r="CK3" s="5">
        <f t="shared" si="6"/>
        <v>165290</v>
      </c>
      <c r="CL3" s="8"/>
      <c r="CM3" s="53" t="s">
        <v>28</v>
      </c>
      <c r="CN3" s="5">
        <f>SUM(CN45:CN56)</f>
        <v>1728761</v>
      </c>
      <c r="CO3" s="5">
        <f t="shared" ref="CO3:CW3" si="7">SUM(CO45:CO56)</f>
        <v>66085</v>
      </c>
      <c r="CP3" s="5">
        <f t="shared" si="7"/>
        <v>274681</v>
      </c>
      <c r="CQ3" s="5">
        <f t="shared" si="7"/>
        <v>363033</v>
      </c>
      <c r="CR3" s="5">
        <f t="shared" si="7"/>
        <v>67283</v>
      </c>
      <c r="CS3" s="5">
        <f t="shared" si="7"/>
        <v>49404</v>
      </c>
      <c r="CT3" s="5">
        <f t="shared" si="7"/>
        <v>30312</v>
      </c>
      <c r="CU3" s="5">
        <f t="shared" si="7"/>
        <v>5101</v>
      </c>
      <c r="CV3" s="5">
        <f t="shared" si="7"/>
        <v>47737</v>
      </c>
      <c r="CW3" s="5">
        <f t="shared" si="7"/>
        <v>226654</v>
      </c>
      <c r="CX3" s="8"/>
      <c r="CY3" s="53" t="s">
        <v>28</v>
      </c>
      <c r="CZ3" s="5">
        <f>SUM(CZ45:CZ56)</f>
        <v>768740</v>
      </c>
      <c r="DA3" s="5">
        <f t="shared" ref="DA3:DI3" si="8">SUM(DA45:DA56)</f>
        <v>10587</v>
      </c>
      <c r="DB3" s="5">
        <f t="shared" si="8"/>
        <v>42825</v>
      </c>
      <c r="DC3" s="5">
        <f t="shared" si="8"/>
        <v>62094</v>
      </c>
      <c r="DD3" s="5">
        <f t="shared" si="8"/>
        <v>8651</v>
      </c>
      <c r="DE3" s="5">
        <f t="shared" si="8"/>
        <v>8810</v>
      </c>
      <c r="DF3" s="5">
        <f t="shared" si="8"/>
        <v>4016</v>
      </c>
      <c r="DG3" s="5">
        <f t="shared" si="8"/>
        <v>724</v>
      </c>
      <c r="DH3" s="5">
        <f t="shared" si="8"/>
        <v>7530</v>
      </c>
      <c r="DI3" s="5">
        <f t="shared" si="8"/>
        <v>25032</v>
      </c>
      <c r="DJ3" s="8"/>
      <c r="DK3" s="53" t="s">
        <v>28</v>
      </c>
      <c r="DL3" s="5">
        <f>SUM(DL45:DL56)</f>
        <v>960021</v>
      </c>
      <c r="DM3" s="5">
        <f t="shared" ref="DM3:DU3" si="9">SUM(DM45:DM56)</f>
        <v>55498</v>
      </c>
      <c r="DN3" s="5">
        <f t="shared" si="9"/>
        <v>231856</v>
      </c>
      <c r="DO3" s="5">
        <f t="shared" si="9"/>
        <v>300939</v>
      </c>
      <c r="DP3" s="5">
        <f t="shared" si="9"/>
        <v>58632</v>
      </c>
      <c r="DQ3" s="5">
        <f t="shared" si="9"/>
        <v>40594</v>
      </c>
      <c r="DR3" s="5">
        <f t="shared" si="9"/>
        <v>26296</v>
      </c>
      <c r="DS3" s="5">
        <f t="shared" si="9"/>
        <v>4377</v>
      </c>
      <c r="DT3" s="5">
        <f t="shared" si="9"/>
        <v>40207</v>
      </c>
      <c r="DU3" s="5">
        <f t="shared" si="9"/>
        <v>201622</v>
      </c>
      <c r="DV3" s="8"/>
      <c r="DW3" s="53" t="s">
        <v>28</v>
      </c>
      <c r="DX3" s="5">
        <f>SUM(DX45:DX56)</f>
        <v>6374314</v>
      </c>
      <c r="DY3" s="5">
        <f t="shared" ref="DY3:EG3" si="10">SUM(DY45:DY56)</f>
        <v>375085</v>
      </c>
      <c r="DZ3" s="5">
        <f t="shared" si="10"/>
        <v>1524606</v>
      </c>
      <c r="EA3" s="5">
        <f t="shared" si="10"/>
        <v>1744010</v>
      </c>
      <c r="EB3" s="5">
        <f t="shared" si="10"/>
        <v>257257</v>
      </c>
      <c r="EC3" s="5">
        <f t="shared" si="10"/>
        <v>229326</v>
      </c>
      <c r="ED3" s="5">
        <f t="shared" si="10"/>
        <v>179668</v>
      </c>
      <c r="EE3" s="5">
        <f t="shared" si="10"/>
        <v>19965</v>
      </c>
      <c r="EF3" s="5">
        <f t="shared" si="10"/>
        <v>242578</v>
      </c>
      <c r="EG3" s="5">
        <f t="shared" si="10"/>
        <v>662441</v>
      </c>
      <c r="EH3" s="8"/>
      <c r="EI3" s="53" t="s">
        <v>28</v>
      </c>
      <c r="EJ3" s="5">
        <f>SUM(EJ45:EJ56)</f>
        <v>4323524</v>
      </c>
      <c r="EK3" s="5">
        <f t="shared" ref="EK3:ES3" si="11">SUM(EK45:EK56)</f>
        <v>250525</v>
      </c>
      <c r="EL3" s="5">
        <f t="shared" si="11"/>
        <v>1103312</v>
      </c>
      <c r="EM3" s="5">
        <f t="shared" si="11"/>
        <v>1264803</v>
      </c>
      <c r="EN3" s="5">
        <f t="shared" si="11"/>
        <v>142254</v>
      </c>
      <c r="EO3" s="5">
        <f t="shared" si="11"/>
        <v>139480</v>
      </c>
      <c r="EP3" s="5">
        <f t="shared" si="11"/>
        <v>91085</v>
      </c>
      <c r="EQ3" s="5">
        <f t="shared" si="11"/>
        <v>10243</v>
      </c>
      <c r="ER3" s="5">
        <f t="shared" si="11"/>
        <v>140254</v>
      </c>
      <c r="ES3" s="5">
        <f t="shared" si="11"/>
        <v>453697</v>
      </c>
      <c r="ET3" s="8"/>
      <c r="EU3" s="53" t="s">
        <v>28</v>
      </c>
      <c r="EV3" s="5">
        <f>SUM(EV45:EV56)</f>
        <v>11127344.522352941</v>
      </c>
      <c r="EW3" s="5">
        <f t="shared" ref="EW3:FE3" si="12">SUM(EW45:EW56)</f>
        <v>473393.22621635254</v>
      </c>
      <c r="EX3" s="5">
        <f t="shared" si="12"/>
        <v>2034621.7173014604</v>
      </c>
      <c r="EY3" s="5">
        <f t="shared" si="12"/>
        <v>2419249.9424708672</v>
      </c>
      <c r="EZ3" s="5">
        <f t="shared" si="12"/>
        <v>383760.24574872904</v>
      </c>
      <c r="FA3" s="5">
        <f t="shared" si="12"/>
        <v>270081.88550149242</v>
      </c>
      <c r="FB3" s="5">
        <f t="shared" si="12"/>
        <v>234984.29048058571</v>
      </c>
      <c r="FC3" s="5">
        <f t="shared" si="12"/>
        <v>24144.147928200513</v>
      </c>
      <c r="FD3" s="5">
        <f t="shared" si="12"/>
        <v>297741.16094383341</v>
      </c>
      <c r="FE3" s="5">
        <f t="shared" si="12"/>
        <v>910213.69323015912</v>
      </c>
      <c r="FF3" s="5"/>
      <c r="FG3" s="53" t="s">
        <v>28</v>
      </c>
      <c r="FH3" s="5">
        <f>SUM(FH45:FH56)</f>
        <v>7045012.5223529413</v>
      </c>
      <c r="FI3" s="5">
        <f t="shared" ref="FI3:FQ3" si="13">SUM(FI45:FI56)</f>
        <v>299287.22621635249</v>
      </c>
      <c r="FJ3" s="5">
        <f t="shared" si="13"/>
        <v>1422756.7173014604</v>
      </c>
      <c r="FK3" s="5">
        <f t="shared" si="13"/>
        <v>1725849.9424708672</v>
      </c>
      <c r="FL3" s="5">
        <f t="shared" si="13"/>
        <v>225218.24574872904</v>
      </c>
      <c r="FM3" s="5">
        <f t="shared" si="13"/>
        <v>152046.88550149242</v>
      </c>
      <c r="FN3" s="5">
        <f t="shared" si="13"/>
        <v>114960.2904805857</v>
      </c>
      <c r="FO3" s="5">
        <f t="shared" si="13"/>
        <v>11547.147928200517</v>
      </c>
      <c r="FP3" s="5">
        <f t="shared" si="13"/>
        <v>157541.06290461772</v>
      </c>
      <c r="FQ3" s="5">
        <f t="shared" si="13"/>
        <v>608029.69323015912</v>
      </c>
      <c r="FR3" s="5"/>
      <c r="FS3" s="53" t="s">
        <v>28</v>
      </c>
      <c r="FT3" s="5">
        <f>SUM(FT45:FT56)</f>
        <v>3456</v>
      </c>
      <c r="FU3" s="5">
        <f t="shared" ref="FU3:GC3" si="14">SUM(FU45:FU56)</f>
        <v>1124</v>
      </c>
      <c r="FV3" s="5">
        <f t="shared" si="14"/>
        <v>580</v>
      </c>
      <c r="FW3" s="5">
        <f t="shared" si="14"/>
        <v>605</v>
      </c>
      <c r="FX3" s="5">
        <f t="shared" si="14"/>
        <v>2526</v>
      </c>
      <c r="FY3" s="5">
        <f t="shared" si="14"/>
        <v>10320</v>
      </c>
      <c r="FZ3" s="5">
        <f t="shared" si="14"/>
        <v>2616</v>
      </c>
      <c r="GA3" s="5">
        <f t="shared" si="14"/>
        <v>8963</v>
      </c>
      <c r="GB3" s="5">
        <f t="shared" si="14"/>
        <v>2083</v>
      </c>
      <c r="GC3" s="5">
        <f t="shared" si="14"/>
        <v>30954</v>
      </c>
      <c r="GE3" s="53" t="s">
        <v>28</v>
      </c>
      <c r="GF3" s="5">
        <f>SUM(GF45:GF56)</f>
        <v>6400</v>
      </c>
      <c r="GG3" s="5">
        <f t="shared" ref="GG3:GO3" si="15">SUM(GG45:GG56)</f>
        <v>2136</v>
      </c>
      <c r="GH3" s="5">
        <f t="shared" si="15"/>
        <v>104</v>
      </c>
      <c r="GI3" s="5">
        <f t="shared" si="15"/>
        <v>814</v>
      </c>
      <c r="GJ3" s="5">
        <f t="shared" si="15"/>
        <v>1820</v>
      </c>
      <c r="GK3" s="5">
        <f t="shared" si="15"/>
        <v>20924</v>
      </c>
      <c r="GL3" s="5">
        <f t="shared" si="15"/>
        <v>1770</v>
      </c>
      <c r="GM3" s="5">
        <f t="shared" si="15"/>
        <v>17219</v>
      </c>
      <c r="GN3" s="5">
        <f t="shared" si="15"/>
        <v>2420</v>
      </c>
      <c r="GO3" s="5">
        <f t="shared" si="15"/>
        <v>53607</v>
      </c>
      <c r="GQ3" s="53" t="s">
        <v>28</v>
      </c>
      <c r="GR3" s="5">
        <f>SUM(GR45:GR56)</f>
        <v>6482</v>
      </c>
      <c r="GS3" s="5">
        <f t="shared" ref="GS3:HA3" si="16">SUM(GS45:GS56)</f>
        <v>37117</v>
      </c>
      <c r="GT3" s="5">
        <f t="shared" si="16"/>
        <v>269901</v>
      </c>
      <c r="GU3" s="5">
        <f t="shared" si="16"/>
        <v>185260</v>
      </c>
      <c r="GV3" s="5">
        <f t="shared" si="16"/>
        <v>175390</v>
      </c>
      <c r="GW3" s="5">
        <f t="shared" si="16"/>
        <v>62211</v>
      </c>
      <c r="GX3" s="5">
        <f t="shared" si="16"/>
        <v>468221</v>
      </c>
      <c r="GY3" s="5">
        <f t="shared" si="16"/>
        <v>596235</v>
      </c>
      <c r="GZ3" s="5">
        <f t="shared" si="16"/>
        <v>51860</v>
      </c>
      <c r="HA3" s="5">
        <f t="shared" si="16"/>
        <v>1852677</v>
      </c>
      <c r="HC3" s="53" t="s">
        <v>28</v>
      </c>
      <c r="HD3" s="5">
        <f>SUM(HD45:HD56)</f>
        <v>22487024</v>
      </c>
      <c r="HE3" s="5">
        <f t="shared" ref="HE3:HM3" si="17">SUM(HE45:HE56)</f>
        <v>925935</v>
      </c>
      <c r="HF3" s="5">
        <f t="shared" si="17"/>
        <v>4117076</v>
      </c>
      <c r="HG3" s="5">
        <f t="shared" si="17"/>
        <v>4558265</v>
      </c>
      <c r="HH3" s="5">
        <f t="shared" si="17"/>
        <v>922565</v>
      </c>
      <c r="HI3" s="5">
        <f t="shared" si="17"/>
        <v>414093</v>
      </c>
      <c r="HJ3" s="5">
        <f t="shared" si="17"/>
        <v>528227</v>
      </c>
      <c r="HK3" s="5">
        <f t="shared" si="17"/>
        <v>39384</v>
      </c>
      <c r="HL3" s="5">
        <f t="shared" si="17"/>
        <v>470738</v>
      </c>
      <c r="HM3" s="5">
        <f t="shared" si="17"/>
        <v>2331290</v>
      </c>
      <c r="HO3" s="53" t="s">
        <v>28</v>
      </c>
      <c r="HP3" s="5">
        <f>SUM(HP45:HP56)</f>
        <v>8226991</v>
      </c>
      <c r="HQ3" s="5">
        <f t="shared" ref="HQ3:HY3" si="18">SUM(HQ45:HQ56)</f>
        <v>426945</v>
      </c>
      <c r="HR3" s="5">
        <f t="shared" si="18"/>
        <v>2120841</v>
      </c>
      <c r="HS3" s="5">
        <f t="shared" si="18"/>
        <v>2212231</v>
      </c>
      <c r="HT3" s="5">
        <f t="shared" si="18"/>
        <v>442517</v>
      </c>
      <c r="HU3" s="5">
        <f t="shared" si="18"/>
        <v>266443</v>
      </c>
      <c r="HV3" s="5">
        <f t="shared" si="18"/>
        <v>355058</v>
      </c>
      <c r="HW3" s="5">
        <f t="shared" si="18"/>
        <v>26447</v>
      </c>
      <c r="HX3" s="5">
        <f t="shared" si="18"/>
        <v>304789</v>
      </c>
      <c r="HY3" s="5">
        <f t="shared" si="18"/>
        <v>932342</v>
      </c>
    </row>
    <row r="4" spans="2:233">
      <c r="B4" s="163" t="s">
        <v>29</v>
      </c>
      <c r="C4" s="20">
        <f>SUM(C47,C51,C52,C55:C56)</f>
        <v>34</v>
      </c>
      <c r="D4" s="20">
        <f t="shared" ref="D4:L4" si="19">SUM(D47,D51,D52,D55:D56)</f>
        <v>812</v>
      </c>
      <c r="E4" s="20">
        <f t="shared" si="19"/>
        <v>4014</v>
      </c>
      <c r="F4" s="20">
        <f t="shared" si="19"/>
        <v>1567</v>
      </c>
      <c r="G4" s="20">
        <f t="shared" si="19"/>
        <v>715</v>
      </c>
      <c r="H4" s="20">
        <f t="shared" si="19"/>
        <v>644</v>
      </c>
      <c r="I4" s="20">
        <f t="shared" si="19"/>
        <v>14548</v>
      </c>
      <c r="J4" s="20">
        <f t="shared" si="19"/>
        <v>10717</v>
      </c>
      <c r="K4" s="20">
        <f t="shared" si="19"/>
        <v>1866</v>
      </c>
      <c r="L4" s="20">
        <f t="shared" si="19"/>
        <v>34917</v>
      </c>
      <c r="N4" s="163" t="s">
        <v>29</v>
      </c>
      <c r="O4" s="5">
        <f>SUM(O47,O52,O55:O56)</f>
        <v>24</v>
      </c>
      <c r="P4" s="5">
        <f t="shared" ref="P4:W4" si="20">SUM(P47,P52,P55:P56)</f>
        <v>636</v>
      </c>
      <c r="Q4" s="5">
        <f t="shared" si="20"/>
        <v>3137</v>
      </c>
      <c r="R4" s="5">
        <f t="shared" si="20"/>
        <v>1316</v>
      </c>
      <c r="S4" s="5">
        <f t="shared" si="20"/>
        <v>563</v>
      </c>
      <c r="T4" s="5">
        <f t="shared" si="20"/>
        <v>547</v>
      </c>
      <c r="U4" s="5">
        <f t="shared" si="20"/>
        <v>12004</v>
      </c>
      <c r="V4" s="5">
        <f t="shared" si="20"/>
        <v>9024</v>
      </c>
      <c r="W4" s="5">
        <f t="shared" si="20"/>
        <v>1566</v>
      </c>
      <c r="X4" s="5">
        <f>SUM(X47,X52,X55:X56)</f>
        <v>28817</v>
      </c>
      <c r="Y4" s="5"/>
      <c r="Z4" s="163" t="s">
        <v>29</v>
      </c>
      <c r="AA4" s="5">
        <f>SUM(AA47,AA52,AA55:AA56)</f>
        <v>585355</v>
      </c>
      <c r="AB4" s="5">
        <f t="shared" ref="AB4:AI4" si="21">SUM(AB47,AB52,AB55:AB56)</f>
        <v>2873029</v>
      </c>
      <c r="AC4" s="5">
        <f t="shared" si="21"/>
        <v>4641692</v>
      </c>
      <c r="AD4" s="5">
        <f t="shared" si="21"/>
        <v>180663</v>
      </c>
      <c r="AE4" s="5">
        <f t="shared" si="21"/>
        <v>342763</v>
      </c>
      <c r="AF4" s="5">
        <f t="shared" si="21"/>
        <v>162715</v>
      </c>
      <c r="AG4" s="5">
        <f t="shared" si="21"/>
        <v>20627</v>
      </c>
      <c r="AH4" s="5">
        <f t="shared" si="21"/>
        <v>227775</v>
      </c>
      <c r="AI4" s="5">
        <f t="shared" si="21"/>
        <v>1256680</v>
      </c>
      <c r="AJ4" s="5">
        <f>SUM(AJ47,AJ52,AJ55:AJ56)</f>
        <v>13126705</v>
      </c>
      <c r="AK4" s="7"/>
      <c r="AL4" s="163" t="s">
        <v>29</v>
      </c>
      <c r="AM4" s="5">
        <f>SUM(AM47,AM52,AM55:AM56)</f>
        <v>585355</v>
      </c>
      <c r="AN4" s="5">
        <f t="shared" ref="AN4:AU4" si="22">SUM(AN47,AN52,AN55:AN56)</f>
        <v>2873029</v>
      </c>
      <c r="AO4" s="5">
        <f t="shared" si="22"/>
        <v>4641692</v>
      </c>
      <c r="AP4" s="5">
        <f t="shared" si="22"/>
        <v>180663</v>
      </c>
      <c r="AQ4" s="5">
        <f t="shared" si="22"/>
        <v>342763</v>
      </c>
      <c r="AR4" s="5">
        <f t="shared" si="22"/>
        <v>162715</v>
      </c>
      <c r="AS4" s="5">
        <f t="shared" si="22"/>
        <v>20627</v>
      </c>
      <c r="AT4" s="5">
        <f t="shared" si="22"/>
        <v>227775</v>
      </c>
      <c r="AU4" s="5">
        <f t="shared" si="22"/>
        <v>1256680</v>
      </c>
      <c r="AV4" s="5">
        <f>SUM(AV47,AV52,AV55:AV56)</f>
        <v>10291299</v>
      </c>
      <c r="AW4" s="5"/>
      <c r="AX4" s="163" t="s">
        <v>29</v>
      </c>
      <c r="AY4" s="5">
        <f>SUM(AY47,AY52,AY55:AY56)</f>
        <v>443879</v>
      </c>
      <c r="AZ4" s="5">
        <f t="shared" ref="AZ4:BG4" si="23">SUM(AZ47,AZ52,AZ55:AZ56)</f>
        <v>2269453</v>
      </c>
      <c r="BA4" s="5">
        <f t="shared" si="23"/>
        <v>3978207</v>
      </c>
      <c r="BB4" s="5">
        <f t="shared" si="23"/>
        <v>93907</v>
      </c>
      <c r="BC4" s="5">
        <f t="shared" si="23"/>
        <v>249856</v>
      </c>
      <c r="BD4" s="5">
        <f t="shared" si="23"/>
        <v>73716</v>
      </c>
      <c r="BE4" s="5">
        <f t="shared" si="23"/>
        <v>11277</v>
      </c>
      <c r="BF4" s="5">
        <f t="shared" si="23"/>
        <v>141418</v>
      </c>
      <c r="BG4" s="5">
        <f t="shared" si="23"/>
        <v>946515</v>
      </c>
      <c r="BH4" s="5">
        <f>SUM(BH47,BH52,BH55:BH56)</f>
        <v>8208228</v>
      </c>
      <c r="BI4" s="8"/>
      <c r="BJ4" s="254" t="s">
        <v>29</v>
      </c>
      <c r="BK4" s="20">
        <f>SUM(BK47,BK51,BK52,BK55:BK56)</f>
        <v>14867606</v>
      </c>
      <c r="BL4" s="255"/>
      <c r="BM4" s="20">
        <f>SUM(BM47,BM51,BM52,BM55:BM56)</f>
        <v>9082638</v>
      </c>
      <c r="BN4" s="255"/>
      <c r="BO4" s="20">
        <f>SUM(BO47,BO51,BO52,BO55:BO56)</f>
        <v>5784968</v>
      </c>
      <c r="BP4" s="20">
        <f t="shared" ref="BP4:BY4" si="24">SUM(BP47,BP51,BP52,BP55:BP56)</f>
        <v>394941</v>
      </c>
      <c r="BQ4" s="20">
        <f t="shared" si="24"/>
        <v>1712642</v>
      </c>
      <c r="BR4" s="20">
        <f t="shared" si="24"/>
        <v>1832354</v>
      </c>
      <c r="BS4" s="20">
        <f t="shared" si="24"/>
        <v>368181</v>
      </c>
      <c r="BT4" s="20">
        <f t="shared" si="24"/>
        <v>146237</v>
      </c>
      <c r="BU4" s="20">
        <f t="shared" si="24"/>
        <v>231404</v>
      </c>
      <c r="BV4" s="20">
        <f t="shared" si="24"/>
        <v>10469</v>
      </c>
      <c r="BW4" s="20">
        <f t="shared" si="24"/>
        <v>158401</v>
      </c>
      <c r="BX4" s="20">
        <f>SUM(BX47,BX51,BX52,BX55:BX56)</f>
        <v>930339</v>
      </c>
      <c r="BY4" s="20">
        <f t="shared" si="24"/>
        <v>9281</v>
      </c>
      <c r="BZ4" s="8"/>
      <c r="CA4" s="163" t="s">
        <v>29</v>
      </c>
      <c r="CB4" s="5">
        <f>SUM(CB47,CB52,CB55:CB56)</f>
        <v>446375</v>
      </c>
      <c r="CC4" s="5">
        <f t="shared" ref="CC4:CK4" si="25">SUM(CC47,CC52,CC55:CC56)</f>
        <v>15272</v>
      </c>
      <c r="CD4" s="5">
        <f t="shared" si="25"/>
        <v>73586</v>
      </c>
      <c r="CE4" s="5">
        <f t="shared" si="25"/>
        <v>101689</v>
      </c>
      <c r="CF4" s="5">
        <f t="shared" si="25"/>
        <v>13573</v>
      </c>
      <c r="CG4" s="5">
        <f t="shared" si="25"/>
        <v>9938</v>
      </c>
      <c r="CH4" s="5">
        <f t="shared" si="25"/>
        <v>6390</v>
      </c>
      <c r="CI4" s="5">
        <f t="shared" si="25"/>
        <v>578</v>
      </c>
      <c r="CJ4" s="5">
        <f t="shared" si="25"/>
        <v>8392</v>
      </c>
      <c r="CK4" s="5">
        <f t="shared" si="25"/>
        <v>53896</v>
      </c>
      <c r="CL4" s="8"/>
      <c r="CM4" s="163" t="s">
        <v>29</v>
      </c>
      <c r="CN4" s="5">
        <f>SUM(CN47,CN52,CN55:CN56)</f>
        <v>622333</v>
      </c>
      <c r="CO4" s="5">
        <f t="shared" ref="CO4:CW4" si="26">SUM(CO47,CO52,CO55:CO56)</f>
        <v>24490</v>
      </c>
      <c r="CP4" s="5">
        <f t="shared" si="26"/>
        <v>108959</v>
      </c>
      <c r="CQ4" s="5">
        <f t="shared" si="26"/>
        <v>146265</v>
      </c>
      <c r="CR4" s="5">
        <f t="shared" si="26"/>
        <v>20862</v>
      </c>
      <c r="CS4" s="5">
        <f t="shared" si="26"/>
        <v>16761</v>
      </c>
      <c r="CT4" s="5">
        <f t="shared" si="26"/>
        <v>10690</v>
      </c>
      <c r="CU4" s="5">
        <f t="shared" si="26"/>
        <v>899</v>
      </c>
      <c r="CV4" s="5">
        <f t="shared" si="26"/>
        <v>14462</v>
      </c>
      <c r="CW4" s="5">
        <f t="shared" si="26"/>
        <v>76732</v>
      </c>
      <c r="CX4" s="8"/>
      <c r="CY4" s="163" t="s">
        <v>29</v>
      </c>
      <c r="CZ4" s="5">
        <f>SUM(CZ47,CZ52,CZ55:CZ56)</f>
        <v>267840</v>
      </c>
      <c r="DA4" s="5">
        <f t="shared" ref="DA4:DI4" si="27">SUM(DA47,DA52,DA55:DA56)</f>
        <v>3951</v>
      </c>
      <c r="DB4" s="5">
        <f t="shared" si="27"/>
        <v>17913</v>
      </c>
      <c r="DC4" s="5">
        <f t="shared" si="27"/>
        <v>24476</v>
      </c>
      <c r="DD4" s="5">
        <f t="shared" si="27"/>
        <v>2811</v>
      </c>
      <c r="DE4" s="5">
        <f t="shared" si="27"/>
        <v>3219</v>
      </c>
      <c r="DF4" s="5">
        <f t="shared" si="27"/>
        <v>1444</v>
      </c>
      <c r="DG4" s="5">
        <f t="shared" si="27"/>
        <v>142</v>
      </c>
      <c r="DH4" s="5">
        <f t="shared" si="27"/>
        <v>2307</v>
      </c>
      <c r="DI4" s="5">
        <f t="shared" si="27"/>
        <v>9364</v>
      </c>
      <c r="DJ4" s="8"/>
      <c r="DK4" s="163" t="s">
        <v>29</v>
      </c>
      <c r="DL4" s="5">
        <f>SUM(DL47,DL52,DL55:DL56)</f>
        <v>354493</v>
      </c>
      <c r="DM4" s="5">
        <f t="shared" ref="DM4:DU4" si="28">SUM(DM47,DM52,DM55:DM56)</f>
        <v>20539</v>
      </c>
      <c r="DN4" s="5">
        <f t="shared" si="28"/>
        <v>91046</v>
      </c>
      <c r="DO4" s="5">
        <f t="shared" si="28"/>
        <v>121789</v>
      </c>
      <c r="DP4" s="5">
        <f t="shared" si="28"/>
        <v>18051</v>
      </c>
      <c r="DQ4" s="5">
        <f t="shared" si="28"/>
        <v>13542</v>
      </c>
      <c r="DR4" s="5">
        <f t="shared" si="28"/>
        <v>9246</v>
      </c>
      <c r="DS4" s="5">
        <f t="shared" si="28"/>
        <v>757</v>
      </c>
      <c r="DT4" s="5">
        <f t="shared" si="28"/>
        <v>12155</v>
      </c>
      <c r="DU4" s="5">
        <f t="shared" si="28"/>
        <v>67368</v>
      </c>
      <c r="DV4" s="8"/>
      <c r="DW4" s="163" t="s">
        <v>29</v>
      </c>
      <c r="DX4" s="5">
        <f>SUM(DX47,DX52,DX55:DX56)</f>
        <v>2395842</v>
      </c>
      <c r="DY4" s="5">
        <f t="shared" ref="DY4:EG4" si="29">SUM(DY47,DY52,DY55:DY56)</f>
        <v>134190</v>
      </c>
      <c r="DZ4" s="5">
        <f t="shared" si="29"/>
        <v>560197</v>
      </c>
      <c r="EA4" s="5">
        <f t="shared" si="29"/>
        <v>665409</v>
      </c>
      <c r="EB4" s="5">
        <f t="shared" si="29"/>
        <v>90011</v>
      </c>
      <c r="EC4" s="5">
        <f t="shared" si="29"/>
        <v>76023</v>
      </c>
      <c r="ED4" s="5">
        <f t="shared" si="29"/>
        <v>65547</v>
      </c>
      <c r="EE4" s="5">
        <f t="shared" si="29"/>
        <v>3610</v>
      </c>
      <c r="EF4" s="5">
        <f t="shared" si="29"/>
        <v>79750</v>
      </c>
      <c r="EG4" s="5">
        <f t="shared" si="29"/>
        <v>250497</v>
      </c>
      <c r="EH4" s="8"/>
      <c r="EI4" s="163" t="s">
        <v>29</v>
      </c>
      <c r="EJ4" s="5">
        <f>SUM(EJ47,EJ52,EJ55:EJ56)</f>
        <v>1687907</v>
      </c>
      <c r="EK4" s="5">
        <f t="shared" ref="EK4:ES4" si="30">SUM(EK47,EK52,EK55:EK56)</f>
        <v>89363</v>
      </c>
      <c r="EL4" s="5">
        <f t="shared" si="30"/>
        <v>411590</v>
      </c>
      <c r="EM4" s="5">
        <f t="shared" si="30"/>
        <v>505598</v>
      </c>
      <c r="EN4" s="5">
        <f t="shared" si="30"/>
        <v>51339</v>
      </c>
      <c r="EO4" s="5">
        <f t="shared" si="30"/>
        <v>47673</v>
      </c>
      <c r="EP4" s="5">
        <f t="shared" si="30"/>
        <v>33479</v>
      </c>
      <c r="EQ4" s="5">
        <f t="shared" si="30"/>
        <v>1925</v>
      </c>
      <c r="ER4" s="5">
        <f t="shared" si="30"/>
        <v>45413</v>
      </c>
      <c r="ES4" s="5">
        <f t="shared" si="30"/>
        <v>182743</v>
      </c>
      <c r="ET4" s="8"/>
      <c r="EU4" s="163" t="s">
        <v>29</v>
      </c>
      <c r="EV4" s="5">
        <f>SUM(EV47,EV52,EV55:EV56)</f>
        <v>3974866</v>
      </c>
      <c r="EW4" s="5">
        <f t="shared" ref="EW4:FE4" si="31">SUM(EW47,EW52,EW55:EW56)</f>
        <v>174736</v>
      </c>
      <c r="EX4" s="5">
        <f t="shared" si="31"/>
        <v>738166</v>
      </c>
      <c r="EY4" s="5">
        <f t="shared" si="31"/>
        <v>907204</v>
      </c>
      <c r="EZ4" s="5">
        <f t="shared" si="31"/>
        <v>134771</v>
      </c>
      <c r="FA4" s="5">
        <f t="shared" si="31"/>
        <v>88923</v>
      </c>
      <c r="FB4" s="5">
        <f t="shared" si="31"/>
        <v>85773</v>
      </c>
      <c r="FC4" s="5">
        <f t="shared" si="31"/>
        <v>4210</v>
      </c>
      <c r="FD4" s="5">
        <f t="shared" si="31"/>
        <v>95871</v>
      </c>
      <c r="FE4" s="5">
        <f t="shared" si="31"/>
        <v>329290</v>
      </c>
      <c r="FF4" s="5"/>
      <c r="FG4" s="163" t="s">
        <v>29</v>
      </c>
      <c r="FH4" s="5">
        <f>SUM(FH47,FH52,FH55:FH56)</f>
        <v>2724662</v>
      </c>
      <c r="FI4" s="5">
        <f t="shared" ref="FI4:FQ4" si="32">SUM(FI47,FI52,FI55:FI56)</f>
        <v>112025</v>
      </c>
      <c r="FJ4" s="5">
        <f t="shared" si="32"/>
        <v>521491</v>
      </c>
      <c r="FK4" s="5">
        <f t="shared" si="32"/>
        <v>681519</v>
      </c>
      <c r="FL4" s="5">
        <f t="shared" si="32"/>
        <v>80902</v>
      </c>
      <c r="FM4" s="5">
        <f t="shared" si="32"/>
        <v>50624</v>
      </c>
      <c r="FN4" s="5">
        <f t="shared" si="32"/>
        <v>41882</v>
      </c>
      <c r="FO4" s="5">
        <f t="shared" si="32"/>
        <v>2077</v>
      </c>
      <c r="FP4" s="5">
        <f t="shared" si="32"/>
        <v>49567</v>
      </c>
      <c r="FQ4" s="5">
        <f t="shared" si="32"/>
        <v>228847</v>
      </c>
      <c r="FR4" s="5"/>
      <c r="FS4" s="163" t="s">
        <v>29</v>
      </c>
      <c r="FT4" s="5">
        <f>SUM(FT47,FT52,FT55:FT56)</f>
        <v>1481</v>
      </c>
      <c r="FU4" s="5">
        <f t="shared" ref="FU4:GC4" si="33">SUM(FU47,FU52,FU55:FU56)</f>
        <v>375</v>
      </c>
      <c r="FV4" s="5">
        <f t="shared" si="33"/>
        <v>73</v>
      </c>
      <c r="FW4" s="5">
        <f t="shared" si="33"/>
        <v>212</v>
      </c>
      <c r="FX4" s="5">
        <f t="shared" si="33"/>
        <v>723</v>
      </c>
      <c r="FY4" s="5">
        <f t="shared" si="33"/>
        <v>4085</v>
      </c>
      <c r="FZ4" s="5">
        <f t="shared" si="33"/>
        <v>868</v>
      </c>
      <c r="GA4" s="5">
        <f t="shared" si="33"/>
        <v>3770</v>
      </c>
      <c r="GB4" s="5">
        <f t="shared" si="33"/>
        <v>811</v>
      </c>
      <c r="GC4" s="5">
        <f t="shared" si="33"/>
        <v>11933</v>
      </c>
      <c r="GE4" s="163" t="s">
        <v>29</v>
      </c>
      <c r="GF4" s="5">
        <f>SUM(GF47,GF52,GF55:GF56)</f>
        <v>2147</v>
      </c>
      <c r="GG4" s="5">
        <f t="shared" ref="GG4:GO4" si="34">SUM(GG47,GG52,GG55:GG56)</f>
        <v>651</v>
      </c>
      <c r="GH4" s="5">
        <f t="shared" si="34"/>
        <v>10</v>
      </c>
      <c r="GI4" s="5">
        <f t="shared" si="34"/>
        <v>279</v>
      </c>
      <c r="GJ4" s="5">
        <f t="shared" si="34"/>
        <v>480</v>
      </c>
      <c r="GK4" s="5">
        <f t="shared" si="34"/>
        <v>7834</v>
      </c>
      <c r="GL4" s="5">
        <f t="shared" si="34"/>
        <v>553</v>
      </c>
      <c r="GM4" s="5">
        <f t="shared" si="34"/>
        <v>6279</v>
      </c>
      <c r="GN4" s="5">
        <f t="shared" si="34"/>
        <v>888</v>
      </c>
      <c r="GO4" s="5">
        <f t="shared" si="34"/>
        <v>19121</v>
      </c>
      <c r="GQ4" s="163" t="s">
        <v>29</v>
      </c>
      <c r="GR4" s="5">
        <f>SUM(GR47,GR52,GR55:GR56)</f>
        <v>1623</v>
      </c>
      <c r="GS4" s="5">
        <f t="shared" ref="GS4:GZ4" si="35">SUM(GS47,GS52,GS55:GS56)</f>
        <v>12261</v>
      </c>
      <c r="GT4" s="5">
        <f t="shared" si="35"/>
        <v>90910</v>
      </c>
      <c r="GU4" s="5">
        <f t="shared" si="35"/>
        <v>63205</v>
      </c>
      <c r="GV4" s="5">
        <f t="shared" si="35"/>
        <v>65360</v>
      </c>
      <c r="GW4" s="5">
        <f t="shared" si="35"/>
        <v>20115</v>
      </c>
      <c r="GX4" s="5">
        <f t="shared" si="35"/>
        <v>156770</v>
      </c>
      <c r="GY4" s="5">
        <f t="shared" si="35"/>
        <v>210651</v>
      </c>
      <c r="GZ4" s="5">
        <f t="shared" si="35"/>
        <v>29521</v>
      </c>
      <c r="HA4" s="5">
        <f>SUM(HA47,HA52,HA55:HA56)</f>
        <v>650416</v>
      </c>
      <c r="HC4" s="163" t="s">
        <v>29</v>
      </c>
      <c r="HD4" s="5">
        <f>SUM(HD47,HD52,HD55:HD56)</f>
        <v>7930909</v>
      </c>
      <c r="HE4" s="5">
        <f>SUM(HE47,HE52,HE55:HE56)</f>
        <v>349003</v>
      </c>
      <c r="HF4" s="5">
        <f t="shared" ref="HF4:HM4" si="36">SUM(HF47,HF52,HF55:HF56)</f>
        <v>1505398</v>
      </c>
      <c r="HG4" s="5">
        <f t="shared" si="36"/>
        <v>1598949</v>
      </c>
      <c r="HH4" s="5">
        <f t="shared" si="36"/>
        <v>320946</v>
      </c>
      <c r="HI4" s="5">
        <f t="shared" si="36"/>
        <v>121647</v>
      </c>
      <c r="HJ4" s="5">
        <f t="shared" si="36"/>
        <v>206518</v>
      </c>
      <c r="HK4" s="5">
        <f t="shared" si="36"/>
        <v>9296</v>
      </c>
      <c r="HL4" s="5">
        <f t="shared" si="36"/>
        <v>132438</v>
      </c>
      <c r="HM4" s="5">
        <f t="shared" si="36"/>
        <v>802532</v>
      </c>
      <c r="HO4" s="163" t="s">
        <v>29</v>
      </c>
      <c r="HP4" s="5">
        <f>SUM(HP47,HP52,HP55:HP56)</f>
        <v>3046258</v>
      </c>
      <c r="HQ4" s="5">
        <f t="shared" ref="HQ4:HY4" si="37">SUM(HQ47,HQ52,HQ55:HQ56)</f>
        <v>163711</v>
      </c>
      <c r="HR4" s="5">
        <f t="shared" si="37"/>
        <v>770848</v>
      </c>
      <c r="HS4" s="5">
        <f t="shared" si="37"/>
        <v>822179</v>
      </c>
      <c r="HT4" s="5">
        <f t="shared" si="37"/>
        <v>153216</v>
      </c>
      <c r="HU4" s="5">
        <f t="shared" si="37"/>
        <v>88284</v>
      </c>
      <c r="HV4" s="5">
        <f t="shared" si="37"/>
        <v>130907</v>
      </c>
      <c r="HW4" s="5">
        <f t="shared" si="37"/>
        <v>5233</v>
      </c>
      <c r="HX4" s="5">
        <f t="shared" si="37"/>
        <v>99865</v>
      </c>
      <c r="HY4" s="5">
        <f t="shared" si="37"/>
        <v>341407</v>
      </c>
    </row>
    <row r="5" spans="2:233">
      <c r="B5" s="163" t="s">
        <v>30</v>
      </c>
      <c r="C5" s="20">
        <f>SUM(C45,C46,C48,C49,C50,C53,C54)</f>
        <v>58</v>
      </c>
      <c r="D5" s="20">
        <f t="shared" ref="D5:K5" si="38">SUM(D45,D46,D48,D49,D50,D53,D54)</f>
        <v>1105</v>
      </c>
      <c r="E5" s="20">
        <f t="shared" si="38"/>
        <v>4279</v>
      </c>
      <c r="F5" s="20">
        <f t="shared" si="38"/>
        <v>2086</v>
      </c>
      <c r="G5" s="20">
        <f t="shared" si="38"/>
        <v>889</v>
      </c>
      <c r="H5" s="20">
        <f t="shared" si="38"/>
        <v>1229</v>
      </c>
      <c r="I5" s="20">
        <f t="shared" si="38"/>
        <v>16009</v>
      </c>
      <c r="J5" s="20">
        <f t="shared" si="38"/>
        <v>11504</v>
      </c>
      <c r="K5" s="20">
        <f t="shared" si="38"/>
        <v>2008</v>
      </c>
      <c r="L5" s="20">
        <f>SUM(L45,L46,L48,L49,L50,L53,L54)</f>
        <v>39167</v>
      </c>
      <c r="N5" s="163" t="s">
        <v>30</v>
      </c>
      <c r="O5" s="5">
        <f>SUM(O45,O46,O48,O49,O50,O51,O53,O54)</f>
        <v>68</v>
      </c>
      <c r="P5" s="5">
        <f t="shared" ref="P5:W5" si="39">SUM(P45,P46,P48,P49,P50,P51,P53,P54)</f>
        <v>1281</v>
      </c>
      <c r="Q5" s="5">
        <f t="shared" si="39"/>
        <v>5156</v>
      </c>
      <c r="R5" s="5">
        <f t="shared" si="39"/>
        <v>2337</v>
      </c>
      <c r="S5" s="5">
        <f t="shared" si="39"/>
        <v>1041</v>
      </c>
      <c r="T5" s="5">
        <f t="shared" si="39"/>
        <v>1326</v>
      </c>
      <c r="U5" s="5">
        <f t="shared" si="39"/>
        <v>18553</v>
      </c>
      <c r="V5" s="5">
        <f t="shared" si="39"/>
        <v>13197</v>
      </c>
      <c r="W5" s="5">
        <f t="shared" si="39"/>
        <v>2308</v>
      </c>
      <c r="X5" s="5">
        <f>SUM(X45,X46,X48,X49,X50,X51,X53,X54)</f>
        <v>45267</v>
      </c>
      <c r="Y5" s="5"/>
      <c r="Z5" s="163" t="s">
        <v>30</v>
      </c>
      <c r="AA5" s="5">
        <f>SUM(AA45,AA46,AA48,AA49,AA50,AA51,AA53,AA54)</f>
        <v>1019436</v>
      </c>
      <c r="AB5" s="5">
        <f t="shared" ref="AB5:AI5" si="40">SUM(AB45,AB46,AB48,AB49,AB50,AB51,AB53,AB54)</f>
        <v>5489438</v>
      </c>
      <c r="AC5" s="5">
        <f t="shared" si="40"/>
        <v>7102242</v>
      </c>
      <c r="AD5" s="5">
        <f t="shared" si="40"/>
        <v>338379</v>
      </c>
      <c r="AE5" s="5">
        <f t="shared" si="40"/>
        <v>835084</v>
      </c>
      <c r="AF5" s="5">
        <f t="shared" si="40"/>
        <v>295129</v>
      </c>
      <c r="AG5" s="5">
        <f t="shared" si="40"/>
        <v>90003</v>
      </c>
      <c r="AH5" s="5">
        <f t="shared" si="40"/>
        <v>496161</v>
      </c>
      <c r="AI5" s="5">
        <f t="shared" si="40"/>
        <v>2250261</v>
      </c>
      <c r="AJ5" s="5">
        <f>SUM(AJ45,AJ46,AJ48,AJ49,AJ50,AJ51,AJ53,AJ54)</f>
        <v>23579958</v>
      </c>
      <c r="AK5" s="7"/>
      <c r="AL5" s="163" t="s">
        <v>30</v>
      </c>
      <c r="AM5" s="5">
        <f>SUM(AM45,AM46,AM48,AM49,AM50,AM51,AM53,AM54)</f>
        <v>978856</v>
      </c>
      <c r="AN5" s="5">
        <f t="shared" ref="AN5:AU5" si="41">SUM(AN45,AN46,AN48,AN49,AN50,AN51,AN53,AN54)</f>
        <v>5342759</v>
      </c>
      <c r="AO5" s="5">
        <f t="shared" si="41"/>
        <v>6908386</v>
      </c>
      <c r="AP5" s="5">
        <f t="shared" si="41"/>
        <v>338367</v>
      </c>
      <c r="AQ5" s="5">
        <f t="shared" si="41"/>
        <v>795836</v>
      </c>
      <c r="AR5" s="5">
        <f t="shared" si="41"/>
        <v>295141</v>
      </c>
      <c r="AS5" s="5">
        <f t="shared" si="41"/>
        <v>89976</v>
      </c>
      <c r="AT5" s="5">
        <f t="shared" si="41"/>
        <v>496183</v>
      </c>
      <c r="AU5" s="5">
        <f t="shared" si="41"/>
        <v>2184381</v>
      </c>
      <c r="AV5" s="5">
        <f>SUM(AV45,AV46,AV48,AV49,AV50,AV51,AV53,AV54)</f>
        <v>17429885</v>
      </c>
      <c r="AW5" s="5"/>
      <c r="AX5" s="163" t="s">
        <v>30</v>
      </c>
      <c r="AY5" s="5">
        <f>SUM(AY45,AY46,AY48,AY49,AY50,AY51,AY53,AY54)</f>
        <v>812567</v>
      </c>
      <c r="AZ5" s="5">
        <f t="shared" ref="AZ5:BG5" si="42">SUM(AZ45,AZ46,AZ48,AZ49,AZ50,AZ51,AZ53,AZ54)</f>
        <v>4416778</v>
      </c>
      <c r="BA5" s="5">
        <f t="shared" si="42"/>
        <v>5738792</v>
      </c>
      <c r="BB5" s="5">
        <f t="shared" si="42"/>
        <v>162401</v>
      </c>
      <c r="BC5" s="5">
        <f t="shared" si="42"/>
        <v>582034</v>
      </c>
      <c r="BD5" s="5">
        <f t="shared" si="42"/>
        <v>138439</v>
      </c>
      <c r="BE5" s="5">
        <f t="shared" si="42"/>
        <v>46128</v>
      </c>
      <c r="BF5" s="5">
        <f t="shared" si="42"/>
        <v>322015</v>
      </c>
      <c r="BG5" s="5">
        <f t="shared" si="42"/>
        <v>1583259</v>
      </c>
      <c r="BH5" s="5">
        <f>SUM(BH45,BH46,BH48,BH49,BH50,BH51,BH53,BH54)</f>
        <v>13802413</v>
      </c>
      <c r="BI5" s="8"/>
      <c r="BJ5" s="254" t="s">
        <v>30</v>
      </c>
      <c r="BK5" s="20">
        <f>SUM(BK45,BK46,BK48,BK49,BK50,BK53,BK54)</f>
        <v>19067940</v>
      </c>
      <c r="BL5" s="255"/>
      <c r="BM5" s="20">
        <f>SUM(BM45,BM46,BM48,BM49,BM50,BM53,BM54)</f>
        <v>11675625</v>
      </c>
      <c r="BN5" s="255"/>
      <c r="BO5" s="20">
        <f>SUM(BO45,BO46,BO48,BO49,BO50,BO53,BO54)</f>
        <v>7392315</v>
      </c>
      <c r="BP5" s="20">
        <f t="shared" ref="BP5:BY5" si="43">SUM(BP45,BP46,BP48,BP49,BP50,BP53,BP54)</f>
        <v>464909</v>
      </c>
      <c r="BQ5" s="20">
        <f t="shared" si="43"/>
        <v>2129753</v>
      </c>
      <c r="BR5" s="20">
        <f t="shared" si="43"/>
        <v>2362878</v>
      </c>
      <c r="BS5" s="20">
        <f t="shared" si="43"/>
        <v>487101</v>
      </c>
      <c r="BT5" s="20">
        <f t="shared" si="43"/>
        <v>218452</v>
      </c>
      <c r="BU5" s="20">
        <f t="shared" si="43"/>
        <v>266511</v>
      </c>
      <c r="BV5" s="20">
        <f t="shared" si="43"/>
        <v>23814</v>
      </c>
      <c r="BW5" s="20">
        <f t="shared" si="43"/>
        <v>264600</v>
      </c>
      <c r="BX5" s="20">
        <f t="shared" si="43"/>
        <v>1174297</v>
      </c>
      <c r="BY5" s="20">
        <f t="shared" si="43"/>
        <v>19063</v>
      </c>
      <c r="BZ5" s="8"/>
      <c r="CA5" s="163" t="s">
        <v>30</v>
      </c>
      <c r="CB5" s="5">
        <f>SUM(CB45,CB46,CB48,CB49,CB50,CB51,CB53,CB54)</f>
        <v>837965</v>
      </c>
      <c r="CC5" s="5">
        <f t="shared" ref="CC5:CK5" si="44">SUM(CC45,CC46,CC48,CC49,CC50,CC51,CC53,CC54)</f>
        <v>26295</v>
      </c>
      <c r="CD5" s="5">
        <f t="shared" si="44"/>
        <v>111825</v>
      </c>
      <c r="CE5" s="5">
        <f t="shared" si="44"/>
        <v>144212</v>
      </c>
      <c r="CF5" s="5">
        <f t="shared" si="44"/>
        <v>32377</v>
      </c>
      <c r="CG5" s="5">
        <f t="shared" si="44"/>
        <v>18958</v>
      </c>
      <c r="CH5" s="5">
        <f t="shared" si="44"/>
        <v>12133</v>
      </c>
      <c r="CI5" s="5">
        <f t="shared" si="44"/>
        <v>2700</v>
      </c>
      <c r="CJ5" s="5">
        <f t="shared" si="44"/>
        <v>19407</v>
      </c>
      <c r="CK5" s="5">
        <f t="shared" si="44"/>
        <v>111394</v>
      </c>
      <c r="CL5" s="8"/>
      <c r="CM5" s="163" t="s">
        <v>30</v>
      </c>
      <c r="CN5" s="5">
        <f>SUM(CN45,CN46,CN48,CN49,CN50,CN51,CN53,CN54)</f>
        <v>1106428</v>
      </c>
      <c r="CO5" s="5">
        <f t="shared" ref="CO5:CW5" si="45">SUM(CO45,CO46,CO48,CO49,CO50,CO51,CO53,CO54)</f>
        <v>41595</v>
      </c>
      <c r="CP5" s="5">
        <f t="shared" si="45"/>
        <v>165722</v>
      </c>
      <c r="CQ5" s="5">
        <f t="shared" si="45"/>
        <v>216768</v>
      </c>
      <c r="CR5" s="5">
        <f t="shared" si="45"/>
        <v>46421</v>
      </c>
      <c r="CS5" s="5">
        <f t="shared" si="45"/>
        <v>32643</v>
      </c>
      <c r="CT5" s="5">
        <f t="shared" si="45"/>
        <v>19622</v>
      </c>
      <c r="CU5" s="5">
        <f t="shared" si="45"/>
        <v>4202</v>
      </c>
      <c r="CV5" s="5">
        <f t="shared" si="45"/>
        <v>33275</v>
      </c>
      <c r="CW5" s="5">
        <f t="shared" si="45"/>
        <v>149922</v>
      </c>
      <c r="CX5" s="8"/>
      <c r="CY5" s="163" t="s">
        <v>30</v>
      </c>
      <c r="CZ5" s="5">
        <f>SUM(CZ45,CZ46,CZ48,CZ49,CZ50,CZ51,CZ53,CZ54)</f>
        <v>500900</v>
      </c>
      <c r="DA5" s="5">
        <f t="shared" ref="DA5:DI5" si="46">SUM(DA45,DA46,DA48,DA49,DA50,DA51,DA53,DA54)</f>
        <v>6636</v>
      </c>
      <c r="DB5" s="5">
        <f t="shared" si="46"/>
        <v>24912</v>
      </c>
      <c r="DC5" s="5">
        <f t="shared" si="46"/>
        <v>37618</v>
      </c>
      <c r="DD5" s="5">
        <f t="shared" si="46"/>
        <v>5840</v>
      </c>
      <c r="DE5" s="5">
        <f t="shared" si="46"/>
        <v>5591</v>
      </c>
      <c r="DF5" s="5">
        <f t="shared" si="46"/>
        <v>2572</v>
      </c>
      <c r="DG5" s="5">
        <f t="shared" si="46"/>
        <v>582</v>
      </c>
      <c r="DH5" s="5">
        <f t="shared" si="46"/>
        <v>5223</v>
      </c>
      <c r="DI5" s="5">
        <f t="shared" si="46"/>
        <v>15668</v>
      </c>
      <c r="DJ5" s="8"/>
      <c r="DK5" s="163" t="s">
        <v>30</v>
      </c>
      <c r="DL5" s="5">
        <f>SUM(DL45,DL46,DL48,DL49,DL50,DL51,DL53,DL54)</f>
        <v>605528</v>
      </c>
      <c r="DM5" s="5">
        <f t="shared" ref="DM5:DU5" si="47">SUM(DM45,DM46,DM48,DM49,DM50,DM51,DM53,DM54)</f>
        <v>34959</v>
      </c>
      <c r="DN5" s="5">
        <f t="shared" si="47"/>
        <v>140810</v>
      </c>
      <c r="DO5" s="5">
        <f t="shared" si="47"/>
        <v>179150</v>
      </c>
      <c r="DP5" s="5">
        <f t="shared" si="47"/>
        <v>40581</v>
      </c>
      <c r="DQ5" s="5">
        <f t="shared" si="47"/>
        <v>27052</v>
      </c>
      <c r="DR5" s="5">
        <f t="shared" si="47"/>
        <v>17050</v>
      </c>
      <c r="DS5" s="5">
        <f t="shared" si="47"/>
        <v>3620</v>
      </c>
      <c r="DT5" s="5">
        <f t="shared" si="47"/>
        <v>28052</v>
      </c>
      <c r="DU5" s="5">
        <f t="shared" si="47"/>
        <v>134254</v>
      </c>
      <c r="DV5" s="8"/>
      <c r="DW5" s="163" t="s">
        <v>30</v>
      </c>
      <c r="DX5" s="5">
        <f>SUM(DX45,DX46,DX48,DX49,DX50,DX51,DX53,DX54)</f>
        <v>3978472</v>
      </c>
      <c r="DY5" s="5">
        <f t="shared" ref="DY5:EG5" si="48">SUM(DY45,DY46,DY48,DY49,DY50,DY51,DY53,DY54)</f>
        <v>240895</v>
      </c>
      <c r="DZ5" s="5">
        <f t="shared" si="48"/>
        <v>964409</v>
      </c>
      <c r="EA5" s="5">
        <f t="shared" si="48"/>
        <v>1078601</v>
      </c>
      <c r="EB5" s="5">
        <f t="shared" si="48"/>
        <v>167246</v>
      </c>
      <c r="EC5" s="5">
        <f t="shared" si="48"/>
        <v>153303</v>
      </c>
      <c r="ED5" s="5">
        <f t="shared" si="48"/>
        <v>114121</v>
      </c>
      <c r="EE5" s="5">
        <f t="shared" si="48"/>
        <v>16355</v>
      </c>
      <c r="EF5" s="5">
        <f t="shared" si="48"/>
        <v>162828</v>
      </c>
      <c r="EG5" s="5">
        <f t="shared" si="48"/>
        <v>411944</v>
      </c>
      <c r="EH5" s="8"/>
      <c r="EI5" s="163" t="s">
        <v>30</v>
      </c>
      <c r="EJ5" s="5">
        <f>SUM(EJ45,EJ46,EJ48,EJ49,EJ50,EJ51,EJ53,EJ54)</f>
        <v>2635617</v>
      </c>
      <c r="EK5" s="5">
        <f t="shared" ref="EK5:ES5" si="49">SUM(EK45,EK46,EK48,EK49,EK50,EK51,EK53,EK54)</f>
        <v>161162</v>
      </c>
      <c r="EL5" s="5">
        <f t="shared" si="49"/>
        <v>691722</v>
      </c>
      <c r="EM5" s="5">
        <f t="shared" si="49"/>
        <v>759205</v>
      </c>
      <c r="EN5" s="5">
        <f t="shared" si="49"/>
        <v>90915</v>
      </c>
      <c r="EO5" s="5">
        <f t="shared" si="49"/>
        <v>91807</v>
      </c>
      <c r="EP5" s="5">
        <f t="shared" si="49"/>
        <v>57606</v>
      </c>
      <c r="EQ5" s="5">
        <f t="shared" si="49"/>
        <v>8318</v>
      </c>
      <c r="ER5" s="5">
        <f t="shared" si="49"/>
        <v>94841</v>
      </c>
      <c r="ES5" s="5">
        <f t="shared" si="49"/>
        <v>270954</v>
      </c>
      <c r="ET5" s="8"/>
      <c r="EU5" s="163" t="s">
        <v>30</v>
      </c>
      <c r="EV5" s="5">
        <f>SUM(EV45,EV46,EV48,EV49,EV50,EV51,EV53,EV54)</f>
        <v>7152478.5223529404</v>
      </c>
      <c r="EW5" s="5">
        <f t="shared" ref="EW5:FE5" si="50">SUM(EW45,EW46,EW48,EW49,EW50,EW51,EW53,EW54)</f>
        <v>298657.22621635254</v>
      </c>
      <c r="EX5" s="5">
        <f t="shared" si="50"/>
        <v>1296455.7173014604</v>
      </c>
      <c r="EY5" s="5">
        <f t="shared" si="50"/>
        <v>1512045.9424708672</v>
      </c>
      <c r="EZ5" s="5">
        <f t="shared" si="50"/>
        <v>248989.24574872904</v>
      </c>
      <c r="FA5" s="5">
        <f t="shared" si="50"/>
        <v>181158.88550149242</v>
      </c>
      <c r="FB5" s="5">
        <f t="shared" si="50"/>
        <v>149211.29048058571</v>
      </c>
      <c r="FC5" s="5">
        <f t="shared" si="50"/>
        <v>19934.147928200513</v>
      </c>
      <c r="FD5" s="5">
        <f t="shared" si="50"/>
        <v>201870.16094383341</v>
      </c>
      <c r="FE5" s="5">
        <f t="shared" si="50"/>
        <v>580923.69323015912</v>
      </c>
      <c r="FF5" s="5"/>
      <c r="FG5" s="163" t="s">
        <v>30</v>
      </c>
      <c r="FH5" s="5">
        <f>SUM(FH45,FH46,FH48,FH49,FH50,FH51,FH53,FH54)</f>
        <v>4320350.5223529413</v>
      </c>
      <c r="FI5" s="5">
        <f t="shared" ref="FI5:FQ5" si="51">SUM(FI45,FI46,FI48,FI49,FI50,FI51,FI53,FI54)</f>
        <v>187262.22621635249</v>
      </c>
      <c r="FJ5" s="5">
        <f t="shared" si="51"/>
        <v>901265.71730146045</v>
      </c>
      <c r="FK5" s="5">
        <f t="shared" si="51"/>
        <v>1044330.9424708672</v>
      </c>
      <c r="FL5" s="5">
        <f t="shared" si="51"/>
        <v>144316.24574872907</v>
      </c>
      <c r="FM5" s="5">
        <f t="shared" si="51"/>
        <v>101422.88550149242</v>
      </c>
      <c r="FN5" s="5">
        <f t="shared" si="51"/>
        <v>73078.290480585696</v>
      </c>
      <c r="FO5" s="5">
        <f t="shared" si="51"/>
        <v>9470.1479282005166</v>
      </c>
      <c r="FP5" s="5">
        <f t="shared" si="51"/>
        <v>107974.06290461772</v>
      </c>
      <c r="FQ5" s="5">
        <f t="shared" si="51"/>
        <v>379182.69323015912</v>
      </c>
      <c r="FR5" s="5"/>
      <c r="FS5" s="163" t="s">
        <v>30</v>
      </c>
      <c r="FT5" s="5">
        <f>SUM(FT45,FT46,FT48,FT49,FT50,FT51,FT53,FT54)</f>
        <v>1975</v>
      </c>
      <c r="FU5" s="5">
        <f t="shared" ref="FU5:GC5" si="52">SUM(FU45,FU46,FU48,FU49,FU50,FU51,FU53,FU54)</f>
        <v>749</v>
      </c>
      <c r="FV5" s="5">
        <f t="shared" si="52"/>
        <v>507</v>
      </c>
      <c r="FW5" s="5">
        <f t="shared" si="52"/>
        <v>393</v>
      </c>
      <c r="FX5" s="5">
        <f t="shared" si="52"/>
        <v>1803</v>
      </c>
      <c r="FY5" s="5">
        <f t="shared" si="52"/>
        <v>6235</v>
      </c>
      <c r="FZ5" s="5">
        <f t="shared" si="52"/>
        <v>1748</v>
      </c>
      <c r="GA5" s="5">
        <f t="shared" si="52"/>
        <v>5193</v>
      </c>
      <c r="GB5" s="5">
        <f t="shared" si="52"/>
        <v>1272</v>
      </c>
      <c r="GC5" s="5">
        <f t="shared" si="52"/>
        <v>19021</v>
      </c>
      <c r="GE5" s="163" t="s">
        <v>30</v>
      </c>
      <c r="GF5" s="5">
        <f>SUM(GF45,GF46,GF48,GF49,GF50,GF51,GF53,GF54)</f>
        <v>4253</v>
      </c>
      <c r="GG5" s="5">
        <f t="shared" ref="GG5:GO5" si="53">SUM(GG45,GG46,GG48,GG49,GG50,GG51,GG53,GG54)</f>
        <v>1485</v>
      </c>
      <c r="GH5" s="5">
        <f t="shared" si="53"/>
        <v>94</v>
      </c>
      <c r="GI5" s="5">
        <f t="shared" si="53"/>
        <v>535</v>
      </c>
      <c r="GJ5" s="5">
        <f t="shared" si="53"/>
        <v>1340</v>
      </c>
      <c r="GK5" s="5">
        <f t="shared" si="53"/>
        <v>13090</v>
      </c>
      <c r="GL5" s="5">
        <f t="shared" si="53"/>
        <v>1217</v>
      </c>
      <c r="GM5" s="5">
        <f t="shared" si="53"/>
        <v>10940</v>
      </c>
      <c r="GN5" s="5">
        <f t="shared" si="53"/>
        <v>1532</v>
      </c>
      <c r="GO5" s="5">
        <f t="shared" si="53"/>
        <v>34486</v>
      </c>
      <c r="GQ5" s="163" t="s">
        <v>30</v>
      </c>
      <c r="GR5" s="5">
        <f>SUM(GR45,GR46,GR48,GR49,GR50,GR51,GR53,GR54)</f>
        <v>4859</v>
      </c>
      <c r="GS5" s="5">
        <f t="shared" ref="GS5:GZ5" si="54">SUM(GS45,GS46,GS48,GS49,GS50,GS51,GS53,GS54)</f>
        <v>24856</v>
      </c>
      <c r="GT5" s="5">
        <f t="shared" si="54"/>
        <v>178991</v>
      </c>
      <c r="GU5" s="5">
        <f t="shared" si="54"/>
        <v>122055</v>
      </c>
      <c r="GV5" s="5">
        <f t="shared" si="54"/>
        <v>110030</v>
      </c>
      <c r="GW5" s="5">
        <f t="shared" si="54"/>
        <v>42096</v>
      </c>
      <c r="GX5" s="5">
        <f t="shared" si="54"/>
        <v>311451</v>
      </c>
      <c r="GY5" s="5">
        <f t="shared" si="54"/>
        <v>385584</v>
      </c>
      <c r="GZ5" s="5">
        <f t="shared" si="54"/>
        <v>22339</v>
      </c>
      <c r="HA5" s="5">
        <f>SUM(HA45,HA46,HA48,HA49,HA50,HA51,HA53,HA54)</f>
        <v>1202261</v>
      </c>
      <c r="HC5" s="163" t="s">
        <v>30</v>
      </c>
      <c r="HD5" s="5">
        <f>SUM(HD45,HD46,HD48,HD49,HD50,HD51,HD53,HD54)</f>
        <v>14556115</v>
      </c>
      <c r="HE5" s="5">
        <f t="shared" ref="HE5:HM5" si="55">SUM(HE45,HE46,HE48,HE49,HE50,HE51,HE53,HE54)</f>
        <v>576932</v>
      </c>
      <c r="HF5" s="5">
        <f t="shared" si="55"/>
        <v>2611678</v>
      </c>
      <c r="HG5" s="5">
        <f t="shared" si="55"/>
        <v>2959316</v>
      </c>
      <c r="HH5" s="5">
        <f t="shared" si="55"/>
        <v>601619</v>
      </c>
      <c r="HI5" s="5">
        <f t="shared" si="55"/>
        <v>292446</v>
      </c>
      <c r="HJ5" s="5">
        <f t="shared" si="55"/>
        <v>321709</v>
      </c>
      <c r="HK5" s="5">
        <f t="shared" si="55"/>
        <v>30088</v>
      </c>
      <c r="HL5" s="5">
        <f t="shared" si="55"/>
        <v>338300</v>
      </c>
      <c r="HM5" s="5">
        <f t="shared" si="55"/>
        <v>1528758</v>
      </c>
      <c r="HO5" s="163" t="s">
        <v>30</v>
      </c>
      <c r="HP5" s="5">
        <f>SUM(HP45,HP46,HP48,HP49,HP50,HP51,HP53,HP54)</f>
        <v>5180733</v>
      </c>
      <c r="HQ5" s="5">
        <f t="shared" ref="HQ5:HY5" si="56">SUM(HQ45,HQ46,HQ48,HQ49,HQ50,HQ51,HQ53,HQ54)</f>
        <v>263234</v>
      </c>
      <c r="HR5" s="5">
        <f t="shared" si="56"/>
        <v>1349993</v>
      </c>
      <c r="HS5" s="5">
        <f t="shared" si="56"/>
        <v>1390052</v>
      </c>
      <c r="HT5" s="5">
        <f t="shared" si="56"/>
        <v>289301</v>
      </c>
      <c r="HU5" s="5">
        <f t="shared" si="56"/>
        <v>178159</v>
      </c>
      <c r="HV5" s="5">
        <f t="shared" si="56"/>
        <v>224151</v>
      </c>
      <c r="HW5" s="5">
        <f t="shared" si="56"/>
        <v>21214</v>
      </c>
      <c r="HX5" s="5">
        <f t="shared" si="56"/>
        <v>204924</v>
      </c>
      <c r="HY5" s="5">
        <f t="shared" si="56"/>
        <v>590935</v>
      </c>
    </row>
    <row r="6" spans="2:233">
      <c r="B6" s="53"/>
      <c r="C6" s="5"/>
      <c r="D6" s="5"/>
      <c r="E6" s="5"/>
      <c r="F6" s="5"/>
      <c r="G6" s="5"/>
      <c r="H6" s="5"/>
      <c r="I6" s="5"/>
      <c r="J6" s="5"/>
      <c r="K6" s="5"/>
      <c r="L6" s="5"/>
      <c r="N6" s="5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3"/>
      <c r="AA6" s="5"/>
      <c r="AB6" s="5"/>
      <c r="AC6" s="5"/>
      <c r="AD6" s="5"/>
      <c r="AE6" s="5"/>
      <c r="AF6" s="5"/>
      <c r="AG6" s="5"/>
      <c r="AH6" s="5"/>
      <c r="AI6" s="5"/>
      <c r="AJ6" s="5"/>
      <c r="AK6" s="7"/>
      <c r="AL6" s="53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3"/>
      <c r="AY6" s="5"/>
      <c r="AZ6" s="5"/>
      <c r="BA6" s="5"/>
      <c r="BB6" s="5"/>
      <c r="BC6" s="5"/>
      <c r="BD6" s="5"/>
      <c r="BE6" s="5"/>
      <c r="BF6" s="5"/>
      <c r="BG6" s="5"/>
      <c r="BH6" s="5"/>
      <c r="BI6" s="8"/>
      <c r="BJ6" s="53"/>
      <c r="BK6" s="53"/>
      <c r="BL6" s="53"/>
      <c r="BM6" s="5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53"/>
      <c r="CB6" s="5"/>
      <c r="CC6" s="5"/>
      <c r="CD6" s="5"/>
      <c r="CE6" s="5"/>
      <c r="CF6" s="5"/>
      <c r="CG6" s="5"/>
      <c r="CH6" s="5"/>
      <c r="CI6" s="5"/>
      <c r="CJ6" s="5"/>
      <c r="CK6" s="5"/>
      <c r="CL6" s="8"/>
      <c r="CM6" s="53"/>
      <c r="CN6" s="5"/>
      <c r="CO6" s="5"/>
      <c r="CP6" s="5"/>
      <c r="CQ6" s="5"/>
      <c r="CR6" s="5"/>
      <c r="CS6" s="5"/>
      <c r="CT6" s="5"/>
      <c r="CU6" s="5"/>
      <c r="CV6" s="5"/>
      <c r="CW6" s="5"/>
      <c r="CX6" s="8"/>
      <c r="CY6" s="53"/>
      <c r="CZ6" s="5"/>
      <c r="DA6" s="5"/>
      <c r="DB6" s="5"/>
      <c r="DC6" s="5"/>
      <c r="DD6" s="5"/>
      <c r="DE6" s="5"/>
      <c r="DF6" s="5"/>
      <c r="DG6" s="5"/>
      <c r="DH6" s="5"/>
      <c r="DI6" s="5"/>
      <c r="DJ6" s="8"/>
      <c r="DK6" s="53"/>
      <c r="DL6" s="5"/>
      <c r="DM6" s="5"/>
      <c r="DN6" s="5"/>
      <c r="DO6" s="5"/>
      <c r="DP6" s="5"/>
      <c r="DQ6" s="5"/>
      <c r="DR6" s="5"/>
      <c r="DS6" s="5"/>
      <c r="DT6" s="5"/>
      <c r="DU6" s="5"/>
      <c r="DV6" s="8"/>
      <c r="DW6" s="53"/>
      <c r="DX6" s="5"/>
      <c r="DY6" s="5"/>
      <c r="DZ6" s="5"/>
      <c r="EA6" s="5"/>
      <c r="EB6" s="5"/>
      <c r="EC6" s="5"/>
      <c r="ED6" s="5"/>
      <c r="EE6" s="5"/>
      <c r="EF6" s="5"/>
      <c r="EG6" s="5"/>
      <c r="EH6" s="8"/>
      <c r="EI6" s="53"/>
      <c r="EJ6" s="5"/>
      <c r="EK6" s="5"/>
      <c r="EL6" s="5"/>
      <c r="EM6" s="5"/>
      <c r="EN6" s="5"/>
      <c r="EO6" s="5"/>
      <c r="EP6" s="5"/>
      <c r="EQ6" s="5"/>
      <c r="ER6" s="5"/>
      <c r="ES6" s="5"/>
      <c r="ET6" s="8"/>
      <c r="EU6" s="53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3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3"/>
      <c r="FT6" s="5"/>
      <c r="FU6" s="5"/>
      <c r="FV6" s="5"/>
      <c r="FW6" s="5"/>
      <c r="FX6" s="5"/>
      <c r="FY6" s="5"/>
      <c r="FZ6" s="5"/>
      <c r="GA6" s="5"/>
      <c r="GB6" s="5"/>
      <c r="GC6" s="5"/>
      <c r="GE6" s="53"/>
      <c r="GF6" s="128"/>
      <c r="GG6" s="5"/>
      <c r="GH6" s="5"/>
      <c r="GI6" s="5"/>
      <c r="GJ6" s="5"/>
      <c r="GK6" s="5"/>
      <c r="GL6" s="5"/>
      <c r="GM6" s="5"/>
      <c r="GN6" s="5"/>
      <c r="GO6" s="128"/>
      <c r="HC6" s="53"/>
      <c r="HD6" s="5"/>
      <c r="HE6" s="5"/>
      <c r="HF6" s="5"/>
      <c r="HG6" s="5"/>
      <c r="HH6" s="5"/>
      <c r="HI6" s="5"/>
      <c r="HJ6" s="5"/>
      <c r="HK6" s="5"/>
      <c r="HL6" s="5"/>
      <c r="HM6" s="5"/>
      <c r="HO6" s="53"/>
      <c r="HP6" s="5"/>
      <c r="HQ6" s="5"/>
      <c r="HR6" s="5"/>
      <c r="HS6" s="5"/>
      <c r="HT6" s="5"/>
      <c r="HU6" s="5"/>
      <c r="HV6" s="5"/>
      <c r="HW6" s="5"/>
      <c r="HX6" s="5"/>
      <c r="HY6" s="5"/>
    </row>
    <row r="7" spans="2:233">
      <c r="B7" s="551" t="s">
        <v>0</v>
      </c>
      <c r="C7" s="551"/>
      <c r="D7" s="551"/>
      <c r="E7" s="551"/>
      <c r="F7" s="551"/>
      <c r="G7" s="551"/>
      <c r="H7" s="551"/>
      <c r="I7" s="551"/>
      <c r="J7" s="551"/>
      <c r="K7" s="551"/>
      <c r="L7" s="551"/>
      <c r="N7" s="551" t="s">
        <v>127</v>
      </c>
      <c r="O7" s="551"/>
      <c r="P7" s="551"/>
      <c r="Q7" s="551"/>
      <c r="R7" s="551"/>
      <c r="S7" s="551"/>
      <c r="T7" s="551"/>
      <c r="U7" s="551"/>
      <c r="V7" s="551"/>
      <c r="W7" s="551"/>
      <c r="X7" s="551"/>
      <c r="Y7" s="3"/>
      <c r="Z7" s="555" t="s">
        <v>2</v>
      </c>
      <c r="AA7" s="555"/>
      <c r="AB7" s="555"/>
      <c r="AC7" s="555"/>
      <c r="AD7" s="555"/>
      <c r="AE7" s="555"/>
      <c r="AF7" s="555"/>
      <c r="AG7" s="555"/>
      <c r="AH7" s="555"/>
      <c r="AI7" s="555"/>
      <c r="AJ7" s="555"/>
      <c r="AL7" s="552" t="s">
        <v>3</v>
      </c>
      <c r="AM7" s="552"/>
      <c r="AN7" s="552"/>
      <c r="AO7" s="552"/>
      <c r="AP7" s="552"/>
      <c r="AQ7" s="552"/>
      <c r="AR7" s="552"/>
      <c r="AS7" s="552"/>
      <c r="AT7" s="552"/>
      <c r="AU7" s="552"/>
      <c r="AV7" s="552"/>
      <c r="AW7" s="3"/>
      <c r="AX7" s="555" t="s">
        <v>4</v>
      </c>
      <c r="AY7" s="555"/>
      <c r="AZ7" s="555"/>
      <c r="BA7" s="555"/>
      <c r="BB7" s="555"/>
      <c r="BC7" s="555"/>
      <c r="BD7" s="555"/>
      <c r="BE7" s="555"/>
      <c r="BF7" s="555"/>
      <c r="BG7" s="555"/>
      <c r="BH7" s="555"/>
      <c r="BI7" s="3"/>
      <c r="BJ7" s="554" t="s">
        <v>5</v>
      </c>
      <c r="BK7" s="554"/>
      <c r="BL7" s="4"/>
      <c r="BM7" s="59" t="s">
        <v>6</v>
      </c>
      <c r="BN7" s="4"/>
      <c r="BO7" s="554" t="s">
        <v>7</v>
      </c>
      <c r="BP7" s="554"/>
      <c r="BQ7" s="554"/>
      <c r="BR7" s="554"/>
      <c r="BS7" s="554"/>
      <c r="BT7" s="554"/>
      <c r="BU7" s="554"/>
      <c r="BV7" s="554"/>
      <c r="BW7" s="554"/>
      <c r="BX7" s="554"/>
      <c r="BY7" s="58"/>
      <c r="BZ7" s="3"/>
      <c r="CA7" s="555" t="s">
        <v>128</v>
      </c>
      <c r="CB7" s="555"/>
      <c r="CC7" s="555"/>
      <c r="CD7" s="555"/>
      <c r="CE7" s="555"/>
      <c r="CF7" s="555"/>
      <c r="CG7" s="555"/>
      <c r="CH7" s="555"/>
      <c r="CI7" s="555"/>
      <c r="CJ7" s="555"/>
      <c r="CK7" s="555"/>
      <c r="CL7" s="4"/>
      <c r="CM7" s="555" t="s">
        <v>8</v>
      </c>
      <c r="CN7" s="555"/>
      <c r="CO7" s="555"/>
      <c r="CP7" s="555"/>
      <c r="CQ7" s="555"/>
      <c r="CR7" s="555"/>
      <c r="CS7" s="555"/>
      <c r="CT7" s="555"/>
      <c r="CU7" s="555"/>
      <c r="CV7" s="555"/>
      <c r="CW7" s="555"/>
      <c r="CX7" s="3"/>
      <c r="CY7" s="557" t="s">
        <v>9</v>
      </c>
      <c r="CZ7" s="557"/>
      <c r="DA7" s="557"/>
      <c r="DB7" s="557"/>
      <c r="DC7" s="557"/>
      <c r="DD7" s="557"/>
      <c r="DE7" s="557"/>
      <c r="DF7" s="557"/>
      <c r="DG7" s="557"/>
      <c r="DH7" s="557"/>
      <c r="DI7" s="557"/>
      <c r="DJ7" s="3"/>
      <c r="DK7" s="558" t="s">
        <v>35</v>
      </c>
      <c r="DL7" s="558"/>
      <c r="DM7" s="558"/>
      <c r="DN7" s="558"/>
      <c r="DO7" s="558"/>
      <c r="DP7" s="558"/>
      <c r="DQ7" s="558"/>
      <c r="DR7" s="558"/>
      <c r="DS7" s="558"/>
      <c r="DT7" s="558"/>
      <c r="DU7" s="558"/>
      <c r="DV7" s="3"/>
      <c r="DW7" s="553" t="s">
        <v>36</v>
      </c>
      <c r="DX7" s="553"/>
      <c r="DY7" s="553"/>
      <c r="DZ7" s="553"/>
      <c r="EA7" s="553"/>
      <c r="EB7" s="553"/>
      <c r="EC7" s="553"/>
      <c r="ED7" s="553"/>
      <c r="EE7" s="553"/>
      <c r="EF7" s="553"/>
      <c r="EG7" s="553"/>
      <c r="EH7" s="3"/>
      <c r="EI7" s="553" t="s">
        <v>12</v>
      </c>
      <c r="EJ7" s="553"/>
      <c r="EK7" s="553"/>
      <c r="EL7" s="553"/>
      <c r="EM7" s="553"/>
      <c r="EN7" s="553"/>
      <c r="EO7" s="553"/>
      <c r="EP7" s="553"/>
      <c r="EQ7" s="553"/>
      <c r="ER7" s="553"/>
      <c r="ES7" s="553"/>
      <c r="ET7" s="3"/>
      <c r="EU7" s="556" t="s">
        <v>129</v>
      </c>
      <c r="EV7" s="556"/>
      <c r="EW7" s="556"/>
      <c r="EX7" s="556"/>
      <c r="EY7" s="556"/>
      <c r="EZ7" s="556"/>
      <c r="FA7" s="556"/>
      <c r="FB7" s="556"/>
      <c r="FC7" s="556"/>
      <c r="FD7" s="556"/>
      <c r="FE7" s="556"/>
      <c r="FF7" s="3"/>
      <c r="FG7" s="556" t="s">
        <v>130</v>
      </c>
      <c r="FH7" s="556"/>
      <c r="FI7" s="556"/>
      <c r="FJ7" s="556"/>
      <c r="FK7" s="556"/>
      <c r="FL7" s="556"/>
      <c r="FM7" s="556"/>
      <c r="FN7" s="556"/>
      <c r="FO7" s="556"/>
      <c r="FP7" s="556"/>
      <c r="FQ7" s="556"/>
      <c r="FR7" s="3"/>
      <c r="FS7" s="555" t="s">
        <v>13</v>
      </c>
      <c r="FT7" s="555"/>
      <c r="FU7" s="555"/>
      <c r="FV7" s="555"/>
      <c r="FW7" s="555"/>
      <c r="FX7" s="555"/>
      <c r="FY7" s="555"/>
      <c r="FZ7" s="555"/>
      <c r="GA7" s="555"/>
      <c r="GB7" s="555"/>
      <c r="GC7" s="555"/>
      <c r="GF7" s="552" t="s">
        <v>131</v>
      </c>
      <c r="GG7" s="552"/>
      <c r="GH7" s="552"/>
      <c r="GI7" s="552"/>
      <c r="GJ7" s="552"/>
      <c r="GK7" s="552"/>
      <c r="GL7" s="552"/>
      <c r="GM7" s="552"/>
      <c r="GN7" s="552"/>
      <c r="GO7" s="552"/>
      <c r="GP7" s="4"/>
      <c r="GQ7" s="557" t="s">
        <v>14</v>
      </c>
      <c r="GR7" s="557"/>
      <c r="GS7" s="557"/>
      <c r="GT7" s="557"/>
      <c r="GU7" s="557"/>
      <c r="GV7" s="557"/>
      <c r="GW7" s="557"/>
      <c r="GX7" s="557"/>
      <c r="GY7" s="557"/>
      <c r="GZ7" s="557"/>
      <c r="HA7" s="557"/>
      <c r="HC7" s="559" t="s">
        <v>37</v>
      </c>
      <c r="HD7" s="559"/>
      <c r="HE7" s="559"/>
      <c r="HF7" s="559"/>
      <c r="HG7" s="559"/>
      <c r="HH7" s="559"/>
      <c r="HI7" s="559"/>
      <c r="HJ7" s="559"/>
      <c r="HK7" s="559"/>
      <c r="HL7" s="559"/>
      <c r="HM7" s="559"/>
      <c r="HO7" s="559" t="s">
        <v>38</v>
      </c>
      <c r="HP7" s="559"/>
      <c r="HQ7" s="559"/>
      <c r="HR7" s="559"/>
      <c r="HS7" s="559"/>
      <c r="HT7" s="559"/>
      <c r="HU7" s="559"/>
      <c r="HV7" s="559"/>
      <c r="HW7" s="559"/>
      <c r="HX7" s="559"/>
      <c r="HY7" s="559"/>
    </row>
    <row r="8" spans="2:233">
      <c r="C8" s="2" t="s">
        <v>168</v>
      </c>
      <c r="D8" s="2" t="s">
        <v>169</v>
      </c>
      <c r="E8" s="2" t="s">
        <v>134</v>
      </c>
      <c r="F8" s="2" t="s">
        <v>135</v>
      </c>
      <c r="G8" s="2" t="s">
        <v>136</v>
      </c>
      <c r="H8" s="2" t="s">
        <v>137</v>
      </c>
      <c r="I8" s="2" t="s">
        <v>138</v>
      </c>
      <c r="J8" s="2" t="s">
        <v>139</v>
      </c>
      <c r="K8" s="2" t="s">
        <v>140</v>
      </c>
      <c r="L8" s="2" t="s">
        <v>141</v>
      </c>
      <c r="O8" s="2" t="s">
        <v>168</v>
      </c>
      <c r="P8" s="2" t="s">
        <v>169</v>
      </c>
      <c r="Q8" s="2" t="s">
        <v>134</v>
      </c>
      <c r="R8" s="2" t="s">
        <v>135</v>
      </c>
      <c r="S8" s="2" t="s">
        <v>136</v>
      </c>
      <c r="T8" s="2" t="s">
        <v>137</v>
      </c>
      <c r="U8" s="2" t="s">
        <v>138</v>
      </c>
      <c r="V8" s="2" t="s">
        <v>139</v>
      </c>
      <c r="W8" s="2" t="s">
        <v>140</v>
      </c>
      <c r="X8" s="2" t="s">
        <v>141</v>
      </c>
      <c r="AA8" s="2" t="s">
        <v>96</v>
      </c>
      <c r="AB8" s="2" t="s">
        <v>97</v>
      </c>
      <c r="AC8" s="2" t="s">
        <v>94</v>
      </c>
      <c r="AD8" s="2" t="s">
        <v>89</v>
      </c>
      <c r="AE8" s="2" t="s">
        <v>142</v>
      </c>
      <c r="AF8" s="2" t="s">
        <v>92</v>
      </c>
      <c r="AG8" s="2" t="s">
        <v>143</v>
      </c>
      <c r="AH8" s="2" t="s">
        <v>93</v>
      </c>
      <c r="AI8" s="2" t="s">
        <v>88</v>
      </c>
      <c r="AJ8" s="2" t="s">
        <v>24</v>
      </c>
      <c r="AM8" s="2" t="s">
        <v>144</v>
      </c>
      <c r="AN8" s="2" t="s">
        <v>145</v>
      </c>
      <c r="AO8" s="2" t="s">
        <v>146</v>
      </c>
      <c r="AP8" s="2" t="s">
        <v>147</v>
      </c>
      <c r="AQ8" s="2" t="s">
        <v>148</v>
      </c>
      <c r="AR8" s="2" t="s">
        <v>149</v>
      </c>
      <c r="AS8" s="2" t="s">
        <v>150</v>
      </c>
      <c r="AT8" s="2" t="s">
        <v>151</v>
      </c>
      <c r="AU8" s="2" t="s">
        <v>152</v>
      </c>
      <c r="AV8" s="2" t="s">
        <v>24</v>
      </c>
      <c r="AY8" s="2" t="s">
        <v>144</v>
      </c>
      <c r="AZ8" s="2" t="s">
        <v>145</v>
      </c>
      <c r="BA8" s="2" t="s">
        <v>146</v>
      </c>
      <c r="BB8" s="2" t="s">
        <v>147</v>
      </c>
      <c r="BC8" s="2" t="s">
        <v>148</v>
      </c>
      <c r="BD8" s="2" t="s">
        <v>149</v>
      </c>
      <c r="BE8" s="2" t="s">
        <v>150</v>
      </c>
      <c r="BF8" s="2" t="s">
        <v>151</v>
      </c>
      <c r="BG8" s="2" t="s">
        <v>152</v>
      </c>
      <c r="BH8" s="2" t="s">
        <v>24</v>
      </c>
      <c r="BK8" s="2" t="s">
        <v>25</v>
      </c>
      <c r="BM8" s="2" t="s">
        <v>6</v>
      </c>
      <c r="BO8" s="2" t="s">
        <v>7</v>
      </c>
      <c r="BP8" s="2" t="s">
        <v>96</v>
      </c>
      <c r="BQ8" s="2" t="s">
        <v>97</v>
      </c>
      <c r="BR8" s="2" t="s">
        <v>94</v>
      </c>
      <c r="BS8" s="2" t="s">
        <v>89</v>
      </c>
      <c r="BT8" s="2" t="s">
        <v>142</v>
      </c>
      <c r="BU8" s="2" t="s">
        <v>92</v>
      </c>
      <c r="BV8" s="2" t="s">
        <v>143</v>
      </c>
      <c r="BW8" s="2" t="s">
        <v>93</v>
      </c>
      <c r="BX8" s="2" t="s">
        <v>88</v>
      </c>
      <c r="CB8" s="2" t="s">
        <v>24</v>
      </c>
      <c r="CC8" s="2" t="s">
        <v>96</v>
      </c>
      <c r="CD8" s="2" t="s">
        <v>97</v>
      </c>
      <c r="CE8" s="2" t="s">
        <v>94</v>
      </c>
      <c r="CF8" s="2" t="s">
        <v>89</v>
      </c>
      <c r="CG8" s="2" t="s">
        <v>142</v>
      </c>
      <c r="CH8" s="2" t="s">
        <v>92</v>
      </c>
      <c r="CI8" s="2" t="s">
        <v>143</v>
      </c>
      <c r="CJ8" s="2" t="s">
        <v>93</v>
      </c>
      <c r="CK8" s="2" t="s">
        <v>88</v>
      </c>
      <c r="CN8" s="2" t="s">
        <v>24</v>
      </c>
      <c r="CO8" s="2" t="s">
        <v>96</v>
      </c>
      <c r="CP8" s="2" t="s">
        <v>97</v>
      </c>
      <c r="CQ8" s="2" t="s">
        <v>94</v>
      </c>
      <c r="CR8" s="2" t="s">
        <v>89</v>
      </c>
      <c r="CS8" s="2" t="s">
        <v>142</v>
      </c>
      <c r="CT8" s="2" t="s">
        <v>92</v>
      </c>
      <c r="CU8" s="2" t="s">
        <v>143</v>
      </c>
      <c r="CV8" s="2" t="s">
        <v>93</v>
      </c>
      <c r="CW8" s="2" t="s">
        <v>88</v>
      </c>
      <c r="CZ8" s="2" t="s">
        <v>24</v>
      </c>
      <c r="DA8" s="2" t="s">
        <v>96</v>
      </c>
      <c r="DB8" s="2" t="s">
        <v>97</v>
      </c>
      <c r="DC8" s="2" t="s">
        <v>94</v>
      </c>
      <c r="DD8" s="2" t="s">
        <v>89</v>
      </c>
      <c r="DE8" s="2" t="s">
        <v>142</v>
      </c>
      <c r="DF8" s="2" t="s">
        <v>92</v>
      </c>
      <c r="DG8" s="2" t="s">
        <v>143</v>
      </c>
      <c r="DH8" s="2" t="s">
        <v>93</v>
      </c>
      <c r="DI8" s="2" t="s">
        <v>88</v>
      </c>
      <c r="DL8" s="2" t="s">
        <v>154</v>
      </c>
      <c r="DM8" s="2" t="s">
        <v>96</v>
      </c>
      <c r="DN8" s="2" t="s">
        <v>97</v>
      </c>
      <c r="DO8" s="2" t="s">
        <v>94</v>
      </c>
      <c r="DP8" s="2" t="s">
        <v>89</v>
      </c>
      <c r="DQ8" s="2" t="s">
        <v>142</v>
      </c>
      <c r="DR8" s="2" t="s">
        <v>92</v>
      </c>
      <c r="DS8" s="2" t="s">
        <v>143</v>
      </c>
      <c r="DT8" s="2" t="s">
        <v>93</v>
      </c>
      <c r="DU8" s="2" t="s">
        <v>88</v>
      </c>
      <c r="DX8" s="2" t="s">
        <v>24</v>
      </c>
      <c r="DY8" s="2" t="s">
        <v>96</v>
      </c>
      <c r="DZ8" s="2" t="s">
        <v>97</v>
      </c>
      <c r="EA8" s="2" t="s">
        <v>94</v>
      </c>
      <c r="EB8" s="2" t="s">
        <v>89</v>
      </c>
      <c r="EC8" s="2" t="s">
        <v>142</v>
      </c>
      <c r="ED8" s="2" t="s">
        <v>92</v>
      </c>
      <c r="EE8" s="2" t="s">
        <v>143</v>
      </c>
      <c r="EF8" s="2" t="s">
        <v>93</v>
      </c>
      <c r="EG8" s="2" t="s">
        <v>88</v>
      </c>
      <c r="EJ8" s="2" t="s">
        <v>24</v>
      </c>
      <c r="EK8" s="2" t="s">
        <v>96</v>
      </c>
      <c r="EL8" s="2" t="s">
        <v>97</v>
      </c>
      <c r="EM8" s="2" t="s">
        <v>94</v>
      </c>
      <c r="EN8" s="2" t="s">
        <v>89</v>
      </c>
      <c r="EO8" s="2" t="s">
        <v>142</v>
      </c>
      <c r="EP8" s="2" t="s">
        <v>92</v>
      </c>
      <c r="EQ8" s="2" t="s">
        <v>143</v>
      </c>
      <c r="ER8" s="2" t="s">
        <v>93</v>
      </c>
      <c r="ES8" s="2" t="s">
        <v>88</v>
      </c>
      <c r="EV8" s="2" t="s">
        <v>24</v>
      </c>
      <c r="EW8" s="2" t="s">
        <v>96</v>
      </c>
      <c r="EX8" s="2" t="s">
        <v>97</v>
      </c>
      <c r="EY8" s="2" t="s">
        <v>94</v>
      </c>
      <c r="EZ8" s="2" t="s">
        <v>89</v>
      </c>
      <c r="FA8" s="2" t="s">
        <v>142</v>
      </c>
      <c r="FB8" s="2" t="s">
        <v>92</v>
      </c>
      <c r="FC8" s="2" t="s">
        <v>143</v>
      </c>
      <c r="FD8" s="2" t="s">
        <v>93</v>
      </c>
      <c r="FE8" s="2" t="s">
        <v>88</v>
      </c>
      <c r="FH8" s="2" t="s">
        <v>24</v>
      </c>
      <c r="FI8" s="2" t="s">
        <v>96</v>
      </c>
      <c r="FJ8" s="2" t="s">
        <v>97</v>
      </c>
      <c r="FK8" s="2" t="s">
        <v>94</v>
      </c>
      <c r="FL8" s="2" t="s">
        <v>89</v>
      </c>
      <c r="FM8" s="2" t="s">
        <v>142</v>
      </c>
      <c r="FN8" s="2" t="s">
        <v>92</v>
      </c>
      <c r="FO8" s="2" t="s">
        <v>143</v>
      </c>
      <c r="FP8" s="2" t="s">
        <v>93</v>
      </c>
      <c r="FQ8" s="2" t="s">
        <v>88</v>
      </c>
      <c r="FT8" s="2" t="s">
        <v>88</v>
      </c>
      <c r="FU8" s="2" t="s">
        <v>89</v>
      </c>
      <c r="FV8" s="2" t="s">
        <v>155</v>
      </c>
      <c r="FW8" s="2" t="s">
        <v>92</v>
      </c>
      <c r="FX8" s="2" t="s">
        <v>93</v>
      </c>
      <c r="FY8" s="2" t="s">
        <v>94</v>
      </c>
      <c r="FZ8" s="2" t="s">
        <v>156</v>
      </c>
      <c r="GA8" s="2" t="s">
        <v>97</v>
      </c>
      <c r="GB8" s="2" t="s">
        <v>96</v>
      </c>
      <c r="GC8" s="2" t="s">
        <v>24</v>
      </c>
      <c r="GF8" s="2" t="s">
        <v>88</v>
      </c>
      <c r="GG8" s="2" t="s">
        <v>89</v>
      </c>
      <c r="GH8" s="2" t="s">
        <v>157</v>
      </c>
      <c r="GI8" s="2" t="s">
        <v>92</v>
      </c>
      <c r="GJ8" s="2" t="s">
        <v>93</v>
      </c>
      <c r="GK8" s="2" t="s">
        <v>94</v>
      </c>
      <c r="GL8" s="2" t="s">
        <v>158</v>
      </c>
      <c r="GM8" s="2" t="s">
        <v>97</v>
      </c>
      <c r="GN8" s="2" t="s">
        <v>96</v>
      </c>
      <c r="GO8" s="2" t="s">
        <v>24</v>
      </c>
      <c r="GR8" s="2" t="s">
        <v>159</v>
      </c>
      <c r="GS8" s="2" t="s">
        <v>160</v>
      </c>
      <c r="GT8" s="2" t="s">
        <v>161</v>
      </c>
      <c r="GU8" s="2" t="s">
        <v>162</v>
      </c>
      <c r="GV8" s="2" t="s">
        <v>163</v>
      </c>
      <c r="GW8" s="2" t="s">
        <v>164</v>
      </c>
      <c r="GX8" s="2" t="s">
        <v>165</v>
      </c>
      <c r="GY8" s="2" t="s">
        <v>166</v>
      </c>
      <c r="GZ8" s="2" t="s">
        <v>167</v>
      </c>
      <c r="HA8" s="2" t="s">
        <v>24</v>
      </c>
      <c r="HD8" s="2" t="s">
        <v>24</v>
      </c>
      <c r="HE8" s="2" t="s">
        <v>96</v>
      </c>
      <c r="HF8" s="2" t="s">
        <v>97</v>
      </c>
      <c r="HG8" s="2" t="s">
        <v>94</v>
      </c>
      <c r="HH8" s="2" t="s">
        <v>89</v>
      </c>
      <c r="HI8" s="2" t="s">
        <v>142</v>
      </c>
      <c r="HJ8" s="2" t="s">
        <v>92</v>
      </c>
      <c r="HK8" s="2" t="s">
        <v>143</v>
      </c>
      <c r="HL8" s="2" t="s">
        <v>93</v>
      </c>
      <c r="HM8" s="2" t="s">
        <v>88</v>
      </c>
      <c r="HP8" s="2" t="s">
        <v>24</v>
      </c>
      <c r="HQ8" s="2" t="s">
        <v>96</v>
      </c>
      <c r="HR8" s="2" t="s">
        <v>97</v>
      </c>
      <c r="HS8" s="2" t="s">
        <v>94</v>
      </c>
      <c r="HT8" s="2" t="s">
        <v>89</v>
      </c>
      <c r="HU8" s="2" t="s">
        <v>142</v>
      </c>
      <c r="HV8" s="2" t="s">
        <v>92</v>
      </c>
      <c r="HW8" s="2" t="s">
        <v>143</v>
      </c>
      <c r="HX8" s="2" t="s">
        <v>93</v>
      </c>
      <c r="HY8" s="2" t="s">
        <v>88</v>
      </c>
    </row>
    <row r="9" spans="2:233">
      <c r="B9" s="11">
        <v>44562</v>
      </c>
      <c r="C9" s="5">
        <v>0</v>
      </c>
      <c r="D9" s="5">
        <v>0</v>
      </c>
      <c r="E9" s="5">
        <v>679</v>
      </c>
      <c r="F9" s="5">
        <v>405</v>
      </c>
      <c r="G9" s="5">
        <v>187</v>
      </c>
      <c r="H9" s="5">
        <v>0</v>
      </c>
      <c r="I9" s="5">
        <v>1165</v>
      </c>
      <c r="J9" s="5">
        <v>1200</v>
      </c>
      <c r="K9" s="5">
        <v>0</v>
      </c>
      <c r="L9" s="5">
        <f t="shared" ref="L9:L51" si="57">SUM(C9:K9)</f>
        <v>3636</v>
      </c>
      <c r="N9" s="11">
        <v>44562</v>
      </c>
      <c r="O9" s="5">
        <v>0</v>
      </c>
      <c r="P9" s="5">
        <v>0</v>
      </c>
      <c r="Q9" s="5">
        <v>679</v>
      </c>
      <c r="R9" s="5">
        <v>405</v>
      </c>
      <c r="S9" s="5">
        <v>187</v>
      </c>
      <c r="T9" s="5">
        <v>0</v>
      </c>
      <c r="U9" s="5">
        <v>1165</v>
      </c>
      <c r="V9" s="5">
        <v>1200</v>
      </c>
      <c r="W9" s="5">
        <v>0</v>
      </c>
      <c r="X9" s="5">
        <f t="shared" ref="X9:X51" si="58">SUM(O9:W9)</f>
        <v>3636</v>
      </c>
      <c r="Y9" s="5"/>
      <c r="Z9" s="11">
        <v>44562</v>
      </c>
      <c r="AB9" s="12"/>
      <c r="AC9" s="12"/>
      <c r="AD9" s="12"/>
      <c r="AF9" s="12"/>
      <c r="AH9" s="12"/>
      <c r="AI9" s="12"/>
      <c r="AJ9" s="206"/>
      <c r="AL9" s="11">
        <v>44562</v>
      </c>
      <c r="AM9" s="5">
        <v>0</v>
      </c>
      <c r="AN9" s="5">
        <v>348846</v>
      </c>
      <c r="AO9" s="5">
        <v>474722</v>
      </c>
      <c r="AP9" s="5">
        <v>162305</v>
      </c>
      <c r="AQ9" s="5">
        <v>0</v>
      </c>
      <c r="AR9" s="5">
        <v>114093</v>
      </c>
      <c r="AS9" s="5">
        <v>0</v>
      </c>
      <c r="AT9" s="5">
        <v>19234</v>
      </c>
      <c r="AU9" s="5">
        <v>233420</v>
      </c>
      <c r="AV9" s="5">
        <f t="shared" ref="AV9:AV46" si="59">SUM(AM9:AU9)</f>
        <v>1352620</v>
      </c>
      <c r="AW9" s="5"/>
      <c r="AX9" s="11">
        <v>44562</v>
      </c>
      <c r="AY9" s="5">
        <v>0</v>
      </c>
      <c r="AZ9" s="5">
        <v>159924</v>
      </c>
      <c r="BA9" s="5">
        <v>181909</v>
      </c>
      <c r="BB9" s="5">
        <v>71101</v>
      </c>
      <c r="BC9" s="5">
        <v>0</v>
      </c>
      <c r="BD9" s="5">
        <v>51904</v>
      </c>
      <c r="BE9" s="5">
        <v>0</v>
      </c>
      <c r="BF9" s="5">
        <v>11436</v>
      </c>
      <c r="BG9" s="5">
        <v>105808</v>
      </c>
      <c r="BH9" s="5">
        <f>SUM(AY9:BG9)</f>
        <v>582082</v>
      </c>
      <c r="BI9" s="8"/>
      <c r="BJ9" s="11">
        <v>44562</v>
      </c>
      <c r="BK9" s="11"/>
      <c r="BL9" s="11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1">
        <v>44562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12"/>
      <c r="CM9" s="11">
        <v>44562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8"/>
      <c r="CY9" s="11">
        <v>44562</v>
      </c>
      <c r="CZ9" s="5"/>
      <c r="DA9" s="5"/>
      <c r="DB9" s="5"/>
      <c r="DC9" s="5"/>
      <c r="DD9" s="5"/>
      <c r="DE9" s="5"/>
      <c r="DF9" s="5"/>
      <c r="DG9" s="5"/>
      <c r="DH9" s="5"/>
      <c r="DI9" s="5"/>
      <c r="DJ9" s="8"/>
      <c r="DK9" s="11">
        <v>44562</v>
      </c>
      <c r="DL9" s="5"/>
      <c r="DM9" s="5"/>
      <c r="DN9" s="5"/>
      <c r="DO9" s="5"/>
      <c r="DP9" s="5"/>
      <c r="DQ9" s="5"/>
      <c r="DR9" s="5"/>
      <c r="DS9" s="5"/>
      <c r="DT9" s="5"/>
      <c r="DU9" s="5"/>
      <c r="DV9" s="8"/>
      <c r="DW9" s="11">
        <v>44562</v>
      </c>
      <c r="DX9" s="5"/>
      <c r="DY9" s="5"/>
      <c r="DZ9" s="5"/>
      <c r="EA9" s="5"/>
      <c r="EB9" s="5"/>
      <c r="EC9" s="5"/>
      <c r="ED9" s="5"/>
      <c r="EE9" s="5"/>
      <c r="EF9" s="5"/>
      <c r="EG9" s="5"/>
      <c r="EH9" s="8"/>
      <c r="EI9" s="11">
        <v>44562</v>
      </c>
      <c r="EJ9" s="5"/>
      <c r="EK9" s="5"/>
      <c r="EL9" s="5"/>
      <c r="EM9" s="5"/>
      <c r="EN9" s="5"/>
      <c r="EO9" s="5"/>
      <c r="EP9" s="5"/>
      <c r="EQ9" s="5"/>
      <c r="ER9" s="5"/>
      <c r="ES9" s="5"/>
      <c r="ET9" s="8"/>
      <c r="EU9" s="11">
        <v>44562</v>
      </c>
      <c r="EV9" s="5">
        <v>479142</v>
      </c>
      <c r="EW9" s="5">
        <v>0</v>
      </c>
      <c r="EX9" s="5">
        <v>128224</v>
      </c>
      <c r="EY9" s="5">
        <v>177080</v>
      </c>
      <c r="EZ9" s="5">
        <v>31073</v>
      </c>
      <c r="FA9" s="5">
        <v>0</v>
      </c>
      <c r="FB9" s="5">
        <v>16651</v>
      </c>
      <c r="FC9" s="5">
        <v>0</v>
      </c>
      <c r="FD9" s="5">
        <v>2281</v>
      </c>
      <c r="FE9" s="5">
        <v>70464</v>
      </c>
      <c r="FF9" s="13"/>
      <c r="FG9" s="11">
        <v>44562</v>
      </c>
      <c r="FH9" s="5">
        <v>226976</v>
      </c>
      <c r="FI9" s="5">
        <v>0</v>
      </c>
      <c r="FJ9" s="5">
        <v>61290</v>
      </c>
      <c r="FK9" s="5">
        <v>84333</v>
      </c>
      <c r="FL9" s="5">
        <v>14573</v>
      </c>
      <c r="FM9" s="5">
        <v>0</v>
      </c>
      <c r="FN9" s="5">
        <v>7832</v>
      </c>
      <c r="FO9" s="5">
        <v>0</v>
      </c>
      <c r="FP9" s="5">
        <v>1479</v>
      </c>
      <c r="FQ9" s="5">
        <v>33301</v>
      </c>
      <c r="FR9" s="5"/>
      <c r="FS9" s="11">
        <v>44562</v>
      </c>
      <c r="FT9" s="5">
        <v>384</v>
      </c>
      <c r="FU9" s="5">
        <v>165</v>
      </c>
      <c r="FV9" s="5"/>
      <c r="FW9" s="5">
        <v>51</v>
      </c>
      <c r="FX9" s="5"/>
      <c r="FY9" s="5">
        <v>1238</v>
      </c>
      <c r="FZ9" s="5"/>
      <c r="GA9" s="5">
        <v>772</v>
      </c>
      <c r="GB9" s="5"/>
      <c r="GC9" s="5">
        <v>2562</v>
      </c>
      <c r="GE9" s="11">
        <v>44562</v>
      </c>
      <c r="GQ9" s="11">
        <v>44562</v>
      </c>
      <c r="HC9" s="11">
        <v>44562</v>
      </c>
      <c r="HD9" s="5">
        <f t="shared" ref="HD9:HD40" si="60">CZ9+DL9+BM9</f>
        <v>0</v>
      </c>
      <c r="HE9" s="5">
        <f t="shared" ref="HE9:HE40" si="61">DA9+DM9+BP9</f>
        <v>0</v>
      </c>
      <c r="HF9" s="5">
        <f t="shared" ref="HF9:HF40" si="62">DB9+DN9+BQ9</f>
        <v>0</v>
      </c>
      <c r="HG9" s="5">
        <f t="shared" ref="HG9:HG40" si="63">DC9+DO9+BR9</f>
        <v>0</v>
      </c>
      <c r="HH9" s="5">
        <f t="shared" ref="HH9:HH40" si="64">DD9+DP9+BS9</f>
        <v>0</v>
      </c>
      <c r="HI9" s="5">
        <f t="shared" ref="HI9:HI40" si="65">DE9+DQ9+BT9</f>
        <v>0</v>
      </c>
      <c r="HJ9" s="5">
        <f t="shared" ref="HJ9:HJ40" si="66">DF9+DR9+BU9</f>
        <v>0</v>
      </c>
      <c r="HK9" s="5">
        <f t="shared" ref="HK9:HK40" si="67">DG9+DS9+BV9</f>
        <v>0</v>
      </c>
      <c r="HL9" s="5">
        <f t="shared" ref="HL9:HL40" si="68">DH9+DT9+BW9</f>
        <v>0</v>
      </c>
      <c r="HM9" s="5">
        <f t="shared" ref="HM9:HM40" si="69">DI9+DU9+BX9</f>
        <v>0</v>
      </c>
      <c r="HO9" s="11">
        <v>44562</v>
      </c>
      <c r="HP9" s="5">
        <f>DX9+HA9</f>
        <v>0</v>
      </c>
      <c r="HQ9" s="5">
        <f>DY9+GZ9</f>
        <v>0</v>
      </c>
      <c r="HR9" s="5">
        <f>DZ9+GY9</f>
        <v>0</v>
      </c>
      <c r="HS9" s="5">
        <f>EA9+GX9</f>
        <v>0</v>
      </c>
      <c r="HT9" s="5">
        <f>EB9+GU9</f>
        <v>0</v>
      </c>
      <c r="HU9" s="5">
        <f>EC9+GS9</f>
        <v>0</v>
      </c>
      <c r="HV9" s="5">
        <f>ED9+GV9</f>
        <v>0</v>
      </c>
      <c r="HW9" s="5">
        <f>EE9+GR9</f>
        <v>0</v>
      </c>
      <c r="HX9" s="5">
        <f>EF9+GW9</f>
        <v>0</v>
      </c>
      <c r="HY9" s="5">
        <f>EG9+GT9</f>
        <v>0</v>
      </c>
    </row>
    <row r="10" spans="2:233">
      <c r="B10" s="11">
        <v>44593</v>
      </c>
      <c r="C10" s="5">
        <v>0</v>
      </c>
      <c r="D10" s="5">
        <v>0</v>
      </c>
      <c r="E10" s="5">
        <v>895</v>
      </c>
      <c r="F10" s="5">
        <v>263</v>
      </c>
      <c r="G10" s="5">
        <v>145</v>
      </c>
      <c r="H10" s="5">
        <v>0</v>
      </c>
      <c r="I10" s="5">
        <v>1357</v>
      </c>
      <c r="J10" s="5">
        <v>822</v>
      </c>
      <c r="K10" s="5">
        <v>0</v>
      </c>
      <c r="L10" s="5">
        <f t="shared" si="57"/>
        <v>3482</v>
      </c>
      <c r="N10" s="11">
        <v>44593</v>
      </c>
      <c r="O10" s="5">
        <v>0</v>
      </c>
      <c r="P10" s="5">
        <v>0</v>
      </c>
      <c r="Q10" s="5">
        <v>895</v>
      </c>
      <c r="R10" s="5">
        <v>263</v>
      </c>
      <c r="S10" s="5">
        <v>145</v>
      </c>
      <c r="T10" s="5">
        <v>0</v>
      </c>
      <c r="U10" s="5">
        <v>1357</v>
      </c>
      <c r="V10" s="5">
        <v>822</v>
      </c>
      <c r="W10" s="5">
        <v>0</v>
      </c>
      <c r="X10" s="5">
        <f t="shared" si="58"/>
        <v>3482</v>
      </c>
      <c r="Y10" s="5"/>
      <c r="Z10" s="11">
        <v>44593</v>
      </c>
      <c r="AB10" s="12"/>
      <c r="AC10" s="12"/>
      <c r="AD10" s="12"/>
      <c r="AF10" s="12"/>
      <c r="AH10" s="12"/>
      <c r="AI10" s="12"/>
      <c r="AJ10" s="206"/>
      <c r="AL10" s="11">
        <v>44593</v>
      </c>
      <c r="AM10" s="5">
        <v>0</v>
      </c>
      <c r="AN10" s="5">
        <v>626707</v>
      </c>
      <c r="AO10" s="5">
        <v>555508</v>
      </c>
      <c r="AP10" s="5">
        <v>169796</v>
      </c>
      <c r="AQ10" s="5">
        <v>0</v>
      </c>
      <c r="AR10" s="5">
        <v>132092</v>
      </c>
      <c r="AS10" s="5">
        <v>0</v>
      </c>
      <c r="AT10" s="5">
        <v>31660</v>
      </c>
      <c r="AU10" s="5">
        <v>241242</v>
      </c>
      <c r="AV10" s="5">
        <f t="shared" si="59"/>
        <v>1757005</v>
      </c>
      <c r="AW10" s="5"/>
      <c r="AX10" s="11">
        <v>44593</v>
      </c>
      <c r="AY10" s="5">
        <v>0</v>
      </c>
      <c r="AZ10" s="5">
        <v>436980</v>
      </c>
      <c r="BA10" s="5">
        <v>274682</v>
      </c>
      <c r="BB10" s="5">
        <v>93183</v>
      </c>
      <c r="BC10" s="5">
        <v>0</v>
      </c>
      <c r="BD10" s="5">
        <v>70287</v>
      </c>
      <c r="BE10" s="5">
        <v>0</v>
      </c>
      <c r="BF10" s="5">
        <v>17924</v>
      </c>
      <c r="BG10" s="5">
        <v>127757</v>
      </c>
      <c r="BH10" s="5">
        <f t="shared" ref="BH10:BH43" si="70">SUM(AY10:BG10)</f>
        <v>1020813</v>
      </c>
      <c r="BI10" s="8"/>
      <c r="BJ10" s="11">
        <v>44593</v>
      </c>
      <c r="BK10" s="11"/>
      <c r="BL10" s="11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1">
        <v>44593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12"/>
      <c r="CM10" s="11">
        <v>44593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8"/>
      <c r="CY10" s="11">
        <v>44593</v>
      </c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8"/>
      <c r="DK10" s="11">
        <v>44593</v>
      </c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8"/>
      <c r="DW10" s="11">
        <v>44593</v>
      </c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8"/>
      <c r="EI10" s="11">
        <v>44593</v>
      </c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8"/>
      <c r="EU10" s="11">
        <v>44593</v>
      </c>
      <c r="EV10" s="5">
        <v>515894</v>
      </c>
      <c r="EW10" s="5">
        <v>0</v>
      </c>
      <c r="EX10" s="5">
        <v>143357</v>
      </c>
      <c r="EY10" s="5">
        <v>182043</v>
      </c>
      <c r="EZ10" s="5">
        <v>34387</v>
      </c>
      <c r="FA10" s="5">
        <v>0</v>
      </c>
      <c r="FB10" s="5">
        <v>19079</v>
      </c>
      <c r="FC10" s="5">
        <v>0</v>
      </c>
      <c r="FD10" s="5">
        <v>4052</v>
      </c>
      <c r="FE10" s="5">
        <v>72795</v>
      </c>
      <c r="FF10" s="13"/>
      <c r="FG10" s="11">
        <v>44593</v>
      </c>
      <c r="FH10" s="5">
        <v>283505</v>
      </c>
      <c r="FI10" s="5">
        <v>0</v>
      </c>
      <c r="FJ10" s="5">
        <v>82068</v>
      </c>
      <c r="FK10" s="5">
        <v>95231</v>
      </c>
      <c r="FL10" s="5">
        <v>18427</v>
      </c>
      <c r="FM10" s="5">
        <v>0</v>
      </c>
      <c r="FN10" s="5">
        <v>10872</v>
      </c>
      <c r="FO10" s="5">
        <v>0</v>
      </c>
      <c r="FP10" s="5">
        <v>2135</v>
      </c>
      <c r="FQ10" s="5">
        <v>38464</v>
      </c>
      <c r="FR10" s="5"/>
      <c r="FS10" s="11">
        <v>44593</v>
      </c>
      <c r="FT10" s="5">
        <v>420</v>
      </c>
      <c r="FU10" s="5">
        <v>155</v>
      </c>
      <c r="FV10" s="5"/>
      <c r="FW10" s="5">
        <v>64</v>
      </c>
      <c r="FX10" s="5"/>
      <c r="FY10" s="5">
        <v>1346</v>
      </c>
      <c r="FZ10" s="5"/>
      <c r="GA10" s="5">
        <v>833</v>
      </c>
      <c r="GB10" s="5"/>
      <c r="GC10" s="5">
        <v>2791</v>
      </c>
      <c r="GE10" s="11">
        <v>44593</v>
      </c>
      <c r="GQ10" s="11">
        <v>44593</v>
      </c>
      <c r="HC10" s="11">
        <v>44593</v>
      </c>
      <c r="HD10" s="5">
        <f t="shared" si="60"/>
        <v>0</v>
      </c>
      <c r="HE10" s="5">
        <f t="shared" si="61"/>
        <v>0</v>
      </c>
      <c r="HF10" s="5">
        <f t="shared" si="62"/>
        <v>0</v>
      </c>
      <c r="HG10" s="5">
        <f t="shared" si="63"/>
        <v>0</v>
      </c>
      <c r="HH10" s="5">
        <f t="shared" si="64"/>
        <v>0</v>
      </c>
      <c r="HI10" s="5">
        <f t="shared" si="65"/>
        <v>0</v>
      </c>
      <c r="HJ10" s="5">
        <f t="shared" si="66"/>
        <v>0</v>
      </c>
      <c r="HK10" s="5">
        <f t="shared" si="67"/>
        <v>0</v>
      </c>
      <c r="HL10" s="5">
        <f t="shared" si="68"/>
        <v>0</v>
      </c>
      <c r="HM10" s="5">
        <f t="shared" si="69"/>
        <v>0</v>
      </c>
      <c r="HO10" s="11">
        <v>44593</v>
      </c>
      <c r="HP10" s="5">
        <f t="shared" ref="HP10:HP56" si="71">DX10+HA10</f>
        <v>0</v>
      </c>
      <c r="HQ10" s="5">
        <f t="shared" ref="HQ10:HQ57" si="72">DY10+GZ10</f>
        <v>0</v>
      </c>
      <c r="HR10" s="5">
        <f t="shared" ref="HR10:HR57" si="73">DZ10+GY10</f>
        <v>0</v>
      </c>
      <c r="HS10" s="5">
        <f t="shared" ref="HS10:HS57" si="74">EA10+GX10</f>
        <v>0</v>
      </c>
      <c r="HT10" s="5">
        <f t="shared" ref="HT10:HT57" si="75">EB10+GU10</f>
        <v>0</v>
      </c>
      <c r="HU10" s="5">
        <f t="shared" ref="HU10:HU57" si="76">EC10+GS10</f>
        <v>0</v>
      </c>
      <c r="HV10" s="5">
        <f t="shared" ref="HV10:HV57" si="77">ED10+GV10</f>
        <v>0</v>
      </c>
      <c r="HW10" s="5">
        <f t="shared" ref="HW10:HW57" si="78">EE10+GR10</f>
        <v>0</v>
      </c>
      <c r="HX10" s="5">
        <f t="shared" ref="HX10:HX57" si="79">EF10+GW10</f>
        <v>0</v>
      </c>
      <c r="HY10" s="5">
        <f t="shared" ref="HY10:HY57" si="80">EG10+GT10</f>
        <v>0</v>
      </c>
    </row>
    <row r="11" spans="2:233">
      <c r="B11" s="11">
        <v>44621</v>
      </c>
      <c r="C11" s="5">
        <v>0</v>
      </c>
      <c r="D11" s="5">
        <v>0</v>
      </c>
      <c r="E11" s="5">
        <v>1143</v>
      </c>
      <c r="F11" s="5">
        <v>381</v>
      </c>
      <c r="G11" s="5">
        <v>97</v>
      </c>
      <c r="H11" s="5">
        <v>0</v>
      </c>
      <c r="I11" s="5">
        <v>1592</v>
      </c>
      <c r="J11" s="5">
        <v>1237</v>
      </c>
      <c r="K11" s="5">
        <v>0</v>
      </c>
      <c r="L11" s="5">
        <f t="shared" si="57"/>
        <v>4450</v>
      </c>
      <c r="N11" s="11">
        <v>44621</v>
      </c>
      <c r="O11" s="5">
        <v>0</v>
      </c>
      <c r="P11" s="5">
        <v>0</v>
      </c>
      <c r="Q11" s="5">
        <v>1143</v>
      </c>
      <c r="R11" s="5">
        <v>381</v>
      </c>
      <c r="S11" s="5">
        <v>97</v>
      </c>
      <c r="T11" s="5">
        <v>0</v>
      </c>
      <c r="U11" s="5">
        <v>1592</v>
      </c>
      <c r="V11" s="5">
        <v>1237</v>
      </c>
      <c r="W11" s="5">
        <v>0</v>
      </c>
      <c r="X11" s="5">
        <f t="shared" si="58"/>
        <v>4450</v>
      </c>
      <c r="Y11" s="5"/>
      <c r="Z11" s="11">
        <v>44621</v>
      </c>
      <c r="AB11" s="12"/>
      <c r="AC11" s="12"/>
      <c r="AD11" s="12"/>
      <c r="AF11" s="12"/>
      <c r="AH11" s="12"/>
      <c r="AI11" s="12"/>
      <c r="AJ11" s="206"/>
      <c r="AL11" s="11">
        <v>44621</v>
      </c>
      <c r="AM11" s="5">
        <v>0</v>
      </c>
      <c r="AN11" s="5">
        <v>357643</v>
      </c>
      <c r="AO11" s="5">
        <v>413400</v>
      </c>
      <c r="AP11" s="5">
        <v>151596</v>
      </c>
      <c r="AQ11" s="5">
        <v>0</v>
      </c>
      <c r="AR11" s="5">
        <v>112517</v>
      </c>
      <c r="AS11" s="5">
        <v>0</v>
      </c>
      <c r="AT11" s="5">
        <v>50224</v>
      </c>
      <c r="AU11" s="5">
        <v>209257</v>
      </c>
      <c r="AV11" s="5">
        <f t="shared" si="59"/>
        <v>1294637</v>
      </c>
      <c r="AW11" s="5"/>
      <c r="AX11" s="11">
        <v>44621</v>
      </c>
      <c r="AY11" s="5">
        <v>0</v>
      </c>
      <c r="AZ11" s="5">
        <v>186788</v>
      </c>
      <c r="BA11" s="5">
        <v>174288</v>
      </c>
      <c r="BB11" s="5">
        <v>78061</v>
      </c>
      <c r="BC11" s="5">
        <v>0</v>
      </c>
      <c r="BD11" s="5">
        <v>57863</v>
      </c>
      <c r="BE11" s="5">
        <v>0</v>
      </c>
      <c r="BF11" s="5">
        <v>26481</v>
      </c>
      <c r="BG11" s="5">
        <v>101498</v>
      </c>
      <c r="BH11" s="5">
        <f t="shared" si="70"/>
        <v>624979</v>
      </c>
      <c r="BI11" s="8"/>
      <c r="BJ11" s="11">
        <v>44621</v>
      </c>
      <c r="BK11" s="11"/>
      <c r="BL11" s="11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1">
        <v>44621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12"/>
      <c r="CM11" s="11">
        <v>44621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8"/>
      <c r="CY11" s="11">
        <v>44621</v>
      </c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8"/>
      <c r="DK11" s="11">
        <v>44621</v>
      </c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8"/>
      <c r="DW11" s="11">
        <v>44621</v>
      </c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8"/>
      <c r="EI11" s="11">
        <v>44621</v>
      </c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8"/>
      <c r="EU11" s="11">
        <v>44621</v>
      </c>
      <c r="EV11" s="5">
        <v>476243</v>
      </c>
      <c r="EW11" s="5">
        <v>0</v>
      </c>
      <c r="EX11" s="5">
        <v>117861</v>
      </c>
      <c r="EY11" s="5">
        <v>165965</v>
      </c>
      <c r="EZ11" s="5">
        <v>30669</v>
      </c>
      <c r="FA11" s="5">
        <v>0</v>
      </c>
      <c r="FB11" s="5">
        <v>16142</v>
      </c>
      <c r="FC11" s="5">
        <v>0</v>
      </c>
      <c r="FD11" s="5">
        <v>5237</v>
      </c>
      <c r="FE11" s="5">
        <v>65946</v>
      </c>
      <c r="FF11" s="13"/>
      <c r="FG11" s="11">
        <v>44621</v>
      </c>
      <c r="FH11" s="5">
        <v>234043</v>
      </c>
      <c r="FI11" s="5">
        <v>0</v>
      </c>
      <c r="FJ11" s="5">
        <v>61407</v>
      </c>
      <c r="FK11" s="5">
        <v>83816</v>
      </c>
      <c r="FL11" s="5">
        <v>16348</v>
      </c>
      <c r="FM11" s="5">
        <v>0</v>
      </c>
      <c r="FN11" s="5">
        <v>9411</v>
      </c>
      <c r="FO11" s="5">
        <v>0</v>
      </c>
      <c r="FP11" s="5">
        <v>3097</v>
      </c>
      <c r="FQ11" s="5">
        <v>33308</v>
      </c>
      <c r="FR11" s="5"/>
      <c r="FS11" s="11">
        <v>44621</v>
      </c>
      <c r="FT11" s="5">
        <v>428</v>
      </c>
      <c r="FU11" s="5">
        <v>179</v>
      </c>
      <c r="FV11" s="5"/>
      <c r="FW11" s="5">
        <v>57</v>
      </c>
      <c r="FX11" s="5"/>
      <c r="FY11" s="5">
        <v>1469</v>
      </c>
      <c r="FZ11" s="5"/>
      <c r="GA11" s="5">
        <v>822</v>
      </c>
      <c r="GB11" s="5"/>
      <c r="GC11" s="5">
        <v>2922</v>
      </c>
      <c r="GE11" s="11">
        <v>44621</v>
      </c>
      <c r="GQ11" s="11">
        <v>44621</v>
      </c>
      <c r="HC11" s="11">
        <v>44621</v>
      </c>
      <c r="HD11" s="5">
        <f t="shared" si="60"/>
        <v>0</v>
      </c>
      <c r="HE11" s="5">
        <f t="shared" si="61"/>
        <v>0</v>
      </c>
      <c r="HF11" s="5">
        <f t="shared" si="62"/>
        <v>0</v>
      </c>
      <c r="HG11" s="5">
        <f t="shared" si="63"/>
        <v>0</v>
      </c>
      <c r="HH11" s="5">
        <f t="shared" si="64"/>
        <v>0</v>
      </c>
      <c r="HI11" s="5">
        <f t="shared" si="65"/>
        <v>0</v>
      </c>
      <c r="HJ11" s="5">
        <f t="shared" si="66"/>
        <v>0</v>
      </c>
      <c r="HK11" s="5">
        <f t="shared" si="67"/>
        <v>0</v>
      </c>
      <c r="HL11" s="5">
        <f t="shared" si="68"/>
        <v>0</v>
      </c>
      <c r="HM11" s="5">
        <f t="shared" si="69"/>
        <v>0</v>
      </c>
      <c r="HO11" s="11">
        <v>44621</v>
      </c>
      <c r="HP11" s="5">
        <f t="shared" si="71"/>
        <v>0</v>
      </c>
      <c r="HQ11" s="5">
        <f t="shared" si="72"/>
        <v>0</v>
      </c>
      <c r="HR11" s="5">
        <f t="shared" si="73"/>
        <v>0</v>
      </c>
      <c r="HS11" s="5">
        <f t="shared" si="74"/>
        <v>0</v>
      </c>
      <c r="HT11" s="5">
        <f t="shared" si="75"/>
        <v>0</v>
      </c>
      <c r="HU11" s="5">
        <f t="shared" si="76"/>
        <v>0</v>
      </c>
      <c r="HV11" s="5">
        <f t="shared" si="77"/>
        <v>0</v>
      </c>
      <c r="HW11" s="5">
        <f t="shared" si="78"/>
        <v>0</v>
      </c>
      <c r="HX11" s="5">
        <f t="shared" si="79"/>
        <v>0</v>
      </c>
      <c r="HY11" s="5">
        <f t="shared" si="80"/>
        <v>0</v>
      </c>
    </row>
    <row r="12" spans="2:233">
      <c r="B12" s="11">
        <v>44652</v>
      </c>
      <c r="C12" s="5">
        <v>0</v>
      </c>
      <c r="D12" s="5">
        <v>0</v>
      </c>
      <c r="E12" s="5">
        <v>1263</v>
      </c>
      <c r="F12" s="5">
        <v>445</v>
      </c>
      <c r="G12" s="5">
        <v>82</v>
      </c>
      <c r="H12" s="5">
        <v>0</v>
      </c>
      <c r="I12" s="5">
        <v>1797</v>
      </c>
      <c r="J12" s="5">
        <v>1451</v>
      </c>
      <c r="K12" s="5">
        <v>0</v>
      </c>
      <c r="L12" s="5">
        <f t="shared" si="57"/>
        <v>5038</v>
      </c>
      <c r="N12" s="11">
        <v>44652</v>
      </c>
      <c r="O12" s="5">
        <v>0</v>
      </c>
      <c r="P12" s="5">
        <v>0</v>
      </c>
      <c r="Q12" s="5">
        <v>1263</v>
      </c>
      <c r="R12" s="5">
        <v>445</v>
      </c>
      <c r="S12" s="5">
        <v>82</v>
      </c>
      <c r="T12" s="5">
        <v>0</v>
      </c>
      <c r="U12" s="5">
        <v>1797</v>
      </c>
      <c r="V12" s="5">
        <v>1451</v>
      </c>
      <c r="W12" s="5">
        <v>0</v>
      </c>
      <c r="X12" s="5">
        <f t="shared" si="58"/>
        <v>5038</v>
      </c>
      <c r="Y12" s="5"/>
      <c r="Z12" s="11">
        <v>44652</v>
      </c>
      <c r="AB12" s="12"/>
      <c r="AC12" s="12"/>
      <c r="AD12" s="12"/>
      <c r="AF12" s="12"/>
      <c r="AH12" s="12"/>
      <c r="AI12" s="12"/>
      <c r="AJ12" s="206"/>
      <c r="AL12" s="11">
        <v>44652</v>
      </c>
      <c r="AM12" s="5">
        <v>0</v>
      </c>
      <c r="AN12" s="5">
        <v>340149</v>
      </c>
      <c r="AO12" s="5">
        <v>404742</v>
      </c>
      <c r="AP12" s="5">
        <v>143798</v>
      </c>
      <c r="AQ12" s="5">
        <v>0</v>
      </c>
      <c r="AR12" s="5">
        <v>112766</v>
      </c>
      <c r="AS12" s="5">
        <v>0</v>
      </c>
      <c r="AT12" s="5">
        <v>115711</v>
      </c>
      <c r="AU12" s="5">
        <v>210720</v>
      </c>
      <c r="AV12" s="5">
        <f t="shared" si="59"/>
        <v>1327886</v>
      </c>
      <c r="AW12" s="5"/>
      <c r="AX12" s="11">
        <v>44652</v>
      </c>
      <c r="AY12" s="5">
        <v>0</v>
      </c>
      <c r="AZ12" s="5">
        <v>184151</v>
      </c>
      <c r="BA12" s="5">
        <v>197616</v>
      </c>
      <c r="BB12" s="5">
        <v>78421</v>
      </c>
      <c r="BC12" s="5">
        <v>0</v>
      </c>
      <c r="BD12" s="5">
        <v>62840</v>
      </c>
      <c r="BE12" s="5">
        <v>0</v>
      </c>
      <c r="BF12" s="5">
        <v>62365</v>
      </c>
      <c r="BG12" s="5">
        <v>114338</v>
      </c>
      <c r="BH12" s="5">
        <f t="shared" si="70"/>
        <v>699731</v>
      </c>
      <c r="BI12" s="8"/>
      <c r="BJ12" s="11">
        <v>44652</v>
      </c>
      <c r="BK12" s="11"/>
      <c r="BL12" s="11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1">
        <v>44652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12"/>
      <c r="CM12" s="11">
        <v>44652</v>
      </c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8"/>
      <c r="CY12" s="11">
        <v>44652</v>
      </c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8"/>
      <c r="DK12" s="11">
        <v>44652</v>
      </c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8"/>
      <c r="DW12" s="11">
        <v>44652</v>
      </c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8"/>
      <c r="EI12" s="11">
        <v>44652</v>
      </c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8"/>
      <c r="EU12" s="11">
        <v>44652</v>
      </c>
      <c r="EV12" s="5">
        <v>446662</v>
      </c>
      <c r="EW12" s="5">
        <v>0</v>
      </c>
      <c r="EX12" s="5">
        <v>106075</v>
      </c>
      <c r="EY12" s="5">
        <v>162206</v>
      </c>
      <c r="EZ12" s="5">
        <v>29489</v>
      </c>
      <c r="FA12" s="5">
        <v>0</v>
      </c>
      <c r="FB12" s="5">
        <v>16990</v>
      </c>
      <c r="FC12" s="5">
        <v>0</v>
      </c>
      <c r="FD12" s="5">
        <v>9006</v>
      </c>
      <c r="FE12" s="5">
        <v>67283</v>
      </c>
      <c r="FF12" s="13"/>
      <c r="FG12" s="11">
        <v>44652</v>
      </c>
      <c r="FH12" s="5">
        <v>264903</v>
      </c>
      <c r="FI12" s="5">
        <v>0</v>
      </c>
      <c r="FJ12" s="5">
        <v>62004</v>
      </c>
      <c r="FK12" s="5">
        <v>94965</v>
      </c>
      <c r="FL12" s="5">
        <v>17311</v>
      </c>
      <c r="FM12" s="5">
        <v>0</v>
      </c>
      <c r="FN12" s="5">
        <v>10844</v>
      </c>
      <c r="FO12" s="5">
        <v>0</v>
      </c>
      <c r="FP12" s="5">
        <v>4625</v>
      </c>
      <c r="FQ12" s="5">
        <v>39570</v>
      </c>
      <c r="FR12" s="5"/>
      <c r="FS12" s="11">
        <v>44652</v>
      </c>
      <c r="FT12" s="5">
        <v>429</v>
      </c>
      <c r="FU12" s="5">
        <v>182</v>
      </c>
      <c r="FV12" s="5"/>
      <c r="FW12" s="5">
        <v>78</v>
      </c>
      <c r="FX12" s="5"/>
      <c r="FY12" s="5">
        <v>1425</v>
      </c>
      <c r="FZ12" s="5"/>
      <c r="GA12" s="5">
        <v>758</v>
      </c>
      <c r="GB12" s="5"/>
      <c r="GC12" s="5">
        <v>2840</v>
      </c>
      <c r="GE12" s="11">
        <v>44652</v>
      </c>
      <c r="GQ12" s="11">
        <v>44652</v>
      </c>
      <c r="HC12" s="11">
        <v>44652</v>
      </c>
      <c r="HD12" s="5">
        <f t="shared" si="60"/>
        <v>0</v>
      </c>
      <c r="HE12" s="5">
        <f t="shared" si="61"/>
        <v>0</v>
      </c>
      <c r="HF12" s="5">
        <f t="shared" si="62"/>
        <v>0</v>
      </c>
      <c r="HG12" s="5">
        <f t="shared" si="63"/>
        <v>0</v>
      </c>
      <c r="HH12" s="5">
        <f t="shared" si="64"/>
        <v>0</v>
      </c>
      <c r="HI12" s="5">
        <f t="shared" si="65"/>
        <v>0</v>
      </c>
      <c r="HJ12" s="5">
        <f t="shared" si="66"/>
        <v>0</v>
      </c>
      <c r="HK12" s="5">
        <f t="shared" si="67"/>
        <v>0</v>
      </c>
      <c r="HL12" s="5">
        <f t="shared" si="68"/>
        <v>0</v>
      </c>
      <c r="HM12" s="5">
        <f t="shared" si="69"/>
        <v>0</v>
      </c>
      <c r="HO12" s="11">
        <v>44652</v>
      </c>
      <c r="HP12" s="5">
        <f t="shared" si="71"/>
        <v>0</v>
      </c>
      <c r="HQ12" s="5">
        <f t="shared" si="72"/>
        <v>0</v>
      </c>
      <c r="HR12" s="5">
        <f t="shared" si="73"/>
        <v>0</v>
      </c>
      <c r="HS12" s="5">
        <f t="shared" si="74"/>
        <v>0</v>
      </c>
      <c r="HT12" s="5">
        <f t="shared" si="75"/>
        <v>0</v>
      </c>
      <c r="HU12" s="5">
        <f t="shared" si="76"/>
        <v>0</v>
      </c>
      <c r="HV12" s="5">
        <f t="shared" si="77"/>
        <v>0</v>
      </c>
      <c r="HW12" s="5">
        <f t="shared" si="78"/>
        <v>0</v>
      </c>
      <c r="HX12" s="5">
        <f t="shared" si="79"/>
        <v>0</v>
      </c>
      <c r="HY12" s="5">
        <f t="shared" si="80"/>
        <v>0</v>
      </c>
    </row>
    <row r="13" spans="2:233">
      <c r="B13" s="11">
        <v>44682</v>
      </c>
      <c r="C13" s="5">
        <v>0</v>
      </c>
      <c r="D13" s="5">
        <v>0</v>
      </c>
      <c r="E13" s="5">
        <v>1137</v>
      </c>
      <c r="F13" s="5">
        <v>423</v>
      </c>
      <c r="G13" s="5">
        <v>48</v>
      </c>
      <c r="H13" s="5">
        <v>2</v>
      </c>
      <c r="I13" s="5">
        <v>1182</v>
      </c>
      <c r="J13" s="5">
        <v>1261</v>
      </c>
      <c r="K13" s="5">
        <v>0</v>
      </c>
      <c r="L13" s="5">
        <f t="shared" si="57"/>
        <v>4053</v>
      </c>
      <c r="N13" s="11">
        <v>44682</v>
      </c>
      <c r="O13" s="5">
        <v>0</v>
      </c>
      <c r="P13" s="5">
        <v>0</v>
      </c>
      <c r="Q13" s="5">
        <v>1137</v>
      </c>
      <c r="R13" s="5">
        <v>423</v>
      </c>
      <c r="S13" s="5">
        <v>48</v>
      </c>
      <c r="T13" s="5">
        <v>2</v>
      </c>
      <c r="U13" s="5">
        <v>1182</v>
      </c>
      <c r="V13" s="5">
        <v>1261</v>
      </c>
      <c r="W13" s="5">
        <v>0</v>
      </c>
      <c r="X13" s="5">
        <f t="shared" si="58"/>
        <v>4053</v>
      </c>
      <c r="Y13" s="5"/>
      <c r="Z13" s="11">
        <v>44682</v>
      </c>
      <c r="AB13" s="12"/>
      <c r="AC13" s="12"/>
      <c r="AD13" s="12"/>
      <c r="AF13" s="12"/>
      <c r="AH13" s="12"/>
      <c r="AI13" s="12"/>
      <c r="AJ13" s="206"/>
      <c r="AL13" s="11">
        <v>44682</v>
      </c>
      <c r="AM13" s="5">
        <v>0</v>
      </c>
      <c r="AN13" s="5">
        <v>297046</v>
      </c>
      <c r="AO13" s="5">
        <v>393840</v>
      </c>
      <c r="AP13" s="5">
        <v>158156</v>
      </c>
      <c r="AQ13" s="5">
        <v>0</v>
      </c>
      <c r="AR13" s="5">
        <v>116761</v>
      </c>
      <c r="AS13" s="5">
        <v>0</v>
      </c>
      <c r="AT13" s="5">
        <v>217918</v>
      </c>
      <c r="AU13" s="5">
        <v>212933</v>
      </c>
      <c r="AV13" s="5">
        <f t="shared" si="59"/>
        <v>1396654</v>
      </c>
      <c r="AW13" s="5"/>
      <c r="AX13" s="11">
        <v>44682</v>
      </c>
      <c r="AY13" s="5">
        <v>0</v>
      </c>
      <c r="AZ13" s="5">
        <v>163569</v>
      </c>
      <c r="BA13" s="5">
        <v>196598</v>
      </c>
      <c r="BB13" s="5">
        <v>96328</v>
      </c>
      <c r="BC13" s="5">
        <v>0</v>
      </c>
      <c r="BD13" s="5">
        <v>71397</v>
      </c>
      <c r="BE13" s="5">
        <v>0</v>
      </c>
      <c r="BF13" s="5">
        <v>142217</v>
      </c>
      <c r="BG13" s="5">
        <v>115188</v>
      </c>
      <c r="BH13" s="5">
        <f t="shared" si="70"/>
        <v>785297</v>
      </c>
      <c r="BI13" s="8"/>
      <c r="BJ13" s="11">
        <v>44682</v>
      </c>
      <c r="BK13" s="11"/>
      <c r="BL13" s="11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1">
        <v>44682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12"/>
      <c r="CM13" s="11">
        <v>44682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8"/>
      <c r="CY13" s="11">
        <v>44682</v>
      </c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8"/>
      <c r="DK13" s="11">
        <v>44682</v>
      </c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8"/>
      <c r="DW13" s="11">
        <v>44682</v>
      </c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8"/>
      <c r="EI13" s="11">
        <v>44682</v>
      </c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8"/>
      <c r="EU13" s="11">
        <v>44682</v>
      </c>
      <c r="EV13" s="5">
        <v>432294</v>
      </c>
      <c r="EW13" s="5">
        <v>0</v>
      </c>
      <c r="EX13" s="5">
        <v>87669</v>
      </c>
      <c r="EY13" s="5">
        <v>135846</v>
      </c>
      <c r="EZ13" s="5">
        <v>28008</v>
      </c>
      <c r="FA13" s="5">
        <v>0</v>
      </c>
      <c r="FB13" s="5">
        <v>14670</v>
      </c>
      <c r="FC13" s="5">
        <v>0</v>
      </c>
      <c r="FD13" s="5">
        <v>47371</v>
      </c>
      <c r="FE13" s="5">
        <v>64999</v>
      </c>
      <c r="FF13" s="13"/>
      <c r="FG13" s="11">
        <v>44682</v>
      </c>
      <c r="FH13" s="5">
        <v>263169</v>
      </c>
      <c r="FI13" s="5">
        <v>0</v>
      </c>
      <c r="FJ13" s="5">
        <v>52278</v>
      </c>
      <c r="FK13" s="5">
        <v>80050</v>
      </c>
      <c r="FL13" s="5">
        <v>17110</v>
      </c>
      <c r="FM13" s="5">
        <v>0</v>
      </c>
      <c r="FN13" s="5">
        <v>9425</v>
      </c>
      <c r="FO13" s="5">
        <v>0</v>
      </c>
      <c r="FP13" s="5">
        <v>31668</v>
      </c>
      <c r="FQ13" s="5">
        <v>38415</v>
      </c>
      <c r="FR13" s="5"/>
      <c r="FS13" s="11">
        <v>44682</v>
      </c>
      <c r="FT13" s="5">
        <v>430</v>
      </c>
      <c r="FU13" s="5">
        <v>189</v>
      </c>
      <c r="FV13" s="5"/>
      <c r="FW13" s="5">
        <v>75</v>
      </c>
      <c r="FX13" s="5">
        <v>67</v>
      </c>
      <c r="FY13" s="5">
        <v>1444</v>
      </c>
      <c r="FZ13" s="5"/>
      <c r="GA13" s="5">
        <v>681</v>
      </c>
      <c r="GB13" s="5"/>
      <c r="GC13" s="5">
        <v>2861</v>
      </c>
      <c r="GE13" s="11">
        <v>44682</v>
      </c>
      <c r="GQ13" s="11">
        <v>44682</v>
      </c>
      <c r="HC13" s="11">
        <v>44682</v>
      </c>
      <c r="HD13" s="5">
        <f t="shared" si="60"/>
        <v>0</v>
      </c>
      <c r="HE13" s="5">
        <f t="shared" si="61"/>
        <v>0</v>
      </c>
      <c r="HF13" s="5">
        <f t="shared" si="62"/>
        <v>0</v>
      </c>
      <c r="HG13" s="5">
        <f t="shared" si="63"/>
        <v>0</v>
      </c>
      <c r="HH13" s="5">
        <f t="shared" si="64"/>
        <v>0</v>
      </c>
      <c r="HI13" s="5">
        <f t="shared" si="65"/>
        <v>0</v>
      </c>
      <c r="HJ13" s="5">
        <f t="shared" si="66"/>
        <v>0</v>
      </c>
      <c r="HK13" s="5">
        <f t="shared" si="67"/>
        <v>0</v>
      </c>
      <c r="HL13" s="5">
        <f t="shared" si="68"/>
        <v>0</v>
      </c>
      <c r="HM13" s="5">
        <f t="shared" si="69"/>
        <v>0</v>
      </c>
      <c r="HO13" s="11">
        <v>44682</v>
      </c>
      <c r="HP13" s="5">
        <f t="shared" si="71"/>
        <v>0</v>
      </c>
      <c r="HQ13" s="5">
        <f t="shared" si="72"/>
        <v>0</v>
      </c>
      <c r="HR13" s="5">
        <f t="shared" si="73"/>
        <v>0</v>
      </c>
      <c r="HS13" s="5">
        <f t="shared" si="74"/>
        <v>0</v>
      </c>
      <c r="HT13" s="5">
        <f t="shared" si="75"/>
        <v>0</v>
      </c>
      <c r="HU13" s="5">
        <f t="shared" si="76"/>
        <v>0</v>
      </c>
      <c r="HV13" s="5">
        <f t="shared" si="77"/>
        <v>0</v>
      </c>
      <c r="HW13" s="5">
        <f t="shared" si="78"/>
        <v>0</v>
      </c>
      <c r="HX13" s="5">
        <f t="shared" si="79"/>
        <v>0</v>
      </c>
      <c r="HY13" s="5">
        <f t="shared" si="80"/>
        <v>0</v>
      </c>
    </row>
    <row r="14" spans="2:233">
      <c r="B14" s="11">
        <v>44713</v>
      </c>
      <c r="C14" s="5">
        <v>0</v>
      </c>
      <c r="D14" s="5">
        <v>0</v>
      </c>
      <c r="E14" s="5">
        <v>862</v>
      </c>
      <c r="F14" s="5">
        <v>260</v>
      </c>
      <c r="G14" s="5">
        <v>22</v>
      </c>
      <c r="H14" s="5">
        <v>231</v>
      </c>
      <c r="I14" s="5">
        <v>1220</v>
      </c>
      <c r="J14" s="5">
        <v>1634</v>
      </c>
      <c r="K14" s="5">
        <v>0</v>
      </c>
      <c r="L14" s="5">
        <f t="shared" si="57"/>
        <v>4229</v>
      </c>
      <c r="N14" s="11">
        <v>44713</v>
      </c>
      <c r="O14" s="5">
        <v>0</v>
      </c>
      <c r="P14" s="5">
        <v>0</v>
      </c>
      <c r="Q14" s="5">
        <v>862</v>
      </c>
      <c r="R14" s="5">
        <v>260</v>
      </c>
      <c r="S14" s="5">
        <v>22</v>
      </c>
      <c r="T14" s="5">
        <v>231</v>
      </c>
      <c r="U14" s="5">
        <v>1220</v>
      </c>
      <c r="V14" s="5">
        <v>1634</v>
      </c>
      <c r="W14" s="5">
        <v>0</v>
      </c>
      <c r="X14" s="5">
        <f t="shared" si="58"/>
        <v>4229</v>
      </c>
      <c r="Y14" s="5"/>
      <c r="Z14" s="11">
        <v>44713</v>
      </c>
      <c r="AB14" s="12"/>
      <c r="AC14" s="12"/>
      <c r="AD14" s="12"/>
      <c r="AF14" s="12"/>
      <c r="AH14" s="12"/>
      <c r="AI14" s="12"/>
      <c r="AJ14" s="206"/>
      <c r="AL14" s="11">
        <v>44713</v>
      </c>
      <c r="AM14" s="5">
        <v>0</v>
      </c>
      <c r="AN14" s="5">
        <v>285251</v>
      </c>
      <c r="AO14" s="5">
        <v>367558</v>
      </c>
      <c r="AP14" s="5">
        <v>157559</v>
      </c>
      <c r="AQ14" s="5">
        <v>0</v>
      </c>
      <c r="AR14" s="5">
        <v>97027</v>
      </c>
      <c r="AS14" s="5">
        <v>0</v>
      </c>
      <c r="AT14" s="5">
        <v>194764</v>
      </c>
      <c r="AU14" s="5">
        <v>188604</v>
      </c>
      <c r="AV14" s="5">
        <f t="shared" si="59"/>
        <v>1290763</v>
      </c>
      <c r="AW14" s="5"/>
      <c r="AX14" s="11">
        <v>44713</v>
      </c>
      <c r="AY14" s="5">
        <v>0</v>
      </c>
      <c r="AZ14" s="5">
        <v>153177</v>
      </c>
      <c r="BA14" s="5">
        <v>178355</v>
      </c>
      <c r="BB14" s="5">
        <v>94919</v>
      </c>
      <c r="BC14" s="5">
        <v>0</v>
      </c>
      <c r="BD14" s="5">
        <v>55362</v>
      </c>
      <c r="BE14" s="5">
        <v>0</v>
      </c>
      <c r="BF14" s="5">
        <v>125815</v>
      </c>
      <c r="BG14" s="5">
        <v>100020</v>
      </c>
      <c r="BH14" s="5">
        <f t="shared" si="70"/>
        <v>707648</v>
      </c>
      <c r="BI14" s="8"/>
      <c r="BJ14" s="11">
        <v>44713</v>
      </c>
      <c r="BK14" s="11"/>
      <c r="BL14" s="11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1">
        <v>44713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12"/>
      <c r="CM14" s="11">
        <v>44713</v>
      </c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8"/>
      <c r="CY14" s="11">
        <v>44713</v>
      </c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8"/>
      <c r="DK14" s="11">
        <v>44713</v>
      </c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8"/>
      <c r="DW14" s="11">
        <v>44713</v>
      </c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8"/>
      <c r="EI14" s="11">
        <v>44713</v>
      </c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8"/>
      <c r="EU14" s="11">
        <v>44713</v>
      </c>
      <c r="EV14" s="5">
        <v>392220</v>
      </c>
      <c r="EW14" s="5">
        <v>0</v>
      </c>
      <c r="EX14" s="5">
        <v>87773</v>
      </c>
      <c r="EY14" s="5">
        <v>106167</v>
      </c>
      <c r="EZ14" s="5">
        <v>26275</v>
      </c>
      <c r="FA14" s="5">
        <v>0</v>
      </c>
      <c r="FB14" s="5">
        <v>12319</v>
      </c>
      <c r="FC14" s="5">
        <v>0</v>
      </c>
      <c r="FD14" s="5">
        <v>52197</v>
      </c>
      <c r="FE14" s="5">
        <v>58417</v>
      </c>
      <c r="FF14" s="13"/>
      <c r="FG14" s="11">
        <v>44713</v>
      </c>
      <c r="FH14" s="5">
        <v>232301</v>
      </c>
      <c r="FI14" s="5">
        <v>0</v>
      </c>
      <c r="FJ14" s="5">
        <v>49547</v>
      </c>
      <c r="FK14" s="5">
        <v>61480</v>
      </c>
      <c r="FL14" s="5">
        <v>16464</v>
      </c>
      <c r="FM14" s="5">
        <v>0</v>
      </c>
      <c r="FN14" s="5">
        <v>7616</v>
      </c>
      <c r="FO14" s="5">
        <v>0</v>
      </c>
      <c r="FP14" s="5">
        <v>34358</v>
      </c>
      <c r="FQ14" s="5">
        <v>32423</v>
      </c>
      <c r="FR14" s="5"/>
      <c r="FS14" s="11">
        <v>44713</v>
      </c>
      <c r="FT14" s="5">
        <v>382</v>
      </c>
      <c r="FU14" s="5">
        <v>173</v>
      </c>
      <c r="FV14" s="5"/>
      <c r="FW14" s="5">
        <v>70</v>
      </c>
      <c r="FX14" s="5">
        <v>840</v>
      </c>
      <c r="FY14" s="5">
        <v>1111</v>
      </c>
      <c r="FZ14" s="5"/>
      <c r="GA14" s="5">
        <v>481</v>
      </c>
      <c r="GB14" s="5"/>
      <c r="GC14" s="5">
        <v>3024</v>
      </c>
      <c r="GE14" s="11">
        <v>44713</v>
      </c>
      <c r="GQ14" s="11">
        <v>44713</v>
      </c>
      <c r="HC14" s="11">
        <v>44713</v>
      </c>
      <c r="HD14" s="5">
        <f t="shared" si="60"/>
        <v>0</v>
      </c>
      <c r="HE14" s="5">
        <f t="shared" si="61"/>
        <v>0</v>
      </c>
      <c r="HF14" s="5">
        <f t="shared" si="62"/>
        <v>0</v>
      </c>
      <c r="HG14" s="5">
        <f t="shared" si="63"/>
        <v>0</v>
      </c>
      <c r="HH14" s="5">
        <f t="shared" si="64"/>
        <v>0</v>
      </c>
      <c r="HI14" s="5">
        <f t="shared" si="65"/>
        <v>0</v>
      </c>
      <c r="HJ14" s="5">
        <f t="shared" si="66"/>
        <v>0</v>
      </c>
      <c r="HK14" s="5">
        <f t="shared" si="67"/>
        <v>0</v>
      </c>
      <c r="HL14" s="5">
        <f t="shared" si="68"/>
        <v>0</v>
      </c>
      <c r="HM14" s="5">
        <f t="shared" si="69"/>
        <v>0</v>
      </c>
      <c r="HO14" s="11">
        <v>44713</v>
      </c>
      <c r="HP14" s="5">
        <f t="shared" si="71"/>
        <v>0</v>
      </c>
      <c r="HQ14" s="5">
        <f t="shared" si="72"/>
        <v>0</v>
      </c>
      <c r="HR14" s="5">
        <f t="shared" si="73"/>
        <v>0</v>
      </c>
      <c r="HS14" s="5">
        <f t="shared" si="74"/>
        <v>0</v>
      </c>
      <c r="HT14" s="5">
        <f t="shared" si="75"/>
        <v>0</v>
      </c>
      <c r="HU14" s="5">
        <f t="shared" si="76"/>
        <v>0</v>
      </c>
      <c r="HV14" s="5">
        <f t="shared" si="77"/>
        <v>0</v>
      </c>
      <c r="HW14" s="5">
        <f t="shared" si="78"/>
        <v>0</v>
      </c>
      <c r="HX14" s="5">
        <f t="shared" si="79"/>
        <v>0</v>
      </c>
      <c r="HY14" s="5">
        <f t="shared" si="80"/>
        <v>0</v>
      </c>
    </row>
    <row r="15" spans="2:233">
      <c r="B15" s="11">
        <v>44743</v>
      </c>
      <c r="C15" s="5">
        <v>0</v>
      </c>
      <c r="D15" s="5">
        <v>0</v>
      </c>
      <c r="E15" s="5">
        <v>1008</v>
      </c>
      <c r="F15" s="5">
        <v>283</v>
      </c>
      <c r="G15" s="5">
        <v>22</v>
      </c>
      <c r="H15" s="5">
        <v>284</v>
      </c>
      <c r="I15" s="5">
        <v>1698</v>
      </c>
      <c r="J15" s="5">
        <v>1774</v>
      </c>
      <c r="K15" s="5">
        <v>0</v>
      </c>
      <c r="L15" s="5">
        <f t="shared" si="57"/>
        <v>5069</v>
      </c>
      <c r="N15" s="11">
        <v>44743</v>
      </c>
      <c r="O15" s="5">
        <v>0</v>
      </c>
      <c r="P15" s="5">
        <v>0</v>
      </c>
      <c r="Q15" s="5">
        <v>1008</v>
      </c>
      <c r="R15" s="5">
        <v>283</v>
      </c>
      <c r="S15" s="5">
        <v>22</v>
      </c>
      <c r="T15" s="5">
        <v>284</v>
      </c>
      <c r="U15" s="5">
        <v>1698</v>
      </c>
      <c r="V15" s="5">
        <v>1774</v>
      </c>
      <c r="W15" s="5">
        <v>0</v>
      </c>
      <c r="X15" s="5">
        <f t="shared" si="58"/>
        <v>5069</v>
      </c>
      <c r="Y15" s="5"/>
      <c r="Z15" s="11">
        <v>44743</v>
      </c>
      <c r="AB15" s="12"/>
      <c r="AC15" s="12"/>
      <c r="AD15" s="12"/>
      <c r="AF15" s="12"/>
      <c r="AG15" s="12"/>
      <c r="AH15" s="12"/>
      <c r="AI15" s="12"/>
      <c r="AJ15" s="206"/>
      <c r="AK15" s="16"/>
      <c r="AL15" s="11">
        <v>44743</v>
      </c>
      <c r="AM15" s="5">
        <v>0</v>
      </c>
      <c r="AN15" s="5">
        <v>372736</v>
      </c>
      <c r="AO15" s="5">
        <v>462684</v>
      </c>
      <c r="AP15" s="5">
        <v>176457</v>
      </c>
      <c r="AQ15" s="5">
        <v>0</v>
      </c>
      <c r="AR15" s="5">
        <v>128095</v>
      </c>
      <c r="AS15" s="5">
        <v>0</v>
      </c>
      <c r="AT15" s="5">
        <v>193016</v>
      </c>
      <c r="AU15" s="5">
        <v>198353</v>
      </c>
      <c r="AV15" s="5">
        <f t="shared" si="59"/>
        <v>1531341</v>
      </c>
      <c r="AW15" s="5"/>
      <c r="AX15" s="11">
        <v>44743</v>
      </c>
      <c r="AY15" s="5">
        <v>0</v>
      </c>
      <c r="AZ15" s="5">
        <v>102966</v>
      </c>
      <c r="BA15" s="5">
        <v>172577</v>
      </c>
      <c r="BB15" s="5">
        <v>99265</v>
      </c>
      <c r="BC15" s="5">
        <v>0</v>
      </c>
      <c r="BD15" s="5">
        <v>63548</v>
      </c>
      <c r="BE15" s="5">
        <v>0</v>
      </c>
      <c r="BF15" s="5">
        <v>117578</v>
      </c>
      <c r="BG15" s="5">
        <v>84979</v>
      </c>
      <c r="BH15" s="5">
        <f t="shared" si="70"/>
        <v>640913</v>
      </c>
      <c r="BI15" s="8"/>
      <c r="BJ15" s="11">
        <v>44743</v>
      </c>
      <c r="BK15" s="11"/>
      <c r="BL15" s="11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1">
        <v>44743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12"/>
      <c r="CM15" s="11">
        <v>44743</v>
      </c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8"/>
      <c r="CY15" s="11">
        <v>44743</v>
      </c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8"/>
      <c r="DK15" s="11">
        <v>44743</v>
      </c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8"/>
      <c r="DW15" s="11">
        <v>44743</v>
      </c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8"/>
      <c r="EI15" s="11">
        <v>44743</v>
      </c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8"/>
      <c r="EU15" s="11">
        <v>44743</v>
      </c>
      <c r="EV15" s="5">
        <v>456870</v>
      </c>
      <c r="EW15" s="5">
        <v>0</v>
      </c>
      <c r="EX15" s="5">
        <v>104704</v>
      </c>
      <c r="EY15" s="5">
        <v>123301</v>
      </c>
      <c r="EZ15" s="5">
        <v>30948</v>
      </c>
      <c r="FA15" s="5">
        <v>0</v>
      </c>
      <c r="FB15" s="5">
        <v>16422</v>
      </c>
      <c r="FC15" s="5">
        <v>0</v>
      </c>
      <c r="FD15" s="5">
        <v>54352</v>
      </c>
      <c r="FE15" s="5">
        <v>67310</v>
      </c>
      <c r="FF15" s="13"/>
      <c r="FG15" s="11">
        <v>44743</v>
      </c>
      <c r="FH15" s="5">
        <v>241466</v>
      </c>
      <c r="FI15" s="5">
        <v>0</v>
      </c>
      <c r="FJ15" s="5">
        <v>44017</v>
      </c>
      <c r="FK15" s="5">
        <v>66012</v>
      </c>
      <c r="FL15" s="5">
        <v>18249</v>
      </c>
      <c r="FM15" s="5">
        <v>0</v>
      </c>
      <c r="FN15" s="5">
        <v>8824</v>
      </c>
      <c r="FO15" s="5">
        <v>0</v>
      </c>
      <c r="FP15" s="5">
        <v>34377</v>
      </c>
      <c r="FQ15" s="5">
        <v>32772</v>
      </c>
      <c r="FR15" s="5"/>
      <c r="FS15" s="11">
        <v>44743</v>
      </c>
      <c r="FT15" s="5">
        <v>312</v>
      </c>
      <c r="FU15" s="5">
        <v>147</v>
      </c>
      <c r="FV15" s="5"/>
      <c r="FW15" s="5">
        <v>62</v>
      </c>
      <c r="FX15" s="5">
        <v>581</v>
      </c>
      <c r="FY15" s="5">
        <v>981</v>
      </c>
      <c r="FZ15" s="5"/>
      <c r="GA15" s="5">
        <v>417</v>
      </c>
      <c r="GB15" s="5"/>
      <c r="GC15" s="5">
        <v>2459</v>
      </c>
      <c r="GE15" s="11">
        <v>44743</v>
      </c>
      <c r="GQ15" s="11">
        <v>44743</v>
      </c>
      <c r="HC15" s="11">
        <v>44743</v>
      </c>
      <c r="HD15" s="5">
        <f t="shared" si="60"/>
        <v>0</v>
      </c>
      <c r="HE15" s="5">
        <f t="shared" si="61"/>
        <v>0</v>
      </c>
      <c r="HF15" s="5">
        <f t="shared" si="62"/>
        <v>0</v>
      </c>
      <c r="HG15" s="5">
        <f t="shared" si="63"/>
        <v>0</v>
      </c>
      <c r="HH15" s="5">
        <f t="shared" si="64"/>
        <v>0</v>
      </c>
      <c r="HI15" s="5">
        <f t="shared" si="65"/>
        <v>0</v>
      </c>
      <c r="HJ15" s="5">
        <f t="shared" si="66"/>
        <v>0</v>
      </c>
      <c r="HK15" s="5">
        <f t="shared" si="67"/>
        <v>0</v>
      </c>
      <c r="HL15" s="5">
        <f t="shared" si="68"/>
        <v>0</v>
      </c>
      <c r="HM15" s="5">
        <f t="shared" si="69"/>
        <v>0</v>
      </c>
      <c r="HO15" s="11">
        <v>44743</v>
      </c>
      <c r="HP15" s="5">
        <f t="shared" si="71"/>
        <v>0</v>
      </c>
      <c r="HQ15" s="5">
        <f t="shared" si="72"/>
        <v>0</v>
      </c>
      <c r="HR15" s="5">
        <f t="shared" si="73"/>
        <v>0</v>
      </c>
      <c r="HS15" s="5">
        <f t="shared" si="74"/>
        <v>0</v>
      </c>
      <c r="HT15" s="5">
        <f t="shared" si="75"/>
        <v>0</v>
      </c>
      <c r="HU15" s="5">
        <f t="shared" si="76"/>
        <v>0</v>
      </c>
      <c r="HV15" s="5">
        <f t="shared" si="77"/>
        <v>0</v>
      </c>
      <c r="HW15" s="5">
        <f t="shared" si="78"/>
        <v>0</v>
      </c>
      <c r="HX15" s="5">
        <f t="shared" si="79"/>
        <v>0</v>
      </c>
      <c r="HY15" s="5">
        <f t="shared" si="80"/>
        <v>0</v>
      </c>
    </row>
    <row r="16" spans="2:233">
      <c r="B16" s="11">
        <v>44774</v>
      </c>
      <c r="C16" s="5">
        <v>12</v>
      </c>
      <c r="D16" s="5">
        <v>0</v>
      </c>
      <c r="E16" s="5">
        <v>913</v>
      </c>
      <c r="F16" s="5">
        <v>302</v>
      </c>
      <c r="G16" s="5">
        <v>80</v>
      </c>
      <c r="H16" s="5">
        <v>324</v>
      </c>
      <c r="I16" s="5">
        <v>1657</v>
      </c>
      <c r="J16" s="5">
        <v>1624</v>
      </c>
      <c r="K16" s="5">
        <v>0</v>
      </c>
      <c r="L16" s="5">
        <f t="shared" si="57"/>
        <v>4912</v>
      </c>
      <c r="N16" s="11">
        <v>44774</v>
      </c>
      <c r="O16" s="5">
        <v>12</v>
      </c>
      <c r="P16" s="5">
        <v>0</v>
      </c>
      <c r="Q16" s="5">
        <v>913</v>
      </c>
      <c r="R16" s="5">
        <v>302</v>
      </c>
      <c r="S16" s="5">
        <v>80</v>
      </c>
      <c r="T16" s="5">
        <v>324</v>
      </c>
      <c r="U16" s="5">
        <v>1657</v>
      </c>
      <c r="V16" s="5">
        <v>1624</v>
      </c>
      <c r="W16" s="5">
        <v>0</v>
      </c>
      <c r="X16" s="5">
        <f t="shared" si="58"/>
        <v>4912</v>
      </c>
      <c r="Y16" s="5"/>
      <c r="Z16" s="11">
        <v>44774</v>
      </c>
      <c r="AB16" s="12"/>
      <c r="AC16" s="12"/>
      <c r="AD16" s="12"/>
      <c r="AF16" s="12"/>
      <c r="AG16" s="12"/>
      <c r="AH16" s="12"/>
      <c r="AI16" s="12"/>
      <c r="AJ16" s="206"/>
      <c r="AL16" s="11">
        <v>44774</v>
      </c>
      <c r="AM16" s="5">
        <v>0</v>
      </c>
      <c r="AN16" s="5">
        <v>384849</v>
      </c>
      <c r="AO16" s="5">
        <v>413261</v>
      </c>
      <c r="AP16" s="5">
        <v>197734</v>
      </c>
      <c r="AQ16" s="5">
        <v>0</v>
      </c>
      <c r="AR16" s="5">
        <v>276036</v>
      </c>
      <c r="AS16" s="5">
        <v>0</v>
      </c>
      <c r="AT16" s="5">
        <v>164597</v>
      </c>
      <c r="AU16" s="5">
        <v>200467</v>
      </c>
      <c r="AV16" s="5">
        <f t="shared" si="59"/>
        <v>1636944</v>
      </c>
      <c r="AW16" s="5"/>
      <c r="AX16" s="11">
        <v>44774</v>
      </c>
      <c r="AY16" s="5">
        <v>0</v>
      </c>
      <c r="AZ16" s="5">
        <v>126072</v>
      </c>
      <c r="BA16" s="5">
        <v>163753</v>
      </c>
      <c r="BB16" s="5">
        <v>124303</v>
      </c>
      <c r="BC16" s="5">
        <v>0</v>
      </c>
      <c r="BD16" s="5">
        <v>161831</v>
      </c>
      <c r="BE16" s="5">
        <v>0</v>
      </c>
      <c r="BF16" s="5">
        <v>100809</v>
      </c>
      <c r="BG16" s="5">
        <v>105575</v>
      </c>
      <c r="BH16" s="5">
        <f t="shared" si="70"/>
        <v>782343</v>
      </c>
      <c r="BI16" s="8"/>
      <c r="BJ16" s="11">
        <v>44774</v>
      </c>
      <c r="BK16" s="11"/>
      <c r="BL16" s="11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1">
        <v>44774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12"/>
      <c r="CM16" s="11">
        <v>44774</v>
      </c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8"/>
      <c r="CY16" s="11">
        <v>44774</v>
      </c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8"/>
      <c r="DK16" s="11">
        <v>44774</v>
      </c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8"/>
      <c r="DW16" s="11">
        <v>44774</v>
      </c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8"/>
      <c r="EI16" s="11">
        <v>44774</v>
      </c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8"/>
      <c r="EU16" s="11">
        <v>44774</v>
      </c>
      <c r="EV16" s="5">
        <v>477466</v>
      </c>
      <c r="EW16" s="5">
        <v>0</v>
      </c>
      <c r="EX16" s="5">
        <v>101980</v>
      </c>
      <c r="EY16" s="5">
        <v>120655</v>
      </c>
      <c r="EZ16" s="5">
        <v>38726</v>
      </c>
      <c r="FA16" s="5">
        <v>0</v>
      </c>
      <c r="FB16" s="5">
        <v>48461</v>
      </c>
      <c r="FC16" s="5">
        <v>1</v>
      </c>
      <c r="FD16" s="5">
        <v>42793</v>
      </c>
      <c r="FE16" s="5">
        <v>66690</v>
      </c>
      <c r="FF16" s="13"/>
      <c r="FG16" s="11">
        <v>44774</v>
      </c>
      <c r="FH16" s="5">
        <v>272511</v>
      </c>
      <c r="FI16" s="5">
        <v>0</v>
      </c>
      <c r="FJ16" s="5">
        <v>52439</v>
      </c>
      <c r="FK16" s="5">
        <v>65396</v>
      </c>
      <c r="FL16" s="5">
        <v>23408</v>
      </c>
      <c r="FM16" s="5">
        <v>0</v>
      </c>
      <c r="FN16" s="5">
        <v>30277</v>
      </c>
      <c r="FO16" s="5">
        <v>1</v>
      </c>
      <c r="FP16" s="5">
        <v>26810</v>
      </c>
      <c r="FQ16" s="5">
        <v>37566</v>
      </c>
      <c r="FR16" s="5"/>
      <c r="FS16" s="11">
        <v>44774</v>
      </c>
      <c r="FT16" s="5">
        <v>329</v>
      </c>
      <c r="FU16" s="5">
        <v>169</v>
      </c>
      <c r="FV16" s="5"/>
      <c r="FW16" s="5">
        <v>176</v>
      </c>
      <c r="FX16" s="5">
        <v>479</v>
      </c>
      <c r="FY16" s="5">
        <v>1032</v>
      </c>
      <c r="FZ16" s="5"/>
      <c r="GA16" s="5">
        <v>498</v>
      </c>
      <c r="GB16" s="5"/>
      <c r="GC16" s="5">
        <v>2645</v>
      </c>
      <c r="GE16" s="11">
        <v>44774</v>
      </c>
      <c r="GQ16" s="11">
        <v>44774</v>
      </c>
      <c r="HC16" s="11">
        <v>44774</v>
      </c>
      <c r="HD16" s="5">
        <f t="shared" si="60"/>
        <v>0</v>
      </c>
      <c r="HE16" s="5">
        <f t="shared" si="61"/>
        <v>0</v>
      </c>
      <c r="HF16" s="5">
        <f t="shared" si="62"/>
        <v>0</v>
      </c>
      <c r="HG16" s="5">
        <f t="shared" si="63"/>
        <v>0</v>
      </c>
      <c r="HH16" s="5">
        <f t="shared" si="64"/>
        <v>0</v>
      </c>
      <c r="HI16" s="5">
        <f t="shared" si="65"/>
        <v>0</v>
      </c>
      <c r="HJ16" s="5">
        <f t="shared" si="66"/>
        <v>0</v>
      </c>
      <c r="HK16" s="5">
        <f t="shared" si="67"/>
        <v>0</v>
      </c>
      <c r="HL16" s="5">
        <f t="shared" si="68"/>
        <v>0</v>
      </c>
      <c r="HM16" s="5">
        <f t="shared" si="69"/>
        <v>0</v>
      </c>
      <c r="HO16" s="11">
        <v>44774</v>
      </c>
      <c r="HP16" s="5">
        <f t="shared" si="71"/>
        <v>0</v>
      </c>
      <c r="HQ16" s="5">
        <f t="shared" si="72"/>
        <v>0</v>
      </c>
      <c r="HR16" s="5">
        <f t="shared" si="73"/>
        <v>0</v>
      </c>
      <c r="HS16" s="5">
        <f t="shared" si="74"/>
        <v>0</v>
      </c>
      <c r="HT16" s="5">
        <f t="shared" si="75"/>
        <v>0</v>
      </c>
      <c r="HU16" s="5">
        <f t="shared" si="76"/>
        <v>0</v>
      </c>
      <c r="HV16" s="5">
        <f t="shared" si="77"/>
        <v>0</v>
      </c>
      <c r="HW16" s="5">
        <f t="shared" si="78"/>
        <v>0</v>
      </c>
      <c r="HX16" s="5">
        <f t="shared" si="79"/>
        <v>0</v>
      </c>
      <c r="HY16" s="5">
        <f t="shared" si="80"/>
        <v>0</v>
      </c>
    </row>
    <row r="17" spans="2:233">
      <c r="B17" s="11">
        <v>44805</v>
      </c>
      <c r="C17" s="5">
        <v>69</v>
      </c>
      <c r="D17" s="5">
        <v>0</v>
      </c>
      <c r="E17" s="5">
        <v>817</v>
      </c>
      <c r="F17" s="5">
        <v>335</v>
      </c>
      <c r="G17" s="5">
        <v>104</v>
      </c>
      <c r="H17" s="5">
        <v>199</v>
      </c>
      <c r="I17" s="5">
        <v>1639</v>
      </c>
      <c r="J17" s="5">
        <v>1616</v>
      </c>
      <c r="K17" s="5">
        <v>0</v>
      </c>
      <c r="L17" s="5">
        <f t="shared" si="57"/>
        <v>4779</v>
      </c>
      <c r="N17" s="11">
        <v>44805</v>
      </c>
      <c r="O17" s="5">
        <v>69</v>
      </c>
      <c r="P17" s="5">
        <v>0</v>
      </c>
      <c r="Q17" s="5">
        <v>817</v>
      </c>
      <c r="R17" s="5">
        <v>335</v>
      </c>
      <c r="S17" s="5">
        <v>104</v>
      </c>
      <c r="T17" s="5">
        <v>199</v>
      </c>
      <c r="U17" s="5">
        <v>1639</v>
      </c>
      <c r="V17" s="5">
        <v>1616</v>
      </c>
      <c r="W17" s="5">
        <v>0</v>
      </c>
      <c r="X17" s="5">
        <f t="shared" si="58"/>
        <v>4779</v>
      </c>
      <c r="Y17" s="5"/>
      <c r="Z17" s="11">
        <v>44805</v>
      </c>
      <c r="AB17" s="12"/>
      <c r="AC17" s="12"/>
      <c r="AD17" s="12"/>
      <c r="AF17" s="12"/>
      <c r="AG17" s="12"/>
      <c r="AH17" s="12"/>
      <c r="AI17" s="12"/>
      <c r="AJ17" s="206"/>
      <c r="AL17" s="11">
        <v>44805</v>
      </c>
      <c r="AM17" s="5">
        <v>0</v>
      </c>
      <c r="AN17" s="5">
        <v>404380</v>
      </c>
      <c r="AO17" s="5">
        <v>244929</v>
      </c>
      <c r="AP17" s="5">
        <v>127596</v>
      </c>
      <c r="AQ17" s="5">
        <v>0</v>
      </c>
      <c r="AR17" s="5">
        <v>266242</v>
      </c>
      <c r="AS17" s="5">
        <v>108476</v>
      </c>
      <c r="AT17" s="5">
        <v>139477</v>
      </c>
      <c r="AU17" s="5">
        <v>173292</v>
      </c>
      <c r="AV17" s="5">
        <f t="shared" si="59"/>
        <v>1464392</v>
      </c>
      <c r="AW17" s="5"/>
      <c r="AX17" s="11">
        <v>44805</v>
      </c>
      <c r="AY17" s="5">
        <v>0</v>
      </c>
      <c r="AZ17" s="5">
        <v>137115</v>
      </c>
      <c r="BA17" s="5">
        <v>97140</v>
      </c>
      <c r="BB17" s="5">
        <v>67013</v>
      </c>
      <c r="BC17" s="5">
        <v>0</v>
      </c>
      <c r="BD17" s="5">
        <v>122505</v>
      </c>
      <c r="BE17" s="5">
        <v>69057</v>
      </c>
      <c r="BF17" s="5">
        <v>82732</v>
      </c>
      <c r="BG17" s="5">
        <v>89758</v>
      </c>
      <c r="BH17" s="5">
        <f t="shared" si="70"/>
        <v>665320</v>
      </c>
      <c r="BI17" s="8"/>
      <c r="BJ17" s="11">
        <v>44805</v>
      </c>
      <c r="BK17" s="11"/>
      <c r="BL17" s="11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1">
        <v>44805</v>
      </c>
      <c r="CB17" s="5"/>
      <c r="CC17" s="5"/>
      <c r="CD17" s="128"/>
      <c r="CE17" s="5"/>
      <c r="CF17" s="5"/>
      <c r="CG17" s="5"/>
      <c r="CH17" s="5"/>
      <c r="CI17" s="5"/>
      <c r="CJ17" s="5"/>
      <c r="CK17" s="5"/>
      <c r="CL17" s="12"/>
      <c r="CM17" s="11">
        <v>44805</v>
      </c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8"/>
      <c r="CY17" s="11">
        <v>44805</v>
      </c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8"/>
      <c r="DK17" s="11">
        <v>44805</v>
      </c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8"/>
      <c r="DW17" s="11">
        <v>44805</v>
      </c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8"/>
      <c r="EI17" s="11">
        <v>44805</v>
      </c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8"/>
      <c r="EU17" s="11">
        <v>44805</v>
      </c>
      <c r="EV17" s="5">
        <v>416555</v>
      </c>
      <c r="EW17" s="5">
        <v>0</v>
      </c>
      <c r="EX17" s="5">
        <v>87848</v>
      </c>
      <c r="EY17" s="5">
        <v>103876</v>
      </c>
      <c r="EZ17" s="5">
        <v>29514</v>
      </c>
      <c r="FA17" s="5">
        <v>0</v>
      </c>
      <c r="FB17" s="5">
        <v>34404</v>
      </c>
      <c r="FC17" s="5">
        <v>2619</v>
      </c>
      <c r="FD17" s="5">
        <v>30007</v>
      </c>
      <c r="FE17" s="5">
        <v>56409</v>
      </c>
      <c r="FF17" s="13"/>
      <c r="FG17" s="11">
        <v>44805</v>
      </c>
      <c r="FH17" s="5">
        <v>223907</v>
      </c>
      <c r="FI17" s="5">
        <v>0</v>
      </c>
      <c r="FJ17" s="5">
        <v>46156</v>
      </c>
      <c r="FK17" s="5">
        <v>42437</v>
      </c>
      <c r="FL17" s="5">
        <v>16778</v>
      </c>
      <c r="FM17" s="5">
        <v>0</v>
      </c>
      <c r="FN17" s="5">
        <v>20507</v>
      </c>
      <c r="FO17" s="5">
        <v>1648</v>
      </c>
      <c r="FP17" s="5">
        <v>18464</v>
      </c>
      <c r="FQ17" s="5">
        <v>30958</v>
      </c>
      <c r="FR17" s="5"/>
      <c r="FS17" s="11">
        <v>44805</v>
      </c>
      <c r="FT17" s="5">
        <v>379</v>
      </c>
      <c r="FU17" s="5">
        <v>150</v>
      </c>
      <c r="FV17" s="5">
        <v>85</v>
      </c>
      <c r="FW17" s="5">
        <v>164</v>
      </c>
      <c r="FX17" s="5">
        <v>381</v>
      </c>
      <c r="FY17" s="5">
        <v>919</v>
      </c>
      <c r="FZ17" s="5"/>
      <c r="GA17" s="5">
        <v>464</v>
      </c>
      <c r="GB17" s="5"/>
      <c r="GC17" s="5">
        <v>2495</v>
      </c>
      <c r="GE17" s="11">
        <v>44805</v>
      </c>
      <c r="GQ17" s="11">
        <v>44805</v>
      </c>
      <c r="HC17" s="11">
        <v>44805</v>
      </c>
      <c r="HD17" s="5">
        <f t="shared" si="60"/>
        <v>0</v>
      </c>
      <c r="HE17" s="5">
        <f t="shared" si="61"/>
        <v>0</v>
      </c>
      <c r="HF17" s="5">
        <f t="shared" si="62"/>
        <v>0</v>
      </c>
      <c r="HG17" s="5">
        <f t="shared" si="63"/>
        <v>0</v>
      </c>
      <c r="HH17" s="5">
        <f t="shared" si="64"/>
        <v>0</v>
      </c>
      <c r="HI17" s="5">
        <f t="shared" si="65"/>
        <v>0</v>
      </c>
      <c r="HJ17" s="5">
        <f t="shared" si="66"/>
        <v>0</v>
      </c>
      <c r="HK17" s="5">
        <f t="shared" si="67"/>
        <v>0</v>
      </c>
      <c r="HL17" s="5">
        <f t="shared" si="68"/>
        <v>0</v>
      </c>
      <c r="HM17" s="5">
        <f t="shared" si="69"/>
        <v>0</v>
      </c>
      <c r="HO17" s="11">
        <v>44805</v>
      </c>
      <c r="HP17" s="5">
        <f t="shared" si="71"/>
        <v>0</v>
      </c>
      <c r="HQ17" s="5">
        <f t="shared" si="72"/>
        <v>0</v>
      </c>
      <c r="HR17" s="5">
        <f t="shared" si="73"/>
        <v>0</v>
      </c>
      <c r="HS17" s="5">
        <f t="shared" si="74"/>
        <v>0</v>
      </c>
      <c r="HT17" s="5">
        <f t="shared" si="75"/>
        <v>0</v>
      </c>
      <c r="HU17" s="5">
        <f t="shared" si="76"/>
        <v>0</v>
      </c>
      <c r="HV17" s="5">
        <f t="shared" si="77"/>
        <v>0</v>
      </c>
      <c r="HW17" s="5">
        <f t="shared" si="78"/>
        <v>0</v>
      </c>
      <c r="HX17" s="5">
        <f t="shared" si="79"/>
        <v>0</v>
      </c>
      <c r="HY17" s="5">
        <f t="shared" si="80"/>
        <v>0</v>
      </c>
    </row>
    <row r="18" spans="2:233">
      <c r="B18" s="11">
        <v>44835</v>
      </c>
      <c r="C18" s="5">
        <v>47</v>
      </c>
      <c r="D18" s="5">
        <v>0</v>
      </c>
      <c r="E18" s="5">
        <v>687</v>
      </c>
      <c r="F18" s="5">
        <v>336</v>
      </c>
      <c r="G18" s="5">
        <v>103</v>
      </c>
      <c r="H18" s="5">
        <v>201</v>
      </c>
      <c r="I18" s="5">
        <v>1544</v>
      </c>
      <c r="J18" s="5">
        <v>1435</v>
      </c>
      <c r="K18" s="5">
        <v>0</v>
      </c>
      <c r="L18" s="5">
        <f t="shared" si="57"/>
        <v>4353</v>
      </c>
      <c r="N18" s="11">
        <v>44835</v>
      </c>
      <c r="O18" s="5">
        <v>47</v>
      </c>
      <c r="P18" s="5">
        <v>0</v>
      </c>
      <c r="Q18" s="5">
        <v>687</v>
      </c>
      <c r="R18" s="5">
        <v>336</v>
      </c>
      <c r="S18" s="5">
        <v>103</v>
      </c>
      <c r="T18" s="5">
        <v>201</v>
      </c>
      <c r="U18" s="5">
        <v>1544</v>
      </c>
      <c r="V18" s="5">
        <v>1435</v>
      </c>
      <c r="W18" s="5">
        <v>0</v>
      </c>
      <c r="X18" s="5">
        <f t="shared" si="58"/>
        <v>4353</v>
      </c>
      <c r="Y18" s="5"/>
      <c r="Z18" s="11">
        <v>44835</v>
      </c>
      <c r="AB18" s="12"/>
      <c r="AC18" s="12"/>
      <c r="AD18" s="12"/>
      <c r="AF18" s="12"/>
      <c r="AG18" s="12"/>
      <c r="AH18" s="12"/>
      <c r="AI18" s="12"/>
      <c r="AJ18" s="206"/>
      <c r="AK18" s="16"/>
      <c r="AL18" s="11">
        <v>44835</v>
      </c>
      <c r="AM18" s="5">
        <v>0</v>
      </c>
      <c r="AN18" s="5">
        <v>505363</v>
      </c>
      <c r="AO18" s="5">
        <v>230335</v>
      </c>
      <c r="AP18" s="5">
        <v>121630</v>
      </c>
      <c r="AQ18" s="5">
        <v>0</v>
      </c>
      <c r="AR18" s="5">
        <v>489699</v>
      </c>
      <c r="AS18" s="5">
        <v>77824</v>
      </c>
      <c r="AT18" s="5">
        <v>132171</v>
      </c>
      <c r="AU18" s="5">
        <v>167211</v>
      </c>
      <c r="AV18" s="5">
        <f t="shared" si="59"/>
        <v>1724233</v>
      </c>
      <c r="AW18" s="5"/>
      <c r="AX18" s="11">
        <v>44835</v>
      </c>
      <c r="AY18" s="5">
        <v>0</v>
      </c>
      <c r="AZ18" s="5">
        <v>174062</v>
      </c>
      <c r="BA18" s="5">
        <v>116501</v>
      </c>
      <c r="BB18" s="5">
        <v>68222</v>
      </c>
      <c r="BC18" s="5">
        <v>0</v>
      </c>
      <c r="BD18" s="5">
        <v>104077</v>
      </c>
      <c r="BE18" s="5">
        <v>41119</v>
      </c>
      <c r="BF18" s="5">
        <v>81559</v>
      </c>
      <c r="BG18" s="5">
        <v>93937</v>
      </c>
      <c r="BH18" s="5">
        <f t="shared" si="70"/>
        <v>679477</v>
      </c>
      <c r="BI18" s="8"/>
      <c r="BJ18" s="11">
        <v>44835</v>
      </c>
      <c r="BK18" s="11"/>
      <c r="BL18" s="11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1">
        <v>44835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12"/>
      <c r="CM18" s="11">
        <v>44835</v>
      </c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8"/>
      <c r="CY18" s="11">
        <v>44835</v>
      </c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8"/>
      <c r="DK18" s="11">
        <v>44835</v>
      </c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8"/>
      <c r="DW18" s="11">
        <v>44835</v>
      </c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8"/>
      <c r="EI18" s="11">
        <v>44835</v>
      </c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8"/>
      <c r="EU18" s="11">
        <v>44835</v>
      </c>
      <c r="EV18" s="5">
        <v>413185</v>
      </c>
      <c r="EW18" s="5">
        <v>0</v>
      </c>
      <c r="EX18" s="5">
        <v>92960</v>
      </c>
      <c r="EY18" s="5">
        <v>100399</v>
      </c>
      <c r="EZ18" s="5">
        <v>28658</v>
      </c>
      <c r="FA18" s="5">
        <v>0</v>
      </c>
      <c r="FB18" s="5">
        <v>36563</v>
      </c>
      <c r="FC18" s="5">
        <v>11489</v>
      </c>
      <c r="FD18" s="5">
        <v>26557</v>
      </c>
      <c r="FE18" s="5">
        <v>54040</v>
      </c>
      <c r="FF18" s="13"/>
      <c r="FG18" s="11">
        <v>44835</v>
      </c>
      <c r="FH18" s="5">
        <v>234607</v>
      </c>
      <c r="FI18" s="5">
        <v>0</v>
      </c>
      <c r="FJ18" s="5">
        <v>51484</v>
      </c>
      <c r="FK18" s="5">
        <v>49708</v>
      </c>
      <c r="FL18" s="5">
        <v>17283</v>
      </c>
      <c r="FM18" s="5">
        <v>0</v>
      </c>
      <c r="FN18" s="5">
        <v>17713</v>
      </c>
      <c r="FO18" s="5">
        <v>6406</v>
      </c>
      <c r="FP18" s="5">
        <v>16985</v>
      </c>
      <c r="FQ18" s="5">
        <v>31754</v>
      </c>
      <c r="FR18" s="5"/>
      <c r="FS18" s="11">
        <v>44835</v>
      </c>
      <c r="FT18" s="5">
        <v>265</v>
      </c>
      <c r="FU18" s="5">
        <v>118</v>
      </c>
      <c r="FV18" s="5">
        <v>46</v>
      </c>
      <c r="FW18" s="5">
        <v>125</v>
      </c>
      <c r="FX18" s="5">
        <v>259</v>
      </c>
      <c r="FY18" s="5">
        <v>719</v>
      </c>
      <c r="FZ18" s="5"/>
      <c r="GA18" s="5">
        <v>400</v>
      </c>
      <c r="GB18" s="5"/>
      <c r="GC18" s="5">
        <v>1896</v>
      </c>
      <c r="GE18" s="11">
        <v>44835</v>
      </c>
      <c r="GQ18" s="11">
        <v>44835</v>
      </c>
      <c r="HC18" s="11">
        <v>44835</v>
      </c>
      <c r="HD18" s="5">
        <f t="shared" si="60"/>
        <v>0</v>
      </c>
      <c r="HE18" s="5">
        <f t="shared" si="61"/>
        <v>0</v>
      </c>
      <c r="HF18" s="5">
        <f t="shared" si="62"/>
        <v>0</v>
      </c>
      <c r="HG18" s="5">
        <f t="shared" si="63"/>
        <v>0</v>
      </c>
      <c r="HH18" s="5">
        <f t="shared" si="64"/>
        <v>0</v>
      </c>
      <c r="HI18" s="5">
        <f t="shared" si="65"/>
        <v>0</v>
      </c>
      <c r="HJ18" s="5">
        <f t="shared" si="66"/>
        <v>0</v>
      </c>
      <c r="HK18" s="5">
        <f t="shared" si="67"/>
        <v>0</v>
      </c>
      <c r="HL18" s="5">
        <f t="shared" si="68"/>
        <v>0</v>
      </c>
      <c r="HM18" s="5">
        <f t="shared" si="69"/>
        <v>0</v>
      </c>
      <c r="HO18" s="11">
        <v>44835</v>
      </c>
      <c r="HP18" s="5">
        <f t="shared" si="71"/>
        <v>0</v>
      </c>
      <c r="HQ18" s="5">
        <f t="shared" si="72"/>
        <v>0</v>
      </c>
      <c r="HR18" s="5">
        <f t="shared" si="73"/>
        <v>0</v>
      </c>
      <c r="HS18" s="5">
        <f t="shared" si="74"/>
        <v>0</v>
      </c>
      <c r="HT18" s="5">
        <f t="shared" si="75"/>
        <v>0</v>
      </c>
      <c r="HU18" s="5">
        <f t="shared" si="76"/>
        <v>0</v>
      </c>
      <c r="HV18" s="5">
        <f t="shared" si="77"/>
        <v>0</v>
      </c>
      <c r="HW18" s="5">
        <f t="shared" si="78"/>
        <v>0</v>
      </c>
      <c r="HX18" s="5">
        <f t="shared" si="79"/>
        <v>0</v>
      </c>
      <c r="HY18" s="5">
        <f t="shared" si="80"/>
        <v>0</v>
      </c>
    </row>
    <row r="19" spans="2:233">
      <c r="B19" s="11">
        <v>44866</v>
      </c>
      <c r="C19" s="5">
        <v>61</v>
      </c>
      <c r="D19" s="5">
        <v>0</v>
      </c>
      <c r="E19" s="5">
        <v>956</v>
      </c>
      <c r="F19" s="5">
        <v>349</v>
      </c>
      <c r="G19" s="5">
        <v>150</v>
      </c>
      <c r="H19" s="5">
        <v>172</v>
      </c>
      <c r="I19" s="5">
        <v>1813</v>
      </c>
      <c r="J19" s="5">
        <v>1504</v>
      </c>
      <c r="K19" s="5">
        <v>0</v>
      </c>
      <c r="L19" s="5">
        <f t="shared" si="57"/>
        <v>5005</v>
      </c>
      <c r="N19" s="11">
        <v>44866</v>
      </c>
      <c r="O19" s="5">
        <v>61</v>
      </c>
      <c r="P19" s="5">
        <v>0</v>
      </c>
      <c r="Q19" s="5">
        <v>956</v>
      </c>
      <c r="R19" s="5">
        <v>349</v>
      </c>
      <c r="S19" s="5">
        <v>150</v>
      </c>
      <c r="T19" s="5">
        <v>172</v>
      </c>
      <c r="U19" s="5">
        <v>1813</v>
      </c>
      <c r="V19" s="5">
        <v>1504</v>
      </c>
      <c r="W19" s="5">
        <v>0</v>
      </c>
      <c r="X19" s="5">
        <f t="shared" si="58"/>
        <v>5005</v>
      </c>
      <c r="Y19" s="5"/>
      <c r="Z19" s="11">
        <v>44866</v>
      </c>
      <c r="AB19" s="12"/>
      <c r="AC19" s="12"/>
      <c r="AD19" s="12"/>
      <c r="AE19" s="12"/>
      <c r="AF19" s="12"/>
      <c r="AG19" s="12"/>
      <c r="AH19" s="12"/>
      <c r="AI19" s="12"/>
      <c r="AJ19" s="206"/>
      <c r="AL19" s="11">
        <v>44866</v>
      </c>
      <c r="AM19" s="5">
        <v>0</v>
      </c>
      <c r="AN19" s="5">
        <v>542495</v>
      </c>
      <c r="AO19" s="5">
        <v>234913</v>
      </c>
      <c r="AP19" s="5">
        <v>123804</v>
      </c>
      <c r="AQ19" s="5">
        <v>58047</v>
      </c>
      <c r="AR19" s="5">
        <v>155736</v>
      </c>
      <c r="AS19" s="5">
        <v>78300</v>
      </c>
      <c r="AT19" s="5">
        <v>125220</v>
      </c>
      <c r="AU19" s="5">
        <v>171654</v>
      </c>
      <c r="AV19" s="5">
        <f t="shared" si="59"/>
        <v>1490169</v>
      </c>
      <c r="AW19" s="5"/>
      <c r="AX19" s="11">
        <v>44866</v>
      </c>
      <c r="AY19" s="5">
        <v>0</v>
      </c>
      <c r="AZ19" s="5">
        <v>224394</v>
      </c>
      <c r="BA19" s="5">
        <v>137039</v>
      </c>
      <c r="BB19" s="5">
        <v>72902</v>
      </c>
      <c r="BC19" s="5">
        <v>16484</v>
      </c>
      <c r="BD19" s="5">
        <v>92771</v>
      </c>
      <c r="BE19" s="5">
        <v>43933</v>
      </c>
      <c r="BF19" s="5">
        <v>74164</v>
      </c>
      <c r="BG19" s="5">
        <v>99944</v>
      </c>
      <c r="BH19" s="5">
        <f t="shared" si="70"/>
        <v>761631</v>
      </c>
      <c r="BI19" s="8"/>
      <c r="BJ19" s="11">
        <v>44866</v>
      </c>
      <c r="BK19" s="11"/>
      <c r="BL19" s="11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1">
        <v>44866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12"/>
      <c r="CM19" s="11">
        <v>44866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8"/>
      <c r="CY19" s="11">
        <v>44866</v>
      </c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8"/>
      <c r="DK19" s="11">
        <v>44866</v>
      </c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8"/>
      <c r="DW19" s="11">
        <v>44866</v>
      </c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8"/>
      <c r="EI19" s="11">
        <v>44866</v>
      </c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8"/>
      <c r="EU19" s="11">
        <v>44866</v>
      </c>
      <c r="EV19" s="5">
        <v>451240</v>
      </c>
      <c r="EW19" s="5">
        <v>0</v>
      </c>
      <c r="EX19" s="5">
        <v>105441</v>
      </c>
      <c r="EY19" s="5">
        <v>113273</v>
      </c>
      <c r="EZ19" s="5">
        <v>29251</v>
      </c>
      <c r="FA19" s="5">
        <v>5075</v>
      </c>
      <c r="FB19" s="5">
        <v>30473</v>
      </c>
      <c r="FC19" s="5">
        <v>11108</v>
      </c>
      <c r="FD19" s="5">
        <v>24687</v>
      </c>
      <c r="FE19" s="5">
        <v>57252</v>
      </c>
      <c r="FF19" s="13"/>
      <c r="FG19" s="11">
        <v>44866</v>
      </c>
      <c r="FH19" s="5">
        <v>270436</v>
      </c>
      <c r="FI19" s="5">
        <v>0</v>
      </c>
      <c r="FJ19" s="5">
        <v>60989</v>
      </c>
      <c r="FK19" s="5">
        <v>65130</v>
      </c>
      <c r="FL19" s="5">
        <v>17496</v>
      </c>
      <c r="FM19" s="5">
        <v>1407</v>
      </c>
      <c r="FN19" s="5">
        <v>18245</v>
      </c>
      <c r="FO19" s="5">
        <v>6192</v>
      </c>
      <c r="FP19" s="5">
        <v>15309</v>
      </c>
      <c r="FQ19" s="5">
        <v>33557</v>
      </c>
      <c r="FR19" s="5"/>
      <c r="FS19" s="11">
        <v>44866</v>
      </c>
      <c r="FT19" s="5">
        <v>197</v>
      </c>
      <c r="FU19" s="5">
        <v>101</v>
      </c>
      <c r="FV19" s="5">
        <v>30</v>
      </c>
      <c r="FW19" s="5">
        <v>81</v>
      </c>
      <c r="FX19" s="5">
        <v>203</v>
      </c>
      <c r="FY19" s="5">
        <v>642</v>
      </c>
      <c r="FZ19" s="5"/>
      <c r="GA19" s="5">
        <v>352</v>
      </c>
      <c r="GB19" s="5"/>
      <c r="GC19" s="5">
        <v>1580</v>
      </c>
      <c r="GE19" s="11">
        <v>44866</v>
      </c>
      <c r="GQ19" s="11">
        <v>44866</v>
      </c>
      <c r="HC19" s="11">
        <v>44866</v>
      </c>
      <c r="HD19" s="5">
        <f t="shared" si="60"/>
        <v>0</v>
      </c>
      <c r="HE19" s="5">
        <f t="shared" si="61"/>
        <v>0</v>
      </c>
      <c r="HF19" s="5">
        <f t="shared" si="62"/>
        <v>0</v>
      </c>
      <c r="HG19" s="5">
        <f t="shared" si="63"/>
        <v>0</v>
      </c>
      <c r="HH19" s="5">
        <f t="shared" si="64"/>
        <v>0</v>
      </c>
      <c r="HI19" s="5">
        <f t="shared" si="65"/>
        <v>0</v>
      </c>
      <c r="HJ19" s="5">
        <f t="shared" si="66"/>
        <v>0</v>
      </c>
      <c r="HK19" s="5">
        <f t="shared" si="67"/>
        <v>0</v>
      </c>
      <c r="HL19" s="5">
        <f t="shared" si="68"/>
        <v>0</v>
      </c>
      <c r="HM19" s="5">
        <f t="shared" si="69"/>
        <v>0</v>
      </c>
      <c r="HO19" s="11">
        <v>44866</v>
      </c>
      <c r="HP19" s="5">
        <f t="shared" si="71"/>
        <v>0</v>
      </c>
      <c r="HQ19" s="5">
        <f t="shared" si="72"/>
        <v>0</v>
      </c>
      <c r="HR19" s="5">
        <f t="shared" si="73"/>
        <v>0</v>
      </c>
      <c r="HS19" s="5">
        <f t="shared" si="74"/>
        <v>0</v>
      </c>
      <c r="HT19" s="5">
        <f t="shared" si="75"/>
        <v>0</v>
      </c>
      <c r="HU19" s="5">
        <f t="shared" si="76"/>
        <v>0</v>
      </c>
      <c r="HV19" s="5">
        <f t="shared" si="77"/>
        <v>0</v>
      </c>
      <c r="HW19" s="5">
        <f t="shared" si="78"/>
        <v>0</v>
      </c>
      <c r="HX19" s="5">
        <f t="shared" si="79"/>
        <v>0</v>
      </c>
      <c r="HY19" s="5">
        <f t="shared" si="80"/>
        <v>0</v>
      </c>
    </row>
    <row r="20" spans="2:233">
      <c r="B20" s="11">
        <v>44896</v>
      </c>
      <c r="C20" s="5">
        <v>23</v>
      </c>
      <c r="D20" s="5">
        <v>0</v>
      </c>
      <c r="E20" s="5">
        <v>1054</v>
      </c>
      <c r="F20" s="5">
        <v>346</v>
      </c>
      <c r="G20" s="5">
        <v>133</v>
      </c>
      <c r="H20" s="5">
        <v>177</v>
      </c>
      <c r="I20" s="5">
        <v>2477</v>
      </c>
      <c r="J20" s="5">
        <v>1963</v>
      </c>
      <c r="K20" s="5">
        <v>0</v>
      </c>
      <c r="L20" s="5">
        <f t="shared" si="57"/>
        <v>6173</v>
      </c>
      <c r="N20" s="11">
        <v>44896</v>
      </c>
      <c r="O20" s="5">
        <v>23</v>
      </c>
      <c r="P20" s="5">
        <v>0</v>
      </c>
      <c r="Q20" s="5">
        <v>1054</v>
      </c>
      <c r="R20" s="5">
        <v>346</v>
      </c>
      <c r="S20" s="5">
        <v>133</v>
      </c>
      <c r="T20" s="5">
        <v>177</v>
      </c>
      <c r="U20" s="5">
        <v>2477</v>
      </c>
      <c r="V20" s="5">
        <v>1963</v>
      </c>
      <c r="W20" s="5">
        <v>0</v>
      </c>
      <c r="X20" s="5">
        <f t="shared" si="58"/>
        <v>6173</v>
      </c>
      <c r="Y20" s="5"/>
      <c r="Z20" s="11">
        <v>44896</v>
      </c>
      <c r="AB20" s="12"/>
      <c r="AC20" s="12"/>
      <c r="AD20" s="12"/>
      <c r="AE20" s="12"/>
      <c r="AF20" s="12"/>
      <c r="AG20" s="12"/>
      <c r="AH20" s="12"/>
      <c r="AI20" s="12"/>
      <c r="AJ20" s="206"/>
      <c r="AL20" s="11">
        <v>44896</v>
      </c>
      <c r="AM20" s="5">
        <v>0</v>
      </c>
      <c r="AN20" s="5">
        <v>752395</v>
      </c>
      <c r="AO20" s="5">
        <v>274206</v>
      </c>
      <c r="AP20" s="5">
        <v>108891</v>
      </c>
      <c r="AQ20" s="5">
        <v>66112</v>
      </c>
      <c r="AR20" s="5">
        <v>78087</v>
      </c>
      <c r="AS20" s="5">
        <v>40529</v>
      </c>
      <c r="AT20" s="5">
        <v>83146</v>
      </c>
      <c r="AU20" s="5">
        <v>137882</v>
      </c>
      <c r="AV20" s="5">
        <f t="shared" si="59"/>
        <v>1541248</v>
      </c>
      <c r="AW20" s="5"/>
      <c r="AX20" s="11">
        <v>44896</v>
      </c>
      <c r="AY20" s="5">
        <v>0</v>
      </c>
      <c r="AZ20" s="5">
        <v>297043</v>
      </c>
      <c r="BA20" s="5">
        <v>179806</v>
      </c>
      <c r="BB20" s="5">
        <v>77159</v>
      </c>
      <c r="BC20" s="5">
        <v>28728</v>
      </c>
      <c r="BD20" s="5">
        <v>39277</v>
      </c>
      <c r="BE20" s="5">
        <v>22809</v>
      </c>
      <c r="BF20" s="5">
        <v>46958</v>
      </c>
      <c r="BG20" s="5">
        <v>83661</v>
      </c>
      <c r="BH20" s="5">
        <f t="shared" si="70"/>
        <v>775441</v>
      </c>
      <c r="BI20" s="8"/>
      <c r="BJ20" s="11">
        <v>44896</v>
      </c>
      <c r="BK20" s="11"/>
      <c r="BL20" s="11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1">
        <v>44896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12"/>
      <c r="CM20" s="11">
        <v>44896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8"/>
      <c r="CY20" s="11">
        <v>44896</v>
      </c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8"/>
      <c r="DK20" s="11">
        <v>44896</v>
      </c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8"/>
      <c r="DW20" s="11">
        <v>44896</v>
      </c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8"/>
      <c r="EI20" s="11">
        <v>44896</v>
      </c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8"/>
      <c r="EU20" s="11">
        <v>44896</v>
      </c>
      <c r="EV20" s="5">
        <v>481639</v>
      </c>
      <c r="EW20" s="5">
        <v>0</v>
      </c>
      <c r="EX20" s="5">
        <v>99560</v>
      </c>
      <c r="EY20" s="5">
        <v>125937</v>
      </c>
      <c r="EZ20" s="5">
        <v>26506</v>
      </c>
      <c r="FA20" s="5">
        <v>4645</v>
      </c>
      <c r="FB20" s="5">
        <v>21963</v>
      </c>
      <c r="FC20" s="5">
        <v>8290</v>
      </c>
      <c r="FD20" s="5">
        <v>22061</v>
      </c>
      <c r="FE20" s="5">
        <v>54689</v>
      </c>
      <c r="FF20" s="13"/>
      <c r="FG20" s="11">
        <v>44896</v>
      </c>
      <c r="FH20" s="5">
        <v>293255</v>
      </c>
      <c r="FI20" s="5">
        <v>0</v>
      </c>
      <c r="FJ20" s="5">
        <v>55045</v>
      </c>
      <c r="FK20" s="5">
        <v>76810</v>
      </c>
      <c r="FL20" s="5">
        <v>16291</v>
      </c>
      <c r="FM20" s="5">
        <v>2224</v>
      </c>
      <c r="FN20" s="5">
        <v>12515</v>
      </c>
      <c r="FO20" s="5">
        <v>4569</v>
      </c>
      <c r="FP20" s="5">
        <v>13179</v>
      </c>
      <c r="FQ20" s="5">
        <v>32154</v>
      </c>
      <c r="FR20" s="5"/>
      <c r="FS20" s="11">
        <v>44896</v>
      </c>
      <c r="FT20" s="5">
        <v>198</v>
      </c>
      <c r="FU20" s="5">
        <v>119</v>
      </c>
      <c r="FV20" s="5">
        <v>21</v>
      </c>
      <c r="FW20" s="5">
        <v>64</v>
      </c>
      <c r="FX20" s="5">
        <v>132</v>
      </c>
      <c r="FY20" s="5">
        <v>779</v>
      </c>
      <c r="FZ20" s="5"/>
      <c r="GA20" s="5">
        <v>383</v>
      </c>
      <c r="GB20" s="5"/>
      <c r="GC20" s="5">
        <v>1683</v>
      </c>
      <c r="GE20" s="11">
        <v>44896</v>
      </c>
      <c r="GQ20" s="11">
        <v>44896</v>
      </c>
      <c r="HC20" s="11">
        <v>44896</v>
      </c>
      <c r="HD20" s="5">
        <f t="shared" si="60"/>
        <v>0</v>
      </c>
      <c r="HE20" s="5">
        <f t="shared" si="61"/>
        <v>0</v>
      </c>
      <c r="HF20" s="5">
        <f t="shared" si="62"/>
        <v>0</v>
      </c>
      <c r="HG20" s="5">
        <f t="shared" si="63"/>
        <v>0</v>
      </c>
      <c r="HH20" s="5">
        <f t="shared" si="64"/>
        <v>0</v>
      </c>
      <c r="HI20" s="5">
        <f t="shared" si="65"/>
        <v>0</v>
      </c>
      <c r="HJ20" s="5">
        <f t="shared" si="66"/>
        <v>0</v>
      </c>
      <c r="HK20" s="5">
        <f t="shared" si="67"/>
        <v>0</v>
      </c>
      <c r="HL20" s="5">
        <f t="shared" si="68"/>
        <v>0</v>
      </c>
      <c r="HM20" s="5">
        <f t="shared" si="69"/>
        <v>0</v>
      </c>
      <c r="HO20" s="11">
        <v>44896</v>
      </c>
      <c r="HP20" s="5">
        <f t="shared" si="71"/>
        <v>0</v>
      </c>
      <c r="HQ20" s="5">
        <f t="shared" si="72"/>
        <v>0</v>
      </c>
      <c r="HR20" s="5">
        <f t="shared" si="73"/>
        <v>0</v>
      </c>
      <c r="HS20" s="5">
        <f t="shared" si="74"/>
        <v>0</v>
      </c>
      <c r="HT20" s="5">
        <f t="shared" si="75"/>
        <v>0</v>
      </c>
      <c r="HU20" s="5">
        <f t="shared" si="76"/>
        <v>0</v>
      </c>
      <c r="HV20" s="5">
        <f t="shared" si="77"/>
        <v>0</v>
      </c>
      <c r="HW20" s="5">
        <f t="shared" si="78"/>
        <v>0</v>
      </c>
      <c r="HX20" s="5">
        <f t="shared" si="79"/>
        <v>0</v>
      </c>
      <c r="HY20" s="5">
        <f t="shared" si="80"/>
        <v>0</v>
      </c>
    </row>
    <row r="21" spans="2:233">
      <c r="B21" s="11">
        <v>44927</v>
      </c>
      <c r="C21" s="5">
        <v>33</v>
      </c>
      <c r="D21" s="5">
        <v>0</v>
      </c>
      <c r="E21" s="5">
        <v>804</v>
      </c>
      <c r="F21" s="5">
        <v>228</v>
      </c>
      <c r="G21" s="5">
        <v>105</v>
      </c>
      <c r="H21" s="5">
        <v>129</v>
      </c>
      <c r="I21" s="5">
        <v>1401</v>
      </c>
      <c r="J21" s="5">
        <v>1207</v>
      </c>
      <c r="K21" s="5">
        <v>0</v>
      </c>
      <c r="L21" s="5">
        <f t="shared" si="57"/>
        <v>3907</v>
      </c>
      <c r="N21" s="11">
        <v>44927</v>
      </c>
      <c r="O21" s="5">
        <v>33</v>
      </c>
      <c r="P21" s="5">
        <v>0</v>
      </c>
      <c r="Q21" s="5">
        <v>804</v>
      </c>
      <c r="R21" s="5">
        <v>228</v>
      </c>
      <c r="S21" s="5">
        <v>105</v>
      </c>
      <c r="T21" s="5">
        <v>129</v>
      </c>
      <c r="U21" s="5">
        <v>1401</v>
      </c>
      <c r="V21" s="5">
        <v>1207</v>
      </c>
      <c r="W21" s="5">
        <v>0</v>
      </c>
      <c r="X21" s="5">
        <f t="shared" si="58"/>
        <v>3907</v>
      </c>
      <c r="Y21" s="5"/>
      <c r="Z21" s="11">
        <v>44927</v>
      </c>
      <c r="AB21" s="12"/>
      <c r="AC21" s="12"/>
      <c r="AD21" s="12"/>
      <c r="AE21" s="12"/>
      <c r="AF21" s="12"/>
      <c r="AG21" s="12"/>
      <c r="AH21" s="12"/>
      <c r="AI21" s="12"/>
      <c r="AJ21" s="206"/>
      <c r="AL21" s="11">
        <v>44927</v>
      </c>
      <c r="AM21" s="5">
        <v>0</v>
      </c>
      <c r="AN21" s="5">
        <v>581662</v>
      </c>
      <c r="AO21" s="5">
        <v>302400</v>
      </c>
      <c r="AP21" s="5">
        <v>78929</v>
      </c>
      <c r="AQ21" s="5">
        <v>56869</v>
      </c>
      <c r="AR21" s="5">
        <v>141416</v>
      </c>
      <c r="AS21" s="5">
        <v>35648</v>
      </c>
      <c r="AT21" s="5">
        <v>65905</v>
      </c>
      <c r="AU21" s="5">
        <v>140127</v>
      </c>
      <c r="AV21" s="5">
        <f t="shared" si="59"/>
        <v>1402956</v>
      </c>
      <c r="AW21" s="5"/>
      <c r="AX21" s="11">
        <v>44927</v>
      </c>
      <c r="AY21" s="5">
        <v>0</v>
      </c>
      <c r="AZ21" s="5">
        <v>182114</v>
      </c>
      <c r="BA21" s="5">
        <v>225037</v>
      </c>
      <c r="BB21" s="5">
        <v>60601</v>
      </c>
      <c r="BC21" s="5">
        <v>26218</v>
      </c>
      <c r="BD21" s="5">
        <v>113473</v>
      </c>
      <c r="BE21" s="5">
        <v>24578</v>
      </c>
      <c r="BF21" s="5">
        <v>44578</v>
      </c>
      <c r="BG21" s="5">
        <v>88502</v>
      </c>
      <c r="BH21" s="5">
        <f t="shared" si="70"/>
        <v>765101</v>
      </c>
      <c r="BI21" s="8"/>
      <c r="BJ21" s="11">
        <v>44927</v>
      </c>
      <c r="BK21" s="5">
        <f t="shared" ref="BK21:BK57" si="81">BM21+BO21</f>
        <v>494070</v>
      </c>
      <c r="BL21" s="8"/>
      <c r="BM21" s="12"/>
      <c r="BN21" s="12"/>
      <c r="BO21" s="5">
        <v>494070</v>
      </c>
      <c r="BP21" s="5"/>
      <c r="BQ21" s="5">
        <v>141982</v>
      </c>
      <c r="BR21" s="5">
        <v>164133</v>
      </c>
      <c r="BS21" s="5">
        <v>30710</v>
      </c>
      <c r="BT21" s="5"/>
      <c r="BU21" s="5">
        <v>20056</v>
      </c>
      <c r="BV21" s="5">
        <v>7900</v>
      </c>
      <c r="BW21" s="5">
        <v>19973</v>
      </c>
      <c r="BX21" s="5">
        <v>108499</v>
      </c>
      <c r="BY21" s="5">
        <v>817</v>
      </c>
      <c r="BZ21" s="8"/>
      <c r="CA21" s="11">
        <v>44927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12"/>
      <c r="CM21" s="11">
        <v>44927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8"/>
      <c r="CY21" s="11">
        <v>44927</v>
      </c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8"/>
      <c r="DK21" s="11">
        <v>44927</v>
      </c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8"/>
      <c r="DW21" s="11">
        <v>44927</v>
      </c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8"/>
      <c r="EI21" s="11">
        <v>44927</v>
      </c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8"/>
      <c r="EU21" s="11">
        <v>44927</v>
      </c>
      <c r="EV21" s="5">
        <v>528285</v>
      </c>
      <c r="EW21" s="5">
        <v>0</v>
      </c>
      <c r="EX21" s="5">
        <v>81612</v>
      </c>
      <c r="EY21" s="5">
        <v>122341</v>
      </c>
      <c r="EZ21" s="5">
        <v>23781</v>
      </c>
      <c r="FA21" s="5">
        <v>4138</v>
      </c>
      <c r="FB21" s="5">
        <v>22720</v>
      </c>
      <c r="FC21" s="5">
        <v>7199</v>
      </c>
      <c r="FD21" s="5">
        <v>21136</v>
      </c>
      <c r="FE21" s="5">
        <v>52781</v>
      </c>
      <c r="FF21" s="13"/>
      <c r="FG21" s="11">
        <v>44927</v>
      </c>
      <c r="FH21" s="5">
        <v>324362</v>
      </c>
      <c r="FI21" s="5">
        <v>0</v>
      </c>
      <c r="FJ21" s="5">
        <v>46376</v>
      </c>
      <c r="FK21" s="5">
        <v>78413</v>
      </c>
      <c r="FL21" s="5">
        <v>15004</v>
      </c>
      <c r="FM21" s="5">
        <v>1887</v>
      </c>
      <c r="FN21" s="5">
        <v>14818</v>
      </c>
      <c r="FO21" s="5">
        <v>4319</v>
      </c>
      <c r="FP21" s="5">
        <v>13490</v>
      </c>
      <c r="FQ21" s="5">
        <v>32291</v>
      </c>
      <c r="FR21" s="5"/>
      <c r="FS21" s="11">
        <v>44927</v>
      </c>
      <c r="FT21" s="5">
        <v>208</v>
      </c>
      <c r="FU21" s="5">
        <v>120</v>
      </c>
      <c r="FV21" s="5">
        <v>26</v>
      </c>
      <c r="FW21" s="5">
        <v>69</v>
      </c>
      <c r="FX21" s="5">
        <v>128</v>
      </c>
      <c r="FY21" s="5">
        <v>741</v>
      </c>
      <c r="FZ21" s="5"/>
      <c r="GA21" s="5">
        <v>319</v>
      </c>
      <c r="GB21" s="5"/>
      <c r="GC21" s="5">
        <v>1596</v>
      </c>
      <c r="GE21" s="11">
        <v>44927</v>
      </c>
      <c r="GF21" s="5"/>
      <c r="GG21" s="5"/>
      <c r="GH21" s="5"/>
      <c r="GI21" s="5"/>
      <c r="GJ21" s="5"/>
      <c r="GK21" s="5"/>
      <c r="GL21" s="5"/>
      <c r="GM21" s="5"/>
      <c r="GN21" s="5"/>
      <c r="GO21" s="5"/>
      <c r="GQ21" s="11">
        <v>44927</v>
      </c>
      <c r="HC21" s="11">
        <v>44927</v>
      </c>
      <c r="HD21" s="5">
        <f t="shared" si="60"/>
        <v>0</v>
      </c>
      <c r="HE21" s="5">
        <f t="shared" si="61"/>
        <v>0</v>
      </c>
      <c r="HF21" s="5">
        <f t="shared" si="62"/>
        <v>141982</v>
      </c>
      <c r="HG21" s="5">
        <f t="shared" si="63"/>
        <v>164133</v>
      </c>
      <c r="HH21" s="5">
        <f t="shared" si="64"/>
        <v>30710</v>
      </c>
      <c r="HI21" s="5">
        <f t="shared" si="65"/>
        <v>0</v>
      </c>
      <c r="HJ21" s="5">
        <f t="shared" si="66"/>
        <v>20056</v>
      </c>
      <c r="HK21" s="5">
        <f t="shared" si="67"/>
        <v>7900</v>
      </c>
      <c r="HL21" s="5">
        <f t="shared" si="68"/>
        <v>19973</v>
      </c>
      <c r="HM21" s="5">
        <f t="shared" si="69"/>
        <v>108499</v>
      </c>
      <c r="HO21" s="11">
        <v>44927</v>
      </c>
      <c r="HP21" s="5">
        <f t="shared" si="71"/>
        <v>0</v>
      </c>
      <c r="HQ21" s="5">
        <f t="shared" si="72"/>
        <v>0</v>
      </c>
      <c r="HR21" s="5">
        <f t="shared" si="73"/>
        <v>0</v>
      </c>
      <c r="HS21" s="5">
        <f t="shared" si="74"/>
        <v>0</v>
      </c>
      <c r="HT21" s="5">
        <f t="shared" si="75"/>
        <v>0</v>
      </c>
      <c r="HU21" s="5">
        <f t="shared" si="76"/>
        <v>0</v>
      </c>
      <c r="HV21" s="5">
        <f t="shared" si="77"/>
        <v>0</v>
      </c>
      <c r="HW21" s="5">
        <f t="shared" si="78"/>
        <v>0</v>
      </c>
      <c r="HX21" s="5">
        <f t="shared" si="79"/>
        <v>0</v>
      </c>
      <c r="HY21" s="5">
        <f t="shared" si="80"/>
        <v>0</v>
      </c>
    </row>
    <row r="22" spans="2:233">
      <c r="B22" s="11">
        <v>44958</v>
      </c>
      <c r="C22" s="5">
        <v>32</v>
      </c>
      <c r="D22" s="5">
        <v>0</v>
      </c>
      <c r="E22" s="5">
        <v>719</v>
      </c>
      <c r="F22" s="5">
        <v>173</v>
      </c>
      <c r="G22" s="5">
        <v>111</v>
      </c>
      <c r="H22" s="5">
        <v>171</v>
      </c>
      <c r="I22" s="5">
        <v>1762</v>
      </c>
      <c r="J22" s="5">
        <v>1241</v>
      </c>
      <c r="K22" s="5">
        <v>0</v>
      </c>
      <c r="L22" s="5">
        <f t="shared" si="57"/>
        <v>4209</v>
      </c>
      <c r="N22" s="11">
        <v>44958</v>
      </c>
      <c r="O22" s="5">
        <v>32</v>
      </c>
      <c r="P22" s="5">
        <v>0</v>
      </c>
      <c r="Q22" s="5">
        <v>719</v>
      </c>
      <c r="R22" s="5">
        <v>173</v>
      </c>
      <c r="S22" s="5">
        <v>111</v>
      </c>
      <c r="T22" s="5">
        <v>171</v>
      </c>
      <c r="U22" s="5">
        <v>1762</v>
      </c>
      <c r="V22" s="5">
        <v>1241</v>
      </c>
      <c r="W22" s="5">
        <v>0</v>
      </c>
      <c r="X22" s="5">
        <f t="shared" si="58"/>
        <v>4209</v>
      </c>
      <c r="Y22" s="5"/>
      <c r="Z22" s="11">
        <v>44958</v>
      </c>
      <c r="AB22" s="12"/>
      <c r="AC22" s="12"/>
      <c r="AD22" s="12"/>
      <c r="AE22" s="12"/>
      <c r="AF22" s="12"/>
      <c r="AG22" s="12"/>
      <c r="AH22" s="12"/>
      <c r="AI22" s="12"/>
      <c r="AJ22" s="206"/>
      <c r="AL22" s="11">
        <v>44958</v>
      </c>
      <c r="AM22" s="5">
        <v>0</v>
      </c>
      <c r="AN22" s="5">
        <v>760762</v>
      </c>
      <c r="AO22" s="5">
        <v>262049</v>
      </c>
      <c r="AP22" s="5">
        <v>85909</v>
      </c>
      <c r="AQ22" s="5">
        <v>73305</v>
      </c>
      <c r="AR22" s="5">
        <v>141056</v>
      </c>
      <c r="AS22" s="5">
        <v>34535</v>
      </c>
      <c r="AT22" s="5">
        <v>53571</v>
      </c>
      <c r="AU22" s="5">
        <v>127644</v>
      </c>
      <c r="AV22" s="5">
        <f t="shared" si="59"/>
        <v>1538831</v>
      </c>
      <c r="AW22" s="5"/>
      <c r="AX22" s="11">
        <v>44958</v>
      </c>
      <c r="AY22" s="5">
        <v>0</v>
      </c>
      <c r="AZ22" s="5">
        <v>222295</v>
      </c>
      <c r="BA22" s="5">
        <v>181674</v>
      </c>
      <c r="BB22" s="5">
        <v>68912</v>
      </c>
      <c r="BC22" s="5">
        <v>45384</v>
      </c>
      <c r="BD22" s="5">
        <v>114568</v>
      </c>
      <c r="BE22" s="5">
        <v>20301</v>
      </c>
      <c r="BF22" s="5">
        <v>35089</v>
      </c>
      <c r="BG22" s="5">
        <v>69110</v>
      </c>
      <c r="BH22" s="5">
        <f t="shared" si="70"/>
        <v>757333</v>
      </c>
      <c r="BI22" s="8"/>
      <c r="BJ22" s="11">
        <v>44958</v>
      </c>
      <c r="BK22" s="5">
        <f t="shared" si="81"/>
        <v>519687</v>
      </c>
      <c r="BL22" s="8"/>
      <c r="BM22" s="12"/>
      <c r="BN22" s="12"/>
      <c r="BO22" s="5">
        <v>519687</v>
      </c>
      <c r="BP22" s="5"/>
      <c r="BQ22" s="5">
        <v>152367</v>
      </c>
      <c r="BR22" s="5">
        <v>172851</v>
      </c>
      <c r="BS22" s="5">
        <v>29173</v>
      </c>
      <c r="BT22" s="5"/>
      <c r="BU22" s="5">
        <v>24884</v>
      </c>
      <c r="BV22" s="5">
        <v>8838</v>
      </c>
      <c r="BW22" s="5">
        <v>20589</v>
      </c>
      <c r="BX22" s="5">
        <v>110627</v>
      </c>
      <c r="BY22" s="5">
        <v>358</v>
      </c>
      <c r="BZ22" s="8"/>
      <c r="CA22" s="11">
        <v>44958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12"/>
      <c r="CM22" s="11">
        <v>44958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8"/>
      <c r="CY22" s="11">
        <v>44958</v>
      </c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8"/>
      <c r="DK22" s="11">
        <v>44958</v>
      </c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8"/>
      <c r="DW22" s="11">
        <v>44958</v>
      </c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8"/>
      <c r="EI22" s="11">
        <v>44958</v>
      </c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8"/>
      <c r="EU22" s="11">
        <v>44958</v>
      </c>
      <c r="EV22" s="5">
        <v>567578</v>
      </c>
      <c r="EW22" s="5">
        <v>0</v>
      </c>
      <c r="EX22" s="5">
        <v>98007</v>
      </c>
      <c r="EY22" s="5">
        <v>124620</v>
      </c>
      <c r="EZ22" s="5">
        <v>25869</v>
      </c>
      <c r="FA22" s="5">
        <v>11240</v>
      </c>
      <c r="FB22" s="5">
        <v>22023</v>
      </c>
      <c r="FC22" s="5">
        <v>7401</v>
      </c>
      <c r="FD22" s="5">
        <v>17985</v>
      </c>
      <c r="FE22" s="5">
        <v>55236</v>
      </c>
      <c r="FF22" s="13"/>
      <c r="FG22" s="11">
        <v>44958</v>
      </c>
      <c r="FH22" s="5">
        <v>344990</v>
      </c>
      <c r="FI22" s="5">
        <v>0</v>
      </c>
      <c r="FJ22" s="5">
        <v>56655</v>
      </c>
      <c r="FK22" s="5">
        <v>74919</v>
      </c>
      <c r="FL22" s="5">
        <v>16335</v>
      </c>
      <c r="FM22" s="5">
        <v>5776</v>
      </c>
      <c r="FN22" s="5">
        <v>14494</v>
      </c>
      <c r="FO22" s="5">
        <v>4133</v>
      </c>
      <c r="FP22" s="5">
        <v>10644</v>
      </c>
      <c r="FQ22" s="5">
        <v>31692</v>
      </c>
      <c r="FR22" s="5"/>
      <c r="FS22" s="11">
        <v>44958</v>
      </c>
      <c r="FT22" s="5">
        <v>504</v>
      </c>
      <c r="FU22" s="5">
        <v>234</v>
      </c>
      <c r="FV22" s="5">
        <v>43</v>
      </c>
      <c r="FW22" s="5">
        <v>173</v>
      </c>
      <c r="FX22" s="5">
        <v>170</v>
      </c>
      <c r="FY22" s="5">
        <v>1368</v>
      </c>
      <c r="FZ22" s="5">
        <v>162</v>
      </c>
      <c r="GA22" s="5">
        <v>780</v>
      </c>
      <c r="GB22" s="5"/>
      <c r="GC22" s="5">
        <v>3374</v>
      </c>
      <c r="GE22" s="11">
        <v>44958</v>
      </c>
      <c r="GF22" s="5"/>
      <c r="GG22" s="5"/>
      <c r="GH22" s="5"/>
      <c r="GI22" s="5"/>
      <c r="GJ22" s="5"/>
      <c r="GK22" s="5"/>
      <c r="GL22" s="5"/>
      <c r="GM22" s="5"/>
      <c r="GN22" s="5"/>
      <c r="GO22" s="5"/>
      <c r="GQ22" s="11">
        <v>44958</v>
      </c>
      <c r="HC22" s="11">
        <v>44958</v>
      </c>
      <c r="HD22" s="5">
        <f t="shared" si="60"/>
        <v>0</v>
      </c>
      <c r="HE22" s="5">
        <f t="shared" si="61"/>
        <v>0</v>
      </c>
      <c r="HF22" s="5">
        <f t="shared" si="62"/>
        <v>152367</v>
      </c>
      <c r="HG22" s="5">
        <f t="shared" si="63"/>
        <v>172851</v>
      </c>
      <c r="HH22" s="5">
        <f t="shared" si="64"/>
        <v>29173</v>
      </c>
      <c r="HI22" s="5">
        <f t="shared" si="65"/>
        <v>0</v>
      </c>
      <c r="HJ22" s="5">
        <f t="shared" si="66"/>
        <v>24884</v>
      </c>
      <c r="HK22" s="5">
        <f t="shared" si="67"/>
        <v>8838</v>
      </c>
      <c r="HL22" s="5">
        <f t="shared" si="68"/>
        <v>20589</v>
      </c>
      <c r="HM22" s="5">
        <f t="shared" si="69"/>
        <v>110627</v>
      </c>
      <c r="HO22" s="11">
        <v>44958</v>
      </c>
      <c r="HP22" s="5">
        <f t="shared" si="71"/>
        <v>0</v>
      </c>
      <c r="HQ22" s="5">
        <f t="shared" si="72"/>
        <v>0</v>
      </c>
      <c r="HR22" s="5">
        <f t="shared" si="73"/>
        <v>0</v>
      </c>
      <c r="HS22" s="5">
        <f t="shared" si="74"/>
        <v>0</v>
      </c>
      <c r="HT22" s="5">
        <f t="shared" si="75"/>
        <v>0</v>
      </c>
      <c r="HU22" s="5">
        <f t="shared" si="76"/>
        <v>0</v>
      </c>
      <c r="HV22" s="5">
        <f t="shared" si="77"/>
        <v>0</v>
      </c>
      <c r="HW22" s="5">
        <f t="shared" si="78"/>
        <v>0</v>
      </c>
      <c r="HX22" s="5">
        <f t="shared" si="79"/>
        <v>0</v>
      </c>
      <c r="HY22" s="5">
        <f t="shared" si="80"/>
        <v>0</v>
      </c>
    </row>
    <row r="23" spans="2:233">
      <c r="B23" s="11">
        <v>44986</v>
      </c>
      <c r="C23" s="5">
        <v>24</v>
      </c>
      <c r="D23" s="5">
        <v>45</v>
      </c>
      <c r="E23" s="5">
        <v>934</v>
      </c>
      <c r="F23" s="5">
        <v>245</v>
      </c>
      <c r="G23" s="5">
        <v>140</v>
      </c>
      <c r="H23" s="5">
        <v>212</v>
      </c>
      <c r="I23" s="5">
        <v>2100</v>
      </c>
      <c r="J23" s="5">
        <v>1491</v>
      </c>
      <c r="K23" s="5">
        <v>0</v>
      </c>
      <c r="L23" s="5">
        <f t="shared" si="57"/>
        <v>5191</v>
      </c>
      <c r="N23" s="11">
        <v>44986</v>
      </c>
      <c r="O23" s="5">
        <v>24</v>
      </c>
      <c r="P23" s="5">
        <v>45</v>
      </c>
      <c r="Q23" s="5">
        <v>934</v>
      </c>
      <c r="R23" s="5">
        <v>245</v>
      </c>
      <c r="S23" s="5">
        <v>140</v>
      </c>
      <c r="T23" s="5">
        <v>212</v>
      </c>
      <c r="U23" s="5">
        <v>2100</v>
      </c>
      <c r="V23" s="5">
        <v>1491</v>
      </c>
      <c r="W23" s="5">
        <v>0</v>
      </c>
      <c r="X23" s="5">
        <f t="shared" si="58"/>
        <v>5191</v>
      </c>
      <c r="Y23" s="5"/>
      <c r="Z23" s="11">
        <v>44986</v>
      </c>
      <c r="AB23" s="12"/>
      <c r="AC23" s="12"/>
      <c r="AD23" s="12"/>
      <c r="AE23" s="12"/>
      <c r="AF23" s="12"/>
      <c r="AG23" s="12"/>
      <c r="AH23" s="12"/>
      <c r="AI23" s="12"/>
      <c r="AJ23" s="206"/>
      <c r="AL23" s="11">
        <v>44986</v>
      </c>
      <c r="AM23" s="5">
        <v>0</v>
      </c>
      <c r="AN23" s="5">
        <v>521350</v>
      </c>
      <c r="AO23" s="5">
        <v>445659</v>
      </c>
      <c r="AP23" s="5">
        <v>121942</v>
      </c>
      <c r="AQ23" s="5">
        <v>87078</v>
      </c>
      <c r="AR23" s="5">
        <v>100421</v>
      </c>
      <c r="AS23" s="5">
        <v>34843</v>
      </c>
      <c r="AT23" s="5">
        <v>51831</v>
      </c>
      <c r="AU23" s="5">
        <v>170136</v>
      </c>
      <c r="AV23" s="5">
        <f t="shared" si="59"/>
        <v>1533260</v>
      </c>
      <c r="AW23" s="5"/>
      <c r="AX23" s="11">
        <v>44986</v>
      </c>
      <c r="AY23" s="5">
        <v>0</v>
      </c>
      <c r="AZ23" s="5">
        <v>161626</v>
      </c>
      <c r="BA23" s="5">
        <v>179707</v>
      </c>
      <c r="BB23" s="5">
        <v>101877</v>
      </c>
      <c r="BC23" s="5">
        <v>52677</v>
      </c>
      <c r="BD23" s="5">
        <v>70989</v>
      </c>
      <c r="BE23" s="5">
        <v>21615</v>
      </c>
      <c r="BF23" s="5">
        <v>32521</v>
      </c>
      <c r="BG23" s="5">
        <v>97979</v>
      </c>
      <c r="BH23" s="5">
        <f t="shared" si="70"/>
        <v>718991</v>
      </c>
      <c r="BI23" s="8"/>
      <c r="BJ23" s="11">
        <v>44986</v>
      </c>
      <c r="BK23" s="5">
        <f t="shared" si="81"/>
        <v>590849</v>
      </c>
      <c r="BL23" s="8"/>
      <c r="BM23" s="12"/>
      <c r="BN23" s="12"/>
      <c r="BO23" s="5">
        <v>590849</v>
      </c>
      <c r="BP23" s="5"/>
      <c r="BQ23" s="5">
        <v>164150</v>
      </c>
      <c r="BR23" s="5">
        <v>197427</v>
      </c>
      <c r="BS23" s="5">
        <v>32418</v>
      </c>
      <c r="BT23" s="5">
        <v>3475</v>
      </c>
      <c r="BU23" s="5">
        <v>30504</v>
      </c>
      <c r="BV23" s="5">
        <v>8777</v>
      </c>
      <c r="BW23" s="5">
        <v>29715</v>
      </c>
      <c r="BX23" s="5">
        <v>124035</v>
      </c>
      <c r="BY23" s="5">
        <v>2376</v>
      </c>
      <c r="BZ23" s="8"/>
      <c r="CA23" s="11">
        <v>44986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12"/>
      <c r="CM23" s="11">
        <v>44986</v>
      </c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8"/>
      <c r="CY23" s="11">
        <v>44986</v>
      </c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8"/>
      <c r="DK23" s="11">
        <v>44986</v>
      </c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8"/>
      <c r="DW23" s="11">
        <v>44986</v>
      </c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8"/>
      <c r="EI23" s="11">
        <v>44986</v>
      </c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8"/>
      <c r="EU23" s="11">
        <v>44986</v>
      </c>
      <c r="EV23" s="5">
        <v>565958</v>
      </c>
      <c r="EW23" s="5">
        <v>0</v>
      </c>
      <c r="EX23" s="5">
        <v>89288</v>
      </c>
      <c r="EY23" s="5">
        <v>130811</v>
      </c>
      <c r="EZ23" s="5">
        <v>29461</v>
      </c>
      <c r="FA23" s="5">
        <v>24846</v>
      </c>
      <c r="FB23" s="5">
        <v>18507</v>
      </c>
      <c r="FC23" s="5">
        <v>6403</v>
      </c>
      <c r="FD23" s="5">
        <v>16531</v>
      </c>
      <c r="FE23" s="5">
        <v>58710</v>
      </c>
      <c r="FF23" s="13"/>
      <c r="FG23" s="11">
        <v>44986</v>
      </c>
      <c r="FH23" s="5">
        <v>298377</v>
      </c>
      <c r="FI23" s="5">
        <v>0</v>
      </c>
      <c r="FJ23" s="5">
        <v>42412</v>
      </c>
      <c r="FK23" s="5">
        <v>67312</v>
      </c>
      <c r="FL23" s="5">
        <v>17982</v>
      </c>
      <c r="FM23" s="5">
        <v>12320</v>
      </c>
      <c r="FN23" s="5">
        <v>10117</v>
      </c>
      <c r="FO23" s="5">
        <v>3369</v>
      </c>
      <c r="FP23" s="5">
        <v>8614</v>
      </c>
      <c r="FQ23" s="5">
        <v>30235</v>
      </c>
      <c r="FR23" s="5"/>
      <c r="FS23" s="11">
        <v>44986</v>
      </c>
      <c r="FT23" s="5">
        <v>637</v>
      </c>
      <c r="FU23" s="5">
        <v>312</v>
      </c>
      <c r="FV23" s="5">
        <v>52</v>
      </c>
      <c r="FW23" s="5">
        <v>142</v>
      </c>
      <c r="FX23" s="5">
        <v>190</v>
      </c>
      <c r="FY23" s="5">
        <v>1781</v>
      </c>
      <c r="FZ23" s="5">
        <v>373</v>
      </c>
      <c r="GA23" s="5">
        <v>814</v>
      </c>
      <c r="GB23" s="5"/>
      <c r="GC23" s="5">
        <v>4214</v>
      </c>
      <c r="GE23" s="11">
        <v>44986</v>
      </c>
      <c r="GF23" s="5"/>
      <c r="GG23" s="5"/>
      <c r="GH23" s="5"/>
      <c r="GI23" s="5"/>
      <c r="GJ23" s="5"/>
      <c r="GK23" s="5"/>
      <c r="GL23" s="5"/>
      <c r="GM23" s="5"/>
      <c r="GN23" s="5"/>
      <c r="GO23" s="5"/>
      <c r="GQ23" s="11">
        <v>44986</v>
      </c>
      <c r="HC23" s="11">
        <v>44986</v>
      </c>
      <c r="HD23" s="5">
        <f t="shared" si="60"/>
        <v>0</v>
      </c>
      <c r="HE23" s="5">
        <f t="shared" si="61"/>
        <v>0</v>
      </c>
      <c r="HF23" s="5">
        <f t="shared" si="62"/>
        <v>164150</v>
      </c>
      <c r="HG23" s="5">
        <f t="shared" si="63"/>
        <v>197427</v>
      </c>
      <c r="HH23" s="5">
        <f t="shared" si="64"/>
        <v>32418</v>
      </c>
      <c r="HI23" s="5">
        <f t="shared" si="65"/>
        <v>3475</v>
      </c>
      <c r="HJ23" s="5">
        <f t="shared" si="66"/>
        <v>30504</v>
      </c>
      <c r="HK23" s="5">
        <f t="shared" si="67"/>
        <v>8777</v>
      </c>
      <c r="HL23" s="5">
        <f t="shared" si="68"/>
        <v>29715</v>
      </c>
      <c r="HM23" s="5">
        <f t="shared" si="69"/>
        <v>124035</v>
      </c>
      <c r="HO23" s="11">
        <v>44986</v>
      </c>
      <c r="HP23" s="5">
        <f t="shared" si="71"/>
        <v>0</v>
      </c>
      <c r="HQ23" s="5">
        <f t="shared" si="72"/>
        <v>0</v>
      </c>
      <c r="HR23" s="5">
        <f t="shared" si="73"/>
        <v>0</v>
      </c>
      <c r="HS23" s="5">
        <f t="shared" si="74"/>
        <v>0</v>
      </c>
      <c r="HT23" s="5">
        <f t="shared" si="75"/>
        <v>0</v>
      </c>
      <c r="HU23" s="5">
        <f t="shared" si="76"/>
        <v>0</v>
      </c>
      <c r="HV23" s="5">
        <f t="shared" si="77"/>
        <v>0</v>
      </c>
      <c r="HW23" s="5">
        <f t="shared" si="78"/>
        <v>0</v>
      </c>
      <c r="HX23" s="5">
        <f t="shared" si="79"/>
        <v>0</v>
      </c>
      <c r="HY23" s="5">
        <f t="shared" si="80"/>
        <v>0</v>
      </c>
    </row>
    <row r="24" spans="2:233">
      <c r="B24" s="11">
        <v>45017</v>
      </c>
      <c r="C24" s="5">
        <v>39</v>
      </c>
      <c r="D24" s="5">
        <v>161</v>
      </c>
      <c r="E24" s="5">
        <v>956</v>
      </c>
      <c r="F24" s="5">
        <v>321</v>
      </c>
      <c r="G24" s="5">
        <v>120</v>
      </c>
      <c r="H24" s="5">
        <v>267</v>
      </c>
      <c r="I24" s="5">
        <v>2219</v>
      </c>
      <c r="J24" s="5">
        <v>1474</v>
      </c>
      <c r="K24" s="5">
        <v>0</v>
      </c>
      <c r="L24" s="5">
        <f t="shared" si="57"/>
        <v>5557</v>
      </c>
      <c r="N24" s="11">
        <v>45017</v>
      </c>
      <c r="O24" s="5">
        <v>39</v>
      </c>
      <c r="P24" s="5">
        <v>161</v>
      </c>
      <c r="Q24" s="5">
        <v>956</v>
      </c>
      <c r="R24" s="5">
        <v>321</v>
      </c>
      <c r="S24" s="5">
        <v>120</v>
      </c>
      <c r="T24" s="5">
        <v>267</v>
      </c>
      <c r="U24" s="5">
        <v>2219</v>
      </c>
      <c r="V24" s="5">
        <v>1474</v>
      </c>
      <c r="W24" s="5">
        <v>0</v>
      </c>
      <c r="X24" s="5">
        <f t="shared" si="58"/>
        <v>5557</v>
      </c>
      <c r="Y24" s="5"/>
      <c r="Z24" s="11">
        <v>45017</v>
      </c>
      <c r="AB24" s="12"/>
      <c r="AC24" s="12"/>
      <c r="AD24" s="12"/>
      <c r="AE24" s="12"/>
      <c r="AF24" s="12"/>
      <c r="AG24" s="12"/>
      <c r="AH24" s="12"/>
      <c r="AI24" s="12"/>
      <c r="AJ24" s="206"/>
      <c r="AL24" s="11">
        <v>45017</v>
      </c>
      <c r="AM24" s="5">
        <v>0</v>
      </c>
      <c r="AN24" s="5">
        <v>313952</v>
      </c>
      <c r="AO24" s="5">
        <v>798354</v>
      </c>
      <c r="AP24" s="5">
        <v>92873</v>
      </c>
      <c r="AQ24" s="5">
        <v>224147</v>
      </c>
      <c r="AR24" s="5">
        <v>104640</v>
      </c>
      <c r="AS24" s="5">
        <v>37243</v>
      </c>
      <c r="AT24" s="5">
        <v>60803</v>
      </c>
      <c r="AU24" s="5">
        <v>160113</v>
      </c>
      <c r="AV24" s="5">
        <f t="shared" si="59"/>
        <v>1792125</v>
      </c>
      <c r="AW24" s="5"/>
      <c r="AX24" s="11">
        <v>45017</v>
      </c>
      <c r="AY24" s="5">
        <v>0</v>
      </c>
      <c r="AZ24" s="5">
        <v>164905</v>
      </c>
      <c r="BA24" s="5">
        <v>181056</v>
      </c>
      <c r="BB24" s="5">
        <v>75486</v>
      </c>
      <c r="BC24" s="5">
        <v>75930</v>
      </c>
      <c r="BD24" s="5">
        <v>80189</v>
      </c>
      <c r="BE24" s="5">
        <v>22574</v>
      </c>
      <c r="BF24" s="5">
        <v>40945</v>
      </c>
      <c r="BG24" s="5">
        <v>92304</v>
      </c>
      <c r="BH24" s="5">
        <f t="shared" si="70"/>
        <v>733389</v>
      </c>
      <c r="BI24" s="8"/>
      <c r="BJ24" s="11">
        <v>45017</v>
      </c>
      <c r="BK24" s="5">
        <f>BM24+BO24</f>
        <v>567390</v>
      </c>
      <c r="BL24" s="8"/>
      <c r="BM24" s="12"/>
      <c r="BN24" s="12"/>
      <c r="BO24" s="5">
        <v>567390</v>
      </c>
      <c r="BP24" s="5"/>
      <c r="BQ24" s="5">
        <v>149502</v>
      </c>
      <c r="BR24" s="5">
        <v>190841</v>
      </c>
      <c r="BS24" s="5">
        <v>32080</v>
      </c>
      <c r="BT24" s="5">
        <v>13867</v>
      </c>
      <c r="BU24" s="5">
        <v>25057</v>
      </c>
      <c r="BV24" s="5">
        <v>5585</v>
      </c>
      <c r="BW24" s="5">
        <v>33483</v>
      </c>
      <c r="BX24" s="5">
        <v>119558</v>
      </c>
      <c r="BY24" s="5">
        <v>855</v>
      </c>
      <c r="BZ24" s="8"/>
      <c r="CA24" s="11">
        <v>45017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12"/>
      <c r="CM24" s="11">
        <v>45017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8"/>
      <c r="CY24" s="11">
        <v>45017</v>
      </c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8"/>
      <c r="DK24" s="11">
        <v>45017</v>
      </c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8"/>
      <c r="DW24" s="11">
        <v>45017</v>
      </c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8"/>
      <c r="EI24" s="11">
        <v>45017</v>
      </c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8"/>
      <c r="EU24" s="11">
        <v>45017</v>
      </c>
      <c r="EV24" s="5">
        <v>585457</v>
      </c>
      <c r="EW24" s="5">
        <v>0</v>
      </c>
      <c r="EX24" s="5">
        <v>86069</v>
      </c>
      <c r="EY24" s="5">
        <v>126307</v>
      </c>
      <c r="EZ24" s="5">
        <v>26372</v>
      </c>
      <c r="FA24" s="5">
        <v>32552</v>
      </c>
      <c r="FB24" s="5">
        <v>17304</v>
      </c>
      <c r="FC24" s="5">
        <v>7065</v>
      </c>
      <c r="FD24" s="5">
        <v>19316</v>
      </c>
      <c r="FE24" s="5">
        <v>59563</v>
      </c>
      <c r="FF24" s="13"/>
      <c r="FG24" s="11">
        <v>45017</v>
      </c>
      <c r="FH24" s="5">
        <v>356389</v>
      </c>
      <c r="FI24" s="5">
        <v>0</v>
      </c>
      <c r="FJ24" s="5">
        <v>52104</v>
      </c>
      <c r="FK24" s="5">
        <v>75499</v>
      </c>
      <c r="FL24" s="5">
        <v>17058</v>
      </c>
      <c r="FM24" s="5">
        <v>17504</v>
      </c>
      <c r="FN24" s="5">
        <v>10824</v>
      </c>
      <c r="FO24" s="5">
        <v>4098</v>
      </c>
      <c r="FP24" s="5">
        <v>11982</v>
      </c>
      <c r="FQ24" s="5">
        <v>36377</v>
      </c>
      <c r="FR24" s="5"/>
      <c r="FS24" s="11">
        <v>45017</v>
      </c>
      <c r="FT24" s="5">
        <v>819</v>
      </c>
      <c r="FU24" s="5">
        <v>312</v>
      </c>
      <c r="FV24" s="5">
        <v>51</v>
      </c>
      <c r="FW24" s="5">
        <v>160</v>
      </c>
      <c r="FX24" s="5">
        <v>191</v>
      </c>
      <c r="FY24" s="5">
        <v>1688</v>
      </c>
      <c r="FZ24" s="5">
        <v>424</v>
      </c>
      <c r="GA24" s="5">
        <v>822</v>
      </c>
      <c r="GB24" s="5"/>
      <c r="GC24" s="5">
        <v>4375</v>
      </c>
      <c r="GE24" s="11">
        <v>45017</v>
      </c>
      <c r="GF24" s="5"/>
      <c r="GG24" s="5"/>
      <c r="GH24" s="5"/>
      <c r="GI24" s="5"/>
      <c r="GJ24" s="5"/>
      <c r="GK24" s="5"/>
      <c r="GL24" s="5"/>
      <c r="GM24" s="5"/>
      <c r="GN24" s="5"/>
      <c r="GO24" s="5"/>
      <c r="GQ24" s="11">
        <v>45017</v>
      </c>
      <c r="HC24" s="11">
        <v>45017</v>
      </c>
      <c r="HD24" s="5">
        <f t="shared" si="60"/>
        <v>0</v>
      </c>
      <c r="HE24" s="5">
        <f t="shared" si="61"/>
        <v>0</v>
      </c>
      <c r="HF24" s="5">
        <f t="shared" si="62"/>
        <v>149502</v>
      </c>
      <c r="HG24" s="5">
        <f t="shared" si="63"/>
        <v>190841</v>
      </c>
      <c r="HH24" s="5">
        <f t="shared" si="64"/>
        <v>32080</v>
      </c>
      <c r="HI24" s="5">
        <f t="shared" si="65"/>
        <v>13867</v>
      </c>
      <c r="HJ24" s="5">
        <f t="shared" si="66"/>
        <v>25057</v>
      </c>
      <c r="HK24" s="5">
        <f t="shared" si="67"/>
        <v>5585</v>
      </c>
      <c r="HL24" s="5">
        <f t="shared" si="68"/>
        <v>33483</v>
      </c>
      <c r="HM24" s="5">
        <f t="shared" si="69"/>
        <v>119558</v>
      </c>
      <c r="HO24" s="11">
        <v>45017</v>
      </c>
      <c r="HP24" s="5">
        <f t="shared" si="71"/>
        <v>0</v>
      </c>
      <c r="HQ24" s="5">
        <f t="shared" si="72"/>
        <v>0</v>
      </c>
      <c r="HR24" s="5">
        <f t="shared" si="73"/>
        <v>0</v>
      </c>
      <c r="HS24" s="5">
        <f t="shared" si="74"/>
        <v>0</v>
      </c>
      <c r="HT24" s="5">
        <f t="shared" si="75"/>
        <v>0</v>
      </c>
      <c r="HU24" s="5">
        <f t="shared" si="76"/>
        <v>0</v>
      </c>
      <c r="HV24" s="5">
        <f t="shared" si="77"/>
        <v>0</v>
      </c>
      <c r="HW24" s="5">
        <f t="shared" si="78"/>
        <v>0</v>
      </c>
      <c r="HX24" s="5">
        <f t="shared" si="79"/>
        <v>0</v>
      </c>
      <c r="HY24" s="5">
        <f t="shared" si="80"/>
        <v>0</v>
      </c>
    </row>
    <row r="25" spans="2:233">
      <c r="B25" s="11">
        <v>45047</v>
      </c>
      <c r="C25" s="5">
        <v>29</v>
      </c>
      <c r="D25" s="5">
        <v>187</v>
      </c>
      <c r="E25" s="5">
        <v>946</v>
      </c>
      <c r="F25" s="5">
        <v>250</v>
      </c>
      <c r="G25" s="5">
        <v>113</v>
      </c>
      <c r="H25" s="5">
        <v>194</v>
      </c>
      <c r="I25" s="5">
        <v>2047</v>
      </c>
      <c r="J25" s="5">
        <v>1336</v>
      </c>
      <c r="K25" s="5">
        <v>0</v>
      </c>
      <c r="L25" s="5">
        <f t="shared" si="57"/>
        <v>5102</v>
      </c>
      <c r="N25" s="11">
        <v>45047</v>
      </c>
      <c r="O25" s="5">
        <v>29</v>
      </c>
      <c r="P25" s="5">
        <v>187</v>
      </c>
      <c r="Q25" s="5">
        <v>946</v>
      </c>
      <c r="R25" s="5">
        <v>250</v>
      </c>
      <c r="S25" s="5">
        <v>113</v>
      </c>
      <c r="T25" s="5">
        <v>194</v>
      </c>
      <c r="U25" s="5">
        <v>2047</v>
      </c>
      <c r="V25" s="5">
        <v>1336</v>
      </c>
      <c r="W25" s="5">
        <v>0</v>
      </c>
      <c r="X25" s="5">
        <f t="shared" si="58"/>
        <v>5102</v>
      </c>
      <c r="Y25" s="5"/>
      <c r="Z25" s="11">
        <v>45047</v>
      </c>
      <c r="AB25" s="12"/>
      <c r="AC25" s="12"/>
      <c r="AD25" s="12"/>
      <c r="AE25" s="12"/>
      <c r="AF25" s="12"/>
      <c r="AG25" s="12"/>
      <c r="AH25" s="12"/>
      <c r="AI25" s="12"/>
      <c r="AJ25" s="206"/>
      <c r="AL25" s="11">
        <v>45047</v>
      </c>
      <c r="AM25" s="5">
        <v>0</v>
      </c>
      <c r="AN25" s="5">
        <v>322684</v>
      </c>
      <c r="AO25" s="5">
        <v>684803</v>
      </c>
      <c r="AP25" s="5">
        <v>100918</v>
      </c>
      <c r="AQ25" s="5">
        <v>198133</v>
      </c>
      <c r="AR25" s="5">
        <v>113272</v>
      </c>
      <c r="AS25" s="5">
        <v>29670</v>
      </c>
      <c r="AT25" s="5">
        <v>59598</v>
      </c>
      <c r="AU25" s="5">
        <v>172090</v>
      </c>
      <c r="AV25" s="5">
        <f t="shared" si="59"/>
        <v>1681168</v>
      </c>
      <c r="AW25" s="5"/>
      <c r="AX25" s="11">
        <v>45047</v>
      </c>
      <c r="AY25" s="5">
        <v>0</v>
      </c>
      <c r="AZ25" s="5">
        <v>177125</v>
      </c>
      <c r="BA25" s="5">
        <v>173787</v>
      </c>
      <c r="BB25" s="5">
        <v>85692</v>
      </c>
      <c r="BC25" s="5">
        <v>71445</v>
      </c>
      <c r="BD25" s="5">
        <v>87965</v>
      </c>
      <c r="BE25" s="5">
        <v>20212</v>
      </c>
      <c r="BF25" s="5">
        <v>42668</v>
      </c>
      <c r="BG25" s="5">
        <v>90202</v>
      </c>
      <c r="BH25" s="5">
        <f t="shared" si="70"/>
        <v>749096</v>
      </c>
      <c r="BI25" s="8"/>
      <c r="BJ25" s="11">
        <v>45047</v>
      </c>
      <c r="BK25" s="5">
        <f t="shared" si="81"/>
        <v>562364</v>
      </c>
      <c r="BL25" s="8"/>
      <c r="BM25" s="12"/>
      <c r="BN25" s="12"/>
      <c r="BO25" s="5">
        <v>562364</v>
      </c>
      <c r="BP25" s="5"/>
      <c r="BQ25" s="5">
        <v>138758</v>
      </c>
      <c r="BR25" s="5">
        <v>189301</v>
      </c>
      <c r="BS25" s="5">
        <v>32386</v>
      </c>
      <c r="BT25" s="5">
        <v>16030</v>
      </c>
      <c r="BU25" s="5">
        <v>25074</v>
      </c>
      <c r="BV25" s="5">
        <v>5344</v>
      </c>
      <c r="BW25" s="5">
        <v>32434</v>
      </c>
      <c r="BX25" s="5">
        <v>125467</v>
      </c>
      <c r="BY25" s="5">
        <v>353</v>
      </c>
      <c r="BZ25" s="8"/>
      <c r="CA25" s="11">
        <v>45047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12"/>
      <c r="CM25" s="11">
        <v>45047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8"/>
      <c r="CY25" s="11">
        <v>45047</v>
      </c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8"/>
      <c r="DK25" s="11">
        <v>45047</v>
      </c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8"/>
      <c r="DW25" s="11">
        <v>45047</v>
      </c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8"/>
      <c r="EI25" s="11">
        <v>45047</v>
      </c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8"/>
      <c r="EU25" s="11">
        <v>45047</v>
      </c>
      <c r="EV25" s="5">
        <v>554422</v>
      </c>
      <c r="EW25" s="5">
        <v>0</v>
      </c>
      <c r="EX25" s="5">
        <v>81106</v>
      </c>
      <c r="EY25" s="5">
        <v>114708</v>
      </c>
      <c r="EZ25" s="5">
        <v>24602</v>
      </c>
      <c r="FA25" s="5">
        <v>29397</v>
      </c>
      <c r="FB25" s="5">
        <v>17239</v>
      </c>
      <c r="FC25" s="5">
        <v>5637</v>
      </c>
      <c r="FD25" s="5">
        <v>18397</v>
      </c>
      <c r="FE25" s="5">
        <v>54428</v>
      </c>
      <c r="FF25" s="13"/>
      <c r="FG25" s="11">
        <v>45047</v>
      </c>
      <c r="FH25" s="5">
        <v>346867</v>
      </c>
      <c r="FI25" s="5">
        <v>0</v>
      </c>
      <c r="FJ25" s="5">
        <v>51538</v>
      </c>
      <c r="FK25" s="5">
        <v>70496</v>
      </c>
      <c r="FL25" s="5">
        <v>17168</v>
      </c>
      <c r="FM25" s="5">
        <v>18174</v>
      </c>
      <c r="FN25" s="5">
        <v>11130</v>
      </c>
      <c r="FO25" s="5">
        <v>3547</v>
      </c>
      <c r="FP25" s="5">
        <v>12018</v>
      </c>
      <c r="FQ25" s="5">
        <v>33987</v>
      </c>
      <c r="FR25" s="5"/>
      <c r="FS25" s="11">
        <v>45047</v>
      </c>
      <c r="FT25" s="5">
        <v>742</v>
      </c>
      <c r="FU25" s="5">
        <v>289</v>
      </c>
      <c r="FV25" s="5">
        <v>107</v>
      </c>
      <c r="FW25" s="5">
        <v>197</v>
      </c>
      <c r="FX25" s="5">
        <v>323</v>
      </c>
      <c r="FY25" s="5">
        <v>1659</v>
      </c>
      <c r="FZ25" s="5">
        <v>510</v>
      </c>
      <c r="GA25" s="5">
        <v>761</v>
      </c>
      <c r="GB25" s="5"/>
      <c r="GC25" s="5">
        <v>4509</v>
      </c>
      <c r="GE25" s="11">
        <v>45047</v>
      </c>
      <c r="GF25" s="5"/>
      <c r="GG25" s="5"/>
      <c r="GH25" s="5"/>
      <c r="GI25" s="5"/>
      <c r="GJ25" s="5"/>
      <c r="GK25" s="5"/>
      <c r="GL25" s="5"/>
      <c r="GM25" s="5"/>
      <c r="GN25" s="5"/>
      <c r="GO25" s="5"/>
      <c r="GQ25" s="11">
        <v>45047</v>
      </c>
      <c r="HC25" s="11">
        <v>45047</v>
      </c>
      <c r="HD25" s="5">
        <f t="shared" si="60"/>
        <v>0</v>
      </c>
      <c r="HE25" s="5">
        <f t="shared" si="61"/>
        <v>0</v>
      </c>
      <c r="HF25" s="5">
        <f t="shared" si="62"/>
        <v>138758</v>
      </c>
      <c r="HG25" s="5">
        <f t="shared" si="63"/>
        <v>189301</v>
      </c>
      <c r="HH25" s="5">
        <f t="shared" si="64"/>
        <v>32386</v>
      </c>
      <c r="HI25" s="5">
        <f t="shared" si="65"/>
        <v>16030</v>
      </c>
      <c r="HJ25" s="5">
        <f t="shared" si="66"/>
        <v>25074</v>
      </c>
      <c r="HK25" s="5">
        <f t="shared" si="67"/>
        <v>5344</v>
      </c>
      <c r="HL25" s="5">
        <f t="shared" si="68"/>
        <v>32434</v>
      </c>
      <c r="HM25" s="5">
        <f t="shared" si="69"/>
        <v>125467</v>
      </c>
      <c r="HO25" s="11">
        <v>45047</v>
      </c>
      <c r="HP25" s="5">
        <f t="shared" si="71"/>
        <v>0</v>
      </c>
      <c r="HQ25" s="5">
        <f t="shared" si="72"/>
        <v>0</v>
      </c>
      <c r="HR25" s="5">
        <f t="shared" si="73"/>
        <v>0</v>
      </c>
      <c r="HS25" s="5">
        <f t="shared" si="74"/>
        <v>0</v>
      </c>
      <c r="HT25" s="5">
        <f t="shared" si="75"/>
        <v>0</v>
      </c>
      <c r="HU25" s="5">
        <f t="shared" si="76"/>
        <v>0</v>
      </c>
      <c r="HV25" s="5">
        <f t="shared" si="77"/>
        <v>0</v>
      </c>
      <c r="HW25" s="5">
        <f t="shared" si="78"/>
        <v>0</v>
      </c>
      <c r="HX25" s="5">
        <f t="shared" si="79"/>
        <v>0</v>
      </c>
      <c r="HY25" s="5">
        <f t="shared" si="80"/>
        <v>0</v>
      </c>
    </row>
    <row r="26" spans="2:233">
      <c r="B26" s="11">
        <v>45078</v>
      </c>
      <c r="C26" s="5">
        <v>44</v>
      </c>
      <c r="D26" s="5">
        <v>133</v>
      </c>
      <c r="E26" s="5">
        <v>891</v>
      </c>
      <c r="F26" s="5">
        <v>249</v>
      </c>
      <c r="G26" s="5">
        <v>114</v>
      </c>
      <c r="H26" s="5">
        <v>247</v>
      </c>
      <c r="I26" s="5">
        <v>1745</v>
      </c>
      <c r="J26" s="5">
        <v>1506</v>
      </c>
      <c r="K26" s="5">
        <v>0</v>
      </c>
      <c r="L26" s="5">
        <f t="shared" si="57"/>
        <v>4929</v>
      </c>
      <c r="N26" s="11">
        <v>45078</v>
      </c>
      <c r="O26" s="5">
        <v>44</v>
      </c>
      <c r="P26" s="5">
        <v>133</v>
      </c>
      <c r="Q26" s="5">
        <v>891</v>
      </c>
      <c r="R26" s="5">
        <v>249</v>
      </c>
      <c r="S26" s="5">
        <v>114</v>
      </c>
      <c r="T26" s="5">
        <v>247</v>
      </c>
      <c r="U26" s="5">
        <v>1745</v>
      </c>
      <c r="V26" s="5">
        <v>1506</v>
      </c>
      <c r="W26" s="5">
        <v>0</v>
      </c>
      <c r="X26" s="5">
        <f t="shared" si="58"/>
        <v>4929</v>
      </c>
      <c r="Y26" s="5"/>
      <c r="Z26" s="11">
        <v>45078</v>
      </c>
      <c r="AB26" s="12"/>
      <c r="AC26" s="12"/>
      <c r="AD26" s="12"/>
      <c r="AE26" s="12"/>
      <c r="AF26" s="12"/>
      <c r="AG26" s="12"/>
      <c r="AH26" s="12"/>
      <c r="AI26" s="12"/>
      <c r="AJ26" s="206"/>
      <c r="AL26" s="11">
        <v>45078</v>
      </c>
      <c r="AM26" s="5">
        <v>0</v>
      </c>
      <c r="AN26" s="5">
        <v>395839</v>
      </c>
      <c r="AO26" s="5">
        <v>612140</v>
      </c>
      <c r="AP26" s="5">
        <v>101164</v>
      </c>
      <c r="AQ26" s="5">
        <v>145722</v>
      </c>
      <c r="AR26" s="5">
        <v>107578</v>
      </c>
      <c r="AS26" s="5">
        <v>25874</v>
      </c>
      <c r="AT26" s="5">
        <v>53395</v>
      </c>
      <c r="AU26" s="5">
        <v>181607</v>
      </c>
      <c r="AV26" s="5">
        <f t="shared" si="59"/>
        <v>1623319</v>
      </c>
      <c r="AW26" s="5"/>
      <c r="AX26" s="11">
        <v>45078</v>
      </c>
      <c r="AY26" s="5">
        <v>0</v>
      </c>
      <c r="AZ26" s="5">
        <v>216625</v>
      </c>
      <c r="BA26" s="5">
        <v>196618</v>
      </c>
      <c r="BB26" s="5">
        <v>83679</v>
      </c>
      <c r="BC26" s="5">
        <v>51027</v>
      </c>
      <c r="BD26" s="5">
        <v>82903</v>
      </c>
      <c r="BE26" s="5">
        <v>17142</v>
      </c>
      <c r="BF26" s="5">
        <v>38439</v>
      </c>
      <c r="BG26" s="5">
        <v>97446</v>
      </c>
      <c r="BH26" s="5">
        <f t="shared" si="70"/>
        <v>783879</v>
      </c>
      <c r="BI26" s="8"/>
      <c r="BJ26" s="11">
        <v>45078</v>
      </c>
      <c r="BK26" s="5">
        <f t="shared" si="81"/>
        <v>591969</v>
      </c>
      <c r="BL26" s="8"/>
      <c r="BM26" s="12"/>
      <c r="BN26" s="12"/>
      <c r="BO26" s="5">
        <v>591969</v>
      </c>
      <c r="BP26" s="5"/>
      <c r="BQ26" s="5">
        <v>158076</v>
      </c>
      <c r="BR26" s="5">
        <v>200298</v>
      </c>
      <c r="BS26" s="5">
        <v>29937</v>
      </c>
      <c r="BT26" s="5">
        <v>14634</v>
      </c>
      <c r="BU26" s="5">
        <v>26070</v>
      </c>
      <c r="BV26" s="5">
        <v>6034</v>
      </c>
      <c r="BW26" s="5">
        <v>35467</v>
      </c>
      <c r="BX26" s="5">
        <v>120784</v>
      </c>
      <c r="BY26" s="5">
        <v>1691</v>
      </c>
      <c r="BZ26" s="8"/>
      <c r="CA26" s="11">
        <v>45078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12"/>
      <c r="CM26" s="11">
        <v>45078</v>
      </c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8"/>
      <c r="CY26" s="11">
        <v>45078</v>
      </c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8"/>
      <c r="DK26" s="11">
        <v>45078</v>
      </c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8"/>
      <c r="DW26" s="11">
        <v>45078</v>
      </c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8"/>
      <c r="EI26" s="11">
        <v>45078</v>
      </c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8"/>
      <c r="EU26" s="11">
        <v>45078</v>
      </c>
      <c r="EV26" s="5">
        <v>557072</v>
      </c>
      <c r="EW26" s="5">
        <v>0</v>
      </c>
      <c r="EX26" s="5">
        <v>84983</v>
      </c>
      <c r="EY26" s="5">
        <v>111139</v>
      </c>
      <c r="EZ26" s="5">
        <v>23295</v>
      </c>
      <c r="FA26" s="5">
        <v>19728</v>
      </c>
      <c r="FB26" s="5">
        <v>15310</v>
      </c>
      <c r="FC26" s="5">
        <v>4530</v>
      </c>
      <c r="FD26" s="5">
        <v>16028</v>
      </c>
      <c r="FE26" s="5">
        <v>52885</v>
      </c>
      <c r="FF26" s="13"/>
      <c r="FG26" s="11">
        <v>45078</v>
      </c>
      <c r="FH26" s="5">
        <v>361813</v>
      </c>
      <c r="FI26" s="5">
        <v>0</v>
      </c>
      <c r="FJ26" s="5">
        <v>54395</v>
      </c>
      <c r="FK26" s="5">
        <v>71011</v>
      </c>
      <c r="FL26" s="5">
        <v>15607</v>
      </c>
      <c r="FM26" s="5">
        <v>12341</v>
      </c>
      <c r="FN26" s="5">
        <v>9661</v>
      </c>
      <c r="FO26" s="5">
        <v>2781</v>
      </c>
      <c r="FP26" s="5">
        <v>10520</v>
      </c>
      <c r="FQ26" s="5">
        <v>33595</v>
      </c>
      <c r="FR26" s="5"/>
      <c r="FS26" s="11">
        <v>45078</v>
      </c>
      <c r="FT26" s="5">
        <v>574</v>
      </c>
      <c r="FU26" s="5">
        <v>274</v>
      </c>
      <c r="FV26" s="5">
        <v>39</v>
      </c>
      <c r="FW26" s="5">
        <v>122</v>
      </c>
      <c r="FX26" s="5">
        <v>201</v>
      </c>
      <c r="FY26" s="5">
        <v>1507</v>
      </c>
      <c r="FZ26" s="5">
        <v>261</v>
      </c>
      <c r="GA26" s="5">
        <v>644</v>
      </c>
      <c r="GB26" s="5"/>
      <c r="GC26" s="5">
        <v>3544</v>
      </c>
      <c r="GE26" s="11">
        <v>45078</v>
      </c>
      <c r="GF26" s="5"/>
      <c r="GG26" s="5"/>
      <c r="GH26" s="5"/>
      <c r="GI26" s="5"/>
      <c r="GJ26" s="5"/>
      <c r="GK26" s="5"/>
      <c r="GL26" s="5"/>
      <c r="GM26" s="5"/>
      <c r="GN26" s="5"/>
      <c r="GO26" s="5"/>
      <c r="GQ26" s="11">
        <v>45078</v>
      </c>
      <c r="HC26" s="11">
        <v>45078</v>
      </c>
      <c r="HD26" s="5">
        <f t="shared" si="60"/>
        <v>0</v>
      </c>
      <c r="HE26" s="5">
        <f t="shared" si="61"/>
        <v>0</v>
      </c>
      <c r="HF26" s="5">
        <f t="shared" si="62"/>
        <v>158076</v>
      </c>
      <c r="HG26" s="5">
        <f t="shared" si="63"/>
        <v>200298</v>
      </c>
      <c r="HH26" s="5">
        <f t="shared" si="64"/>
        <v>29937</v>
      </c>
      <c r="HI26" s="5">
        <f t="shared" si="65"/>
        <v>14634</v>
      </c>
      <c r="HJ26" s="5">
        <f t="shared" si="66"/>
        <v>26070</v>
      </c>
      <c r="HK26" s="5">
        <f t="shared" si="67"/>
        <v>6034</v>
      </c>
      <c r="HL26" s="5">
        <f t="shared" si="68"/>
        <v>35467</v>
      </c>
      <c r="HM26" s="5">
        <f t="shared" si="69"/>
        <v>120784</v>
      </c>
      <c r="HO26" s="11">
        <v>45078</v>
      </c>
      <c r="HP26" s="5">
        <f t="shared" si="71"/>
        <v>0</v>
      </c>
      <c r="HQ26" s="5">
        <f t="shared" si="72"/>
        <v>0</v>
      </c>
      <c r="HR26" s="5">
        <f t="shared" si="73"/>
        <v>0</v>
      </c>
      <c r="HS26" s="5">
        <f t="shared" si="74"/>
        <v>0</v>
      </c>
      <c r="HT26" s="5">
        <f t="shared" si="75"/>
        <v>0</v>
      </c>
      <c r="HU26" s="5">
        <f t="shared" si="76"/>
        <v>0</v>
      </c>
      <c r="HV26" s="5">
        <f t="shared" si="77"/>
        <v>0</v>
      </c>
      <c r="HW26" s="5">
        <f t="shared" si="78"/>
        <v>0</v>
      </c>
      <c r="HX26" s="5">
        <f t="shared" si="79"/>
        <v>0</v>
      </c>
      <c r="HY26" s="5">
        <f t="shared" si="80"/>
        <v>0</v>
      </c>
    </row>
    <row r="27" spans="2:233">
      <c r="B27" s="11">
        <v>45108</v>
      </c>
      <c r="C27" s="5">
        <v>29</v>
      </c>
      <c r="D27" s="5">
        <v>109</v>
      </c>
      <c r="E27" s="5">
        <v>926</v>
      </c>
      <c r="F27" s="5">
        <v>182</v>
      </c>
      <c r="G27" s="5">
        <v>108</v>
      </c>
      <c r="H27" s="5">
        <v>261</v>
      </c>
      <c r="I27" s="5">
        <v>2417</v>
      </c>
      <c r="J27" s="5">
        <v>1499</v>
      </c>
      <c r="K27" s="5">
        <v>0</v>
      </c>
      <c r="L27" s="5">
        <f t="shared" si="57"/>
        <v>5531</v>
      </c>
      <c r="N27" s="11">
        <v>45108</v>
      </c>
      <c r="O27" s="5">
        <v>29</v>
      </c>
      <c r="P27" s="5">
        <v>109</v>
      </c>
      <c r="Q27" s="5">
        <v>926</v>
      </c>
      <c r="R27" s="5">
        <v>182</v>
      </c>
      <c r="S27" s="5">
        <v>108</v>
      </c>
      <c r="T27" s="5">
        <v>261</v>
      </c>
      <c r="U27" s="5">
        <v>2417</v>
      </c>
      <c r="V27" s="5">
        <v>1499</v>
      </c>
      <c r="W27" s="5">
        <v>0</v>
      </c>
      <c r="X27" s="5">
        <f t="shared" si="58"/>
        <v>5531</v>
      </c>
      <c r="Y27" s="5"/>
      <c r="Z27" s="11">
        <v>45108</v>
      </c>
      <c r="AB27" s="12"/>
      <c r="AC27" s="12"/>
      <c r="AD27" s="12"/>
      <c r="AE27" s="12"/>
      <c r="AF27" s="12"/>
      <c r="AG27" s="12"/>
      <c r="AH27" s="12"/>
      <c r="AI27" s="12"/>
      <c r="AJ27" s="206"/>
      <c r="AL27" s="11">
        <v>45108</v>
      </c>
      <c r="AM27" s="5">
        <v>0</v>
      </c>
      <c r="AN27" s="5">
        <v>534523</v>
      </c>
      <c r="AO27" s="5">
        <v>710152</v>
      </c>
      <c r="AP27" s="5">
        <v>106598</v>
      </c>
      <c r="AQ27" s="5">
        <v>131543</v>
      </c>
      <c r="AR27" s="5">
        <v>106741</v>
      </c>
      <c r="AS27" s="5">
        <v>29014</v>
      </c>
      <c r="AT27" s="5">
        <v>305337</v>
      </c>
      <c r="AU27" s="5">
        <v>192760</v>
      </c>
      <c r="AV27" s="5">
        <f t="shared" si="59"/>
        <v>2116668</v>
      </c>
      <c r="AW27" s="5"/>
      <c r="AX27" s="11">
        <v>45108</v>
      </c>
      <c r="AY27" s="5">
        <v>0</v>
      </c>
      <c r="AZ27" s="5">
        <v>208232</v>
      </c>
      <c r="BA27" s="5">
        <v>238988</v>
      </c>
      <c r="BB27" s="5">
        <v>88741</v>
      </c>
      <c r="BC27" s="5">
        <v>60762</v>
      </c>
      <c r="BD27" s="5">
        <v>84726</v>
      </c>
      <c r="BE27" s="5">
        <v>21055</v>
      </c>
      <c r="BF27" s="5">
        <v>48767</v>
      </c>
      <c r="BG27" s="5">
        <v>103518</v>
      </c>
      <c r="BH27" s="5">
        <f t="shared" si="70"/>
        <v>854789</v>
      </c>
      <c r="BI27" s="8"/>
      <c r="BJ27" s="11">
        <v>45108</v>
      </c>
      <c r="BK27" s="5">
        <f t="shared" si="81"/>
        <v>623844</v>
      </c>
      <c r="BL27" s="8"/>
      <c r="BM27" s="12"/>
      <c r="BN27" s="12"/>
      <c r="BO27" s="5">
        <v>623844</v>
      </c>
      <c r="BP27" s="5"/>
      <c r="BQ27" s="5">
        <v>174598</v>
      </c>
      <c r="BR27" s="5">
        <v>216855</v>
      </c>
      <c r="BS27" s="5">
        <v>26527</v>
      </c>
      <c r="BT27" s="5">
        <v>16509</v>
      </c>
      <c r="BU27" s="5">
        <v>26690</v>
      </c>
      <c r="BV27" s="5">
        <v>6597</v>
      </c>
      <c r="BW27" s="5">
        <v>34994</v>
      </c>
      <c r="BX27" s="5">
        <v>117835</v>
      </c>
      <c r="BY27" s="5">
        <v>3293</v>
      </c>
      <c r="BZ27" s="8"/>
      <c r="CA27" s="11">
        <v>45108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12"/>
      <c r="CM27" s="11">
        <v>45108</v>
      </c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8"/>
      <c r="CY27" s="11">
        <v>45108</v>
      </c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8"/>
      <c r="DK27" s="11">
        <v>45108</v>
      </c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8"/>
      <c r="DW27" s="11">
        <v>45108</v>
      </c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8"/>
      <c r="EI27" s="11">
        <v>45108</v>
      </c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8"/>
      <c r="EU27" s="11">
        <v>45108</v>
      </c>
      <c r="EV27" s="5">
        <v>590868</v>
      </c>
      <c r="EW27" s="5">
        <v>0</v>
      </c>
      <c r="EX27" s="5">
        <v>88317</v>
      </c>
      <c r="EY27" s="5">
        <v>126283</v>
      </c>
      <c r="EZ27" s="5">
        <v>24250</v>
      </c>
      <c r="FA27" s="5">
        <v>20054</v>
      </c>
      <c r="FB27" s="5">
        <v>15960</v>
      </c>
      <c r="FC27" s="5">
        <v>5089</v>
      </c>
      <c r="FD27" s="5">
        <v>18279</v>
      </c>
      <c r="FE27" s="5">
        <v>52199</v>
      </c>
      <c r="FF27" s="13"/>
      <c r="FG27" s="11">
        <v>45108</v>
      </c>
      <c r="FH27" s="5">
        <v>387308</v>
      </c>
      <c r="FI27" s="5">
        <v>0</v>
      </c>
      <c r="FJ27" s="5">
        <v>55141</v>
      </c>
      <c r="FK27" s="5">
        <v>81733</v>
      </c>
      <c r="FL27" s="5">
        <v>16490</v>
      </c>
      <c r="FM27" s="5">
        <v>13142</v>
      </c>
      <c r="FN27" s="5">
        <v>10515</v>
      </c>
      <c r="FO27" s="5">
        <v>3279</v>
      </c>
      <c r="FP27" s="5">
        <v>11680</v>
      </c>
      <c r="FQ27" s="5">
        <v>33526</v>
      </c>
      <c r="FR27" s="5"/>
      <c r="FS27" s="11">
        <v>45108</v>
      </c>
      <c r="FT27" s="5">
        <v>738</v>
      </c>
      <c r="FU27" s="5">
        <v>357</v>
      </c>
      <c r="FV27" s="5">
        <v>47</v>
      </c>
      <c r="FW27" s="5">
        <v>130</v>
      </c>
      <c r="FX27" s="5">
        <v>209</v>
      </c>
      <c r="FY27" s="5">
        <v>1598</v>
      </c>
      <c r="FZ27" s="5">
        <v>263</v>
      </c>
      <c r="GA27" s="5">
        <v>859</v>
      </c>
      <c r="GB27" s="5"/>
      <c r="GC27" s="5">
        <v>4121</v>
      </c>
      <c r="GE27" s="11">
        <v>45108</v>
      </c>
      <c r="GF27" s="5"/>
      <c r="GG27" s="5"/>
      <c r="GH27" s="5"/>
      <c r="GI27" s="5"/>
      <c r="GJ27" s="5"/>
      <c r="GK27" s="5"/>
      <c r="GL27" s="5"/>
      <c r="GM27" s="5"/>
      <c r="GN27" s="5"/>
      <c r="GO27" s="5"/>
      <c r="GQ27" s="11">
        <v>45108</v>
      </c>
      <c r="HC27" s="11">
        <v>45108</v>
      </c>
      <c r="HD27" s="5">
        <f t="shared" si="60"/>
        <v>0</v>
      </c>
      <c r="HE27" s="5">
        <f t="shared" si="61"/>
        <v>0</v>
      </c>
      <c r="HF27" s="5">
        <f t="shared" si="62"/>
        <v>174598</v>
      </c>
      <c r="HG27" s="5">
        <f t="shared" si="63"/>
        <v>216855</v>
      </c>
      <c r="HH27" s="5">
        <f t="shared" si="64"/>
        <v>26527</v>
      </c>
      <c r="HI27" s="5">
        <f t="shared" si="65"/>
        <v>16509</v>
      </c>
      <c r="HJ27" s="5">
        <f t="shared" si="66"/>
        <v>26690</v>
      </c>
      <c r="HK27" s="5">
        <f t="shared" si="67"/>
        <v>6597</v>
      </c>
      <c r="HL27" s="5">
        <f t="shared" si="68"/>
        <v>34994</v>
      </c>
      <c r="HM27" s="5">
        <f t="shared" si="69"/>
        <v>117835</v>
      </c>
      <c r="HO27" s="11">
        <v>45108</v>
      </c>
      <c r="HP27" s="5">
        <f t="shared" si="71"/>
        <v>0</v>
      </c>
      <c r="HQ27" s="5">
        <f t="shared" si="72"/>
        <v>0</v>
      </c>
      <c r="HR27" s="5">
        <f t="shared" si="73"/>
        <v>0</v>
      </c>
      <c r="HS27" s="5">
        <f t="shared" si="74"/>
        <v>0</v>
      </c>
      <c r="HT27" s="5">
        <f t="shared" si="75"/>
        <v>0</v>
      </c>
      <c r="HU27" s="5">
        <f t="shared" si="76"/>
        <v>0</v>
      </c>
      <c r="HV27" s="5">
        <f t="shared" si="77"/>
        <v>0</v>
      </c>
      <c r="HW27" s="5">
        <f t="shared" si="78"/>
        <v>0</v>
      </c>
      <c r="HX27" s="5">
        <f t="shared" si="79"/>
        <v>0</v>
      </c>
      <c r="HY27" s="5">
        <f t="shared" si="80"/>
        <v>0</v>
      </c>
    </row>
    <row r="28" spans="2:233">
      <c r="B28" s="11">
        <v>45139</v>
      </c>
      <c r="C28" s="5">
        <v>18</v>
      </c>
      <c r="D28" s="5">
        <v>158</v>
      </c>
      <c r="E28" s="5">
        <v>944</v>
      </c>
      <c r="F28" s="5">
        <v>178</v>
      </c>
      <c r="G28" s="5">
        <v>119</v>
      </c>
      <c r="H28" s="5">
        <v>258</v>
      </c>
      <c r="I28" s="5">
        <v>2292</v>
      </c>
      <c r="J28" s="5">
        <v>1779</v>
      </c>
      <c r="K28" s="5">
        <v>0</v>
      </c>
      <c r="L28" s="5">
        <f t="shared" si="57"/>
        <v>5746</v>
      </c>
      <c r="N28" s="11">
        <v>45139</v>
      </c>
      <c r="O28" s="5">
        <v>18</v>
      </c>
      <c r="P28" s="5">
        <v>158</v>
      </c>
      <c r="Q28" s="5">
        <v>944</v>
      </c>
      <c r="R28" s="5">
        <v>178</v>
      </c>
      <c r="S28" s="5">
        <v>119</v>
      </c>
      <c r="T28" s="5">
        <v>258</v>
      </c>
      <c r="U28" s="5">
        <v>2292</v>
      </c>
      <c r="V28" s="5">
        <v>1779</v>
      </c>
      <c r="W28" s="5">
        <v>0</v>
      </c>
      <c r="X28" s="5">
        <f t="shared" si="58"/>
        <v>5746</v>
      </c>
      <c r="Y28" s="5"/>
      <c r="Z28" s="11">
        <v>45139</v>
      </c>
      <c r="AB28" s="12"/>
      <c r="AC28" s="12"/>
      <c r="AD28" s="12"/>
      <c r="AE28" s="12"/>
      <c r="AF28" s="12"/>
      <c r="AG28" s="12"/>
      <c r="AH28" s="12"/>
      <c r="AI28" s="12"/>
      <c r="AJ28" s="206"/>
      <c r="AL28" s="11">
        <v>45139</v>
      </c>
      <c r="AM28" s="5">
        <v>0</v>
      </c>
      <c r="AN28" s="5">
        <v>401896</v>
      </c>
      <c r="AO28" s="5">
        <v>613393</v>
      </c>
      <c r="AP28" s="5">
        <v>107629</v>
      </c>
      <c r="AQ28" s="5">
        <v>149372</v>
      </c>
      <c r="AR28" s="5">
        <v>110982</v>
      </c>
      <c r="AS28" s="5">
        <v>31428</v>
      </c>
      <c r="AT28" s="5">
        <v>268579</v>
      </c>
      <c r="AU28" s="5">
        <v>164958</v>
      </c>
      <c r="AV28" s="5">
        <f t="shared" si="59"/>
        <v>1848237</v>
      </c>
      <c r="AW28" s="5"/>
      <c r="AX28" s="11">
        <v>45139</v>
      </c>
      <c r="AY28" s="5">
        <v>0</v>
      </c>
      <c r="AZ28" s="5">
        <v>178595</v>
      </c>
      <c r="BA28" s="5">
        <v>224083</v>
      </c>
      <c r="BB28" s="5">
        <v>76948</v>
      </c>
      <c r="BC28" s="5">
        <v>77994</v>
      </c>
      <c r="BD28" s="5">
        <v>71340</v>
      </c>
      <c r="BE28" s="5">
        <v>18534</v>
      </c>
      <c r="BF28" s="5">
        <v>41595</v>
      </c>
      <c r="BG28" s="5">
        <v>84401</v>
      </c>
      <c r="BH28" s="5">
        <f t="shared" si="70"/>
        <v>773490</v>
      </c>
      <c r="BI28" s="8"/>
      <c r="BJ28" s="11">
        <v>45139</v>
      </c>
      <c r="BK28" s="5">
        <f t="shared" si="81"/>
        <v>652581</v>
      </c>
      <c r="BL28" s="8"/>
      <c r="BM28" s="12"/>
      <c r="BN28" s="12"/>
      <c r="BO28" s="5">
        <v>652581</v>
      </c>
      <c r="BP28" s="5"/>
      <c r="BQ28" s="5">
        <v>194951</v>
      </c>
      <c r="BR28" s="5">
        <v>211279</v>
      </c>
      <c r="BS28" s="5">
        <v>31971</v>
      </c>
      <c r="BT28" s="5">
        <v>21121</v>
      </c>
      <c r="BU28" s="5">
        <v>28316</v>
      </c>
      <c r="BV28" s="5">
        <v>5623</v>
      </c>
      <c r="BW28" s="5">
        <v>37303</v>
      </c>
      <c r="BX28" s="5">
        <v>120321</v>
      </c>
      <c r="BY28" s="5">
        <v>3186</v>
      </c>
      <c r="BZ28" s="8"/>
      <c r="CA28" s="11">
        <v>45139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12"/>
      <c r="CM28" s="11">
        <v>45139</v>
      </c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8"/>
      <c r="CY28" s="11">
        <v>45139</v>
      </c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8"/>
      <c r="DK28" s="11">
        <v>45139</v>
      </c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8"/>
      <c r="DW28" s="11">
        <v>45139</v>
      </c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8"/>
      <c r="EI28" s="11">
        <v>45139</v>
      </c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8"/>
      <c r="EU28" s="11">
        <v>45139</v>
      </c>
      <c r="EV28" s="5">
        <v>646515</v>
      </c>
      <c r="EW28" s="5">
        <v>0</v>
      </c>
      <c r="EX28" s="5">
        <v>92530</v>
      </c>
      <c r="EY28" s="5">
        <v>135079</v>
      </c>
      <c r="EZ28" s="5">
        <v>27153</v>
      </c>
      <c r="FA28" s="5">
        <v>25347</v>
      </c>
      <c r="FB28" s="5">
        <v>22896</v>
      </c>
      <c r="FC28" s="5">
        <v>5260</v>
      </c>
      <c r="FD28" s="5">
        <v>19347</v>
      </c>
      <c r="FE28" s="5">
        <v>58826</v>
      </c>
      <c r="FF28" s="13"/>
      <c r="FG28" s="11">
        <v>45139</v>
      </c>
      <c r="FH28" s="5">
        <v>347590</v>
      </c>
      <c r="FI28" s="5">
        <v>0</v>
      </c>
      <c r="FJ28" s="5">
        <v>48655</v>
      </c>
      <c r="FK28" s="5">
        <v>73024</v>
      </c>
      <c r="FL28" s="5">
        <v>14645</v>
      </c>
      <c r="FM28" s="5">
        <v>13467</v>
      </c>
      <c r="FN28" s="5">
        <v>10915</v>
      </c>
      <c r="FO28" s="5">
        <v>2452</v>
      </c>
      <c r="FP28" s="5">
        <v>9987</v>
      </c>
      <c r="FQ28" s="5">
        <v>29564</v>
      </c>
      <c r="FR28" s="5"/>
      <c r="FS28" s="11">
        <v>45139</v>
      </c>
      <c r="FT28" s="5">
        <v>681</v>
      </c>
      <c r="FU28" s="5">
        <v>304</v>
      </c>
      <c r="FV28" s="5">
        <v>53</v>
      </c>
      <c r="FW28" s="5">
        <v>183</v>
      </c>
      <c r="FX28" s="5">
        <v>142</v>
      </c>
      <c r="FY28" s="5">
        <v>1321</v>
      </c>
      <c r="FZ28" s="5">
        <v>298</v>
      </c>
      <c r="GA28" s="5">
        <v>836</v>
      </c>
      <c r="GB28" s="5"/>
      <c r="GC28" s="5">
        <v>3726</v>
      </c>
      <c r="GE28" s="11">
        <v>45139</v>
      </c>
      <c r="GF28" s="5"/>
      <c r="GG28" s="5"/>
      <c r="GH28" s="5"/>
      <c r="GI28" s="5"/>
      <c r="GJ28" s="5"/>
      <c r="GK28" s="5"/>
      <c r="GL28" s="5"/>
      <c r="GM28" s="5"/>
      <c r="GN28" s="5"/>
      <c r="GO28" s="5"/>
      <c r="GQ28" s="11">
        <v>45139</v>
      </c>
      <c r="HC28" s="11">
        <v>45139</v>
      </c>
      <c r="HD28" s="5">
        <f t="shared" si="60"/>
        <v>0</v>
      </c>
      <c r="HE28" s="5">
        <f t="shared" si="61"/>
        <v>0</v>
      </c>
      <c r="HF28" s="5">
        <f t="shared" si="62"/>
        <v>194951</v>
      </c>
      <c r="HG28" s="5">
        <f t="shared" si="63"/>
        <v>211279</v>
      </c>
      <c r="HH28" s="5">
        <f t="shared" si="64"/>
        <v>31971</v>
      </c>
      <c r="HI28" s="5">
        <f t="shared" si="65"/>
        <v>21121</v>
      </c>
      <c r="HJ28" s="5">
        <f t="shared" si="66"/>
        <v>28316</v>
      </c>
      <c r="HK28" s="5">
        <f t="shared" si="67"/>
        <v>5623</v>
      </c>
      <c r="HL28" s="5">
        <f t="shared" si="68"/>
        <v>37303</v>
      </c>
      <c r="HM28" s="5">
        <f t="shared" si="69"/>
        <v>120321</v>
      </c>
      <c r="HO28" s="11">
        <v>45139</v>
      </c>
      <c r="HP28" s="5">
        <f t="shared" si="71"/>
        <v>0</v>
      </c>
      <c r="HQ28" s="5">
        <f t="shared" si="72"/>
        <v>0</v>
      </c>
      <c r="HR28" s="5">
        <f t="shared" si="73"/>
        <v>0</v>
      </c>
      <c r="HS28" s="5">
        <f t="shared" si="74"/>
        <v>0</v>
      </c>
      <c r="HT28" s="5">
        <f t="shared" si="75"/>
        <v>0</v>
      </c>
      <c r="HU28" s="5">
        <f t="shared" si="76"/>
        <v>0</v>
      </c>
      <c r="HV28" s="5">
        <f t="shared" si="77"/>
        <v>0</v>
      </c>
      <c r="HW28" s="5">
        <f t="shared" si="78"/>
        <v>0</v>
      </c>
      <c r="HX28" s="5">
        <f t="shared" si="79"/>
        <v>0</v>
      </c>
      <c r="HY28" s="5">
        <f t="shared" si="80"/>
        <v>0</v>
      </c>
    </row>
    <row r="29" spans="2:233">
      <c r="B29" s="11">
        <v>45170</v>
      </c>
      <c r="C29" s="5">
        <v>35</v>
      </c>
      <c r="D29" s="5">
        <v>166</v>
      </c>
      <c r="E29" s="5">
        <v>815</v>
      </c>
      <c r="F29" s="5">
        <v>294</v>
      </c>
      <c r="G29" s="5">
        <v>92</v>
      </c>
      <c r="H29" s="5">
        <v>379</v>
      </c>
      <c r="I29" s="5">
        <v>1828</v>
      </c>
      <c r="J29" s="5">
        <v>1804</v>
      </c>
      <c r="K29" s="5">
        <v>0</v>
      </c>
      <c r="L29" s="5">
        <f t="shared" si="57"/>
        <v>5413</v>
      </c>
      <c r="N29" s="11">
        <v>45170</v>
      </c>
      <c r="O29" s="5">
        <v>35</v>
      </c>
      <c r="P29" s="5">
        <v>166</v>
      </c>
      <c r="Q29" s="5">
        <v>815</v>
      </c>
      <c r="R29" s="5">
        <v>294</v>
      </c>
      <c r="S29" s="5">
        <v>92</v>
      </c>
      <c r="T29" s="5">
        <v>379</v>
      </c>
      <c r="U29" s="5">
        <v>1828</v>
      </c>
      <c r="V29" s="5">
        <v>1804</v>
      </c>
      <c r="W29" s="5">
        <v>0</v>
      </c>
      <c r="X29" s="5">
        <f t="shared" si="58"/>
        <v>5413</v>
      </c>
      <c r="Y29" s="5"/>
      <c r="Z29" s="11">
        <v>45170</v>
      </c>
      <c r="AB29" s="12"/>
      <c r="AC29" s="12"/>
      <c r="AD29" s="12"/>
      <c r="AE29" s="12"/>
      <c r="AF29" s="12"/>
      <c r="AG29" s="12"/>
      <c r="AH29" s="12"/>
      <c r="AI29" s="12"/>
      <c r="AJ29" s="206"/>
      <c r="AL29" s="11">
        <v>45170</v>
      </c>
      <c r="AM29" s="5">
        <v>0</v>
      </c>
      <c r="AN29" s="5">
        <v>353179</v>
      </c>
      <c r="AO29" s="5">
        <v>508922</v>
      </c>
      <c r="AP29" s="5">
        <v>102610</v>
      </c>
      <c r="AQ29" s="5">
        <v>130115</v>
      </c>
      <c r="AR29" s="5">
        <v>93321</v>
      </c>
      <c r="AS29" s="5">
        <v>55808</v>
      </c>
      <c r="AT29" s="5">
        <v>269933</v>
      </c>
      <c r="AU29" s="5">
        <v>145418</v>
      </c>
      <c r="AV29" s="5">
        <f t="shared" si="59"/>
        <v>1659306</v>
      </c>
      <c r="AW29" s="5"/>
      <c r="AX29" s="11">
        <v>45170</v>
      </c>
      <c r="AY29" s="5">
        <v>0</v>
      </c>
      <c r="AZ29" s="5">
        <v>157431</v>
      </c>
      <c r="BA29" s="5">
        <v>207345</v>
      </c>
      <c r="BB29" s="5">
        <v>75472</v>
      </c>
      <c r="BC29" s="5">
        <v>77595</v>
      </c>
      <c r="BD29" s="5">
        <v>64775</v>
      </c>
      <c r="BE29" s="5">
        <v>45467</v>
      </c>
      <c r="BF29" s="5">
        <v>89446</v>
      </c>
      <c r="BG29" s="5">
        <v>73416</v>
      </c>
      <c r="BH29" s="5">
        <f t="shared" si="70"/>
        <v>790947</v>
      </c>
      <c r="BI29" s="8"/>
      <c r="BJ29" s="11">
        <v>45170</v>
      </c>
      <c r="BK29" s="5">
        <f t="shared" si="81"/>
        <v>648300</v>
      </c>
      <c r="BL29" s="8"/>
      <c r="BM29" s="12"/>
      <c r="BN29" s="12"/>
      <c r="BO29" s="5">
        <v>648300</v>
      </c>
      <c r="BP29" s="5"/>
      <c r="BQ29" s="5">
        <v>212560</v>
      </c>
      <c r="BR29" s="5">
        <v>178354</v>
      </c>
      <c r="BS29" s="5">
        <v>43047</v>
      </c>
      <c r="BT29" s="5">
        <v>24632</v>
      </c>
      <c r="BU29" s="5">
        <v>26348</v>
      </c>
      <c r="BV29" s="5">
        <v>5952</v>
      </c>
      <c r="BW29" s="5">
        <v>41076</v>
      </c>
      <c r="BX29" s="5">
        <v>114743</v>
      </c>
      <c r="BY29" s="5">
        <v>2961</v>
      </c>
      <c r="BZ29" s="8"/>
      <c r="CA29" s="11">
        <v>45170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12"/>
      <c r="CM29" s="11">
        <v>45170</v>
      </c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8"/>
      <c r="CY29" s="11">
        <v>45170</v>
      </c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8"/>
      <c r="DK29" s="11">
        <v>45170</v>
      </c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8"/>
      <c r="DW29" s="11">
        <v>45170</v>
      </c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8"/>
      <c r="EI29" s="11">
        <v>45170</v>
      </c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8"/>
      <c r="EU29" s="11">
        <v>45170</v>
      </c>
      <c r="EV29" s="5">
        <v>601475</v>
      </c>
      <c r="EW29" s="5">
        <v>43</v>
      </c>
      <c r="EX29" s="5">
        <v>88159</v>
      </c>
      <c r="EY29" s="5">
        <v>115921</v>
      </c>
      <c r="EZ29" s="5">
        <v>29737</v>
      </c>
      <c r="FA29" s="5">
        <v>21073</v>
      </c>
      <c r="FB29" s="5">
        <v>20048</v>
      </c>
      <c r="FC29" s="5">
        <v>5113</v>
      </c>
      <c r="FD29" s="5">
        <v>21316</v>
      </c>
      <c r="FE29" s="5">
        <v>51071</v>
      </c>
      <c r="FF29" s="13"/>
      <c r="FG29" s="11">
        <v>45170</v>
      </c>
      <c r="FH29" s="5">
        <v>298238</v>
      </c>
      <c r="FI29" s="5">
        <v>22</v>
      </c>
      <c r="FJ29" s="5">
        <v>42831</v>
      </c>
      <c r="FK29" s="5">
        <v>58700</v>
      </c>
      <c r="FL29" s="5">
        <v>14600</v>
      </c>
      <c r="FM29" s="5">
        <v>9461</v>
      </c>
      <c r="FN29" s="5">
        <v>8786</v>
      </c>
      <c r="FO29" s="5">
        <v>2239</v>
      </c>
      <c r="FP29" s="5">
        <v>10250</v>
      </c>
      <c r="FQ29" s="5">
        <v>22948</v>
      </c>
      <c r="FR29" s="5"/>
      <c r="FS29" s="11">
        <v>45170</v>
      </c>
      <c r="FT29" s="5">
        <v>550</v>
      </c>
      <c r="FU29" s="5">
        <v>294</v>
      </c>
      <c r="FV29" s="5">
        <v>49</v>
      </c>
      <c r="FW29" s="5">
        <v>113</v>
      </c>
      <c r="FX29" s="5">
        <v>219</v>
      </c>
      <c r="FY29" s="5">
        <v>1148</v>
      </c>
      <c r="FZ29" s="5">
        <v>209</v>
      </c>
      <c r="GA29" s="5">
        <v>649</v>
      </c>
      <c r="GB29" s="5"/>
      <c r="GC29" s="5">
        <v>3171</v>
      </c>
      <c r="GE29" s="11">
        <v>45170</v>
      </c>
      <c r="GF29" s="5"/>
      <c r="GG29" s="5"/>
      <c r="GH29" s="5"/>
      <c r="GI29" s="5"/>
      <c r="GJ29" s="5"/>
      <c r="GK29" s="5"/>
      <c r="GL29" s="5"/>
      <c r="GM29" s="5"/>
      <c r="GN29" s="5"/>
      <c r="GO29" s="5"/>
      <c r="GQ29" s="11">
        <v>45170</v>
      </c>
      <c r="HC29" s="11">
        <v>45170</v>
      </c>
      <c r="HD29" s="5">
        <f t="shared" si="60"/>
        <v>0</v>
      </c>
      <c r="HE29" s="5">
        <f t="shared" si="61"/>
        <v>0</v>
      </c>
      <c r="HF29" s="5">
        <f t="shared" si="62"/>
        <v>212560</v>
      </c>
      <c r="HG29" s="5">
        <f t="shared" si="63"/>
        <v>178354</v>
      </c>
      <c r="HH29" s="5">
        <f t="shared" si="64"/>
        <v>43047</v>
      </c>
      <c r="HI29" s="5">
        <f t="shared" si="65"/>
        <v>24632</v>
      </c>
      <c r="HJ29" s="5">
        <f t="shared" si="66"/>
        <v>26348</v>
      </c>
      <c r="HK29" s="5">
        <f t="shared" si="67"/>
        <v>5952</v>
      </c>
      <c r="HL29" s="5">
        <f t="shared" si="68"/>
        <v>41076</v>
      </c>
      <c r="HM29" s="5">
        <f t="shared" si="69"/>
        <v>114743</v>
      </c>
      <c r="HO29" s="11">
        <v>45170</v>
      </c>
      <c r="HP29" s="5">
        <f t="shared" si="71"/>
        <v>0</v>
      </c>
      <c r="HQ29" s="5">
        <f t="shared" si="72"/>
        <v>0</v>
      </c>
      <c r="HR29" s="5">
        <f t="shared" si="73"/>
        <v>0</v>
      </c>
      <c r="HS29" s="5">
        <f t="shared" si="74"/>
        <v>0</v>
      </c>
      <c r="HT29" s="5">
        <f t="shared" si="75"/>
        <v>0</v>
      </c>
      <c r="HU29" s="5">
        <f t="shared" si="76"/>
        <v>0</v>
      </c>
      <c r="HV29" s="5">
        <f t="shared" si="77"/>
        <v>0</v>
      </c>
      <c r="HW29" s="5">
        <f t="shared" si="78"/>
        <v>0</v>
      </c>
      <c r="HX29" s="5">
        <f t="shared" si="79"/>
        <v>0</v>
      </c>
      <c r="HY29" s="5">
        <f t="shared" si="80"/>
        <v>0</v>
      </c>
    </row>
    <row r="30" spans="2:233">
      <c r="B30" s="11">
        <v>45200</v>
      </c>
      <c r="C30" s="5">
        <v>14</v>
      </c>
      <c r="D30" s="5">
        <v>174</v>
      </c>
      <c r="E30" s="5">
        <v>737</v>
      </c>
      <c r="F30" s="5">
        <v>366</v>
      </c>
      <c r="G30" s="5">
        <v>69</v>
      </c>
      <c r="H30" s="5">
        <v>273</v>
      </c>
      <c r="I30" s="5">
        <v>1885</v>
      </c>
      <c r="J30" s="5">
        <v>1385</v>
      </c>
      <c r="K30" s="5">
        <v>0</v>
      </c>
      <c r="L30" s="5">
        <f t="shared" si="57"/>
        <v>4903</v>
      </c>
      <c r="N30" s="11">
        <v>45200</v>
      </c>
      <c r="O30" s="5">
        <v>14</v>
      </c>
      <c r="P30" s="5">
        <v>174</v>
      </c>
      <c r="Q30" s="5">
        <v>737</v>
      </c>
      <c r="R30" s="5">
        <v>366</v>
      </c>
      <c r="S30" s="5">
        <v>69</v>
      </c>
      <c r="T30" s="5">
        <v>273</v>
      </c>
      <c r="U30" s="5">
        <v>1885</v>
      </c>
      <c r="V30" s="5">
        <v>1385</v>
      </c>
      <c r="W30" s="5">
        <v>0</v>
      </c>
      <c r="X30" s="5">
        <f t="shared" si="58"/>
        <v>4903</v>
      </c>
      <c r="Y30" s="5"/>
      <c r="Z30" s="11">
        <v>45200</v>
      </c>
      <c r="AB30" s="12"/>
      <c r="AC30" s="12"/>
      <c r="AD30" s="12"/>
      <c r="AE30" s="12"/>
      <c r="AF30" s="12"/>
      <c r="AG30" s="12"/>
      <c r="AH30" s="12"/>
      <c r="AI30" s="12"/>
      <c r="AJ30" s="206"/>
      <c r="AL30" s="11">
        <v>45200</v>
      </c>
      <c r="AM30" s="5">
        <v>0</v>
      </c>
      <c r="AN30" s="5">
        <v>387897</v>
      </c>
      <c r="AO30" s="5">
        <v>492520</v>
      </c>
      <c r="AP30" s="5">
        <v>123989</v>
      </c>
      <c r="AQ30" s="5">
        <v>157507</v>
      </c>
      <c r="AR30" s="5">
        <v>580524</v>
      </c>
      <c r="AS30" s="5">
        <v>38611</v>
      </c>
      <c r="AT30" s="5">
        <v>313549</v>
      </c>
      <c r="AU30" s="5">
        <v>184905</v>
      </c>
      <c r="AV30" s="5">
        <f t="shared" si="59"/>
        <v>2279502</v>
      </c>
      <c r="AW30" s="5"/>
      <c r="AX30" s="11">
        <v>45200</v>
      </c>
      <c r="AY30" s="5">
        <v>0</v>
      </c>
      <c r="AZ30" s="5">
        <v>164985</v>
      </c>
      <c r="BA30" s="5">
        <v>232968</v>
      </c>
      <c r="BB30" s="5">
        <v>97878</v>
      </c>
      <c r="BC30" s="5">
        <v>116643</v>
      </c>
      <c r="BD30" s="5">
        <v>556491</v>
      </c>
      <c r="BE30" s="5">
        <v>29942</v>
      </c>
      <c r="BF30" s="5">
        <v>71399</v>
      </c>
      <c r="BG30" s="5">
        <v>105957</v>
      </c>
      <c r="BH30" s="5">
        <f t="shared" si="70"/>
        <v>1376263</v>
      </c>
      <c r="BI30" s="8"/>
      <c r="BJ30" s="11">
        <v>45200</v>
      </c>
      <c r="BK30" s="5">
        <f t="shared" si="81"/>
        <v>578428</v>
      </c>
      <c r="BL30" s="8"/>
      <c r="BM30" s="12"/>
      <c r="BN30" s="12"/>
      <c r="BO30" s="5">
        <v>578428</v>
      </c>
      <c r="BP30" s="5"/>
      <c r="BQ30" s="5">
        <v>180323</v>
      </c>
      <c r="BR30" s="5">
        <v>166115</v>
      </c>
      <c r="BS30" s="5">
        <v>42516</v>
      </c>
      <c r="BT30" s="5">
        <v>23044</v>
      </c>
      <c r="BU30" s="5">
        <v>21158</v>
      </c>
      <c r="BV30" s="5">
        <v>3834</v>
      </c>
      <c r="BW30" s="5">
        <v>39378</v>
      </c>
      <c r="BX30" s="5">
        <v>101519</v>
      </c>
      <c r="BY30" s="5">
        <v>541</v>
      </c>
      <c r="BZ30" s="8"/>
      <c r="CA30" s="11">
        <v>45200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12"/>
      <c r="CM30" s="11">
        <v>45200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8"/>
      <c r="CY30" s="11">
        <v>45200</v>
      </c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8"/>
      <c r="DK30" s="11">
        <v>45200</v>
      </c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8"/>
      <c r="DW30" s="11">
        <v>45200</v>
      </c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8"/>
      <c r="EI30" s="11">
        <v>45200</v>
      </c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8"/>
      <c r="EU30" s="11">
        <v>45200</v>
      </c>
      <c r="EV30" s="5">
        <v>609043</v>
      </c>
      <c r="EW30" s="5">
        <v>105</v>
      </c>
      <c r="EX30" s="5">
        <v>86522</v>
      </c>
      <c r="EY30" s="5">
        <v>109569</v>
      </c>
      <c r="EZ30" s="5">
        <v>28168</v>
      </c>
      <c r="FA30" s="5">
        <v>21216</v>
      </c>
      <c r="FB30" s="5">
        <v>25564</v>
      </c>
      <c r="FC30" s="5">
        <v>5252</v>
      </c>
      <c r="FD30" s="5">
        <v>25578</v>
      </c>
      <c r="FE30" s="5">
        <v>50647</v>
      </c>
      <c r="FF30" s="13"/>
      <c r="FG30" s="11">
        <v>45200</v>
      </c>
      <c r="FH30" s="5">
        <v>340439</v>
      </c>
      <c r="FI30" s="5">
        <v>58</v>
      </c>
      <c r="FJ30" s="5">
        <v>46914</v>
      </c>
      <c r="FK30" s="5">
        <v>62720</v>
      </c>
      <c r="FL30" s="5">
        <v>15935</v>
      </c>
      <c r="FM30" s="5">
        <v>11191</v>
      </c>
      <c r="FN30" s="5">
        <v>15439</v>
      </c>
      <c r="FO30" s="5">
        <v>2707</v>
      </c>
      <c r="FP30" s="5">
        <v>13455</v>
      </c>
      <c r="FQ30" s="5">
        <v>27278</v>
      </c>
      <c r="FR30" s="5"/>
      <c r="FS30" s="11">
        <v>45200</v>
      </c>
      <c r="FT30" s="5">
        <v>329</v>
      </c>
      <c r="FU30" s="5">
        <v>158</v>
      </c>
      <c r="FV30" s="5">
        <v>28</v>
      </c>
      <c r="FW30" s="5">
        <v>100</v>
      </c>
      <c r="FX30" s="5">
        <v>159</v>
      </c>
      <c r="FY30" s="5">
        <v>678</v>
      </c>
      <c r="FZ30" s="5">
        <v>161</v>
      </c>
      <c r="GA30" s="5">
        <v>439</v>
      </c>
      <c r="GB30" s="5"/>
      <c r="GC30" s="5">
        <v>2006</v>
      </c>
      <c r="GE30" s="11">
        <v>45200</v>
      </c>
      <c r="GF30" s="5"/>
      <c r="GG30" s="5"/>
      <c r="GH30" s="5"/>
      <c r="GI30" s="5"/>
      <c r="GJ30" s="5"/>
      <c r="GK30" s="5"/>
      <c r="GL30" s="5"/>
      <c r="GM30" s="5"/>
      <c r="GN30" s="5"/>
      <c r="GO30" s="5"/>
      <c r="GQ30" s="11">
        <v>45200</v>
      </c>
      <c r="HC30" s="11">
        <v>45200</v>
      </c>
      <c r="HD30" s="5">
        <f t="shared" si="60"/>
        <v>0</v>
      </c>
      <c r="HE30" s="5">
        <f t="shared" si="61"/>
        <v>0</v>
      </c>
      <c r="HF30" s="5">
        <f t="shared" si="62"/>
        <v>180323</v>
      </c>
      <c r="HG30" s="5">
        <f t="shared" si="63"/>
        <v>166115</v>
      </c>
      <c r="HH30" s="5">
        <f t="shared" si="64"/>
        <v>42516</v>
      </c>
      <c r="HI30" s="5">
        <f t="shared" si="65"/>
        <v>23044</v>
      </c>
      <c r="HJ30" s="5">
        <f t="shared" si="66"/>
        <v>21158</v>
      </c>
      <c r="HK30" s="5">
        <f t="shared" si="67"/>
        <v>3834</v>
      </c>
      <c r="HL30" s="5">
        <f t="shared" si="68"/>
        <v>39378</v>
      </c>
      <c r="HM30" s="5">
        <f t="shared" si="69"/>
        <v>101519</v>
      </c>
      <c r="HO30" s="11">
        <v>45200</v>
      </c>
      <c r="HP30" s="5">
        <f t="shared" si="71"/>
        <v>0</v>
      </c>
      <c r="HQ30" s="5">
        <f t="shared" si="72"/>
        <v>0</v>
      </c>
      <c r="HR30" s="5">
        <f t="shared" si="73"/>
        <v>0</v>
      </c>
      <c r="HS30" s="5">
        <f t="shared" si="74"/>
        <v>0</v>
      </c>
      <c r="HT30" s="5">
        <f t="shared" si="75"/>
        <v>0</v>
      </c>
      <c r="HU30" s="5">
        <f t="shared" si="76"/>
        <v>0</v>
      </c>
      <c r="HV30" s="5">
        <f t="shared" si="77"/>
        <v>0</v>
      </c>
      <c r="HW30" s="5">
        <f t="shared" si="78"/>
        <v>0</v>
      </c>
      <c r="HX30" s="5">
        <f t="shared" si="79"/>
        <v>0</v>
      </c>
      <c r="HY30" s="5">
        <f t="shared" si="80"/>
        <v>0</v>
      </c>
    </row>
    <row r="31" spans="2:233">
      <c r="B31" s="11">
        <v>45231</v>
      </c>
      <c r="C31" s="5">
        <v>13</v>
      </c>
      <c r="D31" s="5">
        <v>294</v>
      </c>
      <c r="E31" s="5">
        <v>682</v>
      </c>
      <c r="F31" s="5">
        <v>320</v>
      </c>
      <c r="G31" s="8">
        <v>125</v>
      </c>
      <c r="H31" s="5">
        <v>419</v>
      </c>
      <c r="I31" s="5">
        <v>2028</v>
      </c>
      <c r="J31" s="5">
        <v>1554</v>
      </c>
      <c r="K31" s="5">
        <v>0</v>
      </c>
      <c r="L31" s="5">
        <f t="shared" si="57"/>
        <v>5435</v>
      </c>
      <c r="N31" s="11">
        <v>45231</v>
      </c>
      <c r="O31" s="5">
        <v>13</v>
      </c>
      <c r="P31" s="5">
        <v>294</v>
      </c>
      <c r="Q31" s="5">
        <v>682</v>
      </c>
      <c r="R31" s="5">
        <v>320</v>
      </c>
      <c r="S31" s="8">
        <v>125</v>
      </c>
      <c r="T31" s="5">
        <v>419</v>
      </c>
      <c r="U31" s="5">
        <v>2028</v>
      </c>
      <c r="V31" s="5">
        <v>1554</v>
      </c>
      <c r="W31" s="5">
        <v>0</v>
      </c>
      <c r="X31" s="5">
        <f t="shared" si="58"/>
        <v>5435</v>
      </c>
      <c r="Y31" s="5"/>
      <c r="Z31" s="11">
        <v>45231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206"/>
      <c r="AL31" s="11">
        <v>45231</v>
      </c>
      <c r="AM31" s="5">
        <v>18154</v>
      </c>
      <c r="AN31" s="5">
        <v>590379</v>
      </c>
      <c r="AO31" s="5">
        <v>569240</v>
      </c>
      <c r="AP31" s="5">
        <v>49443</v>
      </c>
      <c r="AQ31" s="5">
        <v>74044</v>
      </c>
      <c r="AR31" s="5">
        <v>44346</v>
      </c>
      <c r="AS31" s="5">
        <v>20416</v>
      </c>
      <c r="AT31" s="5">
        <v>115959</v>
      </c>
      <c r="AU31" s="5">
        <v>118493</v>
      </c>
      <c r="AV31" s="5">
        <f t="shared" si="59"/>
        <v>1600474</v>
      </c>
      <c r="AW31" s="5"/>
      <c r="AX31" s="11">
        <v>45231</v>
      </c>
      <c r="AY31" s="5">
        <v>1324</v>
      </c>
      <c r="AZ31" s="5">
        <v>364257</v>
      </c>
      <c r="BA31" s="5">
        <v>387834</v>
      </c>
      <c r="BB31" s="5">
        <v>24429</v>
      </c>
      <c r="BC31" s="5">
        <v>44288</v>
      </c>
      <c r="BD31" s="5">
        <v>21968</v>
      </c>
      <c r="BE31" s="5">
        <v>9733</v>
      </c>
      <c r="BF31" s="5">
        <v>33008</v>
      </c>
      <c r="BG31" s="5">
        <v>42124</v>
      </c>
      <c r="BH31" s="5">
        <f t="shared" si="70"/>
        <v>928965</v>
      </c>
      <c r="BI31" s="8"/>
      <c r="BJ31" s="11">
        <v>45231</v>
      </c>
      <c r="BK31" s="5">
        <f t="shared" si="81"/>
        <v>587020</v>
      </c>
      <c r="BL31" s="8"/>
      <c r="BM31" s="12"/>
      <c r="BN31" s="12"/>
      <c r="BO31" s="5">
        <v>587020</v>
      </c>
      <c r="BP31" s="5"/>
      <c r="BQ31" s="5">
        <v>181641</v>
      </c>
      <c r="BR31" s="5">
        <v>179790</v>
      </c>
      <c r="BS31" s="5">
        <v>44374</v>
      </c>
      <c r="BT31" s="5">
        <v>24188</v>
      </c>
      <c r="BU31" s="5">
        <v>24356</v>
      </c>
      <c r="BV31" s="5">
        <v>3727</v>
      </c>
      <c r="BW31" s="5">
        <v>39582</v>
      </c>
      <c r="BX31" s="5">
        <v>89147</v>
      </c>
      <c r="BY31" s="5">
        <v>215</v>
      </c>
      <c r="BZ31" s="8"/>
      <c r="CA31" s="11">
        <v>45231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12"/>
      <c r="CM31" s="11">
        <v>45231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8"/>
      <c r="CY31" s="11">
        <v>45231</v>
      </c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8"/>
      <c r="DK31" s="11">
        <v>45231</v>
      </c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8"/>
      <c r="DW31" s="11">
        <v>45231</v>
      </c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8"/>
      <c r="EI31" s="11">
        <v>45231</v>
      </c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8"/>
      <c r="EU31" s="11">
        <v>45231</v>
      </c>
      <c r="EV31" s="5">
        <v>623958</v>
      </c>
      <c r="EW31" s="5">
        <v>1075</v>
      </c>
      <c r="EX31" s="5">
        <v>103002</v>
      </c>
      <c r="EY31" s="5">
        <v>122798</v>
      </c>
      <c r="EZ31" s="5">
        <v>23564</v>
      </c>
      <c r="FA31" s="5">
        <v>20049</v>
      </c>
      <c r="FB31" s="5">
        <v>19206</v>
      </c>
      <c r="FC31" s="5">
        <v>5015</v>
      </c>
      <c r="FD31" s="5">
        <v>23179</v>
      </c>
      <c r="FE31" s="5">
        <v>49159</v>
      </c>
      <c r="FF31" s="13"/>
      <c r="FG31" s="11">
        <v>45231</v>
      </c>
      <c r="FH31" s="5">
        <v>335442</v>
      </c>
      <c r="FI31" s="5">
        <v>128</v>
      </c>
      <c r="FJ31" s="5">
        <v>58456</v>
      </c>
      <c r="FK31" s="5">
        <v>70936</v>
      </c>
      <c r="FL31" s="5">
        <v>11426</v>
      </c>
      <c r="FM31" s="5">
        <v>9778</v>
      </c>
      <c r="FN31" s="5">
        <v>8392</v>
      </c>
      <c r="FO31" s="5">
        <v>2356</v>
      </c>
      <c r="FP31" s="5">
        <v>11144</v>
      </c>
      <c r="FQ31" s="5">
        <v>23789</v>
      </c>
      <c r="FR31" s="5"/>
      <c r="FS31" s="11">
        <v>45231</v>
      </c>
      <c r="FT31" s="5">
        <v>276</v>
      </c>
      <c r="FU31" s="5">
        <v>153</v>
      </c>
      <c r="FV31" s="5">
        <v>36</v>
      </c>
      <c r="FW31" s="5">
        <v>99</v>
      </c>
      <c r="FX31" s="5">
        <v>151</v>
      </c>
      <c r="FY31" s="5">
        <v>720</v>
      </c>
      <c r="FZ31" s="5">
        <v>141</v>
      </c>
      <c r="GA31" s="5">
        <v>539</v>
      </c>
      <c r="GB31" s="5"/>
      <c r="GC31" s="5">
        <v>2077</v>
      </c>
      <c r="GE31" s="11">
        <v>45231</v>
      </c>
      <c r="GF31" s="5"/>
      <c r="GG31" s="5"/>
      <c r="GH31" s="5"/>
      <c r="GI31" s="5"/>
      <c r="GJ31" s="5"/>
      <c r="GK31" s="5"/>
      <c r="GL31" s="5"/>
      <c r="GM31" s="5"/>
      <c r="GN31" s="5"/>
      <c r="GO31" s="5"/>
      <c r="GQ31" s="11">
        <v>45231</v>
      </c>
      <c r="HC31" s="11">
        <v>45231</v>
      </c>
      <c r="HD31" s="5">
        <f t="shared" si="60"/>
        <v>0</v>
      </c>
      <c r="HE31" s="5">
        <f t="shared" si="61"/>
        <v>0</v>
      </c>
      <c r="HF31" s="5">
        <f t="shared" si="62"/>
        <v>181641</v>
      </c>
      <c r="HG31" s="5">
        <f t="shared" si="63"/>
        <v>179790</v>
      </c>
      <c r="HH31" s="5">
        <f t="shared" si="64"/>
        <v>44374</v>
      </c>
      <c r="HI31" s="5">
        <f t="shared" si="65"/>
        <v>24188</v>
      </c>
      <c r="HJ31" s="5">
        <f t="shared" si="66"/>
        <v>24356</v>
      </c>
      <c r="HK31" s="5">
        <f t="shared" si="67"/>
        <v>3727</v>
      </c>
      <c r="HL31" s="5">
        <f t="shared" si="68"/>
        <v>39582</v>
      </c>
      <c r="HM31" s="5">
        <f t="shared" si="69"/>
        <v>89147</v>
      </c>
      <c r="HO31" s="11">
        <v>45231</v>
      </c>
      <c r="HP31" s="5">
        <f t="shared" si="71"/>
        <v>0</v>
      </c>
      <c r="HQ31" s="5">
        <f t="shared" si="72"/>
        <v>0</v>
      </c>
      <c r="HR31" s="5">
        <f t="shared" si="73"/>
        <v>0</v>
      </c>
      <c r="HS31" s="5">
        <f t="shared" si="74"/>
        <v>0</v>
      </c>
      <c r="HT31" s="5">
        <f t="shared" si="75"/>
        <v>0</v>
      </c>
      <c r="HU31" s="5">
        <f t="shared" si="76"/>
        <v>0</v>
      </c>
      <c r="HV31" s="5">
        <f t="shared" si="77"/>
        <v>0</v>
      </c>
      <c r="HW31" s="5">
        <f t="shared" si="78"/>
        <v>0</v>
      </c>
      <c r="HX31" s="5">
        <f t="shared" si="79"/>
        <v>0</v>
      </c>
      <c r="HY31" s="5">
        <f t="shared" si="80"/>
        <v>0</v>
      </c>
    </row>
    <row r="32" spans="2:233">
      <c r="B32" s="11">
        <v>45261</v>
      </c>
      <c r="C32" s="5">
        <v>19</v>
      </c>
      <c r="D32" s="5">
        <v>247</v>
      </c>
      <c r="E32" s="5">
        <v>892</v>
      </c>
      <c r="F32" s="5">
        <v>378</v>
      </c>
      <c r="G32" s="5">
        <v>130</v>
      </c>
      <c r="H32" s="5">
        <v>394</v>
      </c>
      <c r="I32" s="5">
        <v>2590</v>
      </c>
      <c r="J32" s="5">
        <v>1986</v>
      </c>
      <c r="K32" s="5">
        <v>0</v>
      </c>
      <c r="L32" s="5">
        <f t="shared" si="57"/>
        <v>6636</v>
      </c>
      <c r="N32" s="11">
        <v>45261</v>
      </c>
      <c r="O32" s="5">
        <v>19</v>
      </c>
      <c r="P32" s="5">
        <v>247</v>
      </c>
      <c r="Q32" s="5">
        <v>892</v>
      </c>
      <c r="R32" s="5">
        <v>378</v>
      </c>
      <c r="S32" s="5">
        <v>130</v>
      </c>
      <c r="T32" s="5">
        <v>394</v>
      </c>
      <c r="U32" s="5">
        <v>2590</v>
      </c>
      <c r="V32" s="5">
        <v>1986</v>
      </c>
      <c r="W32" s="5">
        <v>0</v>
      </c>
      <c r="X32" s="5">
        <f t="shared" si="58"/>
        <v>6636</v>
      </c>
      <c r="Y32" s="5"/>
      <c r="Z32" s="11">
        <v>45261</v>
      </c>
      <c r="AB32" s="12"/>
      <c r="AC32" s="12"/>
      <c r="AD32" s="12"/>
      <c r="AE32" s="12"/>
      <c r="AF32" s="12"/>
      <c r="AG32" s="12"/>
      <c r="AH32" s="12"/>
      <c r="AI32" s="12"/>
      <c r="AJ32" s="206"/>
      <c r="AL32" s="11">
        <v>45261</v>
      </c>
      <c r="AM32" s="5">
        <v>14551</v>
      </c>
      <c r="AN32" s="5">
        <v>1029470</v>
      </c>
      <c r="AO32" s="5">
        <v>802331</v>
      </c>
      <c r="AP32" s="5">
        <v>108492</v>
      </c>
      <c r="AQ32" s="5">
        <v>120582</v>
      </c>
      <c r="AR32" s="5">
        <v>76846</v>
      </c>
      <c r="AS32" s="5">
        <v>29472</v>
      </c>
      <c r="AT32" s="5">
        <v>140769</v>
      </c>
      <c r="AU32" s="5">
        <v>406970</v>
      </c>
      <c r="AV32" s="5">
        <f t="shared" si="59"/>
        <v>2729483</v>
      </c>
      <c r="AW32" s="5"/>
      <c r="AX32" s="11">
        <v>45261</v>
      </c>
      <c r="AY32" s="5">
        <v>1164</v>
      </c>
      <c r="AZ32" s="5">
        <v>755665</v>
      </c>
      <c r="BA32" s="5">
        <v>655901</v>
      </c>
      <c r="BB32" s="5">
        <v>74897</v>
      </c>
      <c r="BC32" s="5">
        <v>84602</v>
      </c>
      <c r="BD32" s="5">
        <v>54474</v>
      </c>
      <c r="BE32" s="5">
        <v>19475</v>
      </c>
      <c r="BF32" s="5">
        <v>90987</v>
      </c>
      <c r="BG32" s="5">
        <v>273907</v>
      </c>
      <c r="BH32" s="5">
        <f t="shared" si="70"/>
        <v>2011072</v>
      </c>
      <c r="BI32" s="8"/>
      <c r="BJ32" s="11">
        <v>45261</v>
      </c>
      <c r="BK32" s="5">
        <f t="shared" si="81"/>
        <v>826675</v>
      </c>
      <c r="BL32" s="8"/>
      <c r="BM32" s="12"/>
      <c r="BN32" s="12"/>
      <c r="BO32" s="5">
        <v>826675</v>
      </c>
      <c r="BP32" s="5"/>
      <c r="BQ32" s="5">
        <v>257161</v>
      </c>
      <c r="BR32" s="5">
        <v>247065</v>
      </c>
      <c r="BS32" s="5">
        <v>60002</v>
      </c>
      <c r="BT32" s="5">
        <v>39339</v>
      </c>
      <c r="BU32" s="5">
        <v>32886</v>
      </c>
      <c r="BV32" s="5">
        <v>5466</v>
      </c>
      <c r="BW32" s="5">
        <v>60053</v>
      </c>
      <c r="BX32" s="5">
        <v>124441</v>
      </c>
      <c r="BY32" s="5">
        <v>262</v>
      </c>
      <c r="BZ32" s="8"/>
      <c r="CA32" s="11">
        <v>45261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12"/>
      <c r="CM32" s="11">
        <v>45261</v>
      </c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8"/>
      <c r="CY32" s="11">
        <v>45261</v>
      </c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8"/>
      <c r="DK32" s="11">
        <v>45261</v>
      </c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8"/>
      <c r="DW32" s="11">
        <v>45261</v>
      </c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8"/>
      <c r="EI32" s="11">
        <v>45261</v>
      </c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8"/>
      <c r="EU32" s="11">
        <v>45261</v>
      </c>
      <c r="EV32" s="5">
        <v>779858</v>
      </c>
      <c r="EW32" s="5">
        <v>1242</v>
      </c>
      <c r="EX32" s="5">
        <v>125400</v>
      </c>
      <c r="EY32" s="5">
        <v>133653</v>
      </c>
      <c r="EZ32" s="5">
        <v>26203</v>
      </c>
      <c r="FA32" s="5">
        <v>20414</v>
      </c>
      <c r="FB32" s="5">
        <v>20683</v>
      </c>
      <c r="FC32" s="5">
        <v>5698</v>
      </c>
      <c r="FD32" s="5">
        <v>25634</v>
      </c>
      <c r="FE32" s="5">
        <v>67156</v>
      </c>
      <c r="FF32" s="13"/>
      <c r="FG32" s="11">
        <v>45261</v>
      </c>
      <c r="FH32" s="5">
        <v>451252</v>
      </c>
      <c r="FI32" s="5">
        <v>174</v>
      </c>
      <c r="FJ32" s="5">
        <v>78191</v>
      </c>
      <c r="FK32" s="5">
        <v>79997</v>
      </c>
      <c r="FL32" s="5">
        <v>14285</v>
      </c>
      <c r="FM32" s="5">
        <v>10564</v>
      </c>
      <c r="FN32" s="5">
        <v>10663</v>
      </c>
      <c r="FO32" s="5">
        <v>2778</v>
      </c>
      <c r="FP32" s="5">
        <v>14686</v>
      </c>
      <c r="FQ32" s="5">
        <v>36726</v>
      </c>
      <c r="FR32" s="5"/>
      <c r="FS32" s="11">
        <v>45261</v>
      </c>
      <c r="FT32" s="5">
        <v>436</v>
      </c>
      <c r="FU32" s="5">
        <v>157</v>
      </c>
      <c r="FV32" s="5">
        <v>50</v>
      </c>
      <c r="FW32" s="5">
        <v>103</v>
      </c>
      <c r="FX32" s="5">
        <v>193</v>
      </c>
      <c r="FY32" s="5">
        <v>967</v>
      </c>
      <c r="FZ32" s="5">
        <v>212</v>
      </c>
      <c r="GA32" s="5">
        <v>680</v>
      </c>
      <c r="GB32" s="5"/>
      <c r="GC32" s="5">
        <v>2744</v>
      </c>
      <c r="GE32" s="11">
        <v>45261</v>
      </c>
      <c r="GF32" s="5"/>
      <c r="GG32" s="5"/>
      <c r="GH32" s="5"/>
      <c r="GI32" s="5"/>
      <c r="GJ32" s="5"/>
      <c r="GK32" s="5"/>
      <c r="GL32" s="5"/>
      <c r="GM32" s="5"/>
      <c r="GN32" s="5"/>
      <c r="GO32" s="5"/>
      <c r="GQ32" s="11">
        <v>45261</v>
      </c>
      <c r="HC32" s="11">
        <v>45261</v>
      </c>
      <c r="HD32" s="5">
        <f t="shared" si="60"/>
        <v>0</v>
      </c>
      <c r="HE32" s="5">
        <f t="shared" si="61"/>
        <v>0</v>
      </c>
      <c r="HF32" s="5">
        <f t="shared" si="62"/>
        <v>257161</v>
      </c>
      <c r="HG32" s="5">
        <f t="shared" si="63"/>
        <v>247065</v>
      </c>
      <c r="HH32" s="5">
        <f t="shared" si="64"/>
        <v>60002</v>
      </c>
      <c r="HI32" s="5">
        <f t="shared" si="65"/>
        <v>39339</v>
      </c>
      <c r="HJ32" s="5">
        <f t="shared" si="66"/>
        <v>32886</v>
      </c>
      <c r="HK32" s="5">
        <f t="shared" si="67"/>
        <v>5466</v>
      </c>
      <c r="HL32" s="5">
        <f t="shared" si="68"/>
        <v>60053</v>
      </c>
      <c r="HM32" s="5">
        <f t="shared" si="69"/>
        <v>124441</v>
      </c>
      <c r="HO32" s="11">
        <v>45261</v>
      </c>
      <c r="HP32" s="5">
        <f t="shared" si="71"/>
        <v>0</v>
      </c>
      <c r="HQ32" s="5">
        <f t="shared" si="72"/>
        <v>0</v>
      </c>
      <c r="HR32" s="5">
        <f t="shared" si="73"/>
        <v>0</v>
      </c>
      <c r="HS32" s="5">
        <f t="shared" si="74"/>
        <v>0</v>
      </c>
      <c r="HT32" s="5">
        <f t="shared" si="75"/>
        <v>0</v>
      </c>
      <c r="HU32" s="5">
        <f t="shared" si="76"/>
        <v>0</v>
      </c>
      <c r="HV32" s="5">
        <f t="shared" si="77"/>
        <v>0</v>
      </c>
      <c r="HW32" s="5">
        <f t="shared" si="78"/>
        <v>0</v>
      </c>
      <c r="HX32" s="5">
        <f t="shared" si="79"/>
        <v>0</v>
      </c>
      <c r="HY32" s="5">
        <f t="shared" si="80"/>
        <v>0</v>
      </c>
    </row>
    <row r="33" spans="2:233">
      <c r="B33" s="11">
        <v>45292</v>
      </c>
      <c r="C33" s="5">
        <v>23</v>
      </c>
      <c r="D33" s="5">
        <v>114</v>
      </c>
      <c r="E33" s="5">
        <v>986</v>
      </c>
      <c r="F33" s="5">
        <v>229</v>
      </c>
      <c r="G33" s="5">
        <v>202</v>
      </c>
      <c r="H33" s="5">
        <v>166</v>
      </c>
      <c r="I33" s="5">
        <v>1471</v>
      </c>
      <c r="J33" s="5">
        <v>1078</v>
      </c>
      <c r="K33" s="5">
        <v>0</v>
      </c>
      <c r="L33" s="5">
        <f t="shared" si="57"/>
        <v>4269</v>
      </c>
      <c r="N33" s="11">
        <v>45292</v>
      </c>
      <c r="O33" s="5">
        <v>23</v>
      </c>
      <c r="P33" s="5">
        <v>114</v>
      </c>
      <c r="Q33" s="5">
        <v>986</v>
      </c>
      <c r="R33" s="5">
        <v>229</v>
      </c>
      <c r="S33" s="5">
        <v>202</v>
      </c>
      <c r="T33" s="5">
        <v>166</v>
      </c>
      <c r="U33" s="5">
        <v>1471</v>
      </c>
      <c r="V33" s="5">
        <v>1078</v>
      </c>
      <c r="W33" s="5">
        <v>0</v>
      </c>
      <c r="X33" s="5">
        <f t="shared" si="58"/>
        <v>4269</v>
      </c>
      <c r="Y33" s="5"/>
      <c r="Z33" s="11">
        <v>45292</v>
      </c>
      <c r="AA33" s="34"/>
      <c r="AB33" s="12"/>
      <c r="AC33" s="12"/>
      <c r="AD33" s="12"/>
      <c r="AE33" s="12"/>
      <c r="AF33" s="12"/>
      <c r="AG33" s="12"/>
      <c r="AH33" s="12"/>
      <c r="AI33" s="12"/>
      <c r="AJ33" s="206"/>
      <c r="AL33" s="11">
        <v>45292</v>
      </c>
      <c r="AM33" s="5">
        <v>13523</v>
      </c>
      <c r="AN33" s="5">
        <v>893019</v>
      </c>
      <c r="AO33" s="5">
        <v>919902</v>
      </c>
      <c r="AP33" s="5">
        <v>119585</v>
      </c>
      <c r="AQ33" s="5">
        <v>116975</v>
      </c>
      <c r="AR33" s="5">
        <v>65965</v>
      </c>
      <c r="AS33" s="5">
        <v>92202</v>
      </c>
      <c r="AT33" s="5">
        <v>261065</v>
      </c>
      <c r="AU33" s="5">
        <v>362637</v>
      </c>
      <c r="AV33" s="5">
        <f t="shared" si="59"/>
        <v>2844873</v>
      </c>
      <c r="AW33" s="5"/>
      <c r="AX33" s="11">
        <v>45292</v>
      </c>
      <c r="AY33" s="5">
        <v>1078</v>
      </c>
      <c r="AZ33" s="5">
        <v>677441</v>
      </c>
      <c r="BA33" s="5">
        <v>687950</v>
      </c>
      <c r="BB33" s="5">
        <v>91591</v>
      </c>
      <c r="BC33" s="5">
        <v>88875</v>
      </c>
      <c r="BD33" s="5">
        <v>46670</v>
      </c>
      <c r="BE33" s="5">
        <v>83277</v>
      </c>
      <c r="BF33" s="5">
        <v>192531</v>
      </c>
      <c r="BG33" s="5">
        <v>270021</v>
      </c>
      <c r="BH33" s="5">
        <f t="shared" si="70"/>
        <v>2139434</v>
      </c>
      <c r="BI33" s="8"/>
      <c r="BJ33" s="11">
        <v>45292</v>
      </c>
      <c r="BK33" s="5">
        <f t="shared" si="81"/>
        <v>713874</v>
      </c>
      <c r="BL33" s="8"/>
      <c r="BM33" s="12"/>
      <c r="BN33" s="12"/>
      <c r="BO33" s="5">
        <v>713874</v>
      </c>
      <c r="BP33" s="5"/>
      <c r="BQ33" s="5">
        <v>209195</v>
      </c>
      <c r="BR33" s="5">
        <v>204351</v>
      </c>
      <c r="BS33" s="5">
        <v>52629</v>
      </c>
      <c r="BT33" s="5">
        <v>37472</v>
      </c>
      <c r="BU33" s="5">
        <v>23052</v>
      </c>
      <c r="BV33" s="5">
        <v>5910</v>
      </c>
      <c r="BW33" s="5">
        <v>48084</v>
      </c>
      <c r="BX33" s="5">
        <v>132113</v>
      </c>
      <c r="BY33" s="5">
        <v>1068</v>
      </c>
      <c r="BZ33" s="8"/>
      <c r="CA33" s="11">
        <v>45292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12"/>
      <c r="CM33" s="11">
        <v>45292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8"/>
      <c r="CY33" s="11">
        <v>45292</v>
      </c>
      <c r="CZ33" s="5">
        <v>62050</v>
      </c>
      <c r="DA33" s="5"/>
      <c r="DB33" s="5"/>
      <c r="DC33" s="5"/>
      <c r="DD33" s="5"/>
      <c r="DE33" s="5"/>
      <c r="DF33" s="5"/>
      <c r="DG33" s="5"/>
      <c r="DH33" s="5"/>
      <c r="DI33" s="5"/>
      <c r="DJ33" s="8"/>
      <c r="DK33" s="11">
        <v>45292</v>
      </c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8"/>
      <c r="DW33" s="11">
        <v>45292</v>
      </c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8"/>
      <c r="EI33" s="11">
        <v>45292</v>
      </c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8"/>
      <c r="EU33" s="11">
        <v>45292</v>
      </c>
      <c r="EV33" s="5">
        <v>697327</v>
      </c>
      <c r="EW33" s="5">
        <v>842</v>
      </c>
      <c r="EX33" s="5">
        <v>105937</v>
      </c>
      <c r="EY33" s="5">
        <v>114417</v>
      </c>
      <c r="EZ33" s="5">
        <v>23345</v>
      </c>
      <c r="FA33" s="5">
        <v>15711</v>
      </c>
      <c r="FB33" s="5">
        <v>16700</v>
      </c>
      <c r="FC33" s="5">
        <v>4515</v>
      </c>
      <c r="FD33" s="5">
        <v>21940</v>
      </c>
      <c r="FE33" s="5">
        <v>62399</v>
      </c>
      <c r="FF33" s="13"/>
      <c r="FG33" s="11">
        <v>45292</v>
      </c>
      <c r="FH33" s="5">
        <v>371980</v>
      </c>
      <c r="FI33" s="5">
        <v>140</v>
      </c>
      <c r="FJ33" s="5">
        <v>62907</v>
      </c>
      <c r="FK33" s="5">
        <v>63797</v>
      </c>
      <c r="FL33" s="5">
        <v>12729</v>
      </c>
      <c r="FM33" s="5">
        <v>7804</v>
      </c>
      <c r="FN33" s="5">
        <v>7934</v>
      </c>
      <c r="FO33" s="5">
        <v>2422</v>
      </c>
      <c r="FP33" s="5">
        <v>12577</v>
      </c>
      <c r="FQ33" s="5">
        <v>32834</v>
      </c>
      <c r="FR33" s="5"/>
      <c r="FS33" s="11">
        <v>45292</v>
      </c>
      <c r="FT33" s="5">
        <v>403</v>
      </c>
      <c r="FU33" s="5">
        <v>172</v>
      </c>
      <c r="FV33" s="5">
        <v>80</v>
      </c>
      <c r="FW33" s="5">
        <v>100</v>
      </c>
      <c r="FX33" s="5">
        <v>189</v>
      </c>
      <c r="FY33" s="5">
        <v>755</v>
      </c>
      <c r="FZ33" s="5">
        <v>168</v>
      </c>
      <c r="GA33" s="5">
        <v>564</v>
      </c>
      <c r="GB33" s="5"/>
      <c r="GC33" s="5">
        <v>2383</v>
      </c>
      <c r="GE33" s="11">
        <v>45292</v>
      </c>
      <c r="GF33" s="5">
        <v>492</v>
      </c>
      <c r="GG33" s="5">
        <v>184</v>
      </c>
      <c r="GH33" s="5">
        <v>9</v>
      </c>
      <c r="GI33" s="5">
        <v>75</v>
      </c>
      <c r="GJ33" s="5">
        <v>150</v>
      </c>
      <c r="GK33" s="5">
        <v>1246</v>
      </c>
      <c r="GL33" s="5">
        <v>122</v>
      </c>
      <c r="GM33" s="5">
        <v>1086</v>
      </c>
      <c r="GN33" s="5"/>
      <c r="GO33" s="5">
        <v>3364</v>
      </c>
      <c r="GQ33" s="11">
        <v>45292</v>
      </c>
      <c r="HC33" s="11">
        <v>45292</v>
      </c>
      <c r="HD33" s="5">
        <f t="shared" si="60"/>
        <v>62050</v>
      </c>
      <c r="HE33" s="5">
        <f t="shared" si="61"/>
        <v>0</v>
      </c>
      <c r="HF33" s="5">
        <f t="shared" si="62"/>
        <v>209195</v>
      </c>
      <c r="HG33" s="5">
        <f t="shared" si="63"/>
        <v>204351</v>
      </c>
      <c r="HH33" s="5">
        <f t="shared" si="64"/>
        <v>52629</v>
      </c>
      <c r="HI33" s="5">
        <f t="shared" si="65"/>
        <v>37472</v>
      </c>
      <c r="HJ33" s="5">
        <f t="shared" si="66"/>
        <v>23052</v>
      </c>
      <c r="HK33" s="5">
        <f t="shared" si="67"/>
        <v>5910</v>
      </c>
      <c r="HL33" s="5">
        <f t="shared" si="68"/>
        <v>48084</v>
      </c>
      <c r="HM33" s="5">
        <f t="shared" si="69"/>
        <v>132113</v>
      </c>
      <c r="HO33" s="11">
        <v>45292</v>
      </c>
      <c r="HP33" s="5">
        <f t="shared" si="71"/>
        <v>0</v>
      </c>
      <c r="HQ33" s="5">
        <f t="shared" si="72"/>
        <v>0</v>
      </c>
      <c r="HR33" s="5">
        <f t="shared" si="73"/>
        <v>0</v>
      </c>
      <c r="HS33" s="5">
        <f t="shared" si="74"/>
        <v>0</v>
      </c>
      <c r="HT33" s="5">
        <f t="shared" si="75"/>
        <v>0</v>
      </c>
      <c r="HU33" s="5">
        <f t="shared" si="76"/>
        <v>0</v>
      </c>
      <c r="HV33" s="5">
        <f t="shared" si="77"/>
        <v>0</v>
      </c>
      <c r="HW33" s="5">
        <f t="shared" si="78"/>
        <v>0</v>
      </c>
      <c r="HX33" s="5">
        <f t="shared" si="79"/>
        <v>0</v>
      </c>
      <c r="HY33" s="5">
        <f t="shared" si="80"/>
        <v>0</v>
      </c>
    </row>
    <row r="34" spans="2:233">
      <c r="B34" s="11">
        <v>45323</v>
      </c>
      <c r="C34" s="5">
        <v>26</v>
      </c>
      <c r="D34" s="5">
        <v>146</v>
      </c>
      <c r="E34" s="5">
        <v>645</v>
      </c>
      <c r="F34" s="5">
        <v>308</v>
      </c>
      <c r="G34" s="5">
        <v>100</v>
      </c>
      <c r="H34" s="5">
        <v>143</v>
      </c>
      <c r="I34" s="5">
        <v>1760</v>
      </c>
      <c r="J34" s="5">
        <v>1335</v>
      </c>
      <c r="K34" s="5">
        <v>0</v>
      </c>
      <c r="L34" s="5">
        <f t="shared" si="57"/>
        <v>4463</v>
      </c>
      <c r="N34" s="11">
        <v>45323</v>
      </c>
      <c r="O34" s="5">
        <v>26</v>
      </c>
      <c r="P34" s="5">
        <v>146</v>
      </c>
      <c r="Q34" s="5">
        <v>645</v>
      </c>
      <c r="R34" s="5">
        <v>308</v>
      </c>
      <c r="S34" s="5">
        <v>100</v>
      </c>
      <c r="T34" s="5">
        <v>143</v>
      </c>
      <c r="U34" s="5">
        <v>1760</v>
      </c>
      <c r="V34" s="5">
        <v>1335</v>
      </c>
      <c r="W34" s="5">
        <v>0</v>
      </c>
      <c r="X34" s="5">
        <f t="shared" si="58"/>
        <v>4463</v>
      </c>
      <c r="Y34" s="5"/>
      <c r="Z34" s="11">
        <v>45323</v>
      </c>
      <c r="AA34" s="34"/>
      <c r="AB34" s="12"/>
      <c r="AC34" s="12"/>
      <c r="AD34" s="12"/>
      <c r="AE34" s="12"/>
      <c r="AF34" s="12"/>
      <c r="AG34" s="12"/>
      <c r="AH34" s="12"/>
      <c r="AI34" s="12"/>
      <c r="AJ34" s="206"/>
      <c r="AL34" s="11">
        <v>45323</v>
      </c>
      <c r="AM34" s="5">
        <v>12680</v>
      </c>
      <c r="AN34" s="5">
        <v>2094127</v>
      </c>
      <c r="AO34" s="5">
        <v>1201896</v>
      </c>
      <c r="AP34" s="5">
        <v>52849</v>
      </c>
      <c r="AQ34" s="5">
        <v>213741</v>
      </c>
      <c r="AR34" s="5">
        <v>46379</v>
      </c>
      <c r="AS34" s="5">
        <v>24859</v>
      </c>
      <c r="AT34" s="5">
        <v>205674</v>
      </c>
      <c r="AU34" s="5">
        <v>535932</v>
      </c>
      <c r="AV34" s="5">
        <f t="shared" si="59"/>
        <v>4388137</v>
      </c>
      <c r="AW34" s="5"/>
      <c r="AX34" s="11">
        <v>45323</v>
      </c>
      <c r="AY34" s="5">
        <v>793</v>
      </c>
      <c r="AZ34" s="5">
        <v>1670936</v>
      </c>
      <c r="BA34" s="5">
        <v>1013331</v>
      </c>
      <c r="BB34" s="5">
        <v>26658</v>
      </c>
      <c r="BC34" s="5">
        <v>183871</v>
      </c>
      <c r="BD34" s="5">
        <v>25627</v>
      </c>
      <c r="BE34" s="5">
        <v>17076</v>
      </c>
      <c r="BF34" s="5">
        <v>129859</v>
      </c>
      <c r="BG34" s="5">
        <v>415869</v>
      </c>
      <c r="BH34" s="5">
        <f t="shared" si="70"/>
        <v>3484020</v>
      </c>
      <c r="BI34" s="8"/>
      <c r="BJ34" s="11">
        <v>45323</v>
      </c>
      <c r="BK34" s="5">
        <f t="shared" si="81"/>
        <v>755112</v>
      </c>
      <c r="BL34" s="8"/>
      <c r="BM34" s="12"/>
      <c r="BN34" s="12"/>
      <c r="BO34" s="5">
        <v>755112</v>
      </c>
      <c r="BP34" s="5"/>
      <c r="BQ34" s="5">
        <v>228745</v>
      </c>
      <c r="BR34" s="5">
        <v>218321</v>
      </c>
      <c r="BS34" s="5">
        <v>52602</v>
      </c>
      <c r="BT34" s="5">
        <v>29174</v>
      </c>
      <c r="BU34" s="5">
        <v>30903</v>
      </c>
      <c r="BV34" s="5">
        <v>6259</v>
      </c>
      <c r="BW34" s="5">
        <v>44191</v>
      </c>
      <c r="BX34" s="5">
        <v>144560</v>
      </c>
      <c r="BY34" s="5">
        <v>357</v>
      </c>
      <c r="BZ34" s="8"/>
      <c r="CA34" s="11">
        <v>45323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12"/>
      <c r="CM34" s="11">
        <v>45323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8"/>
      <c r="CY34" s="11">
        <v>45323</v>
      </c>
      <c r="CZ34" s="5">
        <v>66560</v>
      </c>
      <c r="DA34" s="5"/>
      <c r="DB34" s="5"/>
      <c r="DC34" s="5"/>
      <c r="DD34" s="5"/>
      <c r="DE34" s="5"/>
      <c r="DF34" s="5"/>
      <c r="DG34" s="5"/>
      <c r="DH34" s="5"/>
      <c r="DI34" s="5"/>
      <c r="DJ34" s="8"/>
      <c r="DK34" s="11">
        <v>45323</v>
      </c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8"/>
      <c r="DW34" s="11">
        <v>45323</v>
      </c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8"/>
      <c r="EI34" s="11">
        <v>45323</v>
      </c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8"/>
      <c r="EU34" s="11">
        <v>45323</v>
      </c>
      <c r="EV34" s="5">
        <v>693154</v>
      </c>
      <c r="EW34" s="5">
        <v>886</v>
      </c>
      <c r="EX34" s="5">
        <v>109468</v>
      </c>
      <c r="EY34" s="5">
        <v>115884</v>
      </c>
      <c r="EZ34" s="5">
        <v>20991</v>
      </c>
      <c r="FA34" s="5">
        <v>14752</v>
      </c>
      <c r="FB34" s="5">
        <v>16145</v>
      </c>
      <c r="FC34" s="5">
        <v>4169</v>
      </c>
      <c r="FD34" s="5">
        <v>19682</v>
      </c>
      <c r="FE34" s="5">
        <v>64476</v>
      </c>
      <c r="FF34" s="13"/>
      <c r="FG34" s="11">
        <v>45323</v>
      </c>
      <c r="FH34" s="5">
        <v>387186</v>
      </c>
      <c r="FI34" s="5">
        <v>86</v>
      </c>
      <c r="FJ34" s="5">
        <v>63951</v>
      </c>
      <c r="FK34" s="5">
        <v>65534</v>
      </c>
      <c r="FL34" s="5">
        <v>10589</v>
      </c>
      <c r="FM34" s="5">
        <v>7449</v>
      </c>
      <c r="FN34" s="5">
        <v>7476</v>
      </c>
      <c r="FO34" s="5">
        <v>2153</v>
      </c>
      <c r="FP34" s="5">
        <v>10891</v>
      </c>
      <c r="FQ34" s="5">
        <v>34737</v>
      </c>
      <c r="FR34" s="5"/>
      <c r="FS34" s="11">
        <v>45323</v>
      </c>
      <c r="FT34" s="5">
        <v>492</v>
      </c>
      <c r="FU34" s="5">
        <v>137</v>
      </c>
      <c r="FV34" s="5">
        <v>41</v>
      </c>
      <c r="FW34" s="5">
        <v>79</v>
      </c>
      <c r="FX34" s="5">
        <v>156</v>
      </c>
      <c r="FY34" s="5">
        <v>969</v>
      </c>
      <c r="FZ34" s="5">
        <v>160</v>
      </c>
      <c r="GA34" s="5">
        <v>663</v>
      </c>
      <c r="GB34" s="5"/>
      <c r="GC34" s="5">
        <v>2651</v>
      </c>
      <c r="GE34" s="11">
        <v>45323</v>
      </c>
      <c r="GF34" s="5">
        <v>491</v>
      </c>
      <c r="GG34" s="5">
        <v>171</v>
      </c>
      <c r="GH34" s="5">
        <v>13</v>
      </c>
      <c r="GI34" s="5">
        <v>46</v>
      </c>
      <c r="GJ34" s="5">
        <v>136</v>
      </c>
      <c r="GK34" s="5">
        <v>1301</v>
      </c>
      <c r="GL34" s="5">
        <v>151</v>
      </c>
      <c r="GM34" s="5">
        <v>1105</v>
      </c>
      <c r="GN34" s="5"/>
      <c r="GO34" s="5">
        <v>3414</v>
      </c>
      <c r="GQ34" s="11">
        <v>45323</v>
      </c>
      <c r="HC34" s="11">
        <v>45323</v>
      </c>
      <c r="HD34" s="5">
        <f t="shared" si="60"/>
        <v>66560</v>
      </c>
      <c r="HE34" s="5">
        <f t="shared" si="61"/>
        <v>0</v>
      </c>
      <c r="HF34" s="5">
        <f t="shared" si="62"/>
        <v>228745</v>
      </c>
      <c r="HG34" s="5">
        <f t="shared" si="63"/>
        <v>218321</v>
      </c>
      <c r="HH34" s="5">
        <f t="shared" si="64"/>
        <v>52602</v>
      </c>
      <c r="HI34" s="5">
        <f t="shared" si="65"/>
        <v>29174</v>
      </c>
      <c r="HJ34" s="5">
        <f t="shared" si="66"/>
        <v>30903</v>
      </c>
      <c r="HK34" s="5">
        <f t="shared" si="67"/>
        <v>6259</v>
      </c>
      <c r="HL34" s="5">
        <f t="shared" si="68"/>
        <v>44191</v>
      </c>
      <c r="HM34" s="5">
        <f t="shared" si="69"/>
        <v>144560</v>
      </c>
      <c r="HO34" s="11">
        <v>45323</v>
      </c>
      <c r="HP34" s="5">
        <f t="shared" si="71"/>
        <v>0</v>
      </c>
      <c r="HQ34" s="5">
        <f t="shared" si="72"/>
        <v>0</v>
      </c>
      <c r="HR34" s="5">
        <f t="shared" si="73"/>
        <v>0</v>
      </c>
      <c r="HS34" s="5">
        <f t="shared" si="74"/>
        <v>0</v>
      </c>
      <c r="HT34" s="5">
        <f t="shared" si="75"/>
        <v>0</v>
      </c>
      <c r="HU34" s="5">
        <f t="shared" si="76"/>
        <v>0</v>
      </c>
      <c r="HV34" s="5">
        <f t="shared" si="77"/>
        <v>0</v>
      </c>
      <c r="HW34" s="5">
        <f t="shared" si="78"/>
        <v>0</v>
      </c>
      <c r="HX34" s="5">
        <f t="shared" si="79"/>
        <v>0</v>
      </c>
      <c r="HY34" s="5">
        <f t="shared" si="80"/>
        <v>0</v>
      </c>
    </row>
    <row r="35" spans="2:233">
      <c r="B35" s="11">
        <v>45352</v>
      </c>
      <c r="C35" s="5">
        <v>55</v>
      </c>
      <c r="D35" s="5">
        <v>154</v>
      </c>
      <c r="E35" s="5">
        <v>764</v>
      </c>
      <c r="F35" s="5">
        <v>331</v>
      </c>
      <c r="G35" s="5">
        <v>140</v>
      </c>
      <c r="H35" s="5">
        <v>160</v>
      </c>
      <c r="I35" s="5">
        <v>1684</v>
      </c>
      <c r="J35" s="5">
        <v>1868</v>
      </c>
      <c r="K35" s="5">
        <v>0</v>
      </c>
      <c r="L35" s="5">
        <f t="shared" si="57"/>
        <v>5156</v>
      </c>
      <c r="N35" s="11">
        <v>45352</v>
      </c>
      <c r="O35" s="5">
        <v>55</v>
      </c>
      <c r="P35" s="5">
        <v>154</v>
      </c>
      <c r="Q35" s="5">
        <v>764</v>
      </c>
      <c r="R35" s="5">
        <v>331</v>
      </c>
      <c r="S35" s="5">
        <v>140</v>
      </c>
      <c r="T35" s="5">
        <v>160</v>
      </c>
      <c r="U35" s="5">
        <v>1684</v>
      </c>
      <c r="V35" s="5">
        <v>1868</v>
      </c>
      <c r="W35" s="5">
        <v>0</v>
      </c>
      <c r="X35" s="5">
        <f t="shared" si="58"/>
        <v>5156</v>
      </c>
      <c r="Y35" s="5"/>
      <c r="Z35" s="11">
        <v>45352</v>
      </c>
      <c r="AA35" s="34"/>
      <c r="AB35" s="12"/>
      <c r="AC35" s="12"/>
      <c r="AD35" s="12"/>
      <c r="AE35" s="12"/>
      <c r="AF35" s="12"/>
      <c r="AG35" s="12"/>
      <c r="AH35" s="12"/>
      <c r="AI35" s="12"/>
      <c r="AJ35" s="206"/>
      <c r="AL35" s="11">
        <v>45352</v>
      </c>
      <c r="AM35" s="5">
        <v>19642</v>
      </c>
      <c r="AN35" s="5">
        <v>903719</v>
      </c>
      <c r="AO35" s="5">
        <v>616424</v>
      </c>
      <c r="AP35" s="5">
        <v>57985</v>
      </c>
      <c r="AQ35" s="5">
        <v>90547</v>
      </c>
      <c r="AR35" s="5">
        <v>46439</v>
      </c>
      <c r="AS35" s="5">
        <v>25214</v>
      </c>
      <c r="AT35" s="5">
        <v>143796</v>
      </c>
      <c r="AU35" s="5">
        <v>463806</v>
      </c>
      <c r="AV35" s="5">
        <f t="shared" si="59"/>
        <v>2367572</v>
      </c>
      <c r="AW35" s="5"/>
      <c r="AX35" s="11">
        <v>45352</v>
      </c>
      <c r="AY35" s="5">
        <v>4901</v>
      </c>
      <c r="AZ35" s="5">
        <v>675951</v>
      </c>
      <c r="BA35" s="5">
        <v>445007</v>
      </c>
      <c r="BB35" s="5">
        <v>31081</v>
      </c>
      <c r="BC35" s="5">
        <v>64654</v>
      </c>
      <c r="BD35" s="5">
        <v>27944</v>
      </c>
      <c r="BE35" s="5">
        <v>18084</v>
      </c>
      <c r="BF35" s="5">
        <v>69468</v>
      </c>
      <c r="BG35" s="5">
        <v>342017</v>
      </c>
      <c r="BH35" s="5">
        <f t="shared" si="70"/>
        <v>1679107</v>
      </c>
      <c r="BI35" s="8"/>
      <c r="BJ35" s="11">
        <v>45352</v>
      </c>
      <c r="BK35" s="5">
        <f t="shared" si="81"/>
        <v>891018</v>
      </c>
      <c r="BL35" s="8"/>
      <c r="BM35" s="5">
        <v>29139</v>
      </c>
      <c r="BN35" s="12"/>
      <c r="BO35" s="5">
        <v>861879</v>
      </c>
      <c r="BP35" s="5"/>
      <c r="BQ35" s="5">
        <v>258202</v>
      </c>
      <c r="BR35" s="5">
        <v>223044</v>
      </c>
      <c r="BS35" s="5">
        <v>60040</v>
      </c>
      <c r="BT35" s="5">
        <v>33212</v>
      </c>
      <c r="BU35" s="5">
        <v>33881</v>
      </c>
      <c r="BV35" s="5">
        <v>7266</v>
      </c>
      <c r="BW35" s="5">
        <v>59638</v>
      </c>
      <c r="BX35" s="5">
        <v>163143</v>
      </c>
      <c r="BY35" s="5">
        <v>799</v>
      </c>
      <c r="BZ35" s="8"/>
      <c r="CA35" s="11">
        <v>45352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12"/>
      <c r="CM35" s="11">
        <v>45352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8"/>
      <c r="CY35" s="11">
        <v>45352</v>
      </c>
      <c r="CZ35" s="5">
        <v>76583</v>
      </c>
      <c r="DA35" s="5"/>
      <c r="DB35" s="5"/>
      <c r="DC35" s="5"/>
      <c r="DD35" s="5"/>
      <c r="DE35" s="5"/>
      <c r="DF35" s="5"/>
      <c r="DG35" s="5"/>
      <c r="DH35" s="5"/>
      <c r="DI35" s="5"/>
      <c r="DJ35" s="8"/>
      <c r="DK35" s="11">
        <v>45352</v>
      </c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8"/>
      <c r="DW35" s="11">
        <v>45352</v>
      </c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8"/>
      <c r="EI35" s="11">
        <v>45352</v>
      </c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8"/>
      <c r="EU35" s="11">
        <v>45352</v>
      </c>
      <c r="EV35" s="5">
        <v>729022</v>
      </c>
      <c r="EW35" s="5">
        <v>1329</v>
      </c>
      <c r="EX35" s="5">
        <v>126534</v>
      </c>
      <c r="EY35" s="5">
        <v>123810</v>
      </c>
      <c r="EZ35" s="5">
        <v>25501</v>
      </c>
      <c r="FA35" s="5">
        <v>15524</v>
      </c>
      <c r="FB35" s="5">
        <v>17229</v>
      </c>
      <c r="FC35" s="5">
        <v>4611</v>
      </c>
      <c r="FD35" s="5">
        <v>23565</v>
      </c>
      <c r="FE35" s="5">
        <v>79171</v>
      </c>
      <c r="FF35" s="13"/>
      <c r="FG35" s="11">
        <v>45352</v>
      </c>
      <c r="FH35" s="5">
        <v>442235</v>
      </c>
      <c r="FI35" s="5">
        <v>264</v>
      </c>
      <c r="FJ35" s="5">
        <v>81117</v>
      </c>
      <c r="FK35" s="5">
        <v>76423</v>
      </c>
      <c r="FL35" s="5">
        <v>13365</v>
      </c>
      <c r="FM35" s="5">
        <v>8392</v>
      </c>
      <c r="FN35" s="5">
        <v>8747</v>
      </c>
      <c r="FO35" s="5">
        <v>2382</v>
      </c>
      <c r="FP35" s="5">
        <v>13995</v>
      </c>
      <c r="FQ35" s="5">
        <v>50355</v>
      </c>
      <c r="FR35" s="5"/>
      <c r="FS35" s="11">
        <v>45352</v>
      </c>
      <c r="FT35" s="5">
        <v>494</v>
      </c>
      <c r="FU35" s="5">
        <v>147</v>
      </c>
      <c r="FV35" s="5">
        <v>49</v>
      </c>
      <c r="FW35" s="5">
        <v>103</v>
      </c>
      <c r="FX35" s="5">
        <v>233</v>
      </c>
      <c r="FY35" s="5">
        <v>1080</v>
      </c>
      <c r="FZ35" s="5">
        <v>188</v>
      </c>
      <c r="GA35" s="5">
        <v>912</v>
      </c>
      <c r="GB35" s="5"/>
      <c r="GC35" s="5">
        <v>3157</v>
      </c>
      <c r="GE35" s="11">
        <v>45352</v>
      </c>
      <c r="GF35" s="5">
        <v>609</v>
      </c>
      <c r="GG35" s="5">
        <v>212</v>
      </c>
      <c r="GH35" s="5">
        <v>13</v>
      </c>
      <c r="GI35" s="5">
        <v>87</v>
      </c>
      <c r="GJ35" s="5">
        <v>120</v>
      </c>
      <c r="GK35" s="5">
        <v>1194</v>
      </c>
      <c r="GL35" s="5">
        <v>107</v>
      </c>
      <c r="GM35" s="5">
        <v>1552</v>
      </c>
      <c r="GN35" s="5"/>
      <c r="GO35" s="5">
        <v>3894</v>
      </c>
      <c r="GQ35" s="11">
        <v>45352</v>
      </c>
      <c r="HC35" s="11">
        <v>45352</v>
      </c>
      <c r="HD35" s="5">
        <f t="shared" si="60"/>
        <v>105722</v>
      </c>
      <c r="HE35" s="5">
        <f t="shared" si="61"/>
        <v>0</v>
      </c>
      <c r="HF35" s="5">
        <f t="shared" si="62"/>
        <v>258202</v>
      </c>
      <c r="HG35" s="5">
        <f t="shared" si="63"/>
        <v>223044</v>
      </c>
      <c r="HH35" s="5">
        <f t="shared" si="64"/>
        <v>60040</v>
      </c>
      <c r="HI35" s="5">
        <f t="shared" si="65"/>
        <v>33212</v>
      </c>
      <c r="HJ35" s="5">
        <f t="shared" si="66"/>
        <v>33881</v>
      </c>
      <c r="HK35" s="5">
        <f t="shared" si="67"/>
        <v>7266</v>
      </c>
      <c r="HL35" s="5">
        <f t="shared" si="68"/>
        <v>59638</v>
      </c>
      <c r="HM35" s="5">
        <f t="shared" si="69"/>
        <v>163143</v>
      </c>
      <c r="HO35" s="11">
        <v>45352</v>
      </c>
      <c r="HP35" s="5">
        <f t="shared" si="71"/>
        <v>0</v>
      </c>
      <c r="HQ35" s="5">
        <f t="shared" si="72"/>
        <v>0</v>
      </c>
      <c r="HR35" s="5">
        <f t="shared" si="73"/>
        <v>0</v>
      </c>
      <c r="HS35" s="5">
        <f t="shared" si="74"/>
        <v>0</v>
      </c>
      <c r="HT35" s="5">
        <f t="shared" si="75"/>
        <v>0</v>
      </c>
      <c r="HU35" s="5">
        <f t="shared" si="76"/>
        <v>0</v>
      </c>
      <c r="HV35" s="5">
        <f t="shared" si="77"/>
        <v>0</v>
      </c>
      <c r="HW35" s="5">
        <f t="shared" si="78"/>
        <v>0</v>
      </c>
      <c r="HX35" s="5">
        <f t="shared" si="79"/>
        <v>0</v>
      </c>
      <c r="HY35" s="5">
        <f t="shared" si="80"/>
        <v>0</v>
      </c>
    </row>
    <row r="36" spans="2:233">
      <c r="B36" s="11">
        <v>45383</v>
      </c>
      <c r="C36" s="5">
        <v>9</v>
      </c>
      <c r="D36" s="5">
        <v>379</v>
      </c>
      <c r="E36" s="5">
        <v>664</v>
      </c>
      <c r="F36" s="5">
        <v>303</v>
      </c>
      <c r="G36" s="5">
        <v>75</v>
      </c>
      <c r="H36" s="5">
        <v>254</v>
      </c>
      <c r="I36" s="5">
        <v>1496</v>
      </c>
      <c r="J36" s="5">
        <v>1446</v>
      </c>
      <c r="K36" s="5">
        <v>0</v>
      </c>
      <c r="L36" s="5">
        <f t="shared" si="57"/>
        <v>4626</v>
      </c>
      <c r="N36" s="11">
        <v>45383</v>
      </c>
      <c r="O36" s="5">
        <v>9</v>
      </c>
      <c r="P36" s="5">
        <v>379</v>
      </c>
      <c r="Q36" s="5">
        <v>664</v>
      </c>
      <c r="R36" s="5">
        <v>303</v>
      </c>
      <c r="S36" s="5">
        <v>75</v>
      </c>
      <c r="T36" s="5">
        <v>254</v>
      </c>
      <c r="U36" s="5">
        <v>1496</v>
      </c>
      <c r="V36" s="5">
        <v>1446</v>
      </c>
      <c r="W36" s="5">
        <v>0</v>
      </c>
      <c r="X36" s="5">
        <f t="shared" si="58"/>
        <v>4626</v>
      </c>
      <c r="Y36" s="5"/>
      <c r="Z36" s="11">
        <v>45383</v>
      </c>
      <c r="AA36" s="34"/>
      <c r="AB36" s="12"/>
      <c r="AC36" s="12"/>
      <c r="AD36" s="12"/>
      <c r="AE36" s="12"/>
      <c r="AF36" s="12"/>
      <c r="AG36" s="12"/>
      <c r="AH36" s="12"/>
      <c r="AI36" s="12"/>
      <c r="AJ36" s="206"/>
      <c r="AL36" s="11">
        <v>45383</v>
      </c>
      <c r="AM36" s="5">
        <v>20384</v>
      </c>
      <c r="AN36" s="5">
        <v>930618</v>
      </c>
      <c r="AO36" s="5">
        <v>667295</v>
      </c>
      <c r="AP36" s="5">
        <v>62989</v>
      </c>
      <c r="AQ36" s="5">
        <v>106580</v>
      </c>
      <c r="AR36" s="5">
        <v>42222</v>
      </c>
      <c r="AS36" s="5">
        <v>20713</v>
      </c>
      <c r="AT36" s="5">
        <v>143511</v>
      </c>
      <c r="AU36" s="5">
        <v>464926</v>
      </c>
      <c r="AV36" s="5">
        <f t="shared" si="59"/>
        <v>2459238</v>
      </c>
      <c r="AW36" s="5"/>
      <c r="AX36" s="11">
        <v>45383</v>
      </c>
      <c r="AY36" s="5">
        <v>4959</v>
      </c>
      <c r="AZ36" s="5">
        <v>558840</v>
      </c>
      <c r="BA36" s="5">
        <v>423456</v>
      </c>
      <c r="BB36" s="5">
        <v>35264</v>
      </c>
      <c r="BC36" s="5">
        <v>86842</v>
      </c>
      <c r="BD36" s="5">
        <v>25234</v>
      </c>
      <c r="BE36" s="5">
        <v>13515</v>
      </c>
      <c r="BF36" s="5">
        <v>57755</v>
      </c>
      <c r="BG36" s="5">
        <v>271354</v>
      </c>
      <c r="BH36" s="5">
        <f t="shared" si="70"/>
        <v>1477219</v>
      </c>
      <c r="BI36" s="8"/>
      <c r="BJ36" s="11">
        <v>45383</v>
      </c>
      <c r="BK36" s="5">
        <f t="shared" si="81"/>
        <v>2180895</v>
      </c>
      <c r="BL36" s="8"/>
      <c r="BM36" s="5">
        <v>1340424</v>
      </c>
      <c r="BN36" s="12"/>
      <c r="BO36" s="5">
        <v>840471</v>
      </c>
      <c r="BP36" s="5"/>
      <c r="BQ36" s="5">
        <v>235672</v>
      </c>
      <c r="BR36" s="5">
        <v>215835</v>
      </c>
      <c r="BS36" s="5">
        <v>62762</v>
      </c>
      <c r="BT36" s="5">
        <v>44228</v>
      </c>
      <c r="BU36" s="5">
        <v>34873</v>
      </c>
      <c r="BV36" s="5">
        <v>8626</v>
      </c>
      <c r="BW36" s="5">
        <v>75610</v>
      </c>
      <c r="BX36" s="5">
        <v>161976</v>
      </c>
      <c r="BY36" s="5">
        <v>888</v>
      </c>
      <c r="BZ36" s="8"/>
      <c r="CA36" s="11">
        <v>45383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12"/>
      <c r="CM36" s="11">
        <v>45383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8"/>
      <c r="CY36" s="11">
        <v>45383</v>
      </c>
      <c r="CZ36" s="5">
        <v>80869</v>
      </c>
      <c r="DA36" s="5"/>
      <c r="DB36" s="5"/>
      <c r="DC36" s="5"/>
      <c r="DD36" s="5"/>
      <c r="DE36" s="5"/>
      <c r="DF36" s="5"/>
      <c r="DG36" s="5"/>
      <c r="DH36" s="5"/>
      <c r="DI36" s="5"/>
      <c r="DJ36" s="8"/>
      <c r="DK36" s="11">
        <v>45383</v>
      </c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8"/>
      <c r="DW36" s="11">
        <v>45383</v>
      </c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8"/>
      <c r="EI36" s="11">
        <v>45383</v>
      </c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8"/>
      <c r="EU36" s="11">
        <v>45383</v>
      </c>
      <c r="EV36" s="5">
        <v>820365</v>
      </c>
      <c r="EW36" s="5">
        <v>1385</v>
      </c>
      <c r="EX36" s="5">
        <v>161401</v>
      </c>
      <c r="EY36" s="5">
        <v>211533</v>
      </c>
      <c r="EZ36" s="5">
        <v>27227</v>
      </c>
      <c r="FA36" s="5">
        <v>20152</v>
      </c>
      <c r="FB36" s="5">
        <v>17882</v>
      </c>
      <c r="FC36" s="5">
        <v>4537</v>
      </c>
      <c r="FD36" s="5">
        <v>39358</v>
      </c>
      <c r="FE36" s="5">
        <v>87797</v>
      </c>
      <c r="FF36" s="13"/>
      <c r="FG36" s="11">
        <v>45383</v>
      </c>
      <c r="FH36" s="5">
        <v>472980</v>
      </c>
      <c r="FI36" s="5">
        <v>287</v>
      </c>
      <c r="FJ36" s="5">
        <v>97959</v>
      </c>
      <c r="FK36" s="5">
        <v>109338</v>
      </c>
      <c r="FL36" s="5">
        <v>15321</v>
      </c>
      <c r="FM36" s="5">
        <v>12246</v>
      </c>
      <c r="FN36" s="5">
        <v>9789</v>
      </c>
      <c r="FO36" s="5">
        <v>2328</v>
      </c>
      <c r="FP36" s="5">
        <v>19009</v>
      </c>
      <c r="FQ36" s="5">
        <v>56826</v>
      </c>
      <c r="FR36" s="5"/>
      <c r="FS36" s="11">
        <v>45383</v>
      </c>
      <c r="FT36" s="5">
        <v>344</v>
      </c>
      <c r="FU36" s="5">
        <v>124</v>
      </c>
      <c r="FV36" s="5">
        <v>31</v>
      </c>
      <c r="FW36" s="5">
        <v>74</v>
      </c>
      <c r="FX36" s="5">
        <v>200</v>
      </c>
      <c r="FY36" s="5">
        <v>881</v>
      </c>
      <c r="FZ36" s="5">
        <v>269</v>
      </c>
      <c r="GA36" s="5">
        <v>687</v>
      </c>
      <c r="GB36" s="5"/>
      <c r="GC36" s="5">
        <v>2497</v>
      </c>
      <c r="GE36" s="11">
        <v>45383</v>
      </c>
      <c r="GF36" s="5">
        <v>615</v>
      </c>
      <c r="GG36" s="5">
        <v>214</v>
      </c>
      <c r="GH36" s="5">
        <v>13</v>
      </c>
      <c r="GI36" s="5">
        <v>64</v>
      </c>
      <c r="GJ36" s="5">
        <v>234</v>
      </c>
      <c r="GK36" s="5">
        <v>1114</v>
      </c>
      <c r="GL36" s="5">
        <v>415</v>
      </c>
      <c r="GM36" s="5">
        <v>1405</v>
      </c>
      <c r="GN36" s="5"/>
      <c r="GO36" s="5">
        <v>4074</v>
      </c>
      <c r="GQ36" s="11">
        <v>45383</v>
      </c>
      <c r="HC36" s="11">
        <v>45383</v>
      </c>
      <c r="HD36" s="5">
        <f t="shared" si="60"/>
        <v>1421293</v>
      </c>
      <c r="HE36" s="5">
        <f t="shared" si="61"/>
        <v>0</v>
      </c>
      <c r="HF36" s="5">
        <f t="shared" si="62"/>
        <v>235672</v>
      </c>
      <c r="HG36" s="5">
        <f t="shared" si="63"/>
        <v>215835</v>
      </c>
      <c r="HH36" s="5">
        <f t="shared" si="64"/>
        <v>62762</v>
      </c>
      <c r="HI36" s="5">
        <f t="shared" si="65"/>
        <v>44228</v>
      </c>
      <c r="HJ36" s="5">
        <f t="shared" si="66"/>
        <v>34873</v>
      </c>
      <c r="HK36" s="5">
        <f t="shared" si="67"/>
        <v>8626</v>
      </c>
      <c r="HL36" s="5">
        <f t="shared" si="68"/>
        <v>75610</v>
      </c>
      <c r="HM36" s="5">
        <f t="shared" si="69"/>
        <v>161976</v>
      </c>
      <c r="HO36" s="11">
        <v>45383</v>
      </c>
      <c r="HP36" s="5">
        <f t="shared" si="71"/>
        <v>0</v>
      </c>
      <c r="HQ36" s="5">
        <f t="shared" si="72"/>
        <v>0</v>
      </c>
      <c r="HR36" s="5">
        <f t="shared" si="73"/>
        <v>0</v>
      </c>
      <c r="HS36" s="5">
        <f t="shared" si="74"/>
        <v>0</v>
      </c>
      <c r="HT36" s="5">
        <f t="shared" si="75"/>
        <v>0</v>
      </c>
      <c r="HU36" s="5">
        <f t="shared" si="76"/>
        <v>0</v>
      </c>
      <c r="HV36" s="5">
        <f t="shared" si="77"/>
        <v>0</v>
      </c>
      <c r="HW36" s="5">
        <f t="shared" si="78"/>
        <v>0</v>
      </c>
      <c r="HX36" s="5">
        <f t="shared" si="79"/>
        <v>0</v>
      </c>
      <c r="HY36" s="5">
        <f t="shared" si="80"/>
        <v>0</v>
      </c>
    </row>
    <row r="37" spans="2:233">
      <c r="B37" s="11">
        <v>45413</v>
      </c>
      <c r="C37" s="5">
        <v>11</v>
      </c>
      <c r="D37" s="5">
        <v>732</v>
      </c>
      <c r="E37" s="5">
        <v>688</v>
      </c>
      <c r="F37" s="5">
        <v>262</v>
      </c>
      <c r="G37" s="5">
        <v>95</v>
      </c>
      <c r="H37" s="5">
        <v>262</v>
      </c>
      <c r="I37" s="5">
        <v>1894</v>
      </c>
      <c r="J37" s="5">
        <v>1535</v>
      </c>
      <c r="K37" s="5">
        <v>0</v>
      </c>
      <c r="L37" s="5">
        <f t="shared" si="57"/>
        <v>5479</v>
      </c>
      <c r="N37" s="11">
        <v>45413</v>
      </c>
      <c r="O37" s="5">
        <v>11</v>
      </c>
      <c r="P37" s="5">
        <v>732</v>
      </c>
      <c r="Q37" s="5">
        <v>688</v>
      </c>
      <c r="R37" s="5">
        <v>262</v>
      </c>
      <c r="S37" s="5">
        <v>95</v>
      </c>
      <c r="T37" s="5">
        <v>262</v>
      </c>
      <c r="U37" s="5">
        <v>1894</v>
      </c>
      <c r="V37" s="5">
        <v>1535</v>
      </c>
      <c r="W37" s="5">
        <v>0</v>
      </c>
      <c r="X37" s="5">
        <f t="shared" si="58"/>
        <v>5479</v>
      </c>
      <c r="Y37" s="5"/>
      <c r="Z37" s="11">
        <v>45413</v>
      </c>
      <c r="AA37" s="34"/>
      <c r="AB37" s="12"/>
      <c r="AC37" s="12"/>
      <c r="AD37" s="12"/>
      <c r="AE37" s="12"/>
      <c r="AF37" s="12"/>
      <c r="AG37" s="12"/>
      <c r="AH37" s="12"/>
      <c r="AI37" s="12"/>
      <c r="AJ37" s="206"/>
      <c r="AL37" s="11">
        <v>45413</v>
      </c>
      <c r="AM37" s="5">
        <v>30284</v>
      </c>
      <c r="AN37" s="5">
        <v>795243</v>
      </c>
      <c r="AO37" s="5">
        <v>591246</v>
      </c>
      <c r="AP37" s="5">
        <v>47045</v>
      </c>
      <c r="AQ37" s="5">
        <v>95285</v>
      </c>
      <c r="AR37" s="5">
        <v>35803</v>
      </c>
      <c r="AS37" s="5">
        <v>17349</v>
      </c>
      <c r="AT37" s="5">
        <v>114167</v>
      </c>
      <c r="AU37" s="5">
        <v>444743</v>
      </c>
      <c r="AV37" s="5">
        <f t="shared" si="59"/>
        <v>2171165</v>
      </c>
      <c r="AW37" s="5"/>
      <c r="AX37" s="11">
        <v>45413</v>
      </c>
      <c r="AY37" s="5">
        <v>4953</v>
      </c>
      <c r="AZ37" s="5">
        <v>477013</v>
      </c>
      <c r="BA37" s="5">
        <v>316406</v>
      </c>
      <c r="BB37" s="5">
        <v>21505</v>
      </c>
      <c r="BC37" s="5">
        <v>69561</v>
      </c>
      <c r="BD37" s="5">
        <v>18602</v>
      </c>
      <c r="BE37" s="5">
        <v>8721</v>
      </c>
      <c r="BF37" s="5">
        <v>44822</v>
      </c>
      <c r="BG37" s="5">
        <v>262503</v>
      </c>
      <c r="BH37" s="5">
        <f t="shared" si="70"/>
        <v>1224086</v>
      </c>
      <c r="BI37" s="8"/>
      <c r="BJ37" s="11">
        <v>45413</v>
      </c>
      <c r="BK37" s="5">
        <f t="shared" si="81"/>
        <v>2240004</v>
      </c>
      <c r="BL37" s="8"/>
      <c r="BM37" s="5">
        <v>1390256</v>
      </c>
      <c r="BN37" s="12"/>
      <c r="BO37" s="5">
        <v>849748</v>
      </c>
      <c r="BP37" s="5"/>
      <c r="BQ37" s="5">
        <v>225915</v>
      </c>
      <c r="BR37" s="5">
        <v>259838</v>
      </c>
      <c r="BS37" s="5">
        <v>53322</v>
      </c>
      <c r="BT37" s="5">
        <v>49293</v>
      </c>
      <c r="BU37" s="5">
        <v>37996</v>
      </c>
      <c r="BV37" s="5">
        <v>10703</v>
      </c>
      <c r="BW37" s="5">
        <v>63619</v>
      </c>
      <c r="BX37" s="5">
        <v>147525</v>
      </c>
      <c r="BY37" s="5">
        <v>1422</v>
      </c>
      <c r="BZ37" s="8"/>
      <c r="CA37" s="11">
        <v>45413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12"/>
      <c r="CM37" s="11">
        <v>45413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8"/>
      <c r="CY37" s="11">
        <v>45413</v>
      </c>
      <c r="CZ37" s="5">
        <v>82844</v>
      </c>
      <c r="DA37" s="5"/>
      <c r="DB37" s="5"/>
      <c r="DC37" s="5"/>
      <c r="DD37" s="5"/>
      <c r="DE37" s="5"/>
      <c r="DF37" s="5"/>
      <c r="DG37" s="5"/>
      <c r="DH37" s="5"/>
      <c r="DI37" s="5"/>
      <c r="DJ37" s="8"/>
      <c r="DK37" s="11">
        <v>45413</v>
      </c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8"/>
      <c r="DW37" s="11">
        <v>45413</v>
      </c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8"/>
      <c r="EI37" s="11">
        <v>45413</v>
      </c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8"/>
      <c r="EU37" s="11">
        <v>45413</v>
      </c>
      <c r="EV37" s="5">
        <v>803044</v>
      </c>
      <c r="EW37" s="5">
        <v>1664</v>
      </c>
      <c r="EX37" s="5">
        <v>209952</v>
      </c>
      <c r="EY37" s="5">
        <v>209091</v>
      </c>
      <c r="EZ37" s="5">
        <v>27123</v>
      </c>
      <c r="FA37" s="5">
        <v>22047</v>
      </c>
      <c r="FB37" s="5">
        <v>18102</v>
      </c>
      <c r="FC37" s="5">
        <v>3908</v>
      </c>
      <c r="FD37" s="5">
        <v>34680</v>
      </c>
      <c r="FE37" s="5">
        <v>96869</v>
      </c>
      <c r="FF37" s="13"/>
      <c r="FG37" s="11">
        <v>45413</v>
      </c>
      <c r="FH37" s="5">
        <v>457833</v>
      </c>
      <c r="FI37" s="5">
        <v>220</v>
      </c>
      <c r="FJ37" s="5">
        <v>115667</v>
      </c>
      <c r="FK37" s="5">
        <v>126400</v>
      </c>
      <c r="FL37" s="5">
        <v>14164</v>
      </c>
      <c r="FM37" s="5">
        <v>11956</v>
      </c>
      <c r="FN37" s="5">
        <v>9391</v>
      </c>
      <c r="FO37" s="5">
        <v>1711</v>
      </c>
      <c r="FP37" s="5">
        <v>19593</v>
      </c>
      <c r="FQ37" s="5">
        <v>55093</v>
      </c>
      <c r="FR37" s="5"/>
      <c r="FS37" s="11">
        <v>45413</v>
      </c>
      <c r="FT37" s="5">
        <v>420</v>
      </c>
      <c r="FU37" s="5">
        <v>111</v>
      </c>
      <c r="FV37" s="5">
        <v>33</v>
      </c>
      <c r="FW37" s="5">
        <v>61</v>
      </c>
      <c r="FX37" s="5">
        <v>261</v>
      </c>
      <c r="FY37" s="5">
        <v>820</v>
      </c>
      <c r="FZ37" s="5">
        <v>527</v>
      </c>
      <c r="GA37" s="5">
        <v>924</v>
      </c>
      <c r="GB37" s="5"/>
      <c r="GC37" s="5">
        <v>3058</v>
      </c>
      <c r="GE37" s="11">
        <v>45413</v>
      </c>
      <c r="GF37" s="5">
        <v>592</v>
      </c>
      <c r="GG37" s="5">
        <v>183</v>
      </c>
      <c r="GH37" s="5">
        <v>10</v>
      </c>
      <c r="GI37" s="5">
        <v>80</v>
      </c>
      <c r="GJ37" s="5">
        <v>251</v>
      </c>
      <c r="GK37" s="5">
        <v>1313</v>
      </c>
      <c r="GL37" s="5">
        <v>849</v>
      </c>
      <c r="GM37" s="5">
        <v>1397</v>
      </c>
      <c r="GN37" s="5"/>
      <c r="GO37" s="5">
        <v>4675</v>
      </c>
      <c r="GQ37" s="11">
        <v>45413</v>
      </c>
      <c r="HC37" s="11">
        <v>45413</v>
      </c>
      <c r="HD37" s="5">
        <f t="shared" si="60"/>
        <v>1473100</v>
      </c>
      <c r="HE37" s="5">
        <f t="shared" si="61"/>
        <v>0</v>
      </c>
      <c r="HF37" s="5">
        <f t="shared" si="62"/>
        <v>225915</v>
      </c>
      <c r="HG37" s="5">
        <f t="shared" si="63"/>
        <v>259838</v>
      </c>
      <c r="HH37" s="5">
        <f t="shared" si="64"/>
        <v>53322</v>
      </c>
      <c r="HI37" s="5">
        <f t="shared" si="65"/>
        <v>49293</v>
      </c>
      <c r="HJ37" s="5">
        <f t="shared" si="66"/>
        <v>37996</v>
      </c>
      <c r="HK37" s="5">
        <f t="shared" si="67"/>
        <v>10703</v>
      </c>
      <c r="HL37" s="5">
        <f t="shared" si="68"/>
        <v>63619</v>
      </c>
      <c r="HM37" s="5">
        <f t="shared" si="69"/>
        <v>147525</v>
      </c>
      <c r="HO37" s="11">
        <v>45413</v>
      </c>
      <c r="HP37" s="5">
        <f t="shared" si="71"/>
        <v>0</v>
      </c>
      <c r="HQ37" s="5">
        <f t="shared" si="72"/>
        <v>0</v>
      </c>
      <c r="HR37" s="5">
        <f t="shared" si="73"/>
        <v>0</v>
      </c>
      <c r="HS37" s="5">
        <f t="shared" si="74"/>
        <v>0</v>
      </c>
      <c r="HT37" s="5">
        <f t="shared" si="75"/>
        <v>0</v>
      </c>
      <c r="HU37" s="5">
        <f t="shared" si="76"/>
        <v>0</v>
      </c>
      <c r="HV37" s="5">
        <f t="shared" si="77"/>
        <v>0</v>
      </c>
      <c r="HW37" s="5">
        <f t="shared" si="78"/>
        <v>0</v>
      </c>
      <c r="HX37" s="5">
        <f t="shared" si="79"/>
        <v>0</v>
      </c>
      <c r="HY37" s="5">
        <f t="shared" si="80"/>
        <v>0</v>
      </c>
    </row>
    <row r="38" spans="2:233">
      <c r="B38" s="11">
        <v>45444</v>
      </c>
      <c r="C38" s="5">
        <v>16</v>
      </c>
      <c r="D38" s="5">
        <v>349</v>
      </c>
      <c r="E38" s="5">
        <v>807</v>
      </c>
      <c r="F38" s="5">
        <v>258</v>
      </c>
      <c r="G38" s="5">
        <v>85</v>
      </c>
      <c r="H38" s="5">
        <v>237</v>
      </c>
      <c r="I38" s="5">
        <v>2001</v>
      </c>
      <c r="J38" s="5">
        <v>1639</v>
      </c>
      <c r="K38" s="5">
        <v>137</v>
      </c>
      <c r="L38" s="5">
        <f t="shared" si="57"/>
        <v>5529</v>
      </c>
      <c r="N38" s="11">
        <v>45444</v>
      </c>
      <c r="O38" s="5">
        <v>16</v>
      </c>
      <c r="P38" s="5">
        <v>349</v>
      </c>
      <c r="Q38" s="5">
        <v>807</v>
      </c>
      <c r="R38" s="5">
        <v>258</v>
      </c>
      <c r="S38" s="5">
        <v>85</v>
      </c>
      <c r="T38" s="5">
        <v>237</v>
      </c>
      <c r="U38" s="5">
        <v>2001</v>
      </c>
      <c r="V38" s="5">
        <v>1639</v>
      </c>
      <c r="W38" s="5">
        <v>137</v>
      </c>
      <c r="X38" s="5">
        <f t="shared" si="58"/>
        <v>5529</v>
      </c>
      <c r="Y38" s="5"/>
      <c r="Z38" s="11">
        <v>45444</v>
      </c>
      <c r="AA38" s="34"/>
      <c r="AB38" s="12"/>
      <c r="AC38" s="12"/>
      <c r="AD38" s="12"/>
      <c r="AE38" s="12"/>
      <c r="AF38" s="12"/>
      <c r="AG38" s="12"/>
      <c r="AH38" s="12"/>
      <c r="AI38" s="12"/>
      <c r="AJ38" s="206"/>
      <c r="AL38" s="11">
        <v>45444</v>
      </c>
      <c r="AM38" s="5">
        <v>23923</v>
      </c>
      <c r="AN38" s="5">
        <v>1234521</v>
      </c>
      <c r="AO38" s="5">
        <v>775838</v>
      </c>
      <c r="AP38" s="5">
        <v>44933</v>
      </c>
      <c r="AQ38" s="5">
        <v>103450</v>
      </c>
      <c r="AR38" s="5">
        <v>32905</v>
      </c>
      <c r="AS38" s="5">
        <v>12790</v>
      </c>
      <c r="AT38" s="5">
        <v>123296</v>
      </c>
      <c r="AU38" s="5">
        <v>513032</v>
      </c>
      <c r="AV38" s="5">
        <f t="shared" si="59"/>
        <v>2864688</v>
      </c>
      <c r="AW38" s="5"/>
      <c r="AX38" s="11">
        <v>45444</v>
      </c>
      <c r="AY38" s="5">
        <v>4392</v>
      </c>
      <c r="AZ38" s="5">
        <v>884899</v>
      </c>
      <c r="BA38" s="5">
        <v>506986</v>
      </c>
      <c r="BB38" s="5">
        <v>22428</v>
      </c>
      <c r="BC38" s="5">
        <v>78556</v>
      </c>
      <c r="BD38" s="5">
        <v>17760</v>
      </c>
      <c r="BE38" s="5">
        <v>6478</v>
      </c>
      <c r="BF38" s="5">
        <v>54446</v>
      </c>
      <c r="BG38" s="5">
        <v>368073</v>
      </c>
      <c r="BH38" s="5">
        <f t="shared" si="70"/>
        <v>1944018</v>
      </c>
      <c r="BI38" s="8"/>
      <c r="BJ38" s="11">
        <v>45444</v>
      </c>
      <c r="BK38" s="5">
        <f t="shared" si="81"/>
        <v>2268872</v>
      </c>
      <c r="BL38" s="8"/>
      <c r="BM38" s="5">
        <v>1401391</v>
      </c>
      <c r="BN38" s="12"/>
      <c r="BO38" s="5">
        <v>867481</v>
      </c>
      <c r="BP38" s="5">
        <v>2485</v>
      </c>
      <c r="BQ38" s="5">
        <v>240893</v>
      </c>
      <c r="BR38" s="5">
        <v>276187</v>
      </c>
      <c r="BS38" s="5">
        <v>51699</v>
      </c>
      <c r="BT38" s="5">
        <v>32389</v>
      </c>
      <c r="BU38" s="5">
        <v>36687</v>
      </c>
      <c r="BV38" s="5">
        <v>11303</v>
      </c>
      <c r="BW38" s="5">
        <v>56612</v>
      </c>
      <c r="BX38" s="5">
        <v>157477</v>
      </c>
      <c r="BY38" s="5">
        <v>1671</v>
      </c>
      <c r="BZ38" s="8"/>
      <c r="CA38" s="11">
        <v>45444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12"/>
      <c r="CM38" s="11">
        <v>45444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8"/>
      <c r="CY38" s="11">
        <v>45444</v>
      </c>
      <c r="CZ38" s="5">
        <v>76952</v>
      </c>
      <c r="DA38" s="5"/>
      <c r="DB38" s="5"/>
      <c r="DC38" s="5"/>
      <c r="DD38" s="5"/>
      <c r="DE38" s="5"/>
      <c r="DF38" s="5"/>
      <c r="DG38" s="5"/>
      <c r="DH38" s="5"/>
      <c r="DI38" s="5"/>
      <c r="DJ38" s="8"/>
      <c r="DK38" s="11">
        <v>45444</v>
      </c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8"/>
      <c r="DW38" s="11">
        <v>45444</v>
      </c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8"/>
      <c r="EI38" s="11">
        <v>45444</v>
      </c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8"/>
      <c r="EU38" s="11">
        <v>45444</v>
      </c>
      <c r="EV38" s="5">
        <v>856180</v>
      </c>
      <c r="EW38" s="5">
        <v>1203</v>
      </c>
      <c r="EX38" s="5">
        <v>217802</v>
      </c>
      <c r="EY38" s="5">
        <v>206131</v>
      </c>
      <c r="EZ38" s="5">
        <v>26058</v>
      </c>
      <c r="FA38" s="5">
        <v>19077</v>
      </c>
      <c r="FB38" s="5">
        <v>16912</v>
      </c>
      <c r="FC38" s="5">
        <v>3563</v>
      </c>
      <c r="FD38" s="5">
        <v>32961</v>
      </c>
      <c r="FE38" s="5">
        <v>96716</v>
      </c>
      <c r="FF38" s="13"/>
      <c r="FG38" s="11">
        <v>45444</v>
      </c>
      <c r="FH38" s="5">
        <v>485129</v>
      </c>
      <c r="FI38" s="5">
        <v>204</v>
      </c>
      <c r="FJ38" s="5">
        <v>121016</v>
      </c>
      <c r="FK38" s="5">
        <v>120791</v>
      </c>
      <c r="FL38" s="5">
        <v>13524</v>
      </c>
      <c r="FM38" s="5">
        <v>9550</v>
      </c>
      <c r="FN38" s="5">
        <v>8392</v>
      </c>
      <c r="FO38" s="5">
        <v>1547</v>
      </c>
      <c r="FP38" s="5">
        <v>17860</v>
      </c>
      <c r="FQ38" s="5">
        <v>56562</v>
      </c>
      <c r="FR38" s="5"/>
      <c r="FS38" s="11">
        <v>45444</v>
      </c>
      <c r="FT38" s="5">
        <v>462</v>
      </c>
      <c r="FU38" s="5">
        <v>133</v>
      </c>
      <c r="FV38" s="5">
        <v>37</v>
      </c>
      <c r="FW38" s="5">
        <v>46</v>
      </c>
      <c r="FX38" s="5">
        <v>255</v>
      </c>
      <c r="FY38" s="5">
        <v>1075</v>
      </c>
      <c r="FZ38" s="5">
        <v>474</v>
      </c>
      <c r="GA38" s="5">
        <v>1048</v>
      </c>
      <c r="GB38" s="5"/>
      <c r="GC38" s="5">
        <v>3426</v>
      </c>
      <c r="GE38" s="11">
        <v>45444</v>
      </c>
      <c r="GF38" s="5">
        <v>570</v>
      </c>
      <c r="GG38" s="5">
        <v>146</v>
      </c>
      <c r="GH38" s="5">
        <v>14</v>
      </c>
      <c r="GI38" s="5">
        <v>51</v>
      </c>
      <c r="GJ38" s="5">
        <v>220</v>
      </c>
      <c r="GK38" s="5">
        <v>1249</v>
      </c>
      <c r="GL38" s="5">
        <v>378</v>
      </c>
      <c r="GM38" s="5">
        <v>1280</v>
      </c>
      <c r="GN38" s="5">
        <v>5</v>
      </c>
      <c r="GO38" s="5">
        <v>3913</v>
      </c>
      <c r="GQ38" s="11">
        <v>45444</v>
      </c>
      <c r="HC38" s="11">
        <v>45444</v>
      </c>
      <c r="HD38" s="5">
        <f t="shared" si="60"/>
        <v>1478343</v>
      </c>
      <c r="HE38" s="5">
        <f t="shared" si="61"/>
        <v>2485</v>
      </c>
      <c r="HF38" s="5">
        <f t="shared" si="62"/>
        <v>240893</v>
      </c>
      <c r="HG38" s="5">
        <f t="shared" si="63"/>
        <v>276187</v>
      </c>
      <c r="HH38" s="5">
        <f t="shared" si="64"/>
        <v>51699</v>
      </c>
      <c r="HI38" s="5">
        <f t="shared" si="65"/>
        <v>32389</v>
      </c>
      <c r="HJ38" s="5">
        <f t="shared" si="66"/>
        <v>36687</v>
      </c>
      <c r="HK38" s="5">
        <f t="shared" si="67"/>
        <v>11303</v>
      </c>
      <c r="HL38" s="5">
        <f t="shared" si="68"/>
        <v>56612</v>
      </c>
      <c r="HM38" s="5">
        <f t="shared" si="69"/>
        <v>157477</v>
      </c>
      <c r="HO38" s="11">
        <v>45444</v>
      </c>
      <c r="HP38" s="5">
        <f t="shared" si="71"/>
        <v>0</v>
      </c>
      <c r="HQ38" s="5">
        <f t="shared" si="72"/>
        <v>0</v>
      </c>
      <c r="HR38" s="5">
        <f t="shared" si="73"/>
        <v>0</v>
      </c>
      <c r="HS38" s="5">
        <f t="shared" si="74"/>
        <v>0</v>
      </c>
      <c r="HT38" s="5">
        <f t="shared" si="75"/>
        <v>0</v>
      </c>
      <c r="HU38" s="5">
        <f t="shared" si="76"/>
        <v>0</v>
      </c>
      <c r="HV38" s="5">
        <f t="shared" si="77"/>
        <v>0</v>
      </c>
      <c r="HW38" s="5">
        <f t="shared" si="78"/>
        <v>0</v>
      </c>
      <c r="HX38" s="5">
        <f t="shared" si="79"/>
        <v>0</v>
      </c>
      <c r="HY38" s="5">
        <f t="shared" si="80"/>
        <v>0</v>
      </c>
    </row>
    <row r="39" spans="2:233">
      <c r="B39" s="11">
        <v>45474</v>
      </c>
      <c r="C39" s="5">
        <v>24</v>
      </c>
      <c r="D39" s="5">
        <v>198</v>
      </c>
      <c r="E39" s="5">
        <v>823</v>
      </c>
      <c r="F39" s="5">
        <v>204</v>
      </c>
      <c r="G39" s="5">
        <v>112</v>
      </c>
      <c r="H39" s="5">
        <v>296</v>
      </c>
      <c r="I39" s="5">
        <v>2483</v>
      </c>
      <c r="J39" s="5">
        <v>1907</v>
      </c>
      <c r="K39" s="5">
        <v>73</v>
      </c>
      <c r="L39" s="5">
        <f t="shared" si="57"/>
        <v>6120</v>
      </c>
      <c r="N39" s="11">
        <v>45474</v>
      </c>
      <c r="O39" s="5">
        <v>24</v>
      </c>
      <c r="P39" s="5">
        <v>198</v>
      </c>
      <c r="Q39" s="5">
        <v>823</v>
      </c>
      <c r="R39" s="5">
        <v>204</v>
      </c>
      <c r="S39" s="5">
        <v>112</v>
      </c>
      <c r="T39" s="5">
        <v>296</v>
      </c>
      <c r="U39" s="5">
        <v>2483</v>
      </c>
      <c r="V39" s="5">
        <v>1907</v>
      </c>
      <c r="W39" s="5">
        <v>73</v>
      </c>
      <c r="X39" s="5">
        <f t="shared" si="58"/>
        <v>6120</v>
      </c>
      <c r="Y39" s="5"/>
      <c r="Z39" s="11">
        <v>45474</v>
      </c>
      <c r="AA39" s="12"/>
      <c r="AB39" s="12"/>
      <c r="AC39" s="12"/>
      <c r="AD39" s="12"/>
      <c r="AE39" s="12"/>
      <c r="AF39" s="12"/>
      <c r="AG39" s="12"/>
      <c r="AH39" s="12"/>
      <c r="AI39" s="12"/>
      <c r="AJ39" s="206"/>
      <c r="AL39" s="11">
        <v>45474</v>
      </c>
      <c r="AM39" s="5">
        <v>189234</v>
      </c>
      <c r="AN39" s="5">
        <v>1219327</v>
      </c>
      <c r="AO39" s="5">
        <v>672478</v>
      </c>
      <c r="AP39" s="5">
        <v>53662</v>
      </c>
      <c r="AQ39" s="5">
        <v>106651</v>
      </c>
      <c r="AR39" s="5">
        <v>58246</v>
      </c>
      <c r="AS39" s="5">
        <v>25069</v>
      </c>
      <c r="AT39" s="5">
        <v>147885</v>
      </c>
      <c r="AU39" s="5">
        <v>449820</v>
      </c>
      <c r="AV39" s="5">
        <f t="shared" si="59"/>
        <v>2922372</v>
      </c>
      <c r="AW39" s="5"/>
      <c r="AX39" s="11">
        <v>45474</v>
      </c>
      <c r="AY39" s="5">
        <v>103511</v>
      </c>
      <c r="AZ39" s="5">
        <v>864077</v>
      </c>
      <c r="BA39" s="5">
        <v>487301</v>
      </c>
      <c r="BB39" s="5">
        <v>27729</v>
      </c>
      <c r="BC39" s="5">
        <v>79429</v>
      </c>
      <c r="BD39" s="5">
        <v>28089</v>
      </c>
      <c r="BE39" s="5">
        <v>14817</v>
      </c>
      <c r="BF39" s="5">
        <v>91662</v>
      </c>
      <c r="BG39" s="5">
        <v>318916</v>
      </c>
      <c r="BH39" s="5">
        <f t="shared" si="70"/>
        <v>2015531</v>
      </c>
      <c r="BI39" s="8"/>
      <c r="BJ39" s="11">
        <v>45474</v>
      </c>
      <c r="BK39" s="5">
        <f t="shared" si="81"/>
        <v>2325900</v>
      </c>
      <c r="BL39" s="8"/>
      <c r="BM39" s="5">
        <v>1417225</v>
      </c>
      <c r="BN39" s="12"/>
      <c r="BO39" s="5">
        <v>908675</v>
      </c>
      <c r="BP39" s="5">
        <v>17980</v>
      </c>
      <c r="BQ39" s="5">
        <v>263301</v>
      </c>
      <c r="BR39" s="5">
        <v>289808</v>
      </c>
      <c r="BS39" s="5">
        <v>50485</v>
      </c>
      <c r="BT39" s="5">
        <v>26317</v>
      </c>
      <c r="BU39" s="5">
        <v>42822</v>
      </c>
      <c r="BV39" s="5">
        <v>10643</v>
      </c>
      <c r="BW39" s="5">
        <v>53321</v>
      </c>
      <c r="BX39" s="5">
        <v>153109</v>
      </c>
      <c r="BY39" s="5">
        <v>773</v>
      </c>
      <c r="BZ39" s="8"/>
      <c r="CA39" s="11">
        <v>45474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12"/>
      <c r="CM39" s="11">
        <v>45474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8"/>
      <c r="CY39" s="11">
        <v>45474</v>
      </c>
      <c r="CZ39" s="5">
        <v>86359</v>
      </c>
      <c r="DA39" s="5"/>
      <c r="DB39" s="5"/>
      <c r="DC39" s="5"/>
      <c r="DD39" s="5"/>
      <c r="DE39" s="5"/>
      <c r="DF39" s="5"/>
      <c r="DG39" s="5"/>
      <c r="DH39" s="5"/>
      <c r="DI39" s="5"/>
      <c r="DJ39" s="8"/>
      <c r="DK39" s="11">
        <v>45474</v>
      </c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8"/>
      <c r="DW39" s="11">
        <v>45474</v>
      </c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8"/>
      <c r="EI39" s="11">
        <v>45474</v>
      </c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8"/>
      <c r="EU39" s="11">
        <v>45474</v>
      </c>
      <c r="EV39" s="5">
        <v>886099</v>
      </c>
      <c r="EW39" s="5">
        <v>34422</v>
      </c>
      <c r="EX39" s="5">
        <v>157554</v>
      </c>
      <c r="EY39" s="5">
        <v>130710</v>
      </c>
      <c r="EZ39" s="5">
        <v>21872</v>
      </c>
      <c r="FA39" s="5">
        <v>22416</v>
      </c>
      <c r="FB39" s="5">
        <v>22173</v>
      </c>
      <c r="FC39" s="5">
        <v>5450</v>
      </c>
      <c r="FD39" s="5">
        <v>27075</v>
      </c>
      <c r="FE39" s="5">
        <v>70899</v>
      </c>
      <c r="FF39" s="13"/>
      <c r="FG39" s="11">
        <v>45474</v>
      </c>
      <c r="FH39" s="5">
        <v>504069</v>
      </c>
      <c r="FI39" s="5">
        <v>19621</v>
      </c>
      <c r="FJ39" s="5">
        <v>96381</v>
      </c>
      <c r="FK39" s="5">
        <v>76737</v>
      </c>
      <c r="FL39" s="5">
        <v>11135</v>
      </c>
      <c r="FM39" s="5">
        <v>12308</v>
      </c>
      <c r="FN39" s="5">
        <v>10693</v>
      </c>
      <c r="FO39" s="5">
        <v>2722</v>
      </c>
      <c r="FP39" s="5">
        <v>15341</v>
      </c>
      <c r="FQ39" s="5">
        <v>41542</v>
      </c>
      <c r="FR39" s="5"/>
      <c r="FS39" s="11">
        <v>45474</v>
      </c>
      <c r="FT39" s="5">
        <v>682</v>
      </c>
      <c r="FU39" s="5">
        <v>164</v>
      </c>
      <c r="FV39" s="5">
        <v>72</v>
      </c>
      <c r="FW39" s="5">
        <v>92</v>
      </c>
      <c r="FX39" s="5">
        <v>474</v>
      </c>
      <c r="FY39" s="5">
        <v>1325</v>
      </c>
      <c r="FZ39" s="5">
        <v>643</v>
      </c>
      <c r="GA39" s="5">
        <v>1803</v>
      </c>
      <c r="GB39" s="5">
        <v>7</v>
      </c>
      <c r="GC39" s="5">
        <v>5100</v>
      </c>
      <c r="GE39" s="11">
        <v>45474</v>
      </c>
      <c r="GF39" s="5">
        <v>720</v>
      </c>
      <c r="GG39" s="5">
        <v>156</v>
      </c>
      <c r="GH39" s="5">
        <v>24</v>
      </c>
      <c r="GI39" s="5">
        <v>89</v>
      </c>
      <c r="GJ39" s="5">
        <v>306</v>
      </c>
      <c r="GK39" s="5">
        <v>1434</v>
      </c>
      <c r="GL39" s="5">
        <v>250</v>
      </c>
      <c r="GM39" s="5">
        <v>1662</v>
      </c>
      <c r="GN39" s="5">
        <v>79</v>
      </c>
      <c r="GO39" s="5">
        <v>4720</v>
      </c>
      <c r="GQ39" s="11">
        <v>45474</v>
      </c>
      <c r="HC39" s="11">
        <v>45474</v>
      </c>
      <c r="HD39" s="5">
        <f t="shared" si="60"/>
        <v>1503584</v>
      </c>
      <c r="HE39" s="5">
        <f t="shared" si="61"/>
        <v>17980</v>
      </c>
      <c r="HF39" s="5">
        <f t="shared" si="62"/>
        <v>263301</v>
      </c>
      <c r="HG39" s="5">
        <f t="shared" si="63"/>
        <v>289808</v>
      </c>
      <c r="HH39" s="5">
        <f t="shared" si="64"/>
        <v>50485</v>
      </c>
      <c r="HI39" s="5">
        <f t="shared" si="65"/>
        <v>26317</v>
      </c>
      <c r="HJ39" s="5">
        <f t="shared" si="66"/>
        <v>42822</v>
      </c>
      <c r="HK39" s="5">
        <f t="shared" si="67"/>
        <v>10643</v>
      </c>
      <c r="HL39" s="5">
        <f t="shared" si="68"/>
        <v>53321</v>
      </c>
      <c r="HM39" s="5">
        <f t="shared" si="69"/>
        <v>153109</v>
      </c>
      <c r="HO39" s="11">
        <v>45474</v>
      </c>
      <c r="HP39" s="5">
        <f t="shared" si="71"/>
        <v>0</v>
      </c>
      <c r="HQ39" s="5">
        <f t="shared" si="72"/>
        <v>0</v>
      </c>
      <c r="HR39" s="5">
        <f t="shared" si="73"/>
        <v>0</v>
      </c>
      <c r="HS39" s="5">
        <f t="shared" si="74"/>
        <v>0</v>
      </c>
      <c r="HT39" s="5">
        <f t="shared" si="75"/>
        <v>0</v>
      </c>
      <c r="HU39" s="5">
        <f t="shared" si="76"/>
        <v>0</v>
      </c>
      <c r="HV39" s="5">
        <f t="shared" si="77"/>
        <v>0</v>
      </c>
      <c r="HW39" s="5">
        <f t="shared" si="78"/>
        <v>0</v>
      </c>
      <c r="HX39" s="5">
        <f t="shared" si="79"/>
        <v>0</v>
      </c>
      <c r="HY39" s="5">
        <f t="shared" si="80"/>
        <v>0</v>
      </c>
    </row>
    <row r="40" spans="2:233">
      <c r="B40" s="11">
        <v>45505</v>
      </c>
      <c r="C40" s="5">
        <v>79</v>
      </c>
      <c r="D40" s="5">
        <v>178</v>
      </c>
      <c r="E40" s="5">
        <v>811</v>
      </c>
      <c r="F40" s="5">
        <v>307</v>
      </c>
      <c r="G40" s="5">
        <v>118</v>
      </c>
      <c r="H40" s="5">
        <v>296</v>
      </c>
      <c r="I40" s="5">
        <v>2652</v>
      </c>
      <c r="J40" s="5">
        <v>2047</v>
      </c>
      <c r="K40" s="5">
        <v>224</v>
      </c>
      <c r="L40" s="5">
        <f t="shared" si="57"/>
        <v>6712</v>
      </c>
      <c r="N40" s="11">
        <v>45505</v>
      </c>
      <c r="O40" s="5">
        <v>79</v>
      </c>
      <c r="P40" s="5">
        <v>178</v>
      </c>
      <c r="Q40" s="5">
        <v>811</v>
      </c>
      <c r="R40" s="5">
        <v>307</v>
      </c>
      <c r="S40" s="5">
        <v>118</v>
      </c>
      <c r="T40" s="5">
        <v>296</v>
      </c>
      <c r="U40" s="5">
        <v>2652</v>
      </c>
      <c r="V40" s="5">
        <v>2047</v>
      </c>
      <c r="W40" s="5">
        <v>224</v>
      </c>
      <c r="X40" s="5">
        <f t="shared" si="58"/>
        <v>6712</v>
      </c>
      <c r="Y40" s="5"/>
      <c r="Z40" s="11">
        <v>45505</v>
      </c>
      <c r="AA40" s="12"/>
      <c r="AB40" s="12"/>
      <c r="AC40" s="12"/>
      <c r="AD40" s="12"/>
      <c r="AE40" s="12"/>
      <c r="AF40" s="12"/>
      <c r="AG40" s="12"/>
      <c r="AH40" s="12"/>
      <c r="AI40" s="12"/>
      <c r="AJ40" s="206"/>
      <c r="AL40" s="11">
        <v>45505</v>
      </c>
      <c r="AM40" s="5">
        <v>229904</v>
      </c>
      <c r="AN40" s="5">
        <v>1057031</v>
      </c>
      <c r="AO40" s="5">
        <v>788072</v>
      </c>
      <c r="AP40" s="5">
        <v>63182</v>
      </c>
      <c r="AQ40" s="5">
        <v>92103</v>
      </c>
      <c r="AR40" s="5">
        <v>52327</v>
      </c>
      <c r="AS40" s="5">
        <v>32289</v>
      </c>
      <c r="AT40" s="5">
        <v>129265</v>
      </c>
      <c r="AU40" s="5">
        <v>481568</v>
      </c>
      <c r="AV40" s="5">
        <f t="shared" si="59"/>
        <v>2925741</v>
      </c>
      <c r="AW40" s="5"/>
      <c r="AX40" s="11">
        <v>45505</v>
      </c>
      <c r="AY40" s="5">
        <v>139300</v>
      </c>
      <c r="AZ40" s="5">
        <v>670656</v>
      </c>
      <c r="BA40" s="5">
        <v>478493</v>
      </c>
      <c r="BB40" s="5">
        <v>33866</v>
      </c>
      <c r="BC40" s="5">
        <v>66106</v>
      </c>
      <c r="BD40" s="5">
        <v>25810</v>
      </c>
      <c r="BE40" s="5">
        <v>19263</v>
      </c>
      <c r="BF40" s="5">
        <v>91867</v>
      </c>
      <c r="BG40" s="5">
        <v>270237</v>
      </c>
      <c r="BH40" s="5">
        <f t="shared" si="70"/>
        <v>1795598</v>
      </c>
      <c r="BI40" s="8"/>
      <c r="BJ40" s="11">
        <v>45505</v>
      </c>
      <c r="BK40" s="5">
        <f t="shared" si="81"/>
        <v>2610801</v>
      </c>
      <c r="BL40" s="8"/>
      <c r="BM40" s="5">
        <v>1592808</v>
      </c>
      <c r="BN40" s="12"/>
      <c r="BO40" s="5">
        <v>1017993</v>
      </c>
      <c r="BP40" s="5">
        <v>43951</v>
      </c>
      <c r="BQ40" s="5">
        <v>282409</v>
      </c>
      <c r="BR40" s="5">
        <v>334067</v>
      </c>
      <c r="BS40" s="5">
        <v>54149</v>
      </c>
      <c r="BT40" s="5">
        <v>24363</v>
      </c>
      <c r="BU40" s="5">
        <v>38991</v>
      </c>
      <c r="BV40" s="5">
        <v>13166</v>
      </c>
      <c r="BW40" s="5">
        <v>53537</v>
      </c>
      <c r="BX40" s="5">
        <v>169961</v>
      </c>
      <c r="BY40" s="5">
        <v>3253</v>
      </c>
      <c r="BZ40" s="8"/>
      <c r="CA40" s="11">
        <v>45505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12"/>
      <c r="CM40" s="11">
        <v>45505</v>
      </c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8"/>
      <c r="CY40" s="11">
        <v>45505</v>
      </c>
      <c r="CZ40" s="5">
        <v>82918</v>
      </c>
      <c r="DA40" s="5"/>
      <c r="DB40" s="5"/>
      <c r="DC40" s="5"/>
      <c r="DD40" s="5"/>
      <c r="DE40" s="5"/>
      <c r="DF40" s="5"/>
      <c r="DG40" s="5"/>
      <c r="DH40" s="5"/>
      <c r="DI40" s="5"/>
      <c r="DJ40" s="8"/>
      <c r="DK40" s="11">
        <v>45505</v>
      </c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8"/>
      <c r="DW40" s="11">
        <v>45505</v>
      </c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8"/>
      <c r="EI40" s="11">
        <v>45505</v>
      </c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8"/>
      <c r="EU40" s="11">
        <v>45505</v>
      </c>
      <c r="EV40" s="5">
        <v>793408</v>
      </c>
      <c r="EW40" s="5">
        <v>48539</v>
      </c>
      <c r="EX40" s="5">
        <v>161984</v>
      </c>
      <c r="EY40" s="5">
        <v>174215</v>
      </c>
      <c r="EZ40" s="5">
        <v>34362</v>
      </c>
      <c r="FA40" s="5">
        <v>18969</v>
      </c>
      <c r="FB40" s="5">
        <v>22874</v>
      </c>
      <c r="FC40" s="5">
        <v>7890</v>
      </c>
      <c r="FD40" s="5">
        <v>30187</v>
      </c>
      <c r="FE40" s="5">
        <v>91646</v>
      </c>
      <c r="FF40" s="13"/>
      <c r="FG40" s="11">
        <v>45505</v>
      </c>
      <c r="FH40" s="5">
        <v>437136</v>
      </c>
      <c r="FI40" s="5">
        <v>25795</v>
      </c>
      <c r="FJ40" s="5">
        <v>97040</v>
      </c>
      <c r="FK40" s="5">
        <v>95763</v>
      </c>
      <c r="FL40" s="5">
        <v>17442</v>
      </c>
      <c r="FM40" s="5">
        <v>10223</v>
      </c>
      <c r="FN40" s="5">
        <v>10879</v>
      </c>
      <c r="FO40" s="5">
        <v>4198</v>
      </c>
      <c r="FP40" s="5">
        <v>16941</v>
      </c>
      <c r="FQ40" s="5">
        <v>55044</v>
      </c>
      <c r="FR40" s="5"/>
      <c r="FS40" s="11">
        <v>45505</v>
      </c>
      <c r="FT40" s="5">
        <v>658</v>
      </c>
      <c r="FU40" s="5">
        <v>155</v>
      </c>
      <c r="FV40" s="5">
        <v>66</v>
      </c>
      <c r="FW40" s="5">
        <v>76</v>
      </c>
      <c r="FX40" s="5">
        <v>434</v>
      </c>
      <c r="FY40" s="5">
        <v>1393</v>
      </c>
      <c r="FZ40" s="5">
        <v>306</v>
      </c>
      <c r="GA40" s="5">
        <v>1357</v>
      </c>
      <c r="GB40" s="5">
        <v>422</v>
      </c>
      <c r="GC40" s="5">
        <v>4705</v>
      </c>
      <c r="GE40" s="11">
        <v>45505</v>
      </c>
      <c r="GF40" s="5">
        <v>660</v>
      </c>
      <c r="GG40" s="5">
        <v>231</v>
      </c>
      <c r="GH40" s="5">
        <v>67</v>
      </c>
      <c r="GI40" s="5">
        <v>82</v>
      </c>
      <c r="GJ40" s="5">
        <v>261</v>
      </c>
      <c r="GK40" s="5">
        <v>1498</v>
      </c>
      <c r="GL40" s="5">
        <v>159</v>
      </c>
      <c r="GM40" s="5">
        <v>1546</v>
      </c>
      <c r="GN40" s="5">
        <v>152</v>
      </c>
      <c r="GO40" s="5">
        <v>4656</v>
      </c>
      <c r="GQ40" s="11">
        <v>45505</v>
      </c>
      <c r="HC40" s="11">
        <v>45505</v>
      </c>
      <c r="HD40" s="5">
        <f t="shared" si="60"/>
        <v>1675726</v>
      </c>
      <c r="HE40" s="5">
        <f t="shared" si="61"/>
        <v>43951</v>
      </c>
      <c r="HF40" s="5">
        <f t="shared" si="62"/>
        <v>282409</v>
      </c>
      <c r="HG40" s="5">
        <f t="shared" si="63"/>
        <v>334067</v>
      </c>
      <c r="HH40" s="5">
        <f t="shared" si="64"/>
        <v>54149</v>
      </c>
      <c r="HI40" s="5">
        <f t="shared" si="65"/>
        <v>24363</v>
      </c>
      <c r="HJ40" s="5">
        <f t="shared" si="66"/>
        <v>38991</v>
      </c>
      <c r="HK40" s="5">
        <f t="shared" si="67"/>
        <v>13166</v>
      </c>
      <c r="HL40" s="5">
        <f t="shared" si="68"/>
        <v>53537</v>
      </c>
      <c r="HM40" s="5">
        <f t="shared" si="69"/>
        <v>169961</v>
      </c>
      <c r="HO40" s="11">
        <v>45505</v>
      </c>
      <c r="HP40" s="5">
        <f t="shared" si="71"/>
        <v>0</v>
      </c>
      <c r="HQ40" s="5">
        <f t="shared" si="72"/>
        <v>0</v>
      </c>
      <c r="HR40" s="5">
        <f t="shared" si="73"/>
        <v>0</v>
      </c>
      <c r="HS40" s="5">
        <f t="shared" si="74"/>
        <v>0</v>
      </c>
      <c r="HT40" s="5">
        <f t="shared" si="75"/>
        <v>0</v>
      </c>
      <c r="HU40" s="5">
        <f t="shared" si="76"/>
        <v>0</v>
      </c>
      <c r="HV40" s="5">
        <f t="shared" si="77"/>
        <v>0</v>
      </c>
      <c r="HW40" s="5">
        <f t="shared" si="78"/>
        <v>0</v>
      </c>
      <c r="HX40" s="5">
        <f t="shared" si="79"/>
        <v>0</v>
      </c>
      <c r="HY40" s="5">
        <f t="shared" si="80"/>
        <v>0</v>
      </c>
    </row>
    <row r="41" spans="2:233">
      <c r="B41" s="11">
        <v>45536</v>
      </c>
      <c r="C41" s="5">
        <v>52</v>
      </c>
      <c r="D41" s="5">
        <v>92</v>
      </c>
      <c r="E41" s="5">
        <v>646</v>
      </c>
      <c r="F41" s="5">
        <v>253</v>
      </c>
      <c r="G41" s="5">
        <v>90</v>
      </c>
      <c r="H41" s="5">
        <v>180</v>
      </c>
      <c r="I41" s="5">
        <v>1943</v>
      </c>
      <c r="J41" s="5">
        <v>1734</v>
      </c>
      <c r="K41" s="5">
        <v>228</v>
      </c>
      <c r="L41" s="5">
        <f t="shared" si="57"/>
        <v>5218</v>
      </c>
      <c r="N41" s="11">
        <v>45536</v>
      </c>
      <c r="O41" s="5">
        <v>52</v>
      </c>
      <c r="P41" s="5">
        <v>92</v>
      </c>
      <c r="Q41" s="5">
        <v>646</v>
      </c>
      <c r="R41" s="5">
        <v>253</v>
      </c>
      <c r="S41" s="5">
        <v>90</v>
      </c>
      <c r="T41" s="5">
        <v>180</v>
      </c>
      <c r="U41" s="5">
        <v>1943</v>
      </c>
      <c r="V41" s="5">
        <v>1734</v>
      </c>
      <c r="W41" s="5">
        <v>228</v>
      </c>
      <c r="X41" s="5">
        <f t="shared" si="58"/>
        <v>5218</v>
      </c>
      <c r="Y41" s="5"/>
      <c r="Z41" s="11">
        <v>45536</v>
      </c>
      <c r="AA41" s="12"/>
      <c r="AB41" s="12"/>
      <c r="AC41" s="12"/>
      <c r="AD41" s="12"/>
      <c r="AE41" s="12"/>
      <c r="AF41" s="12"/>
      <c r="AG41" s="12"/>
      <c r="AH41" s="12"/>
      <c r="AI41" s="12"/>
      <c r="AJ41" s="206"/>
      <c r="AL41" s="11">
        <v>45536</v>
      </c>
      <c r="AM41" s="5">
        <v>141869</v>
      </c>
      <c r="AN41" s="5">
        <v>681111</v>
      </c>
      <c r="AO41" s="5">
        <v>838484</v>
      </c>
      <c r="AP41" s="5">
        <v>67609</v>
      </c>
      <c r="AQ41" s="5">
        <v>109172</v>
      </c>
      <c r="AR41" s="5">
        <v>38911</v>
      </c>
      <c r="AS41" s="5">
        <v>27839</v>
      </c>
      <c r="AT41" s="5">
        <v>136752</v>
      </c>
      <c r="AU41" s="5">
        <v>357710</v>
      </c>
      <c r="AV41" s="5">
        <f t="shared" si="59"/>
        <v>2399457</v>
      </c>
      <c r="AW41" s="5"/>
      <c r="AX41" s="11">
        <v>45536</v>
      </c>
      <c r="AY41" s="5">
        <v>117024</v>
      </c>
      <c r="AZ41" s="5">
        <v>460216</v>
      </c>
      <c r="BA41" s="5">
        <v>670841</v>
      </c>
      <c r="BB41" s="5">
        <v>31186</v>
      </c>
      <c r="BC41" s="5">
        <v>85999</v>
      </c>
      <c r="BD41" s="5">
        <v>20054</v>
      </c>
      <c r="BE41" s="5">
        <v>16722</v>
      </c>
      <c r="BF41" s="5">
        <v>100699</v>
      </c>
      <c r="BG41" s="5">
        <v>238502</v>
      </c>
      <c r="BH41" s="5">
        <f t="shared" si="70"/>
        <v>1741243</v>
      </c>
      <c r="BI41" s="8"/>
      <c r="BJ41" s="11">
        <v>45536</v>
      </c>
      <c r="BK41" s="5">
        <f t="shared" si="81"/>
        <v>2106901</v>
      </c>
      <c r="BL41" s="8"/>
      <c r="BM41" s="5">
        <v>1304971</v>
      </c>
      <c r="BN41" s="12"/>
      <c r="BO41" s="5">
        <v>801930</v>
      </c>
      <c r="BP41" s="5">
        <v>33140</v>
      </c>
      <c r="BQ41" s="5">
        <v>219671</v>
      </c>
      <c r="BR41" s="5">
        <v>272743</v>
      </c>
      <c r="BS41" s="5">
        <v>46450</v>
      </c>
      <c r="BT41" s="5">
        <v>22202</v>
      </c>
      <c r="BU41" s="5">
        <v>25107</v>
      </c>
      <c r="BV41" s="5">
        <v>9259</v>
      </c>
      <c r="BW41" s="5">
        <v>41209</v>
      </c>
      <c r="BX41" s="5">
        <v>127193</v>
      </c>
      <c r="BY41" s="5">
        <v>4888</v>
      </c>
      <c r="BZ41" s="8"/>
      <c r="CA41" s="11">
        <v>45536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12"/>
      <c r="CM41" s="11">
        <v>45536</v>
      </c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8"/>
      <c r="CY41" s="11">
        <v>45536</v>
      </c>
      <c r="CZ41" s="5">
        <v>73610</v>
      </c>
      <c r="DA41" s="5"/>
      <c r="DB41" s="5"/>
      <c r="DC41" s="5"/>
      <c r="DD41" s="5"/>
      <c r="DE41" s="5"/>
      <c r="DF41" s="5"/>
      <c r="DG41" s="5"/>
      <c r="DH41" s="5"/>
      <c r="DI41" s="5"/>
      <c r="DJ41" s="8"/>
      <c r="DK41" s="11">
        <v>45536</v>
      </c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8"/>
      <c r="DW41" s="11">
        <v>45536</v>
      </c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8"/>
      <c r="EI41" s="11">
        <v>45536</v>
      </c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8"/>
      <c r="EU41" s="11">
        <v>45536</v>
      </c>
      <c r="EV41" s="5">
        <v>741618</v>
      </c>
      <c r="EW41" s="5">
        <v>34650</v>
      </c>
      <c r="EX41" s="5">
        <v>159468</v>
      </c>
      <c r="EY41" s="5">
        <v>158207</v>
      </c>
      <c r="EZ41" s="5">
        <v>36084</v>
      </c>
      <c r="FA41" s="5">
        <v>17647</v>
      </c>
      <c r="FB41" s="5">
        <v>16956</v>
      </c>
      <c r="FC41" s="5">
        <v>6344</v>
      </c>
      <c r="FD41" s="5">
        <v>36681</v>
      </c>
      <c r="FE41" s="5">
        <v>82360</v>
      </c>
      <c r="FF41" s="13"/>
      <c r="FG41" s="11">
        <v>45536</v>
      </c>
      <c r="FH41" s="5">
        <v>458998</v>
      </c>
      <c r="FI41" s="5">
        <v>20235</v>
      </c>
      <c r="FJ41" s="5">
        <v>105420</v>
      </c>
      <c r="FK41" s="5">
        <v>102288</v>
      </c>
      <c r="FL41" s="5">
        <v>18386</v>
      </c>
      <c r="FM41" s="5">
        <v>9910</v>
      </c>
      <c r="FN41" s="5">
        <v>8637</v>
      </c>
      <c r="FO41" s="5">
        <v>3257</v>
      </c>
      <c r="FP41" s="5">
        <v>24476</v>
      </c>
      <c r="FQ41" s="5">
        <v>51954</v>
      </c>
      <c r="FR41" s="5"/>
      <c r="FS41" s="11">
        <v>45536</v>
      </c>
      <c r="FT41" s="5">
        <v>522</v>
      </c>
      <c r="FU41" s="5">
        <v>126</v>
      </c>
      <c r="FV41" s="5">
        <v>89</v>
      </c>
      <c r="FW41" s="5">
        <v>62</v>
      </c>
      <c r="FX41" s="5">
        <v>267</v>
      </c>
      <c r="FY41" s="5">
        <v>1272</v>
      </c>
      <c r="FZ41" s="5">
        <v>249</v>
      </c>
      <c r="GA41" s="5">
        <v>894</v>
      </c>
      <c r="GB41" s="5">
        <v>238</v>
      </c>
      <c r="GC41" s="5">
        <v>3606</v>
      </c>
      <c r="GE41" s="11">
        <v>45536</v>
      </c>
      <c r="GF41" s="5">
        <v>625</v>
      </c>
      <c r="GG41" s="5">
        <v>219</v>
      </c>
      <c r="GH41" s="5">
        <v>67</v>
      </c>
      <c r="GI41" s="5">
        <v>95</v>
      </c>
      <c r="GJ41" s="5">
        <v>198</v>
      </c>
      <c r="GK41" s="5">
        <v>1668</v>
      </c>
      <c r="GL41" s="5">
        <v>114</v>
      </c>
      <c r="GM41" s="5">
        <v>1380</v>
      </c>
      <c r="GN41" s="5">
        <v>177</v>
      </c>
      <c r="GO41" s="5">
        <v>4543</v>
      </c>
      <c r="GQ41" s="11">
        <v>45536</v>
      </c>
      <c r="HC41" s="11">
        <v>45536</v>
      </c>
      <c r="HD41" s="5">
        <f t="shared" ref="HD41:HD63" si="82">CZ41+DL41+BM41</f>
        <v>1378581</v>
      </c>
      <c r="HE41" s="5">
        <f t="shared" ref="HE41:HE63" si="83">DA41+DM41+BP41</f>
        <v>33140</v>
      </c>
      <c r="HF41" s="5">
        <f t="shared" ref="HF41:HF63" si="84">DB41+DN41+BQ41</f>
        <v>219671</v>
      </c>
      <c r="HG41" s="5">
        <f t="shared" ref="HG41:HG63" si="85">DC41+DO41+BR41</f>
        <v>272743</v>
      </c>
      <c r="HH41" s="5">
        <f t="shared" ref="HH41:HH63" si="86">DD41+DP41+BS41</f>
        <v>46450</v>
      </c>
      <c r="HI41" s="5">
        <f t="shared" ref="HI41:HI63" si="87">DE41+DQ41+BT41</f>
        <v>22202</v>
      </c>
      <c r="HJ41" s="5">
        <f t="shared" ref="HJ41:HJ63" si="88">DF41+DR41+BU41</f>
        <v>25107</v>
      </c>
      <c r="HK41" s="5">
        <f t="shared" ref="HK41:HK63" si="89">DG41+DS41+BV41</f>
        <v>9259</v>
      </c>
      <c r="HL41" s="5">
        <f t="shared" ref="HL41:HL63" si="90">DH41+DT41+BW41</f>
        <v>41209</v>
      </c>
      <c r="HM41" s="5">
        <f t="shared" ref="HM41:HM63" si="91">DI41+DU41+BX41</f>
        <v>127193</v>
      </c>
      <c r="HO41" s="11">
        <v>45536</v>
      </c>
      <c r="HP41" s="5">
        <f t="shared" si="71"/>
        <v>0</v>
      </c>
      <c r="HQ41" s="5">
        <f t="shared" si="72"/>
        <v>0</v>
      </c>
      <c r="HR41" s="5">
        <f t="shared" si="73"/>
        <v>0</v>
      </c>
      <c r="HS41" s="5">
        <f t="shared" si="74"/>
        <v>0</v>
      </c>
      <c r="HT41" s="5">
        <f t="shared" si="75"/>
        <v>0</v>
      </c>
      <c r="HU41" s="5">
        <f t="shared" si="76"/>
        <v>0</v>
      </c>
      <c r="HV41" s="5">
        <f t="shared" si="77"/>
        <v>0</v>
      </c>
      <c r="HW41" s="5">
        <f t="shared" si="78"/>
        <v>0</v>
      </c>
      <c r="HX41" s="5">
        <f t="shared" si="79"/>
        <v>0</v>
      </c>
      <c r="HY41" s="5">
        <f t="shared" si="80"/>
        <v>0</v>
      </c>
    </row>
    <row r="42" spans="2:233">
      <c r="B42" s="11">
        <v>45566</v>
      </c>
      <c r="C42" s="5">
        <v>44</v>
      </c>
      <c r="D42" s="5">
        <v>154</v>
      </c>
      <c r="E42" s="5">
        <v>673</v>
      </c>
      <c r="F42" s="5">
        <v>267</v>
      </c>
      <c r="G42" s="5">
        <v>178</v>
      </c>
      <c r="H42" s="5">
        <v>203</v>
      </c>
      <c r="I42" s="5">
        <v>2301</v>
      </c>
      <c r="J42" s="5">
        <v>1864</v>
      </c>
      <c r="K42" s="5">
        <v>256</v>
      </c>
      <c r="L42" s="5">
        <f t="shared" si="57"/>
        <v>5940</v>
      </c>
      <c r="N42" s="11">
        <v>45566</v>
      </c>
      <c r="O42" s="5">
        <v>44</v>
      </c>
      <c r="P42" s="5">
        <v>154</v>
      </c>
      <c r="Q42" s="5">
        <v>673</v>
      </c>
      <c r="R42" s="5">
        <v>267</v>
      </c>
      <c r="S42" s="5">
        <v>178</v>
      </c>
      <c r="T42" s="5">
        <v>203</v>
      </c>
      <c r="U42" s="5">
        <v>2301</v>
      </c>
      <c r="V42" s="5">
        <v>1864</v>
      </c>
      <c r="W42" s="5">
        <v>256</v>
      </c>
      <c r="X42" s="5">
        <f t="shared" si="58"/>
        <v>5940</v>
      </c>
      <c r="Y42" s="5"/>
      <c r="Z42" s="11">
        <v>45566</v>
      </c>
      <c r="AA42" s="12"/>
      <c r="AB42" s="12"/>
      <c r="AC42" s="12"/>
      <c r="AD42" s="12"/>
      <c r="AE42" s="12"/>
      <c r="AF42" s="12"/>
      <c r="AG42" s="12"/>
      <c r="AH42" s="12"/>
      <c r="AI42" s="12"/>
      <c r="AJ42" s="206"/>
      <c r="AL42" s="11">
        <v>45566</v>
      </c>
      <c r="AM42" s="5">
        <v>137764</v>
      </c>
      <c r="AN42" s="5">
        <v>726990</v>
      </c>
      <c r="AO42" s="5">
        <v>955686</v>
      </c>
      <c r="AP42" s="5">
        <v>63306</v>
      </c>
      <c r="AQ42" s="5">
        <v>125407</v>
      </c>
      <c r="AR42" s="5">
        <v>51853</v>
      </c>
      <c r="AS42" s="5">
        <v>35184</v>
      </c>
      <c r="AT42" s="5">
        <v>128116</v>
      </c>
      <c r="AU42" s="5">
        <v>410194</v>
      </c>
      <c r="AV42" s="5">
        <f t="shared" si="59"/>
        <v>2634500</v>
      </c>
      <c r="AW42" s="5"/>
      <c r="AX42" s="11">
        <v>45566</v>
      </c>
      <c r="AY42" s="5">
        <v>103990</v>
      </c>
      <c r="AZ42" s="5">
        <v>565438</v>
      </c>
      <c r="BA42" s="5">
        <v>767165</v>
      </c>
      <c r="BB42" s="5">
        <v>36332</v>
      </c>
      <c r="BC42" s="5">
        <v>102586</v>
      </c>
      <c r="BD42" s="5">
        <v>30813</v>
      </c>
      <c r="BE42" s="5">
        <v>23169</v>
      </c>
      <c r="BF42" s="5">
        <v>82987</v>
      </c>
      <c r="BG42" s="5">
        <v>316982</v>
      </c>
      <c r="BH42" s="5">
        <f t="shared" si="70"/>
        <v>2029462</v>
      </c>
      <c r="BI42" s="8"/>
      <c r="BJ42" s="11">
        <v>45566</v>
      </c>
      <c r="BK42" s="5">
        <f t="shared" si="81"/>
        <v>2420254</v>
      </c>
      <c r="BL42" s="8"/>
      <c r="BM42" s="5">
        <v>1476882</v>
      </c>
      <c r="BN42" s="12"/>
      <c r="BO42" s="5">
        <v>943372</v>
      </c>
      <c r="BP42" s="5">
        <v>43579</v>
      </c>
      <c r="BQ42" s="5">
        <v>251630</v>
      </c>
      <c r="BR42" s="5">
        <v>302146</v>
      </c>
      <c r="BS42" s="5">
        <v>58438</v>
      </c>
      <c r="BT42" s="5">
        <v>30068</v>
      </c>
      <c r="BU42" s="5">
        <v>33540</v>
      </c>
      <c r="BV42" s="5">
        <v>12067</v>
      </c>
      <c r="BW42" s="5">
        <v>48929</v>
      </c>
      <c r="BX42" s="5">
        <v>148078</v>
      </c>
      <c r="BY42" s="5">
        <v>14722</v>
      </c>
      <c r="BZ42" s="8"/>
      <c r="CA42" s="11">
        <v>45566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12"/>
      <c r="CM42" s="11">
        <v>45566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8"/>
      <c r="CY42" s="11">
        <v>45566</v>
      </c>
      <c r="CZ42" s="5">
        <v>75876</v>
      </c>
      <c r="DA42" s="5"/>
      <c r="DB42" s="5"/>
      <c r="DC42" s="5"/>
      <c r="DD42" s="5"/>
      <c r="DE42" s="5"/>
      <c r="DF42" s="5"/>
      <c r="DG42" s="5"/>
      <c r="DH42" s="5"/>
      <c r="DI42" s="5"/>
      <c r="DJ42" s="8"/>
      <c r="DK42" s="11">
        <v>45566</v>
      </c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8"/>
      <c r="DW42" s="11">
        <v>45566</v>
      </c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8"/>
      <c r="EI42" s="11">
        <v>45566</v>
      </c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8"/>
      <c r="EU42" s="11">
        <v>45566</v>
      </c>
      <c r="EV42" s="5">
        <v>786666</v>
      </c>
      <c r="EW42" s="5">
        <v>35260</v>
      </c>
      <c r="EX42" s="5">
        <v>166807</v>
      </c>
      <c r="EY42" s="5">
        <v>170394</v>
      </c>
      <c r="EZ42" s="5">
        <v>36944</v>
      </c>
      <c r="FA42" s="5">
        <v>18437</v>
      </c>
      <c r="FB42" s="5">
        <v>21820</v>
      </c>
      <c r="FC42" s="5">
        <v>9216</v>
      </c>
      <c r="FD42" s="5">
        <v>31215</v>
      </c>
      <c r="FE42" s="5">
        <v>93792</v>
      </c>
      <c r="FF42" s="13"/>
      <c r="FG42" s="11">
        <v>45566</v>
      </c>
      <c r="FH42" s="5">
        <v>504217</v>
      </c>
      <c r="FI42" s="5">
        <v>21182</v>
      </c>
      <c r="FJ42" s="5">
        <v>113137</v>
      </c>
      <c r="FK42" s="5">
        <v>113390</v>
      </c>
      <c r="FL42" s="5">
        <v>20975</v>
      </c>
      <c r="FM42" s="5">
        <v>10977</v>
      </c>
      <c r="FN42" s="5">
        <v>12304</v>
      </c>
      <c r="FO42" s="5">
        <v>5556</v>
      </c>
      <c r="FP42" s="5">
        <v>19649</v>
      </c>
      <c r="FQ42" s="5">
        <v>56983</v>
      </c>
      <c r="FR42" s="5"/>
      <c r="FS42" s="11">
        <v>45566</v>
      </c>
      <c r="FT42" s="5">
        <v>611</v>
      </c>
      <c r="FU42" s="5">
        <v>135</v>
      </c>
      <c r="FV42" s="5">
        <v>108</v>
      </c>
      <c r="FW42" s="5">
        <v>71</v>
      </c>
      <c r="FX42" s="5">
        <v>243</v>
      </c>
      <c r="FY42" s="5">
        <v>1287</v>
      </c>
      <c r="FZ42" s="5">
        <v>200</v>
      </c>
      <c r="GA42" s="5">
        <v>976</v>
      </c>
      <c r="GB42" s="5">
        <v>209</v>
      </c>
      <c r="GC42" s="5">
        <v>3726</v>
      </c>
      <c r="GE42" s="11">
        <v>45566</v>
      </c>
      <c r="GF42" s="5">
        <v>553</v>
      </c>
      <c r="GG42" s="5">
        <v>214</v>
      </c>
      <c r="GH42" s="5">
        <v>36</v>
      </c>
      <c r="GI42" s="5">
        <v>107</v>
      </c>
      <c r="GJ42" s="5">
        <v>186</v>
      </c>
      <c r="GK42" s="5">
        <v>1977</v>
      </c>
      <c r="GL42" s="5">
        <v>147</v>
      </c>
      <c r="GM42" s="5">
        <v>1267</v>
      </c>
      <c r="GN42" s="5">
        <v>186</v>
      </c>
      <c r="GO42" s="5">
        <v>4673</v>
      </c>
      <c r="GQ42" s="11">
        <v>45566</v>
      </c>
      <c r="HC42" s="11">
        <v>45566</v>
      </c>
      <c r="HD42" s="5">
        <f t="shared" si="82"/>
        <v>1552758</v>
      </c>
      <c r="HE42" s="5">
        <f t="shared" si="83"/>
        <v>43579</v>
      </c>
      <c r="HF42" s="5">
        <f t="shared" si="84"/>
        <v>251630</v>
      </c>
      <c r="HG42" s="5">
        <f t="shared" si="85"/>
        <v>302146</v>
      </c>
      <c r="HH42" s="5">
        <f t="shared" si="86"/>
        <v>58438</v>
      </c>
      <c r="HI42" s="5">
        <f t="shared" si="87"/>
        <v>30068</v>
      </c>
      <c r="HJ42" s="5">
        <f t="shared" si="88"/>
        <v>33540</v>
      </c>
      <c r="HK42" s="5">
        <f t="shared" si="89"/>
        <v>12067</v>
      </c>
      <c r="HL42" s="5">
        <f t="shared" si="90"/>
        <v>48929</v>
      </c>
      <c r="HM42" s="5">
        <f t="shared" si="91"/>
        <v>148078</v>
      </c>
      <c r="HO42" s="11">
        <v>45566</v>
      </c>
      <c r="HP42" s="5">
        <f t="shared" si="71"/>
        <v>0</v>
      </c>
      <c r="HQ42" s="5">
        <f t="shared" si="72"/>
        <v>0</v>
      </c>
      <c r="HR42" s="5">
        <f t="shared" si="73"/>
        <v>0</v>
      </c>
      <c r="HS42" s="5">
        <f t="shared" si="74"/>
        <v>0</v>
      </c>
      <c r="HT42" s="5">
        <f t="shared" si="75"/>
        <v>0</v>
      </c>
      <c r="HU42" s="5">
        <f t="shared" si="76"/>
        <v>0</v>
      </c>
      <c r="HV42" s="5">
        <f t="shared" si="77"/>
        <v>0</v>
      </c>
      <c r="HW42" s="5">
        <f t="shared" si="78"/>
        <v>0</v>
      </c>
      <c r="HX42" s="5">
        <f t="shared" si="79"/>
        <v>0</v>
      </c>
      <c r="HY42" s="5">
        <f t="shared" si="80"/>
        <v>0</v>
      </c>
    </row>
    <row r="43" spans="2:233">
      <c r="B43" s="11">
        <v>45597</v>
      </c>
      <c r="C43" s="5">
        <v>27</v>
      </c>
      <c r="D43" s="5">
        <v>149</v>
      </c>
      <c r="E43" s="5">
        <v>737</v>
      </c>
      <c r="F43" s="5">
        <v>337</v>
      </c>
      <c r="G43" s="5">
        <v>150</v>
      </c>
      <c r="H43" s="5">
        <v>285</v>
      </c>
      <c r="I43" s="5">
        <v>2782</v>
      </c>
      <c r="J43" s="5">
        <v>1797</v>
      </c>
      <c r="K43" s="5">
        <v>268</v>
      </c>
      <c r="L43" s="5">
        <f t="shared" si="57"/>
        <v>6532</v>
      </c>
      <c r="N43" s="11">
        <v>45597</v>
      </c>
      <c r="O43" s="5">
        <v>27</v>
      </c>
      <c r="P43" s="5">
        <v>149</v>
      </c>
      <c r="Q43" s="5">
        <v>737</v>
      </c>
      <c r="R43" s="5">
        <v>337</v>
      </c>
      <c r="S43" s="5">
        <v>150</v>
      </c>
      <c r="T43" s="5">
        <v>285</v>
      </c>
      <c r="U43" s="5">
        <v>2782</v>
      </c>
      <c r="V43" s="5">
        <v>1797</v>
      </c>
      <c r="W43" s="5">
        <v>268</v>
      </c>
      <c r="X43" s="5">
        <f t="shared" si="58"/>
        <v>6532</v>
      </c>
      <c r="Y43" s="5"/>
      <c r="Z43" s="11">
        <v>45597</v>
      </c>
      <c r="AA43" s="12"/>
      <c r="AB43" s="12"/>
      <c r="AC43" s="12"/>
      <c r="AD43" s="12"/>
      <c r="AE43" s="12"/>
      <c r="AF43" s="12"/>
      <c r="AG43" s="12"/>
      <c r="AH43" s="12"/>
      <c r="AI43" s="12"/>
      <c r="AJ43" s="206"/>
      <c r="AL43" s="11">
        <v>45597</v>
      </c>
      <c r="AM43" s="5">
        <v>102545</v>
      </c>
      <c r="AN43" s="5">
        <v>737600</v>
      </c>
      <c r="AO43" s="5">
        <v>906319</v>
      </c>
      <c r="AP43" s="5">
        <v>65190</v>
      </c>
      <c r="AQ43" s="5">
        <v>108161</v>
      </c>
      <c r="AR43" s="5">
        <v>50874</v>
      </c>
      <c r="AS43" s="5">
        <v>24359</v>
      </c>
      <c r="AT43" s="5">
        <v>127872</v>
      </c>
      <c r="AU43" s="5">
        <v>356293</v>
      </c>
      <c r="AV43" s="5">
        <f t="shared" si="59"/>
        <v>2479213</v>
      </c>
      <c r="AW43" s="5"/>
      <c r="AX43" s="11">
        <v>45597</v>
      </c>
      <c r="AY43" s="5">
        <v>74318</v>
      </c>
      <c r="AZ43" s="5">
        <v>540073</v>
      </c>
      <c r="BA43" s="5">
        <v>765412</v>
      </c>
      <c r="BB43" s="5">
        <v>33973</v>
      </c>
      <c r="BC43" s="5">
        <v>82606</v>
      </c>
      <c r="BD43" s="5">
        <v>30565</v>
      </c>
      <c r="BE43" s="5">
        <v>14270</v>
      </c>
      <c r="BF43" s="5">
        <v>73649</v>
      </c>
      <c r="BG43" s="5">
        <v>283119</v>
      </c>
      <c r="BH43" s="5">
        <f t="shared" si="70"/>
        <v>1897985</v>
      </c>
      <c r="BI43" s="8"/>
      <c r="BJ43" s="11">
        <v>45597</v>
      </c>
      <c r="BK43" s="5">
        <f t="shared" si="81"/>
        <v>2731669</v>
      </c>
      <c r="BL43" s="8"/>
      <c r="BM43" s="5">
        <v>1680780</v>
      </c>
      <c r="BN43" s="12"/>
      <c r="BO43" s="5">
        <v>1050889</v>
      </c>
      <c r="BP43" s="5">
        <v>44755</v>
      </c>
      <c r="BQ43" s="5">
        <v>278517</v>
      </c>
      <c r="BR43" s="5">
        <v>358538</v>
      </c>
      <c r="BS43" s="5">
        <v>67035</v>
      </c>
      <c r="BT43" s="5">
        <v>32228</v>
      </c>
      <c r="BU43" s="5">
        <v>36954</v>
      </c>
      <c r="BV43" s="5">
        <v>8656</v>
      </c>
      <c r="BW43" s="5">
        <v>51926</v>
      </c>
      <c r="BX43" s="5">
        <v>162710</v>
      </c>
      <c r="BY43" s="5">
        <v>9451</v>
      </c>
      <c r="BZ43" s="8"/>
      <c r="CA43" s="11">
        <v>45597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12"/>
      <c r="CM43" s="11">
        <v>45597</v>
      </c>
      <c r="CO43" s="5"/>
      <c r="CP43" s="5"/>
      <c r="CQ43" s="5"/>
      <c r="CR43" s="5"/>
      <c r="CS43" s="5"/>
      <c r="CT43" s="5"/>
      <c r="CU43" s="5"/>
      <c r="CV43" s="5"/>
      <c r="CW43" s="5"/>
      <c r="CX43" s="8"/>
      <c r="CY43" s="11">
        <v>45597</v>
      </c>
      <c r="CZ43" s="5">
        <v>77565</v>
      </c>
      <c r="DA43" s="5"/>
      <c r="DB43" s="5"/>
      <c r="DC43" s="5"/>
      <c r="DD43" s="5"/>
      <c r="DE43" s="5"/>
      <c r="DF43" s="5"/>
      <c r="DG43" s="5"/>
      <c r="DH43" s="5"/>
      <c r="DI43" s="5"/>
      <c r="DJ43" s="8"/>
      <c r="DK43" s="11">
        <v>45597</v>
      </c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8"/>
      <c r="DW43" s="11">
        <v>45597</v>
      </c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8"/>
      <c r="EI43" s="11">
        <v>45597</v>
      </c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8"/>
      <c r="EU43" s="11">
        <v>45597</v>
      </c>
      <c r="EV43" s="5">
        <v>867280</v>
      </c>
      <c r="EW43" s="5">
        <v>29664</v>
      </c>
      <c r="EX43" s="5">
        <v>171287</v>
      </c>
      <c r="EY43" s="5">
        <v>199834</v>
      </c>
      <c r="EZ43" s="5">
        <v>41608</v>
      </c>
      <c r="FA43" s="5">
        <v>16355</v>
      </c>
      <c r="FB43" s="5">
        <v>23460</v>
      </c>
      <c r="FC43" s="5">
        <v>6031</v>
      </c>
      <c r="FD43" s="5">
        <v>33568</v>
      </c>
      <c r="FE43" s="5">
        <v>89904</v>
      </c>
      <c r="FF43" s="13"/>
      <c r="FG43" s="11">
        <v>45597</v>
      </c>
      <c r="FH43" s="5">
        <v>570099</v>
      </c>
      <c r="FI43" s="5">
        <v>17826</v>
      </c>
      <c r="FJ43" s="5">
        <v>117728</v>
      </c>
      <c r="FK43" s="5">
        <v>142084</v>
      </c>
      <c r="FL43" s="5">
        <v>23473</v>
      </c>
      <c r="FM43" s="5">
        <v>9267</v>
      </c>
      <c r="FN43" s="5">
        <v>13519</v>
      </c>
      <c r="FO43" s="5">
        <v>3106</v>
      </c>
      <c r="FP43" s="5">
        <v>20751</v>
      </c>
      <c r="FQ43" s="5">
        <v>63618</v>
      </c>
      <c r="FR43" s="5"/>
      <c r="FS43" s="11">
        <v>45597</v>
      </c>
      <c r="FT43" s="5">
        <v>596</v>
      </c>
      <c r="FU43" s="5">
        <v>146</v>
      </c>
      <c r="FV43" s="5">
        <v>96</v>
      </c>
      <c r="FW43" s="5">
        <v>95</v>
      </c>
      <c r="FX43" s="5">
        <v>359</v>
      </c>
      <c r="FY43" s="5">
        <v>1515</v>
      </c>
      <c r="FZ43" s="5">
        <v>248</v>
      </c>
      <c r="GA43" s="5">
        <v>1083</v>
      </c>
      <c r="GB43" s="5">
        <v>222</v>
      </c>
      <c r="GC43" s="5">
        <v>4203</v>
      </c>
      <c r="GE43" s="11">
        <v>45597</v>
      </c>
      <c r="GF43" s="5">
        <v>546</v>
      </c>
      <c r="GG43" s="5">
        <v>241</v>
      </c>
      <c r="GH43" s="5">
        <v>43</v>
      </c>
      <c r="GI43" s="5">
        <v>93</v>
      </c>
      <c r="GJ43" s="5">
        <v>229</v>
      </c>
      <c r="GK43" s="5">
        <v>2248</v>
      </c>
      <c r="GL43" s="5">
        <v>157</v>
      </c>
      <c r="GM43" s="5">
        <v>1193</v>
      </c>
      <c r="GN43" s="5">
        <v>178</v>
      </c>
      <c r="GO43" s="5">
        <v>4928</v>
      </c>
      <c r="GQ43" s="11">
        <v>45597</v>
      </c>
      <c r="HC43" s="11">
        <v>45597</v>
      </c>
      <c r="HD43" s="5">
        <f t="shared" si="82"/>
        <v>1758345</v>
      </c>
      <c r="HE43" s="5">
        <f t="shared" si="83"/>
        <v>44755</v>
      </c>
      <c r="HF43" s="5">
        <f t="shared" si="84"/>
        <v>278517</v>
      </c>
      <c r="HG43" s="5">
        <f t="shared" si="85"/>
        <v>358538</v>
      </c>
      <c r="HH43" s="5">
        <f t="shared" si="86"/>
        <v>67035</v>
      </c>
      <c r="HI43" s="5">
        <f t="shared" si="87"/>
        <v>32228</v>
      </c>
      <c r="HJ43" s="5">
        <f t="shared" si="88"/>
        <v>36954</v>
      </c>
      <c r="HK43" s="5">
        <f t="shared" si="89"/>
        <v>8656</v>
      </c>
      <c r="HL43" s="5">
        <f t="shared" si="90"/>
        <v>51926</v>
      </c>
      <c r="HM43" s="5">
        <f t="shared" si="91"/>
        <v>162710</v>
      </c>
      <c r="HO43" s="11">
        <v>45597</v>
      </c>
      <c r="HP43" s="5">
        <f t="shared" si="71"/>
        <v>0</v>
      </c>
      <c r="HQ43" s="5">
        <f t="shared" si="72"/>
        <v>0</v>
      </c>
      <c r="HR43" s="5">
        <f t="shared" si="73"/>
        <v>0</v>
      </c>
      <c r="HS43" s="5">
        <f t="shared" si="74"/>
        <v>0</v>
      </c>
      <c r="HT43" s="5">
        <f t="shared" si="75"/>
        <v>0</v>
      </c>
      <c r="HU43" s="5">
        <f t="shared" si="76"/>
        <v>0</v>
      </c>
      <c r="HV43" s="5">
        <f t="shared" si="77"/>
        <v>0</v>
      </c>
      <c r="HW43" s="5">
        <f t="shared" si="78"/>
        <v>0</v>
      </c>
      <c r="HX43" s="5">
        <f t="shared" si="79"/>
        <v>0</v>
      </c>
      <c r="HY43" s="5">
        <f t="shared" si="80"/>
        <v>0</v>
      </c>
    </row>
    <row r="44" spans="2:233">
      <c r="B44" s="11">
        <v>45627</v>
      </c>
      <c r="C44" s="5">
        <v>29</v>
      </c>
      <c r="D44" s="5">
        <v>330</v>
      </c>
      <c r="E44" s="5">
        <v>820</v>
      </c>
      <c r="F44" s="5">
        <v>315</v>
      </c>
      <c r="G44" s="5">
        <v>158</v>
      </c>
      <c r="H44" s="5">
        <v>380</v>
      </c>
      <c r="I44" s="5">
        <v>2913</v>
      </c>
      <c r="J44" s="5">
        <v>2141</v>
      </c>
      <c r="K44" s="5">
        <v>272</v>
      </c>
      <c r="L44" s="5">
        <f t="shared" si="57"/>
        <v>7358</v>
      </c>
      <c r="N44" s="11">
        <v>45627</v>
      </c>
      <c r="O44" s="5">
        <v>29</v>
      </c>
      <c r="P44" s="5">
        <v>330</v>
      </c>
      <c r="Q44" s="5">
        <v>820</v>
      </c>
      <c r="R44" s="5">
        <v>315</v>
      </c>
      <c r="S44" s="5">
        <v>158</v>
      </c>
      <c r="T44" s="5">
        <v>380</v>
      </c>
      <c r="U44" s="5">
        <v>2913</v>
      </c>
      <c r="V44" s="5">
        <v>2141</v>
      </c>
      <c r="W44" s="5">
        <v>272</v>
      </c>
      <c r="X44" s="5">
        <f t="shared" si="58"/>
        <v>7358</v>
      </c>
      <c r="Y44" s="5"/>
      <c r="Z44" s="11">
        <v>45627</v>
      </c>
      <c r="AA44" s="12"/>
      <c r="AB44" s="12"/>
      <c r="AC44" s="12"/>
      <c r="AD44" s="12"/>
      <c r="AE44" s="12"/>
      <c r="AF44" s="12"/>
      <c r="AG44" s="12"/>
      <c r="AH44" s="12"/>
      <c r="AI44" s="12"/>
      <c r="AJ44" s="206"/>
      <c r="AL44" s="11">
        <v>45627</v>
      </c>
      <c r="AM44" s="5">
        <v>95301</v>
      </c>
      <c r="AN44" s="5">
        <v>613247</v>
      </c>
      <c r="AO44" s="5">
        <v>1049479</v>
      </c>
      <c r="AP44" s="5">
        <v>50224</v>
      </c>
      <c r="AQ44" s="5">
        <v>97258</v>
      </c>
      <c r="AR44" s="5">
        <v>43629</v>
      </c>
      <c r="AS44" s="5">
        <v>19663</v>
      </c>
      <c r="AT44" s="5">
        <v>105157</v>
      </c>
      <c r="AU44" s="5">
        <v>326162</v>
      </c>
      <c r="AV44" s="5">
        <f t="shared" si="59"/>
        <v>2400120</v>
      </c>
      <c r="AW44" s="5"/>
      <c r="AX44" s="11">
        <v>45627</v>
      </c>
      <c r="AY44" s="5">
        <v>72656</v>
      </c>
      <c r="AZ44" s="5">
        <v>440762</v>
      </c>
      <c r="BA44" s="5">
        <v>841628</v>
      </c>
      <c r="BB44" s="5">
        <v>26067</v>
      </c>
      <c r="BC44" s="5">
        <v>73045</v>
      </c>
      <c r="BD44" s="5">
        <v>23045</v>
      </c>
      <c r="BE44" s="5">
        <v>10955</v>
      </c>
      <c r="BF44" s="5">
        <v>55294</v>
      </c>
      <c r="BG44" s="5">
        <v>232779</v>
      </c>
      <c r="BH44" s="5">
        <f>SUM(AY44:BG44)</f>
        <v>1776231</v>
      </c>
      <c r="BI44" s="8"/>
      <c r="BJ44" s="11">
        <v>45627</v>
      </c>
      <c r="BK44" s="5">
        <f t="shared" si="81"/>
        <v>2799092</v>
      </c>
      <c r="BL44" s="8"/>
      <c r="BM44" s="5">
        <v>1708285</v>
      </c>
      <c r="BN44" s="8"/>
      <c r="BO44" s="5">
        <v>1090807</v>
      </c>
      <c r="BP44" s="5">
        <v>51231</v>
      </c>
      <c r="BQ44" s="5">
        <v>307113</v>
      </c>
      <c r="BR44" s="5">
        <v>351293</v>
      </c>
      <c r="BS44" s="5">
        <v>70665</v>
      </c>
      <c r="BT44" s="5">
        <v>43669</v>
      </c>
      <c r="BU44" s="5">
        <v>36941</v>
      </c>
      <c r="BV44" s="5">
        <v>8225</v>
      </c>
      <c r="BW44" s="5">
        <v>49187</v>
      </c>
      <c r="BX44" s="5">
        <v>163252</v>
      </c>
      <c r="BY44" s="5">
        <v>9203</v>
      </c>
      <c r="BZ44" s="8"/>
      <c r="CA44" s="11">
        <v>45627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12"/>
      <c r="CM44" s="11">
        <v>45627</v>
      </c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8"/>
      <c r="CY44" s="11">
        <v>45627</v>
      </c>
      <c r="CZ44" s="5">
        <v>104838</v>
      </c>
      <c r="DA44" s="5"/>
      <c r="DB44" s="5"/>
      <c r="DC44" s="5"/>
      <c r="DD44" s="5"/>
      <c r="DE44" s="5"/>
      <c r="DF44" s="5"/>
      <c r="DG44" s="5"/>
      <c r="DH44" s="5"/>
      <c r="DI44" s="5"/>
      <c r="DJ44" s="8"/>
      <c r="DK44" s="11">
        <v>45627</v>
      </c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8"/>
      <c r="DW44" s="11">
        <v>45627</v>
      </c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8"/>
      <c r="EI44" s="11">
        <v>45627</v>
      </c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8"/>
      <c r="EU44" s="11">
        <v>45627</v>
      </c>
      <c r="EV44" s="5">
        <v>977937</v>
      </c>
      <c r="EW44" s="5">
        <v>27058</v>
      </c>
      <c r="EX44" s="5">
        <v>174542</v>
      </c>
      <c r="EY44" s="5">
        <v>188705</v>
      </c>
      <c r="EZ44" s="5">
        <v>32844</v>
      </c>
      <c r="FA44" s="5">
        <v>14839</v>
      </c>
      <c r="FB44" s="5">
        <v>20105</v>
      </c>
      <c r="FC44" s="5">
        <v>3917</v>
      </c>
      <c r="FD44" s="5">
        <v>26444</v>
      </c>
      <c r="FE44" s="5">
        <v>68058</v>
      </c>
      <c r="FF44" s="13"/>
      <c r="FG44" s="11">
        <v>45627</v>
      </c>
      <c r="FH44" s="5">
        <v>533955</v>
      </c>
      <c r="FI44" s="5">
        <v>15625</v>
      </c>
      <c r="FJ44" s="5">
        <v>122342</v>
      </c>
      <c r="FK44" s="5">
        <v>128205</v>
      </c>
      <c r="FL44" s="5">
        <v>18122</v>
      </c>
      <c r="FM44" s="5">
        <v>7989</v>
      </c>
      <c r="FN44" s="5">
        <v>10336</v>
      </c>
      <c r="FO44" s="5">
        <v>1803</v>
      </c>
      <c r="FP44" s="5">
        <v>15101</v>
      </c>
      <c r="FQ44" s="5">
        <v>45110</v>
      </c>
      <c r="FR44" s="5"/>
      <c r="FS44" s="11">
        <v>45627</v>
      </c>
      <c r="FT44" s="5">
        <v>372</v>
      </c>
      <c r="FU44" s="5">
        <v>153</v>
      </c>
      <c r="FV44" s="5">
        <v>73</v>
      </c>
      <c r="FW44" s="5">
        <v>96</v>
      </c>
      <c r="FX44" s="5">
        <v>284</v>
      </c>
      <c r="FY44" s="5">
        <v>1235</v>
      </c>
      <c r="FZ44" s="5">
        <v>247</v>
      </c>
      <c r="GA44" s="5">
        <v>821</v>
      </c>
      <c r="GB44" s="5">
        <v>188</v>
      </c>
      <c r="GC44" s="5">
        <v>3334</v>
      </c>
      <c r="GE44" s="11">
        <v>45627</v>
      </c>
      <c r="GF44" s="5">
        <v>650</v>
      </c>
      <c r="GG44" s="5">
        <v>182</v>
      </c>
      <c r="GH44" s="5">
        <v>36</v>
      </c>
      <c r="GI44" s="5">
        <v>75</v>
      </c>
      <c r="GJ44" s="5">
        <v>299</v>
      </c>
      <c r="GK44" s="5">
        <v>2535</v>
      </c>
      <c r="GL44" s="5">
        <v>289</v>
      </c>
      <c r="GM44" s="5">
        <v>1647</v>
      </c>
      <c r="GN44" s="5">
        <v>187</v>
      </c>
      <c r="GO44" s="5">
        <v>5900</v>
      </c>
      <c r="GQ44" s="11">
        <v>45627</v>
      </c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11">
        <v>45627</v>
      </c>
      <c r="HD44" s="5">
        <f t="shared" si="82"/>
        <v>1813123</v>
      </c>
      <c r="HE44" s="5">
        <f t="shared" si="83"/>
        <v>51231</v>
      </c>
      <c r="HF44" s="5">
        <f t="shared" si="84"/>
        <v>307113</v>
      </c>
      <c r="HG44" s="5">
        <f t="shared" si="85"/>
        <v>351293</v>
      </c>
      <c r="HH44" s="5">
        <f t="shared" si="86"/>
        <v>70665</v>
      </c>
      <c r="HI44" s="5">
        <f t="shared" si="87"/>
        <v>43669</v>
      </c>
      <c r="HJ44" s="5">
        <f t="shared" si="88"/>
        <v>36941</v>
      </c>
      <c r="HK44" s="5">
        <f t="shared" si="89"/>
        <v>8225</v>
      </c>
      <c r="HL44" s="5">
        <f t="shared" si="90"/>
        <v>49187</v>
      </c>
      <c r="HM44" s="5">
        <f t="shared" si="91"/>
        <v>163252</v>
      </c>
      <c r="HO44" s="11">
        <v>45627</v>
      </c>
      <c r="HP44" s="5">
        <f t="shared" si="71"/>
        <v>0</v>
      </c>
      <c r="HQ44" s="5">
        <f t="shared" si="72"/>
        <v>0</v>
      </c>
      <c r="HR44" s="5">
        <f t="shared" si="73"/>
        <v>0</v>
      </c>
      <c r="HS44" s="5">
        <f t="shared" si="74"/>
        <v>0</v>
      </c>
      <c r="HT44" s="5">
        <f t="shared" si="75"/>
        <v>0</v>
      </c>
      <c r="HU44" s="5">
        <f t="shared" si="76"/>
        <v>0</v>
      </c>
      <c r="HV44" s="5">
        <f t="shared" si="77"/>
        <v>0</v>
      </c>
      <c r="HW44" s="5">
        <f t="shared" si="78"/>
        <v>0</v>
      </c>
      <c r="HX44" s="5">
        <f t="shared" si="79"/>
        <v>0</v>
      </c>
      <c r="HY44" s="5">
        <f t="shared" si="80"/>
        <v>0</v>
      </c>
    </row>
    <row r="45" spans="2:233">
      <c r="B45" s="11">
        <v>45658</v>
      </c>
      <c r="C45" s="8">
        <v>20</v>
      </c>
      <c r="D45" s="8">
        <v>195</v>
      </c>
      <c r="E45" s="8">
        <v>448</v>
      </c>
      <c r="F45" s="8">
        <v>256</v>
      </c>
      <c r="G45" s="8">
        <v>119</v>
      </c>
      <c r="H45" s="8">
        <v>189</v>
      </c>
      <c r="I45" s="8">
        <v>1718</v>
      </c>
      <c r="J45" s="8">
        <v>1382</v>
      </c>
      <c r="K45" s="8">
        <v>220</v>
      </c>
      <c r="L45" s="8">
        <f t="shared" si="57"/>
        <v>4547</v>
      </c>
      <c r="N45" s="11">
        <v>45658</v>
      </c>
      <c r="O45" s="8">
        <v>20</v>
      </c>
      <c r="P45" s="8">
        <v>195</v>
      </c>
      <c r="Q45" s="8">
        <v>448</v>
      </c>
      <c r="R45" s="8">
        <v>256</v>
      </c>
      <c r="S45" s="8">
        <v>119</v>
      </c>
      <c r="T45" s="8">
        <v>189</v>
      </c>
      <c r="U45" s="8">
        <v>1718</v>
      </c>
      <c r="V45" s="8">
        <v>1382</v>
      </c>
      <c r="W45" s="8">
        <v>220</v>
      </c>
      <c r="X45" s="8">
        <f t="shared" si="58"/>
        <v>4547</v>
      </c>
      <c r="Y45" s="8"/>
      <c r="Z45" s="11">
        <v>45658</v>
      </c>
      <c r="AA45" s="207">
        <v>117157</v>
      </c>
      <c r="AB45" s="207">
        <v>485876</v>
      </c>
      <c r="AC45" s="208">
        <v>601830</v>
      </c>
      <c r="AD45" s="208">
        <v>46235</v>
      </c>
      <c r="AE45" s="208">
        <v>90494</v>
      </c>
      <c r="AF45" s="208">
        <v>34864</v>
      </c>
      <c r="AG45" s="208">
        <v>17339</v>
      </c>
      <c r="AH45" s="208">
        <v>60513</v>
      </c>
      <c r="AI45" s="208">
        <v>253651</v>
      </c>
      <c r="AJ45" s="209">
        <v>2221670</v>
      </c>
      <c r="AL45" s="11">
        <v>45658</v>
      </c>
      <c r="AM45" s="5">
        <v>117157</v>
      </c>
      <c r="AN45" s="5">
        <v>485876</v>
      </c>
      <c r="AO45" s="5">
        <v>601830</v>
      </c>
      <c r="AP45" s="5">
        <v>46235</v>
      </c>
      <c r="AQ45" s="5">
        <v>90494</v>
      </c>
      <c r="AR45" s="5">
        <v>34864</v>
      </c>
      <c r="AS45" s="5">
        <v>17339</v>
      </c>
      <c r="AT45" s="5">
        <v>60513</v>
      </c>
      <c r="AU45" s="5">
        <v>253651</v>
      </c>
      <c r="AV45" s="5">
        <f t="shared" si="59"/>
        <v>1707959</v>
      </c>
      <c r="AW45" s="5"/>
      <c r="AX45" s="11">
        <v>45658</v>
      </c>
      <c r="AY45" s="5">
        <v>98012</v>
      </c>
      <c r="AZ45" s="5">
        <v>383810</v>
      </c>
      <c r="BA45" s="5">
        <v>480386</v>
      </c>
      <c r="BB45" s="5">
        <v>22003</v>
      </c>
      <c r="BC45" s="5">
        <v>62489</v>
      </c>
      <c r="BD45" s="5">
        <v>15018</v>
      </c>
      <c r="BE45" s="5">
        <v>8821</v>
      </c>
      <c r="BF45" s="5">
        <v>38552</v>
      </c>
      <c r="BG45" s="5">
        <v>210066</v>
      </c>
      <c r="BH45" s="5">
        <f>SUM(AY45:BG45)</f>
        <v>1319157</v>
      </c>
      <c r="BI45" s="8"/>
      <c r="BJ45" s="11">
        <v>45658</v>
      </c>
      <c r="BK45" s="5">
        <f t="shared" si="81"/>
        <v>2667199</v>
      </c>
      <c r="BL45" s="8"/>
      <c r="BM45" s="8">
        <v>1659038</v>
      </c>
      <c r="BN45" s="8"/>
      <c r="BO45" s="8">
        <v>1008161</v>
      </c>
      <c r="BP45" s="8">
        <v>53117</v>
      </c>
      <c r="BQ45" s="8">
        <v>288769</v>
      </c>
      <c r="BR45" s="8">
        <v>318683</v>
      </c>
      <c r="BS45" s="8">
        <v>66013</v>
      </c>
      <c r="BT45" s="8">
        <v>35816</v>
      </c>
      <c r="BU45" s="8">
        <v>36519</v>
      </c>
      <c r="BV45" s="8">
        <v>6883</v>
      </c>
      <c r="BW45" s="8">
        <v>46849</v>
      </c>
      <c r="BX45" s="8">
        <v>155512</v>
      </c>
      <c r="BY45" s="8">
        <v>8911</v>
      </c>
      <c r="BZ45" s="8"/>
      <c r="CA45" s="11">
        <v>45658</v>
      </c>
      <c r="CB45" s="5">
        <v>93487</v>
      </c>
      <c r="CC45" s="5">
        <v>3641</v>
      </c>
      <c r="CD45" s="5">
        <v>14571</v>
      </c>
      <c r="CE45" s="5">
        <v>16403</v>
      </c>
      <c r="CF45" s="5">
        <v>4879</v>
      </c>
      <c r="CG45" s="5">
        <v>1909</v>
      </c>
      <c r="CH45" s="5">
        <v>1336</v>
      </c>
      <c r="CI45" s="5">
        <v>271</v>
      </c>
      <c r="CJ45" s="5">
        <v>2034</v>
      </c>
      <c r="CK45" s="5">
        <v>7701</v>
      </c>
      <c r="CL45" s="12"/>
      <c r="CM45" s="11">
        <v>45658</v>
      </c>
      <c r="CN45" s="5">
        <f>CZ45+DL45</f>
        <v>128664</v>
      </c>
      <c r="CO45" s="5">
        <f t="shared" ref="CO45:CW60" si="92">DA45+DM45</f>
        <v>5629</v>
      </c>
      <c r="CP45" s="5">
        <f t="shared" si="92"/>
        <v>20597</v>
      </c>
      <c r="CQ45" s="5">
        <f t="shared" si="92"/>
        <v>24148</v>
      </c>
      <c r="CR45" s="5">
        <f t="shared" si="92"/>
        <v>6398</v>
      </c>
      <c r="CS45" s="5">
        <f t="shared" si="92"/>
        <v>3331</v>
      </c>
      <c r="CT45" s="5">
        <f t="shared" si="92"/>
        <v>2153</v>
      </c>
      <c r="CU45" s="5">
        <f t="shared" si="92"/>
        <v>555</v>
      </c>
      <c r="CV45" s="5">
        <f t="shared" si="92"/>
        <v>3642</v>
      </c>
      <c r="CW45" s="5">
        <f t="shared" si="92"/>
        <v>10826</v>
      </c>
      <c r="CX45" s="8"/>
      <c r="CY45" s="11">
        <v>45658</v>
      </c>
      <c r="CZ45" s="20">
        <v>64501</v>
      </c>
      <c r="DA45" s="5">
        <v>943</v>
      </c>
      <c r="DB45" s="5">
        <v>3180</v>
      </c>
      <c r="DC45" s="5">
        <v>4802</v>
      </c>
      <c r="DD45" s="5">
        <v>913</v>
      </c>
      <c r="DE45" s="5">
        <v>573</v>
      </c>
      <c r="DF45" s="5">
        <v>337</v>
      </c>
      <c r="DG45" s="5">
        <v>147</v>
      </c>
      <c r="DH45" s="5">
        <v>624</v>
      </c>
      <c r="DI45" s="5">
        <v>1597</v>
      </c>
      <c r="DJ45" s="8"/>
      <c r="DK45" s="11">
        <v>45658</v>
      </c>
      <c r="DL45" s="5">
        <f>SUM(DM45:DU45)</f>
        <v>64163</v>
      </c>
      <c r="DM45" s="5">
        <v>4686</v>
      </c>
      <c r="DN45" s="5">
        <v>17417</v>
      </c>
      <c r="DO45" s="5">
        <v>19346</v>
      </c>
      <c r="DP45" s="5">
        <v>5485</v>
      </c>
      <c r="DQ45" s="5">
        <v>2758</v>
      </c>
      <c r="DR45" s="5">
        <v>1816</v>
      </c>
      <c r="DS45" s="5">
        <v>408</v>
      </c>
      <c r="DT45" s="5">
        <v>3018</v>
      </c>
      <c r="DU45" s="5">
        <v>9229</v>
      </c>
      <c r="DV45" s="8"/>
      <c r="DW45" s="11">
        <v>45658</v>
      </c>
      <c r="DX45" s="5">
        <v>402930</v>
      </c>
      <c r="DY45" s="5">
        <v>27561</v>
      </c>
      <c r="DZ45" s="5">
        <v>94779</v>
      </c>
      <c r="EA45" s="5">
        <v>110821</v>
      </c>
      <c r="EB45" s="5">
        <v>20895</v>
      </c>
      <c r="EC45" s="5">
        <v>15920</v>
      </c>
      <c r="ED45" s="5">
        <v>12435</v>
      </c>
      <c r="EE45" s="5">
        <v>3482</v>
      </c>
      <c r="EF45" s="5">
        <v>17363</v>
      </c>
      <c r="EG45" s="5">
        <v>41914</v>
      </c>
      <c r="EH45" s="8"/>
      <c r="EI45" s="11">
        <v>45658</v>
      </c>
      <c r="EJ45" s="5">
        <v>252118</v>
      </c>
      <c r="EK45" s="5">
        <v>17997</v>
      </c>
      <c r="EL45" s="5">
        <v>62770</v>
      </c>
      <c r="EM45" s="5">
        <v>74327</v>
      </c>
      <c r="EN45" s="5">
        <v>11584</v>
      </c>
      <c r="EO45" s="5">
        <v>9611</v>
      </c>
      <c r="EP45" s="5">
        <v>6005</v>
      </c>
      <c r="EQ45" s="5">
        <v>1747</v>
      </c>
      <c r="ER45" s="5">
        <v>9660</v>
      </c>
      <c r="ES45" s="5">
        <v>28244</v>
      </c>
      <c r="ET45" s="8"/>
      <c r="EU45" s="11">
        <v>45658</v>
      </c>
      <c r="EV45" s="5">
        <v>789075</v>
      </c>
      <c r="EW45" s="5">
        <v>26306</v>
      </c>
      <c r="EX45" s="5">
        <v>154954</v>
      </c>
      <c r="EY45" s="5">
        <v>156492</v>
      </c>
      <c r="EZ45" s="5">
        <v>40756</v>
      </c>
      <c r="FA45" s="5">
        <v>14717</v>
      </c>
      <c r="FB45" s="5">
        <v>16879</v>
      </c>
      <c r="FC45" s="5">
        <v>3662</v>
      </c>
      <c r="FD45" s="5">
        <v>22216</v>
      </c>
      <c r="FE45" s="5">
        <v>61283</v>
      </c>
      <c r="FF45" s="13"/>
      <c r="FG45" s="11">
        <v>45658</v>
      </c>
      <c r="FH45" s="5">
        <v>493977</v>
      </c>
      <c r="FI45" s="5">
        <v>15710</v>
      </c>
      <c r="FJ45" s="5">
        <v>111874</v>
      </c>
      <c r="FK45" s="5">
        <v>106549</v>
      </c>
      <c r="FL45" s="5">
        <v>27977</v>
      </c>
      <c r="FM45" s="5">
        <v>8088</v>
      </c>
      <c r="FN45" s="5">
        <v>8457</v>
      </c>
      <c r="FO45" s="5">
        <v>1685</v>
      </c>
      <c r="FP45" s="5">
        <v>12256</v>
      </c>
      <c r="FQ45" s="5">
        <v>42222</v>
      </c>
      <c r="FR45" s="5"/>
      <c r="FS45" s="21">
        <v>45658</v>
      </c>
      <c r="FT45" s="20">
        <v>240</v>
      </c>
      <c r="FU45" s="20">
        <v>116</v>
      </c>
      <c r="FV45" s="20">
        <v>43</v>
      </c>
      <c r="FW45" s="20">
        <v>54</v>
      </c>
      <c r="FX45" s="20">
        <v>200</v>
      </c>
      <c r="FY45" s="20">
        <v>723</v>
      </c>
      <c r="FZ45" s="20">
        <v>236</v>
      </c>
      <c r="GA45" s="20">
        <v>656</v>
      </c>
      <c r="GB45" s="20">
        <v>163</v>
      </c>
      <c r="GC45" s="20">
        <v>2357</v>
      </c>
      <c r="GD45" s="549" t="s">
        <v>170</v>
      </c>
      <c r="GE45" s="11">
        <v>45658</v>
      </c>
      <c r="GF45" s="5">
        <v>408</v>
      </c>
      <c r="GG45" s="5">
        <v>171</v>
      </c>
      <c r="GH45" s="5">
        <v>25</v>
      </c>
      <c r="GI45" s="5">
        <v>63</v>
      </c>
      <c r="GJ45" s="5">
        <v>209</v>
      </c>
      <c r="GK45" s="5">
        <v>1677</v>
      </c>
      <c r="GL45" s="5">
        <v>209</v>
      </c>
      <c r="GM45" s="5">
        <v>1159</v>
      </c>
      <c r="GN45" s="5">
        <v>139</v>
      </c>
      <c r="GO45" s="5">
        <v>4060</v>
      </c>
      <c r="GQ45" s="21">
        <v>45658</v>
      </c>
      <c r="GR45" s="20">
        <v>1161</v>
      </c>
      <c r="GS45" s="20">
        <v>3122</v>
      </c>
      <c r="GT45" s="20">
        <v>22507</v>
      </c>
      <c r="GU45" s="20">
        <v>15593</v>
      </c>
      <c r="GV45" s="20">
        <v>13084</v>
      </c>
      <c r="GW45" s="20">
        <v>6237</v>
      </c>
      <c r="GX45" s="20">
        <v>40313</v>
      </c>
      <c r="GY45" s="20">
        <v>53154</v>
      </c>
      <c r="GZ45" s="20">
        <v>825</v>
      </c>
      <c r="HA45" s="20">
        <f>SUM(GR45:GZ45)</f>
        <v>155996</v>
      </c>
      <c r="HB45" s="550" t="s">
        <v>171</v>
      </c>
      <c r="HC45" s="11">
        <v>45658</v>
      </c>
      <c r="HD45" s="5">
        <f t="shared" si="82"/>
        <v>1787702</v>
      </c>
      <c r="HE45" s="5">
        <f t="shared" si="83"/>
        <v>58746</v>
      </c>
      <c r="HF45" s="5">
        <f t="shared" si="84"/>
        <v>309366</v>
      </c>
      <c r="HG45" s="5">
        <f t="shared" si="85"/>
        <v>342831</v>
      </c>
      <c r="HH45" s="5">
        <f t="shared" si="86"/>
        <v>72411</v>
      </c>
      <c r="HI45" s="5">
        <f t="shared" si="87"/>
        <v>39147</v>
      </c>
      <c r="HJ45" s="5">
        <f t="shared" si="88"/>
        <v>38672</v>
      </c>
      <c r="HK45" s="5">
        <f t="shared" si="89"/>
        <v>7438</v>
      </c>
      <c r="HL45" s="5">
        <f t="shared" si="90"/>
        <v>50491</v>
      </c>
      <c r="HM45" s="5">
        <f t="shared" si="91"/>
        <v>166338</v>
      </c>
      <c r="HO45" s="11">
        <v>45658</v>
      </c>
      <c r="HP45" s="5">
        <f t="shared" si="71"/>
        <v>558926</v>
      </c>
      <c r="HQ45" s="5">
        <f t="shared" si="72"/>
        <v>28386</v>
      </c>
      <c r="HR45" s="5">
        <f t="shared" si="73"/>
        <v>147933</v>
      </c>
      <c r="HS45" s="5">
        <f t="shared" si="74"/>
        <v>151134</v>
      </c>
      <c r="HT45" s="5">
        <f t="shared" si="75"/>
        <v>36488</v>
      </c>
      <c r="HU45" s="5">
        <f t="shared" si="76"/>
        <v>19042</v>
      </c>
      <c r="HV45" s="5">
        <f t="shared" si="77"/>
        <v>25519</v>
      </c>
      <c r="HW45" s="5">
        <f t="shared" si="78"/>
        <v>4643</v>
      </c>
      <c r="HX45" s="5">
        <f t="shared" si="79"/>
        <v>23600</v>
      </c>
      <c r="HY45" s="5">
        <f t="shared" si="80"/>
        <v>64421</v>
      </c>
    </row>
    <row r="46" spans="2:233" ht="15" customHeight="1">
      <c r="B46" s="11">
        <v>45689</v>
      </c>
      <c r="C46" s="8">
        <v>12</v>
      </c>
      <c r="D46" s="8">
        <v>180</v>
      </c>
      <c r="E46" s="8">
        <v>523</v>
      </c>
      <c r="F46" s="8">
        <v>331</v>
      </c>
      <c r="G46" s="8">
        <v>122</v>
      </c>
      <c r="H46" s="8">
        <v>224</v>
      </c>
      <c r="I46" s="8">
        <v>1952</v>
      </c>
      <c r="J46" s="8">
        <v>1476</v>
      </c>
      <c r="K46" s="8">
        <v>276</v>
      </c>
      <c r="L46" s="8">
        <f t="shared" si="57"/>
        <v>5096</v>
      </c>
      <c r="N46" s="11">
        <v>45689</v>
      </c>
      <c r="O46" s="8">
        <v>12</v>
      </c>
      <c r="P46" s="8">
        <v>180</v>
      </c>
      <c r="Q46" s="8">
        <v>523</v>
      </c>
      <c r="R46" s="8">
        <v>331</v>
      </c>
      <c r="S46" s="8">
        <v>122</v>
      </c>
      <c r="T46" s="8">
        <v>224</v>
      </c>
      <c r="U46" s="8">
        <v>1952</v>
      </c>
      <c r="V46" s="8">
        <v>1476</v>
      </c>
      <c r="W46" s="8">
        <v>276</v>
      </c>
      <c r="X46" s="8">
        <f t="shared" si="58"/>
        <v>5096</v>
      </c>
      <c r="Y46" s="8"/>
      <c r="Z46" s="11">
        <v>45689</v>
      </c>
      <c r="AA46" s="207">
        <v>106155</v>
      </c>
      <c r="AB46" s="207">
        <v>461339</v>
      </c>
      <c r="AC46" s="207">
        <v>554746</v>
      </c>
      <c r="AD46" s="207">
        <v>39585</v>
      </c>
      <c r="AE46" s="207">
        <v>89581</v>
      </c>
      <c r="AF46" s="207">
        <v>33628</v>
      </c>
      <c r="AG46" s="207">
        <v>17112</v>
      </c>
      <c r="AH46" s="207">
        <v>59200</v>
      </c>
      <c r="AI46" s="207">
        <v>254980</v>
      </c>
      <c r="AJ46" s="209">
        <v>2151985</v>
      </c>
      <c r="AL46" s="11">
        <v>45689</v>
      </c>
      <c r="AM46" s="19">
        <v>106115</v>
      </c>
      <c r="AN46" s="19">
        <v>461339</v>
      </c>
      <c r="AO46" s="19">
        <v>554746</v>
      </c>
      <c r="AP46" s="19">
        <v>39585</v>
      </c>
      <c r="AQ46" s="19">
        <v>89581</v>
      </c>
      <c r="AR46" s="19">
        <v>33628</v>
      </c>
      <c r="AS46" s="19">
        <v>17112</v>
      </c>
      <c r="AT46" s="19">
        <v>59200</v>
      </c>
      <c r="AU46" s="19">
        <v>254980</v>
      </c>
      <c r="AV46" s="19">
        <f t="shared" si="59"/>
        <v>1616286</v>
      </c>
      <c r="AW46" s="549" t="s">
        <v>172</v>
      </c>
      <c r="AX46" s="11">
        <v>45689</v>
      </c>
      <c r="AY46" s="5">
        <v>86114</v>
      </c>
      <c r="AZ46" s="5">
        <v>341545</v>
      </c>
      <c r="BA46" s="5">
        <v>384418</v>
      </c>
      <c r="BB46" s="5">
        <v>18179</v>
      </c>
      <c r="BC46" s="5">
        <v>58681</v>
      </c>
      <c r="BD46" s="5">
        <v>14033</v>
      </c>
      <c r="BE46" s="5">
        <v>8553</v>
      </c>
      <c r="BF46" s="5">
        <v>39062</v>
      </c>
      <c r="BG46" s="5">
        <v>201911</v>
      </c>
      <c r="BH46" s="5">
        <v>1152496</v>
      </c>
      <c r="BI46" s="8"/>
      <c r="BJ46" s="11">
        <v>45689</v>
      </c>
      <c r="BK46" s="5">
        <f t="shared" si="81"/>
        <v>2563676</v>
      </c>
      <c r="BL46" s="8"/>
      <c r="BM46" s="8">
        <v>1576643</v>
      </c>
      <c r="BN46" s="8"/>
      <c r="BO46" s="8">
        <v>987033</v>
      </c>
      <c r="BP46" s="8">
        <v>54981</v>
      </c>
      <c r="BQ46" s="8">
        <v>279382</v>
      </c>
      <c r="BR46" s="8">
        <v>325127</v>
      </c>
      <c r="BS46" s="8">
        <v>59288</v>
      </c>
      <c r="BT46" s="8">
        <v>36641</v>
      </c>
      <c r="BU46" s="8">
        <v>33384</v>
      </c>
      <c r="BV46" s="8">
        <v>5181</v>
      </c>
      <c r="BW46" s="8">
        <v>45668</v>
      </c>
      <c r="BX46" s="8">
        <v>147381</v>
      </c>
      <c r="BY46" s="8">
        <v>9168</v>
      </c>
      <c r="BZ46" s="8"/>
      <c r="CA46" s="11">
        <v>45689</v>
      </c>
      <c r="CB46" s="5">
        <v>94778</v>
      </c>
      <c r="CC46" s="5">
        <v>3398</v>
      </c>
      <c r="CD46" s="5">
        <v>14794</v>
      </c>
      <c r="CE46" s="5">
        <v>17266</v>
      </c>
      <c r="CF46" s="5">
        <v>3374</v>
      </c>
      <c r="CG46" s="5">
        <v>1812</v>
      </c>
      <c r="CH46" s="5">
        <v>1220</v>
      </c>
      <c r="CI46" s="5">
        <v>268</v>
      </c>
      <c r="CJ46" s="5">
        <v>2427</v>
      </c>
      <c r="CK46" s="5">
        <v>8707</v>
      </c>
      <c r="CL46" s="18"/>
      <c r="CM46" s="11">
        <v>45689</v>
      </c>
      <c r="CN46" s="5">
        <f t="shared" ref="CN46:CN59" si="93">CZ46+DL46</f>
        <v>126696</v>
      </c>
      <c r="CO46" s="5">
        <f t="shared" si="92"/>
        <v>5242</v>
      </c>
      <c r="CP46" s="5">
        <f t="shared" si="92"/>
        <v>20978</v>
      </c>
      <c r="CQ46" s="5">
        <f t="shared" si="92"/>
        <v>25358</v>
      </c>
      <c r="CR46" s="5">
        <f t="shared" si="92"/>
        <v>4732</v>
      </c>
      <c r="CS46" s="5">
        <f t="shared" si="92"/>
        <v>3216</v>
      </c>
      <c r="CT46" s="5">
        <f t="shared" si="92"/>
        <v>2053</v>
      </c>
      <c r="CU46" s="5">
        <f t="shared" si="92"/>
        <v>515</v>
      </c>
      <c r="CV46" s="5">
        <f t="shared" si="92"/>
        <v>4014</v>
      </c>
      <c r="CW46" s="5">
        <f t="shared" si="92"/>
        <v>12095</v>
      </c>
      <c r="CX46" s="8"/>
      <c r="CY46" s="11">
        <v>45689</v>
      </c>
      <c r="CZ46" s="20">
        <v>62062</v>
      </c>
      <c r="DA46" s="8">
        <v>912</v>
      </c>
      <c r="DB46" s="8">
        <v>3390</v>
      </c>
      <c r="DC46" s="8">
        <v>5231</v>
      </c>
      <c r="DD46" s="8">
        <v>728</v>
      </c>
      <c r="DE46" s="8">
        <v>576</v>
      </c>
      <c r="DF46" s="8">
        <v>327</v>
      </c>
      <c r="DG46" s="8">
        <v>118</v>
      </c>
      <c r="DH46" s="8">
        <v>633</v>
      </c>
      <c r="DI46" s="8">
        <v>1654</v>
      </c>
      <c r="DJ46" s="8"/>
      <c r="DK46" s="11">
        <v>45689</v>
      </c>
      <c r="DL46" s="5">
        <f>SUM(DM46:DU46)</f>
        <v>64634</v>
      </c>
      <c r="DM46" s="8">
        <v>4330</v>
      </c>
      <c r="DN46" s="8">
        <v>17588</v>
      </c>
      <c r="DO46" s="8">
        <v>20127</v>
      </c>
      <c r="DP46" s="8">
        <v>4004</v>
      </c>
      <c r="DQ46" s="8">
        <v>2640</v>
      </c>
      <c r="DR46" s="8">
        <v>1726</v>
      </c>
      <c r="DS46" s="8">
        <v>397</v>
      </c>
      <c r="DT46" s="8">
        <v>3381</v>
      </c>
      <c r="DU46" s="8">
        <v>10441</v>
      </c>
      <c r="DV46" s="8"/>
      <c r="DW46" s="11">
        <v>45689</v>
      </c>
      <c r="DX46" s="8">
        <v>399692</v>
      </c>
      <c r="DY46" s="8">
        <v>25875</v>
      </c>
      <c r="DZ46" s="8">
        <v>87629</v>
      </c>
      <c r="EA46" s="8">
        <v>112151</v>
      </c>
      <c r="EB46" s="8">
        <v>17674</v>
      </c>
      <c r="EC46" s="8">
        <v>15054</v>
      </c>
      <c r="ED46" s="8">
        <v>11431</v>
      </c>
      <c r="EE46" s="8">
        <v>3143</v>
      </c>
      <c r="EF46" s="8">
        <v>16765</v>
      </c>
      <c r="EG46" s="8">
        <v>38939</v>
      </c>
      <c r="EH46" s="8"/>
      <c r="EI46" s="11">
        <v>45689</v>
      </c>
      <c r="EJ46" s="8">
        <v>251939</v>
      </c>
      <c r="EK46" s="8">
        <v>16748</v>
      </c>
      <c r="EL46" s="8">
        <v>57584</v>
      </c>
      <c r="EM46" s="8">
        <v>76122</v>
      </c>
      <c r="EN46" s="8">
        <v>9802</v>
      </c>
      <c r="EO46" s="8">
        <v>8820</v>
      </c>
      <c r="EP46" s="8">
        <v>5470</v>
      </c>
      <c r="EQ46" s="8">
        <v>1583</v>
      </c>
      <c r="ER46" s="8">
        <v>9851</v>
      </c>
      <c r="ES46" s="8">
        <v>25600</v>
      </c>
      <c r="ET46" s="8"/>
      <c r="EU46" s="11">
        <v>45689</v>
      </c>
      <c r="EV46" s="5">
        <v>809987</v>
      </c>
      <c r="EW46" s="5">
        <v>35107</v>
      </c>
      <c r="EX46" s="5">
        <v>157496</v>
      </c>
      <c r="EY46" s="5">
        <v>155467</v>
      </c>
      <c r="EZ46" s="5">
        <v>32255</v>
      </c>
      <c r="FA46" s="5">
        <v>17703</v>
      </c>
      <c r="FB46" s="5">
        <v>15059</v>
      </c>
      <c r="FC46" s="5">
        <v>3657</v>
      </c>
      <c r="FD46" s="5">
        <v>23336</v>
      </c>
      <c r="FE46" s="5">
        <v>57393</v>
      </c>
      <c r="FF46" s="13"/>
      <c r="FG46" s="11">
        <v>45689</v>
      </c>
      <c r="FH46" s="5">
        <v>503557</v>
      </c>
      <c r="FI46" s="5">
        <v>21868</v>
      </c>
      <c r="FJ46" s="5">
        <v>114976</v>
      </c>
      <c r="FK46" s="5">
        <v>97207</v>
      </c>
      <c r="FL46" s="5">
        <v>21181</v>
      </c>
      <c r="FM46" s="5">
        <v>9616</v>
      </c>
      <c r="FN46" s="5">
        <v>7161</v>
      </c>
      <c r="FO46" s="5">
        <v>1691</v>
      </c>
      <c r="FP46" s="5">
        <v>13655</v>
      </c>
      <c r="FQ46" s="5">
        <v>38795</v>
      </c>
      <c r="FR46" s="5"/>
      <c r="FS46" s="21">
        <v>45689</v>
      </c>
      <c r="FT46" s="20">
        <v>214</v>
      </c>
      <c r="FU46" s="20">
        <v>90</v>
      </c>
      <c r="FV46" s="20">
        <v>55</v>
      </c>
      <c r="FW46" s="20">
        <v>36</v>
      </c>
      <c r="FX46" s="20">
        <v>208</v>
      </c>
      <c r="FY46" s="20">
        <v>638</v>
      </c>
      <c r="FZ46" s="20">
        <v>228</v>
      </c>
      <c r="GA46" s="20">
        <v>597</v>
      </c>
      <c r="GB46" s="20">
        <v>127</v>
      </c>
      <c r="GC46" s="20">
        <v>2109</v>
      </c>
      <c r="GD46" s="549"/>
      <c r="GE46" s="11">
        <v>45689</v>
      </c>
      <c r="GF46" s="5">
        <v>423</v>
      </c>
      <c r="GG46" s="5">
        <v>121</v>
      </c>
      <c r="GH46" s="5">
        <v>16</v>
      </c>
      <c r="GI46" s="5">
        <v>33</v>
      </c>
      <c r="GJ46" s="5">
        <v>216</v>
      </c>
      <c r="GK46" s="5">
        <v>1648</v>
      </c>
      <c r="GL46" s="5">
        <v>193</v>
      </c>
      <c r="GM46" s="5">
        <v>1191</v>
      </c>
      <c r="GN46" s="5">
        <v>192</v>
      </c>
      <c r="GO46" s="5">
        <v>4033</v>
      </c>
      <c r="GQ46" s="21">
        <v>45689</v>
      </c>
      <c r="GR46" s="20">
        <v>882</v>
      </c>
      <c r="GS46" s="20">
        <v>2844</v>
      </c>
      <c r="GT46" s="20">
        <v>22639</v>
      </c>
      <c r="GU46" s="20">
        <v>15116</v>
      </c>
      <c r="GV46" s="20">
        <v>12696</v>
      </c>
      <c r="GW46" s="20">
        <v>5996</v>
      </c>
      <c r="GX46" s="20">
        <v>43479</v>
      </c>
      <c r="GY46" s="20">
        <v>52429</v>
      </c>
      <c r="GZ46" s="20">
        <v>713</v>
      </c>
      <c r="HA46" s="20">
        <f t="shared" ref="HA46:HA59" si="94">SUM(GR46:GZ46)</f>
        <v>156794</v>
      </c>
      <c r="HB46" s="550"/>
      <c r="HC46" s="11">
        <v>45689</v>
      </c>
      <c r="HD46" s="5">
        <f t="shared" si="82"/>
        <v>1703339</v>
      </c>
      <c r="HE46" s="5">
        <f t="shared" si="83"/>
        <v>60223</v>
      </c>
      <c r="HF46" s="5">
        <f t="shared" si="84"/>
        <v>300360</v>
      </c>
      <c r="HG46" s="5">
        <f t="shared" si="85"/>
        <v>350485</v>
      </c>
      <c r="HH46" s="5">
        <f t="shared" si="86"/>
        <v>64020</v>
      </c>
      <c r="HI46" s="5">
        <f t="shared" si="87"/>
        <v>39857</v>
      </c>
      <c r="HJ46" s="5">
        <f t="shared" si="88"/>
        <v>35437</v>
      </c>
      <c r="HK46" s="5">
        <f t="shared" si="89"/>
        <v>5696</v>
      </c>
      <c r="HL46" s="5">
        <f t="shared" si="90"/>
        <v>49682</v>
      </c>
      <c r="HM46" s="5">
        <f t="shared" si="91"/>
        <v>159476</v>
      </c>
      <c r="HO46" s="11">
        <v>45689</v>
      </c>
      <c r="HP46" s="5">
        <f t="shared" si="71"/>
        <v>556486</v>
      </c>
      <c r="HQ46" s="5">
        <f t="shared" si="72"/>
        <v>26588</v>
      </c>
      <c r="HR46" s="5">
        <f t="shared" si="73"/>
        <v>140058</v>
      </c>
      <c r="HS46" s="5">
        <f t="shared" si="74"/>
        <v>155630</v>
      </c>
      <c r="HT46" s="5">
        <f t="shared" si="75"/>
        <v>32790</v>
      </c>
      <c r="HU46" s="5">
        <f t="shared" si="76"/>
        <v>17898</v>
      </c>
      <c r="HV46" s="5">
        <f t="shared" si="77"/>
        <v>24127</v>
      </c>
      <c r="HW46" s="5">
        <f t="shared" si="78"/>
        <v>4025</v>
      </c>
      <c r="HX46" s="5">
        <f t="shared" si="79"/>
        <v>22761</v>
      </c>
      <c r="HY46" s="5">
        <f t="shared" si="80"/>
        <v>61578</v>
      </c>
    </row>
    <row r="47" spans="2:233" ht="15" customHeight="1">
      <c r="B47" s="11">
        <v>45717</v>
      </c>
      <c r="C47" s="2">
        <v>19</v>
      </c>
      <c r="D47" s="2">
        <v>337</v>
      </c>
      <c r="E47" s="2">
        <v>801</v>
      </c>
      <c r="F47" s="2">
        <v>299</v>
      </c>
      <c r="G47" s="2">
        <v>99</v>
      </c>
      <c r="H47" s="2">
        <v>320</v>
      </c>
      <c r="I47" s="2">
        <v>2552</v>
      </c>
      <c r="J47" s="2">
        <v>2083</v>
      </c>
      <c r="K47" s="2">
        <v>327</v>
      </c>
      <c r="L47" s="8">
        <f t="shared" si="57"/>
        <v>6837</v>
      </c>
      <c r="N47" s="11">
        <v>45717</v>
      </c>
      <c r="O47" s="2">
        <v>19</v>
      </c>
      <c r="P47" s="2">
        <v>337</v>
      </c>
      <c r="Q47" s="2">
        <v>801</v>
      </c>
      <c r="R47" s="2">
        <v>299</v>
      </c>
      <c r="S47" s="2">
        <v>99</v>
      </c>
      <c r="T47" s="2">
        <v>320</v>
      </c>
      <c r="U47" s="2">
        <v>2552</v>
      </c>
      <c r="V47" s="2">
        <v>2083</v>
      </c>
      <c r="W47" s="2">
        <v>327</v>
      </c>
      <c r="X47" s="8">
        <f t="shared" si="58"/>
        <v>6837</v>
      </c>
      <c r="Y47" s="8"/>
      <c r="Z47" s="11">
        <v>45717</v>
      </c>
      <c r="AA47" s="207">
        <v>121688</v>
      </c>
      <c r="AB47" s="207">
        <v>594551</v>
      </c>
      <c r="AC47" s="207">
        <v>850888</v>
      </c>
      <c r="AD47" s="207">
        <v>44079</v>
      </c>
      <c r="AE47" s="207">
        <v>97915</v>
      </c>
      <c r="AF47" s="207">
        <v>35426</v>
      </c>
      <c r="AG47" s="207">
        <v>20623</v>
      </c>
      <c r="AH47" s="207">
        <v>73150</v>
      </c>
      <c r="AI47" s="207">
        <v>295670</v>
      </c>
      <c r="AJ47" s="209">
        <v>2872891</v>
      </c>
      <c r="AL47" s="11">
        <v>45717</v>
      </c>
      <c r="AM47" s="5">
        <v>121688</v>
      </c>
      <c r="AN47" s="5">
        <v>594551</v>
      </c>
      <c r="AO47" s="5">
        <v>850888</v>
      </c>
      <c r="AP47" s="5">
        <v>44079</v>
      </c>
      <c r="AQ47" s="5">
        <v>97915</v>
      </c>
      <c r="AR47" s="5">
        <v>35426</v>
      </c>
      <c r="AS47" s="5">
        <v>20623</v>
      </c>
      <c r="AT47" s="5">
        <v>73150</v>
      </c>
      <c r="AU47" s="5">
        <v>295670</v>
      </c>
      <c r="AV47" s="5">
        <v>2133990</v>
      </c>
      <c r="AW47" s="549"/>
      <c r="AX47" s="11">
        <v>45717</v>
      </c>
      <c r="AY47" s="5">
        <v>101746</v>
      </c>
      <c r="AZ47" s="5">
        <v>474956</v>
      </c>
      <c r="BA47" s="5">
        <v>715636</v>
      </c>
      <c r="BB47" s="5">
        <v>23723</v>
      </c>
      <c r="BC47" s="5">
        <v>70167</v>
      </c>
      <c r="BD47" s="5">
        <v>17330</v>
      </c>
      <c r="BE47" s="5">
        <v>11277</v>
      </c>
      <c r="BF47" s="5">
        <v>50658</v>
      </c>
      <c r="BG47" s="5">
        <v>236276</v>
      </c>
      <c r="BH47" s="5">
        <v>1701769</v>
      </c>
      <c r="BI47" s="8"/>
      <c r="BJ47" s="11">
        <v>45717</v>
      </c>
      <c r="BK47" s="5">
        <f t="shared" si="81"/>
        <v>2881731</v>
      </c>
      <c r="BL47" s="8"/>
      <c r="BM47" s="8">
        <v>1768416</v>
      </c>
      <c r="BN47" s="8"/>
      <c r="BO47" s="8">
        <v>1113315</v>
      </c>
      <c r="BP47" s="8">
        <v>62527</v>
      </c>
      <c r="BQ47" s="8">
        <v>307269</v>
      </c>
      <c r="BR47" s="8">
        <v>352274</v>
      </c>
      <c r="BS47" s="8">
        <v>70843</v>
      </c>
      <c r="BT47" s="8">
        <v>44737</v>
      </c>
      <c r="BU47" s="8">
        <v>36570</v>
      </c>
      <c r="BV47" s="8">
        <v>5374</v>
      </c>
      <c r="BW47" s="8">
        <v>51140</v>
      </c>
      <c r="BX47" s="8">
        <v>182581</v>
      </c>
      <c r="BY47" s="8">
        <v>6937</v>
      </c>
      <c r="BZ47" s="8"/>
      <c r="CA47" s="11">
        <v>45717</v>
      </c>
      <c r="CB47" s="5">
        <v>137832</v>
      </c>
      <c r="CC47" s="5">
        <v>4357</v>
      </c>
      <c r="CD47" s="5">
        <v>19391</v>
      </c>
      <c r="CE47" s="5">
        <v>25817</v>
      </c>
      <c r="CF47" s="5">
        <v>5398</v>
      </c>
      <c r="CG47" s="5">
        <v>2921</v>
      </c>
      <c r="CH47" s="5">
        <v>1562</v>
      </c>
      <c r="CI47" s="5">
        <v>578</v>
      </c>
      <c r="CJ47" s="5">
        <v>3766</v>
      </c>
      <c r="CK47" s="5">
        <v>18203</v>
      </c>
      <c r="CL47" s="18"/>
      <c r="CM47" s="11">
        <v>45717</v>
      </c>
      <c r="CN47" s="5">
        <f t="shared" si="93"/>
        <v>177219</v>
      </c>
      <c r="CO47" s="5">
        <f t="shared" si="92"/>
        <v>6668</v>
      </c>
      <c r="CP47" s="5">
        <f t="shared" si="92"/>
        <v>26457</v>
      </c>
      <c r="CQ47" s="5">
        <f t="shared" si="92"/>
        <v>37121</v>
      </c>
      <c r="CR47" s="5">
        <f t="shared" si="92"/>
        <v>7000</v>
      </c>
      <c r="CS47" s="5">
        <f t="shared" si="92"/>
        <v>5051</v>
      </c>
      <c r="CT47" s="5">
        <f t="shared" si="92"/>
        <v>2431</v>
      </c>
      <c r="CU47" s="5">
        <f t="shared" si="92"/>
        <v>899</v>
      </c>
      <c r="CV47" s="5">
        <f t="shared" si="92"/>
        <v>6015</v>
      </c>
      <c r="CW47" s="5">
        <f t="shared" si="92"/>
        <v>23651</v>
      </c>
      <c r="CX47" s="8"/>
      <c r="CY47" s="11">
        <v>45717</v>
      </c>
      <c r="CZ47" s="20">
        <v>80095</v>
      </c>
      <c r="DA47" s="8">
        <v>1079</v>
      </c>
      <c r="DB47" s="8">
        <v>4072</v>
      </c>
      <c r="DC47" s="8">
        <v>7087</v>
      </c>
      <c r="DD47" s="8">
        <v>860</v>
      </c>
      <c r="DE47" s="8">
        <v>1044</v>
      </c>
      <c r="DF47" s="8">
        <v>297</v>
      </c>
      <c r="DG47" s="8">
        <v>142</v>
      </c>
      <c r="DH47" s="8">
        <v>947</v>
      </c>
      <c r="DI47" s="8">
        <v>2641</v>
      </c>
      <c r="DJ47" s="8"/>
      <c r="DK47" s="11">
        <v>45717</v>
      </c>
      <c r="DL47" s="5">
        <f t="shared" ref="DL47:DL57" si="95">SUM(DM47:DU47)</f>
        <v>97124</v>
      </c>
      <c r="DM47" s="8">
        <v>5589</v>
      </c>
      <c r="DN47" s="8">
        <v>22385</v>
      </c>
      <c r="DO47" s="8">
        <v>30034</v>
      </c>
      <c r="DP47" s="8">
        <v>6140</v>
      </c>
      <c r="DQ47" s="8">
        <v>4007</v>
      </c>
      <c r="DR47" s="8">
        <v>2134</v>
      </c>
      <c r="DS47" s="8">
        <v>757</v>
      </c>
      <c r="DT47" s="8">
        <v>5068</v>
      </c>
      <c r="DU47" s="8">
        <v>21010</v>
      </c>
      <c r="DV47" s="8"/>
      <c r="DW47" s="11">
        <v>45717</v>
      </c>
      <c r="DX47" s="8">
        <v>560782</v>
      </c>
      <c r="DY47" s="8">
        <v>30164</v>
      </c>
      <c r="DZ47" s="8">
        <v>117868</v>
      </c>
      <c r="EA47" s="8">
        <v>172061</v>
      </c>
      <c r="EB47" s="8">
        <v>21426</v>
      </c>
      <c r="EC47" s="8">
        <v>20571</v>
      </c>
      <c r="ED47" s="8">
        <v>12497</v>
      </c>
      <c r="EE47" s="8">
        <v>3609</v>
      </c>
      <c r="EF47" s="8">
        <v>23353</v>
      </c>
      <c r="EG47" s="8">
        <v>61359</v>
      </c>
      <c r="EH47" s="8"/>
      <c r="EI47" s="11">
        <v>45717</v>
      </c>
      <c r="EJ47" s="8">
        <v>388128</v>
      </c>
      <c r="EK47" s="8">
        <v>20735</v>
      </c>
      <c r="EL47" s="8">
        <v>85994</v>
      </c>
      <c r="EM47" s="8">
        <v>125296</v>
      </c>
      <c r="EN47" s="8">
        <v>13345</v>
      </c>
      <c r="EO47" s="8">
        <v>13153</v>
      </c>
      <c r="EP47" s="8">
        <v>6663</v>
      </c>
      <c r="EQ47" s="8">
        <v>1925</v>
      </c>
      <c r="ER47" s="8">
        <v>14378</v>
      </c>
      <c r="ES47" s="8">
        <v>45082</v>
      </c>
      <c r="ET47" s="8"/>
      <c r="EU47" s="11">
        <v>45717</v>
      </c>
      <c r="EV47" s="5">
        <v>1032474</v>
      </c>
      <c r="EW47" s="5">
        <v>40093</v>
      </c>
      <c r="EX47" s="5">
        <v>160433</v>
      </c>
      <c r="EY47" s="5">
        <v>225028</v>
      </c>
      <c r="EZ47" s="5">
        <v>42592</v>
      </c>
      <c r="FA47" s="5">
        <v>23019</v>
      </c>
      <c r="FB47" s="5">
        <v>16566</v>
      </c>
      <c r="FC47" s="5">
        <v>4207</v>
      </c>
      <c r="FD47" s="5">
        <v>30454</v>
      </c>
      <c r="FE47" s="5">
        <v>76581</v>
      </c>
      <c r="FF47" s="549" t="s">
        <v>173</v>
      </c>
      <c r="FG47" s="11">
        <v>45717</v>
      </c>
      <c r="FH47" s="5">
        <v>699619</v>
      </c>
      <c r="FI47" s="5">
        <v>25995</v>
      </c>
      <c r="FJ47" s="5">
        <v>115674</v>
      </c>
      <c r="FK47" s="5">
        <v>157749</v>
      </c>
      <c r="FL47" s="5">
        <v>30873</v>
      </c>
      <c r="FM47" s="5">
        <v>13450</v>
      </c>
      <c r="FN47" s="5">
        <v>8468</v>
      </c>
      <c r="FO47" s="5">
        <v>2074</v>
      </c>
      <c r="FP47" s="5">
        <v>18566</v>
      </c>
      <c r="FQ47" s="5">
        <v>53276</v>
      </c>
      <c r="FR47" s="549" t="s">
        <v>173</v>
      </c>
      <c r="FS47" s="21">
        <v>45717</v>
      </c>
      <c r="FT47" s="20">
        <v>417</v>
      </c>
      <c r="FU47" s="20">
        <v>111</v>
      </c>
      <c r="FV47" s="20">
        <v>73</v>
      </c>
      <c r="FW47" s="20">
        <v>51</v>
      </c>
      <c r="FX47" s="20">
        <v>333</v>
      </c>
      <c r="FY47" s="20">
        <v>1263</v>
      </c>
      <c r="FZ47" s="20">
        <v>403</v>
      </c>
      <c r="GA47" s="20">
        <v>877</v>
      </c>
      <c r="GB47" s="20">
        <v>218</v>
      </c>
      <c r="GC47" s="20">
        <v>3632</v>
      </c>
      <c r="GD47" s="549"/>
      <c r="GE47" s="11">
        <v>45717</v>
      </c>
      <c r="GF47" s="5">
        <v>592</v>
      </c>
      <c r="GG47" s="5">
        <v>206</v>
      </c>
      <c r="GH47" s="5">
        <v>10</v>
      </c>
      <c r="GI47" s="5">
        <v>59</v>
      </c>
      <c r="GJ47" s="5">
        <v>339</v>
      </c>
      <c r="GK47" s="5">
        <v>2063</v>
      </c>
      <c r="GL47" s="5">
        <v>345</v>
      </c>
      <c r="GM47" s="5">
        <v>1783</v>
      </c>
      <c r="GN47" s="5">
        <v>207</v>
      </c>
      <c r="GO47" s="5">
        <v>5604</v>
      </c>
      <c r="GQ47" s="21">
        <v>45717</v>
      </c>
      <c r="GR47" s="20">
        <v>901</v>
      </c>
      <c r="GS47" s="20">
        <v>3549</v>
      </c>
      <c r="GT47" s="20">
        <v>27188</v>
      </c>
      <c r="GU47" s="20">
        <v>17685</v>
      </c>
      <c r="GV47" s="20">
        <v>14496</v>
      </c>
      <c r="GW47" s="20">
        <v>6422</v>
      </c>
      <c r="GX47" s="20">
        <v>47981</v>
      </c>
      <c r="GY47" s="20">
        <v>56675</v>
      </c>
      <c r="GZ47" s="20">
        <v>713</v>
      </c>
      <c r="HA47" s="20">
        <f t="shared" si="94"/>
        <v>175610</v>
      </c>
      <c r="HB47" s="550"/>
      <c r="HC47" s="11">
        <v>45717</v>
      </c>
      <c r="HD47" s="5">
        <f t="shared" si="82"/>
        <v>1945635</v>
      </c>
      <c r="HE47" s="5">
        <f t="shared" si="83"/>
        <v>69195</v>
      </c>
      <c r="HF47" s="5">
        <f t="shared" si="84"/>
        <v>333726</v>
      </c>
      <c r="HG47" s="5">
        <f t="shared" si="85"/>
        <v>389395</v>
      </c>
      <c r="HH47" s="5">
        <f t="shared" si="86"/>
        <v>77843</v>
      </c>
      <c r="HI47" s="5">
        <f t="shared" si="87"/>
        <v>49788</v>
      </c>
      <c r="HJ47" s="5">
        <f t="shared" si="88"/>
        <v>39001</v>
      </c>
      <c r="HK47" s="5">
        <f t="shared" si="89"/>
        <v>6273</v>
      </c>
      <c r="HL47" s="5">
        <f t="shared" si="90"/>
        <v>57155</v>
      </c>
      <c r="HM47" s="5">
        <f t="shared" si="91"/>
        <v>206232</v>
      </c>
      <c r="HO47" s="11">
        <v>45717</v>
      </c>
      <c r="HP47" s="5">
        <f t="shared" si="71"/>
        <v>736392</v>
      </c>
      <c r="HQ47" s="5">
        <f t="shared" si="72"/>
        <v>30877</v>
      </c>
      <c r="HR47" s="5">
        <f t="shared" si="73"/>
        <v>174543</v>
      </c>
      <c r="HS47" s="5">
        <f t="shared" si="74"/>
        <v>220042</v>
      </c>
      <c r="HT47" s="5">
        <f t="shared" si="75"/>
        <v>39111</v>
      </c>
      <c r="HU47" s="5">
        <f t="shared" si="76"/>
        <v>24120</v>
      </c>
      <c r="HV47" s="5">
        <f t="shared" si="77"/>
        <v>26993</v>
      </c>
      <c r="HW47" s="5">
        <f t="shared" si="78"/>
        <v>4510</v>
      </c>
      <c r="HX47" s="5">
        <f t="shared" si="79"/>
        <v>29775</v>
      </c>
      <c r="HY47" s="5">
        <f t="shared" si="80"/>
        <v>88547</v>
      </c>
    </row>
    <row r="48" spans="2:233">
      <c r="B48" s="11">
        <v>45748</v>
      </c>
      <c r="C48" s="2">
        <v>0</v>
      </c>
      <c r="D48" s="2">
        <v>130</v>
      </c>
      <c r="E48" s="2">
        <v>679</v>
      </c>
      <c r="F48" s="2">
        <v>317</v>
      </c>
      <c r="G48" s="2">
        <v>116</v>
      </c>
      <c r="H48" s="2">
        <v>192</v>
      </c>
      <c r="I48" s="2">
        <v>2205</v>
      </c>
      <c r="J48" s="2">
        <v>1775</v>
      </c>
      <c r="K48" s="2">
        <v>322</v>
      </c>
      <c r="L48" s="8">
        <f t="shared" si="57"/>
        <v>5736</v>
      </c>
      <c r="N48" s="11">
        <v>45748</v>
      </c>
      <c r="O48" s="2">
        <v>0</v>
      </c>
      <c r="P48" s="2">
        <v>130</v>
      </c>
      <c r="Q48" s="2">
        <v>679</v>
      </c>
      <c r="R48" s="2">
        <v>317</v>
      </c>
      <c r="S48" s="2">
        <v>116</v>
      </c>
      <c r="T48" s="2">
        <v>192</v>
      </c>
      <c r="U48" s="2">
        <v>2205</v>
      </c>
      <c r="V48" s="2">
        <v>1775</v>
      </c>
      <c r="W48" s="2">
        <v>322</v>
      </c>
      <c r="X48" s="8">
        <f t="shared" si="58"/>
        <v>5736</v>
      </c>
      <c r="Y48" s="8"/>
      <c r="Z48" s="11">
        <v>45748</v>
      </c>
      <c r="AA48" s="207">
        <v>116523</v>
      </c>
      <c r="AB48" s="207">
        <v>702314</v>
      </c>
      <c r="AC48" s="210">
        <v>606916</v>
      </c>
      <c r="AD48" s="210">
        <v>44158</v>
      </c>
      <c r="AE48" s="210">
        <v>90559</v>
      </c>
      <c r="AF48" s="210">
        <v>40197</v>
      </c>
      <c r="AG48" s="210">
        <v>19912</v>
      </c>
      <c r="AH48" s="210">
        <v>57053</v>
      </c>
      <c r="AI48" s="210">
        <v>255358</v>
      </c>
      <c r="AJ48" s="210">
        <v>2965512</v>
      </c>
      <c r="AL48" s="11">
        <v>45748</v>
      </c>
      <c r="AM48" s="8">
        <v>116517</v>
      </c>
      <c r="AN48" s="8">
        <v>702314</v>
      </c>
      <c r="AO48" s="8">
        <v>606916</v>
      </c>
      <c r="AP48" s="8">
        <v>44158</v>
      </c>
      <c r="AQ48" s="8">
        <v>90559</v>
      </c>
      <c r="AR48" s="8">
        <v>40197</v>
      </c>
      <c r="AS48" s="8">
        <v>19912</v>
      </c>
      <c r="AT48" s="8">
        <v>57053</v>
      </c>
      <c r="AU48" s="8">
        <v>255358</v>
      </c>
      <c r="AV48" s="8">
        <v>1932984</v>
      </c>
      <c r="AW48" s="549"/>
      <c r="AX48" s="11">
        <v>45748</v>
      </c>
      <c r="AY48" s="5">
        <v>93707</v>
      </c>
      <c r="AZ48" s="5">
        <v>577415</v>
      </c>
      <c r="BA48" s="5">
        <v>485778</v>
      </c>
      <c r="BB48" s="5">
        <v>21252</v>
      </c>
      <c r="BC48" s="5">
        <v>69533</v>
      </c>
      <c r="BD48" s="5">
        <v>19262</v>
      </c>
      <c r="BE48" s="5">
        <v>10268</v>
      </c>
      <c r="BF48" s="5">
        <v>37818</v>
      </c>
      <c r="BG48" s="5">
        <v>166095</v>
      </c>
      <c r="BH48" s="5">
        <v>1481128</v>
      </c>
      <c r="BI48" s="8"/>
      <c r="BJ48" s="11">
        <v>45748</v>
      </c>
      <c r="BK48" s="5">
        <f t="shared" si="81"/>
        <v>2750499</v>
      </c>
      <c r="BL48" s="8"/>
      <c r="BM48" s="8">
        <v>1679030</v>
      </c>
      <c r="BN48" s="8"/>
      <c r="BO48" s="8">
        <v>1071469</v>
      </c>
      <c r="BP48" s="8">
        <v>62269</v>
      </c>
      <c r="BQ48" s="8">
        <v>303568</v>
      </c>
      <c r="BR48" s="8">
        <v>347587</v>
      </c>
      <c r="BS48" s="8">
        <v>71931</v>
      </c>
      <c r="BT48" s="8">
        <v>30864</v>
      </c>
      <c r="BU48" s="8">
        <v>35372</v>
      </c>
      <c r="BV48" s="8">
        <v>4069</v>
      </c>
      <c r="BW48" s="8">
        <v>41954</v>
      </c>
      <c r="BX48" s="8">
        <v>173855</v>
      </c>
      <c r="BY48" s="8">
        <v>234</v>
      </c>
      <c r="BZ48" s="8"/>
      <c r="CA48" s="11">
        <v>45748</v>
      </c>
      <c r="CB48" s="5">
        <v>114316</v>
      </c>
      <c r="CC48" s="5">
        <v>3900</v>
      </c>
      <c r="CD48" s="5">
        <v>14380</v>
      </c>
      <c r="CE48" s="5">
        <v>18845</v>
      </c>
      <c r="CF48" s="5">
        <v>3785</v>
      </c>
      <c r="CG48" s="5">
        <v>1818</v>
      </c>
      <c r="CH48" s="5">
        <v>1992</v>
      </c>
      <c r="CI48" s="5">
        <v>923</v>
      </c>
      <c r="CJ48" s="5">
        <v>2575</v>
      </c>
      <c r="CK48" s="5">
        <v>16585</v>
      </c>
      <c r="CM48" s="11">
        <v>45748</v>
      </c>
      <c r="CN48" s="5">
        <f t="shared" si="93"/>
        <v>151750</v>
      </c>
      <c r="CO48" s="5">
        <f t="shared" si="92"/>
        <v>6128</v>
      </c>
      <c r="CP48" s="5">
        <f t="shared" si="92"/>
        <v>21258</v>
      </c>
      <c r="CQ48" s="5">
        <f t="shared" si="92"/>
        <v>30004</v>
      </c>
      <c r="CR48" s="5">
        <f t="shared" si="92"/>
        <v>5741</v>
      </c>
      <c r="CS48" s="5">
        <f t="shared" si="92"/>
        <v>3026</v>
      </c>
      <c r="CT48" s="5">
        <f t="shared" si="92"/>
        <v>3069</v>
      </c>
      <c r="CU48" s="5">
        <f t="shared" si="92"/>
        <v>1328</v>
      </c>
      <c r="CV48" s="5">
        <f t="shared" si="92"/>
        <v>4545</v>
      </c>
      <c r="CW48" s="5">
        <f t="shared" si="92"/>
        <v>22875</v>
      </c>
      <c r="CX48" s="8"/>
      <c r="CY48" s="11">
        <v>45748</v>
      </c>
      <c r="CZ48" s="20">
        <v>67847</v>
      </c>
      <c r="DA48" s="8">
        <v>962</v>
      </c>
      <c r="DB48" s="8">
        <v>2956</v>
      </c>
      <c r="DC48" s="8">
        <v>5473</v>
      </c>
      <c r="DD48" s="8">
        <v>732</v>
      </c>
      <c r="DE48" s="8">
        <v>491</v>
      </c>
      <c r="DF48" s="8">
        <v>343</v>
      </c>
      <c r="DG48" s="8">
        <v>140</v>
      </c>
      <c r="DH48" s="8">
        <v>733</v>
      </c>
      <c r="DI48" s="8">
        <v>2241</v>
      </c>
      <c r="DJ48" s="8"/>
      <c r="DK48" s="11">
        <v>45748</v>
      </c>
      <c r="DL48" s="5">
        <f t="shared" si="95"/>
        <v>83903</v>
      </c>
      <c r="DM48" s="8">
        <v>5166</v>
      </c>
      <c r="DN48" s="8">
        <v>18302</v>
      </c>
      <c r="DO48" s="8">
        <v>24531</v>
      </c>
      <c r="DP48" s="8">
        <v>5009</v>
      </c>
      <c r="DQ48" s="8">
        <v>2535</v>
      </c>
      <c r="DR48" s="8">
        <v>2726</v>
      </c>
      <c r="DS48" s="8">
        <v>1188</v>
      </c>
      <c r="DT48" s="8">
        <v>3812</v>
      </c>
      <c r="DU48" s="8">
        <v>20634</v>
      </c>
      <c r="DV48" s="8"/>
      <c r="DW48" s="11">
        <v>45748</v>
      </c>
      <c r="DX48" s="8">
        <v>485874</v>
      </c>
      <c r="DY48" s="8">
        <v>31451</v>
      </c>
      <c r="DZ48" s="8">
        <v>122207</v>
      </c>
      <c r="EA48" s="8">
        <v>122316</v>
      </c>
      <c r="EB48" s="8">
        <v>21906</v>
      </c>
      <c r="EC48" s="8">
        <v>14313</v>
      </c>
      <c r="ED48" s="8">
        <v>15905</v>
      </c>
      <c r="EE48" s="8">
        <v>3485</v>
      </c>
      <c r="EF48" s="8">
        <v>17167</v>
      </c>
      <c r="EG48" s="8">
        <v>54648</v>
      </c>
      <c r="EH48" s="8"/>
      <c r="EI48" s="11">
        <v>45748</v>
      </c>
      <c r="EJ48" s="8">
        <v>309111</v>
      </c>
      <c r="EK48" s="8">
        <v>20696</v>
      </c>
      <c r="EL48" s="8">
        <v>87724</v>
      </c>
      <c r="EM48" s="8">
        <v>78705</v>
      </c>
      <c r="EN48" s="8">
        <v>11903</v>
      </c>
      <c r="EO48" s="8">
        <v>9043</v>
      </c>
      <c r="EP48" s="8">
        <v>8137</v>
      </c>
      <c r="EQ48" s="8">
        <v>1754</v>
      </c>
      <c r="ER48" s="8">
        <v>9928</v>
      </c>
      <c r="ES48" s="8">
        <v>35738</v>
      </c>
      <c r="ET48" s="8"/>
      <c r="EU48" s="11">
        <v>45748</v>
      </c>
      <c r="EV48" s="5">
        <v>1038151</v>
      </c>
      <c r="EW48" s="5">
        <v>41855</v>
      </c>
      <c r="EX48" s="5">
        <v>173673</v>
      </c>
      <c r="EY48" s="5">
        <v>265936</v>
      </c>
      <c r="EZ48" s="5">
        <v>34196</v>
      </c>
      <c r="FA48" s="5">
        <v>20047</v>
      </c>
      <c r="FB48" s="5">
        <v>21872</v>
      </c>
      <c r="FC48" s="5">
        <v>4300</v>
      </c>
      <c r="FD48" s="5">
        <v>23847</v>
      </c>
      <c r="FE48" s="5">
        <v>79919</v>
      </c>
      <c r="FF48" s="549"/>
      <c r="FG48" s="11">
        <v>45748</v>
      </c>
      <c r="FH48" s="5">
        <v>684596</v>
      </c>
      <c r="FI48" s="5">
        <v>25927</v>
      </c>
      <c r="FJ48" s="5">
        <v>122097</v>
      </c>
      <c r="FK48" s="5">
        <v>197663</v>
      </c>
      <c r="FL48" s="5">
        <v>19912</v>
      </c>
      <c r="FM48" s="5">
        <v>13141</v>
      </c>
      <c r="FN48" s="5">
        <v>11087</v>
      </c>
      <c r="FO48" s="5">
        <v>2062</v>
      </c>
      <c r="FP48" s="5">
        <v>14068</v>
      </c>
      <c r="FQ48" s="5">
        <v>52186</v>
      </c>
      <c r="FR48" s="549"/>
      <c r="FS48" s="21">
        <v>45748</v>
      </c>
      <c r="FT48" s="20">
        <v>313</v>
      </c>
      <c r="FU48" s="20">
        <v>100</v>
      </c>
      <c r="FV48" s="20">
        <v>71</v>
      </c>
      <c r="FW48" s="20">
        <v>47</v>
      </c>
      <c r="FX48" s="20">
        <v>190</v>
      </c>
      <c r="FY48" s="20">
        <v>930</v>
      </c>
      <c r="FZ48" s="20">
        <v>176</v>
      </c>
      <c r="GA48" s="20">
        <v>749</v>
      </c>
      <c r="GB48" s="20">
        <v>206</v>
      </c>
      <c r="GC48" s="20">
        <v>2649</v>
      </c>
      <c r="GD48" s="549"/>
      <c r="GE48" s="11">
        <v>45748</v>
      </c>
      <c r="GF48" s="5">
        <v>593</v>
      </c>
      <c r="GG48" s="5">
        <v>200</v>
      </c>
      <c r="GH48" s="5">
        <v>13</v>
      </c>
      <c r="GI48" s="5">
        <v>61</v>
      </c>
      <c r="GJ48" s="5">
        <v>191</v>
      </c>
      <c r="GK48" s="5">
        <v>1534</v>
      </c>
      <c r="GL48" s="5">
        <v>109</v>
      </c>
      <c r="GM48" s="5">
        <v>1446</v>
      </c>
      <c r="GN48" s="5">
        <v>215</v>
      </c>
      <c r="GO48" s="5">
        <v>4362</v>
      </c>
      <c r="GQ48" s="21">
        <v>45748</v>
      </c>
      <c r="GR48" s="20">
        <v>850</v>
      </c>
      <c r="GS48" s="20">
        <v>2664</v>
      </c>
      <c r="GT48" s="20">
        <v>24517</v>
      </c>
      <c r="GU48" s="20">
        <v>15595</v>
      </c>
      <c r="GV48" s="20">
        <v>14759</v>
      </c>
      <c r="GW48" s="20">
        <v>5522</v>
      </c>
      <c r="GX48" s="20">
        <v>41521</v>
      </c>
      <c r="GY48" s="20">
        <v>48750</v>
      </c>
      <c r="GZ48" s="20">
        <v>559</v>
      </c>
      <c r="HA48" s="20">
        <f t="shared" si="94"/>
        <v>154737</v>
      </c>
      <c r="HB48" s="550"/>
      <c r="HC48" s="11">
        <v>45748</v>
      </c>
      <c r="HD48" s="5">
        <f t="shared" si="82"/>
        <v>1830780</v>
      </c>
      <c r="HE48" s="5">
        <f t="shared" si="83"/>
        <v>68397</v>
      </c>
      <c r="HF48" s="5">
        <f t="shared" si="84"/>
        <v>324826</v>
      </c>
      <c r="HG48" s="5">
        <f t="shared" si="85"/>
        <v>377591</v>
      </c>
      <c r="HH48" s="5">
        <f t="shared" si="86"/>
        <v>77672</v>
      </c>
      <c r="HI48" s="5">
        <f t="shared" si="87"/>
        <v>33890</v>
      </c>
      <c r="HJ48" s="5">
        <f t="shared" si="88"/>
        <v>38441</v>
      </c>
      <c r="HK48" s="5">
        <f t="shared" si="89"/>
        <v>5397</v>
      </c>
      <c r="HL48" s="5">
        <f t="shared" si="90"/>
        <v>46499</v>
      </c>
      <c r="HM48" s="5">
        <f t="shared" si="91"/>
        <v>196730</v>
      </c>
      <c r="HO48" s="11">
        <v>45748</v>
      </c>
      <c r="HP48" s="5">
        <f>DX48+HA48</f>
        <v>640611</v>
      </c>
      <c r="HQ48" s="5">
        <f t="shared" si="72"/>
        <v>32010</v>
      </c>
      <c r="HR48" s="5">
        <f t="shared" si="73"/>
        <v>170957</v>
      </c>
      <c r="HS48" s="5">
        <f t="shared" si="74"/>
        <v>163837</v>
      </c>
      <c r="HT48" s="5">
        <f t="shared" si="75"/>
        <v>37501</v>
      </c>
      <c r="HU48" s="5">
        <f t="shared" si="76"/>
        <v>16977</v>
      </c>
      <c r="HV48" s="5">
        <f t="shared" si="77"/>
        <v>30664</v>
      </c>
      <c r="HW48" s="5">
        <f t="shared" si="78"/>
        <v>4335</v>
      </c>
      <c r="HX48" s="5">
        <f t="shared" si="79"/>
        <v>22689</v>
      </c>
      <c r="HY48" s="5">
        <f t="shared" si="80"/>
        <v>79165</v>
      </c>
    </row>
    <row r="49" spans="2:233" ht="16" customHeight="1">
      <c r="B49" s="11">
        <v>45778</v>
      </c>
      <c r="C49" s="2">
        <v>14</v>
      </c>
      <c r="D49" s="2">
        <v>161</v>
      </c>
      <c r="E49" s="2">
        <v>747</v>
      </c>
      <c r="F49" s="2">
        <v>279</v>
      </c>
      <c r="G49" s="2">
        <v>119</v>
      </c>
      <c r="H49" s="2">
        <v>148</v>
      </c>
      <c r="I49" s="2">
        <v>2716</v>
      </c>
      <c r="J49" s="2">
        <v>1823</v>
      </c>
      <c r="K49" s="2">
        <v>316</v>
      </c>
      <c r="L49" s="8">
        <f t="shared" si="57"/>
        <v>6323</v>
      </c>
      <c r="N49" s="11">
        <v>45778</v>
      </c>
      <c r="O49" s="2">
        <v>14</v>
      </c>
      <c r="P49" s="2">
        <v>161</v>
      </c>
      <c r="Q49" s="2">
        <v>747</v>
      </c>
      <c r="R49" s="2">
        <v>279</v>
      </c>
      <c r="S49" s="2">
        <v>119</v>
      </c>
      <c r="T49" s="2">
        <v>148</v>
      </c>
      <c r="U49" s="2">
        <v>2716</v>
      </c>
      <c r="V49" s="2">
        <v>1823</v>
      </c>
      <c r="W49" s="2">
        <v>316</v>
      </c>
      <c r="X49" s="8">
        <f t="shared" si="58"/>
        <v>6323</v>
      </c>
      <c r="Y49" s="8"/>
      <c r="Z49" s="11">
        <v>45778</v>
      </c>
      <c r="AA49" s="207">
        <v>169155</v>
      </c>
      <c r="AB49" s="207">
        <v>824324</v>
      </c>
      <c r="AC49" s="210">
        <v>1135306</v>
      </c>
      <c r="AD49" s="210">
        <v>41127</v>
      </c>
      <c r="AE49" s="210">
        <v>174173</v>
      </c>
      <c r="AF49" s="210">
        <v>44993</v>
      </c>
      <c r="AG49" s="210">
        <v>18569</v>
      </c>
      <c r="AH49" s="210">
        <v>48011</v>
      </c>
      <c r="AI49" s="210">
        <v>395369</v>
      </c>
      <c r="AJ49" s="210">
        <v>3578763</v>
      </c>
      <c r="AL49" s="11">
        <v>45778</v>
      </c>
      <c r="AM49" s="20">
        <v>128587</v>
      </c>
      <c r="AN49" s="20">
        <v>677294</v>
      </c>
      <c r="AO49" s="20">
        <v>941151</v>
      </c>
      <c r="AP49" s="20">
        <v>41096</v>
      </c>
      <c r="AQ49" s="20">
        <v>134877</v>
      </c>
      <c r="AR49" s="20">
        <v>44984</v>
      </c>
      <c r="AS49" s="20">
        <v>18542</v>
      </c>
      <c r="AT49" s="20">
        <v>47979</v>
      </c>
      <c r="AU49" s="20">
        <v>329452</v>
      </c>
      <c r="AV49" s="20">
        <v>2363962</v>
      </c>
      <c r="AW49" s="549"/>
      <c r="AX49" s="11">
        <v>45778</v>
      </c>
      <c r="AY49" s="20">
        <v>110526</v>
      </c>
      <c r="AZ49" s="20">
        <v>575594</v>
      </c>
      <c r="BA49" s="20">
        <v>765590</v>
      </c>
      <c r="BB49" s="20">
        <v>19131</v>
      </c>
      <c r="BC49" s="20">
        <v>110949</v>
      </c>
      <c r="BD49" s="20">
        <v>25496</v>
      </c>
      <c r="BE49" s="20">
        <v>9889</v>
      </c>
      <c r="BF49" s="20">
        <v>29753</v>
      </c>
      <c r="BG49" s="20">
        <v>238667</v>
      </c>
      <c r="BH49" s="20">
        <v>1885595</v>
      </c>
      <c r="BI49" s="8"/>
      <c r="BJ49" s="11">
        <v>45778</v>
      </c>
      <c r="BK49" s="5">
        <f t="shared" si="81"/>
        <v>2680239</v>
      </c>
      <c r="BL49" s="8"/>
      <c r="BM49" s="8">
        <v>1631665</v>
      </c>
      <c r="BN49" s="8"/>
      <c r="BO49" s="8">
        <v>1048574</v>
      </c>
      <c r="BP49" s="8">
        <v>61439</v>
      </c>
      <c r="BQ49" s="8">
        <v>288270</v>
      </c>
      <c r="BR49" s="8">
        <v>348839</v>
      </c>
      <c r="BS49" s="8">
        <v>70372</v>
      </c>
      <c r="BT49" s="8">
        <v>34138</v>
      </c>
      <c r="BU49" s="8">
        <v>36339</v>
      </c>
      <c r="BV49" s="8">
        <v>2903</v>
      </c>
      <c r="BW49" s="8">
        <v>36862</v>
      </c>
      <c r="BX49" s="8">
        <v>169412</v>
      </c>
      <c r="BY49" s="8">
        <v>196</v>
      </c>
      <c r="BZ49" s="8"/>
      <c r="CA49" s="11">
        <v>45778</v>
      </c>
      <c r="CB49" s="5">
        <v>121775</v>
      </c>
      <c r="CC49" s="5">
        <v>3376</v>
      </c>
      <c r="CD49" s="5">
        <v>12366</v>
      </c>
      <c r="CE49" s="5">
        <v>19638</v>
      </c>
      <c r="CF49" s="5">
        <v>3735</v>
      </c>
      <c r="CG49" s="5">
        <v>2581</v>
      </c>
      <c r="CH49" s="5">
        <v>2146</v>
      </c>
      <c r="CI49" s="5">
        <v>679</v>
      </c>
      <c r="CJ49" s="5">
        <v>2170</v>
      </c>
      <c r="CK49" s="5">
        <v>20841</v>
      </c>
      <c r="CM49" s="11">
        <v>45778</v>
      </c>
      <c r="CN49" s="5">
        <f t="shared" si="93"/>
        <v>148370</v>
      </c>
      <c r="CO49" s="5">
        <f t="shared" si="92"/>
        <v>5220</v>
      </c>
      <c r="CP49" s="5">
        <f t="shared" si="92"/>
        <v>18069</v>
      </c>
      <c r="CQ49" s="5">
        <f t="shared" si="92"/>
        <v>29662</v>
      </c>
      <c r="CR49" s="5">
        <f t="shared" si="92"/>
        <v>5200</v>
      </c>
      <c r="CS49" s="5">
        <f t="shared" si="92"/>
        <v>3889</v>
      </c>
      <c r="CT49" s="5">
        <f t="shared" si="92"/>
        <v>3034</v>
      </c>
      <c r="CU49" s="5">
        <f t="shared" si="92"/>
        <v>984</v>
      </c>
      <c r="CV49" s="5">
        <f t="shared" si="92"/>
        <v>3508</v>
      </c>
      <c r="CW49" s="5">
        <f t="shared" si="92"/>
        <v>25538</v>
      </c>
      <c r="CX49" s="8"/>
      <c r="CY49" s="11">
        <v>45778</v>
      </c>
      <c r="CZ49" s="20">
        <v>66120</v>
      </c>
      <c r="DA49" s="8">
        <v>851</v>
      </c>
      <c r="DB49" s="8">
        <v>2680</v>
      </c>
      <c r="DC49" s="8">
        <v>4943</v>
      </c>
      <c r="DD49" s="8">
        <v>613</v>
      </c>
      <c r="DE49" s="8">
        <v>544</v>
      </c>
      <c r="DF49" s="8">
        <v>362</v>
      </c>
      <c r="DG49" s="8">
        <v>102</v>
      </c>
      <c r="DH49" s="8">
        <v>539</v>
      </c>
      <c r="DI49" s="8">
        <v>2220</v>
      </c>
      <c r="DJ49" s="8"/>
      <c r="DK49" s="11">
        <v>45778</v>
      </c>
      <c r="DL49" s="5">
        <f t="shared" si="95"/>
        <v>82250</v>
      </c>
      <c r="DM49" s="8">
        <v>4369</v>
      </c>
      <c r="DN49" s="8">
        <v>15389</v>
      </c>
      <c r="DO49" s="8">
        <v>24719</v>
      </c>
      <c r="DP49" s="8">
        <v>4587</v>
      </c>
      <c r="DQ49" s="8">
        <v>3345</v>
      </c>
      <c r="DR49" s="8">
        <v>2672</v>
      </c>
      <c r="DS49" s="8">
        <v>882</v>
      </c>
      <c r="DT49" s="8">
        <v>2969</v>
      </c>
      <c r="DU49" s="8">
        <v>23318</v>
      </c>
      <c r="DV49" s="8"/>
      <c r="DW49" s="11">
        <v>45778</v>
      </c>
      <c r="DX49" s="8">
        <v>511368</v>
      </c>
      <c r="DY49" s="8">
        <v>31474</v>
      </c>
      <c r="DZ49" s="8">
        <v>120791</v>
      </c>
      <c r="EA49" s="8">
        <v>156103</v>
      </c>
      <c r="EB49" s="8">
        <v>20331</v>
      </c>
      <c r="EC49" s="8">
        <v>18281</v>
      </c>
      <c r="ED49" s="8">
        <v>14156</v>
      </c>
      <c r="EE49" s="8">
        <v>3124</v>
      </c>
      <c r="EF49" s="8">
        <v>15581</v>
      </c>
      <c r="EG49" s="8">
        <v>58193</v>
      </c>
      <c r="EH49" s="8"/>
      <c r="EI49" s="11">
        <v>45778</v>
      </c>
      <c r="EJ49" s="8">
        <v>341772</v>
      </c>
      <c r="EK49" s="8">
        <v>22213</v>
      </c>
      <c r="EL49" s="8">
        <v>89331</v>
      </c>
      <c r="EM49" s="8">
        <v>108828</v>
      </c>
      <c r="EN49" s="8">
        <v>11241</v>
      </c>
      <c r="EO49" s="8">
        <v>11964</v>
      </c>
      <c r="EP49" s="8">
        <v>7693</v>
      </c>
      <c r="EQ49" s="8">
        <v>1673</v>
      </c>
      <c r="ER49" s="8">
        <v>9061</v>
      </c>
      <c r="ES49" s="8">
        <v>38357</v>
      </c>
      <c r="ET49" s="8"/>
      <c r="EU49" s="21">
        <v>45778</v>
      </c>
      <c r="EV49" s="20">
        <v>1027563.03</v>
      </c>
      <c r="EW49" s="20">
        <v>38983.872883019176</v>
      </c>
      <c r="EX49" s="20">
        <v>141603.92184691501</v>
      </c>
      <c r="EY49" s="20">
        <v>203702.04247086725</v>
      </c>
      <c r="EZ49" s="20">
        <v>28530.049082062396</v>
      </c>
      <c r="FA49" s="20">
        <v>24109.535501492413</v>
      </c>
      <c r="FB49" s="20">
        <v>18481.042059533058</v>
      </c>
      <c r="FC49" s="20">
        <v>4237.5279282005149</v>
      </c>
      <c r="FD49" s="20">
        <v>19208.757610500063</v>
      </c>
      <c r="FE49" s="20">
        <v>72987.293230159048</v>
      </c>
      <c r="FF49" s="549"/>
      <c r="FG49" s="21">
        <v>45778</v>
      </c>
      <c r="FH49" s="20">
        <v>677235.03</v>
      </c>
      <c r="FI49" s="20">
        <v>25472.872883019176</v>
      </c>
      <c r="FJ49" s="20">
        <v>97483.921846914993</v>
      </c>
      <c r="FK49" s="20">
        <v>134875.04247086725</v>
      </c>
      <c r="FL49" s="20">
        <v>15965.049082062395</v>
      </c>
      <c r="FM49" s="20">
        <v>15850.535501492415</v>
      </c>
      <c r="FN49" s="20">
        <v>9691.0420595330579</v>
      </c>
      <c r="FO49" s="20">
        <v>2068.5279282005154</v>
      </c>
      <c r="FP49" s="20">
        <v>10882.757610500061</v>
      </c>
      <c r="FQ49" s="20">
        <v>45512.293230159055</v>
      </c>
      <c r="FR49" s="549"/>
      <c r="FS49" s="21">
        <v>45778</v>
      </c>
      <c r="FT49" s="20">
        <v>280</v>
      </c>
      <c r="FU49" s="20">
        <v>92</v>
      </c>
      <c r="FV49" s="20">
        <v>195</v>
      </c>
      <c r="FW49" s="20">
        <v>50</v>
      </c>
      <c r="FX49" s="20">
        <v>188</v>
      </c>
      <c r="FY49" s="20">
        <v>929</v>
      </c>
      <c r="FZ49" s="20">
        <v>229</v>
      </c>
      <c r="GA49" s="20">
        <v>583</v>
      </c>
      <c r="GB49" s="20">
        <v>173</v>
      </c>
      <c r="GC49" s="20">
        <v>2605</v>
      </c>
      <c r="GD49" s="549"/>
      <c r="GE49" s="11">
        <v>45778</v>
      </c>
      <c r="GF49" s="5">
        <v>642</v>
      </c>
      <c r="GG49" s="5">
        <v>200</v>
      </c>
      <c r="GH49" s="5">
        <v>18</v>
      </c>
      <c r="GI49" s="5">
        <v>67</v>
      </c>
      <c r="GJ49" s="5">
        <v>154</v>
      </c>
      <c r="GK49" s="5">
        <v>1464</v>
      </c>
      <c r="GL49" s="5">
        <v>148</v>
      </c>
      <c r="GM49" s="5">
        <v>1381</v>
      </c>
      <c r="GN49" s="5">
        <v>206</v>
      </c>
      <c r="GO49" s="5">
        <v>4280</v>
      </c>
      <c r="GQ49" s="21">
        <v>45778</v>
      </c>
      <c r="GR49" s="20">
        <v>644</v>
      </c>
      <c r="GS49" s="20">
        <v>2749</v>
      </c>
      <c r="GT49" s="20">
        <v>24665</v>
      </c>
      <c r="GU49" s="20">
        <v>15813</v>
      </c>
      <c r="GV49" s="20">
        <v>14582</v>
      </c>
      <c r="GW49" s="20">
        <v>4815</v>
      </c>
      <c r="GX49" s="20">
        <v>42505</v>
      </c>
      <c r="GY49" s="20">
        <v>47401</v>
      </c>
      <c r="GZ49" s="20">
        <v>554</v>
      </c>
      <c r="HA49" s="20">
        <f t="shared" si="94"/>
        <v>153728</v>
      </c>
      <c r="HB49" s="550"/>
      <c r="HC49" s="11">
        <v>45778</v>
      </c>
      <c r="HD49" s="5">
        <f t="shared" si="82"/>
        <v>1780035</v>
      </c>
      <c r="HE49" s="5">
        <f t="shared" si="83"/>
        <v>66659</v>
      </c>
      <c r="HF49" s="5">
        <f t="shared" si="84"/>
        <v>306339</v>
      </c>
      <c r="HG49" s="5">
        <f t="shared" si="85"/>
        <v>378501</v>
      </c>
      <c r="HH49" s="5">
        <f t="shared" si="86"/>
        <v>75572</v>
      </c>
      <c r="HI49" s="5">
        <f t="shared" si="87"/>
        <v>38027</v>
      </c>
      <c r="HJ49" s="5">
        <f t="shared" si="88"/>
        <v>39373</v>
      </c>
      <c r="HK49" s="5">
        <f t="shared" si="89"/>
        <v>3887</v>
      </c>
      <c r="HL49" s="5">
        <f t="shared" si="90"/>
        <v>40370</v>
      </c>
      <c r="HM49" s="5">
        <f t="shared" si="91"/>
        <v>194950</v>
      </c>
      <c r="HO49" s="11">
        <v>45778</v>
      </c>
      <c r="HP49" s="5">
        <f t="shared" si="71"/>
        <v>665096</v>
      </c>
      <c r="HQ49" s="5">
        <f>DY49+GZ49</f>
        <v>32028</v>
      </c>
      <c r="HR49" s="5">
        <f t="shared" si="73"/>
        <v>168192</v>
      </c>
      <c r="HS49" s="5">
        <f t="shared" si="74"/>
        <v>198608</v>
      </c>
      <c r="HT49" s="5">
        <f t="shared" si="75"/>
        <v>36144</v>
      </c>
      <c r="HU49" s="5">
        <f t="shared" si="76"/>
        <v>21030</v>
      </c>
      <c r="HV49" s="5">
        <f t="shared" si="77"/>
        <v>28738</v>
      </c>
      <c r="HW49" s="5">
        <f t="shared" si="78"/>
        <v>3768</v>
      </c>
      <c r="HX49" s="5">
        <f t="shared" si="79"/>
        <v>20396</v>
      </c>
      <c r="HY49" s="5">
        <f t="shared" si="80"/>
        <v>82858</v>
      </c>
    </row>
    <row r="50" spans="2:233" ht="15" customHeight="1">
      <c r="B50" s="11">
        <v>45809</v>
      </c>
      <c r="C50" s="2">
        <v>12</v>
      </c>
      <c r="D50" s="2">
        <v>176</v>
      </c>
      <c r="E50" s="2">
        <v>718</v>
      </c>
      <c r="F50" s="2">
        <v>290</v>
      </c>
      <c r="G50" s="2">
        <v>130</v>
      </c>
      <c r="H50" s="2">
        <v>119</v>
      </c>
      <c r="I50" s="2">
        <v>2552</v>
      </c>
      <c r="J50" s="2">
        <v>1566</v>
      </c>
      <c r="K50" s="2">
        <v>260</v>
      </c>
      <c r="L50" s="8">
        <f t="shared" si="57"/>
        <v>5823</v>
      </c>
      <c r="N50" s="11">
        <v>45809</v>
      </c>
      <c r="O50" s="2">
        <v>12</v>
      </c>
      <c r="P50" s="2">
        <v>176</v>
      </c>
      <c r="Q50" s="2">
        <v>718</v>
      </c>
      <c r="R50" s="2">
        <v>290</v>
      </c>
      <c r="S50" s="2">
        <v>130</v>
      </c>
      <c r="T50" s="2">
        <v>119</v>
      </c>
      <c r="U50" s="2">
        <v>2552</v>
      </c>
      <c r="V50" s="2">
        <v>1566</v>
      </c>
      <c r="W50" s="2">
        <v>260</v>
      </c>
      <c r="X50" s="8">
        <f t="shared" si="58"/>
        <v>5823</v>
      </c>
      <c r="Y50" s="8"/>
      <c r="Z50" s="11">
        <v>45809</v>
      </c>
      <c r="AA50" s="207">
        <v>120615</v>
      </c>
      <c r="AB50" s="207">
        <v>674982</v>
      </c>
      <c r="AC50" s="210">
        <v>1002022</v>
      </c>
      <c r="AD50" s="210">
        <v>38489</v>
      </c>
      <c r="AE50" s="210">
        <v>80428</v>
      </c>
      <c r="AF50" s="210">
        <v>34474</v>
      </c>
      <c r="AG50" s="210">
        <v>16891</v>
      </c>
      <c r="AH50" s="210">
        <v>44467</v>
      </c>
      <c r="AI50" s="210">
        <v>275650</v>
      </c>
      <c r="AJ50" s="210">
        <v>3105918</v>
      </c>
      <c r="AL50" s="11">
        <v>45809</v>
      </c>
      <c r="AM50" s="5">
        <v>120610</v>
      </c>
      <c r="AN50" s="5">
        <v>674982</v>
      </c>
      <c r="AO50" s="5">
        <v>1002022</v>
      </c>
      <c r="AP50" s="5">
        <v>38489</v>
      </c>
      <c r="AQ50" s="5">
        <v>80428</v>
      </c>
      <c r="AR50" s="5">
        <v>34474</v>
      </c>
      <c r="AS50" s="5">
        <v>16891</v>
      </c>
      <c r="AT50" s="5">
        <v>44467</v>
      </c>
      <c r="AU50" s="5">
        <v>275650</v>
      </c>
      <c r="AV50" s="5">
        <v>2288013</v>
      </c>
      <c r="AX50" s="11">
        <v>45809</v>
      </c>
      <c r="AY50" s="5">
        <v>102434</v>
      </c>
      <c r="AZ50" s="5">
        <v>577619</v>
      </c>
      <c r="BA50" s="5">
        <v>853594</v>
      </c>
      <c r="BB50" s="5">
        <v>17905</v>
      </c>
      <c r="BC50" s="5">
        <v>56462</v>
      </c>
      <c r="BD50" s="5">
        <v>15631</v>
      </c>
      <c r="BE50" s="5">
        <v>8525</v>
      </c>
      <c r="BF50" s="5">
        <v>26836</v>
      </c>
      <c r="BG50" s="5">
        <v>186873</v>
      </c>
      <c r="BH50" s="5">
        <v>1845879</v>
      </c>
      <c r="BI50" s="8"/>
      <c r="BJ50" s="11">
        <v>45809</v>
      </c>
      <c r="BK50" s="5">
        <f t="shared" si="81"/>
        <v>2632877</v>
      </c>
      <c r="BL50" s="8"/>
      <c r="BM50" s="5">
        <v>1600333</v>
      </c>
      <c r="BN50" s="8"/>
      <c r="BO50" s="5">
        <v>1032544</v>
      </c>
      <c r="BP50" s="5">
        <v>70020</v>
      </c>
      <c r="BQ50" s="5">
        <v>276173</v>
      </c>
      <c r="BR50" s="5">
        <v>319156</v>
      </c>
      <c r="BS50" s="5">
        <v>69567</v>
      </c>
      <c r="BT50" s="5">
        <v>34537</v>
      </c>
      <c r="BU50" s="5">
        <v>37140</v>
      </c>
      <c r="BV50" s="5">
        <v>2816</v>
      </c>
      <c r="BW50" s="5">
        <v>39052</v>
      </c>
      <c r="BX50" s="5">
        <v>184083</v>
      </c>
      <c r="BY50" s="5">
        <v>112</v>
      </c>
      <c r="BZ50" s="8"/>
      <c r="CA50" s="11">
        <v>45809</v>
      </c>
      <c r="CB50" s="5">
        <v>126946</v>
      </c>
      <c r="CC50" s="5">
        <v>3293</v>
      </c>
      <c r="CD50" s="5">
        <v>14009</v>
      </c>
      <c r="CE50" s="5">
        <v>21426</v>
      </c>
      <c r="CF50" s="5">
        <v>3668</v>
      </c>
      <c r="CG50" s="5">
        <v>2059</v>
      </c>
      <c r="CH50" s="5">
        <v>1566</v>
      </c>
      <c r="CI50" s="5">
        <v>544</v>
      </c>
      <c r="CJ50" s="5">
        <v>2175</v>
      </c>
      <c r="CK50" s="5">
        <v>25029</v>
      </c>
      <c r="CM50" s="11">
        <v>45809</v>
      </c>
      <c r="CN50" s="5">
        <f t="shared" si="93"/>
        <v>144020</v>
      </c>
      <c r="CO50" s="5">
        <f t="shared" si="92"/>
        <v>5087</v>
      </c>
      <c r="CP50" s="5">
        <f t="shared" si="92"/>
        <v>20134</v>
      </c>
      <c r="CQ50" s="5">
        <f t="shared" si="92"/>
        <v>29935</v>
      </c>
      <c r="CR50" s="5">
        <f t="shared" si="92"/>
        <v>5297</v>
      </c>
      <c r="CS50" s="5">
        <f t="shared" si="92"/>
        <v>3856</v>
      </c>
      <c r="CT50" s="5">
        <f t="shared" si="92"/>
        <v>2515</v>
      </c>
      <c r="CU50" s="5">
        <f t="shared" si="92"/>
        <v>796</v>
      </c>
      <c r="CV50" s="5">
        <f t="shared" si="92"/>
        <v>3578</v>
      </c>
      <c r="CW50" s="5">
        <f t="shared" si="92"/>
        <v>30300</v>
      </c>
      <c r="CX50" s="8"/>
      <c r="CY50" s="11">
        <v>45809</v>
      </c>
      <c r="CZ50" s="20">
        <v>55560</v>
      </c>
      <c r="DA50" s="8">
        <v>725</v>
      </c>
      <c r="DB50" s="8">
        <v>2951</v>
      </c>
      <c r="DC50" s="8">
        <v>4475</v>
      </c>
      <c r="DD50" s="8">
        <v>655</v>
      </c>
      <c r="DE50" s="8">
        <v>715</v>
      </c>
      <c r="DF50" s="8">
        <v>294</v>
      </c>
      <c r="DG50" s="8">
        <v>69</v>
      </c>
      <c r="DH50" s="8">
        <v>465</v>
      </c>
      <c r="DI50" s="8">
        <v>2689</v>
      </c>
      <c r="DJ50" s="8"/>
      <c r="DK50" s="11">
        <v>45809</v>
      </c>
      <c r="DL50" s="5">
        <f t="shared" si="95"/>
        <v>88460</v>
      </c>
      <c r="DM50" s="8">
        <v>4362</v>
      </c>
      <c r="DN50" s="8">
        <v>17183</v>
      </c>
      <c r="DO50" s="8">
        <v>25460</v>
      </c>
      <c r="DP50" s="8">
        <v>4642</v>
      </c>
      <c r="DQ50" s="8">
        <v>3141</v>
      </c>
      <c r="DR50" s="8">
        <v>2221</v>
      </c>
      <c r="DS50" s="8">
        <v>727</v>
      </c>
      <c r="DT50" s="8">
        <v>3113</v>
      </c>
      <c r="DU50" s="8">
        <v>27611</v>
      </c>
      <c r="DV50" s="8"/>
      <c r="DW50" s="11">
        <v>45809</v>
      </c>
      <c r="DX50" s="8">
        <v>480646</v>
      </c>
      <c r="DY50" s="8">
        <v>29450</v>
      </c>
      <c r="DZ50" s="8">
        <v>119446</v>
      </c>
      <c r="EA50" s="8">
        <v>128720</v>
      </c>
      <c r="EB50" s="8">
        <v>19959</v>
      </c>
      <c r="EC50" s="8">
        <v>18908</v>
      </c>
      <c r="ED50" s="8">
        <v>13441</v>
      </c>
      <c r="EE50" s="8">
        <v>3068</v>
      </c>
      <c r="EF50" s="8">
        <v>14865</v>
      </c>
      <c r="EG50" s="8">
        <v>53803</v>
      </c>
      <c r="EH50" s="8"/>
      <c r="EI50" s="11">
        <v>45809</v>
      </c>
      <c r="EJ50" s="8">
        <v>318889</v>
      </c>
      <c r="EK50" s="8">
        <v>20047</v>
      </c>
      <c r="EL50" s="8">
        <v>88146</v>
      </c>
      <c r="EM50" s="8">
        <v>90848</v>
      </c>
      <c r="EN50" s="8">
        <v>10680</v>
      </c>
      <c r="EO50" s="8">
        <v>10490</v>
      </c>
      <c r="EP50" s="8">
        <v>6296</v>
      </c>
      <c r="EQ50" s="8">
        <v>1535</v>
      </c>
      <c r="ER50" s="8">
        <v>8407</v>
      </c>
      <c r="ES50" s="8">
        <v>34740</v>
      </c>
      <c r="ET50" s="8"/>
      <c r="EU50" s="21">
        <v>45809</v>
      </c>
      <c r="EV50" s="20">
        <v>809081.31</v>
      </c>
      <c r="EW50" s="20">
        <v>36781</v>
      </c>
      <c r="EX50" s="20">
        <v>141913.45000000001</v>
      </c>
      <c r="EY50" s="20">
        <v>174152.69</v>
      </c>
      <c r="EZ50" s="20">
        <v>26007.37</v>
      </c>
      <c r="FA50" s="20">
        <v>22013.39</v>
      </c>
      <c r="FB50" s="20">
        <v>17040.23</v>
      </c>
      <c r="FC50" s="20">
        <v>3996.62</v>
      </c>
      <c r="FD50" s="20">
        <v>19750.32</v>
      </c>
      <c r="FE50" s="20">
        <v>73559.680000000008</v>
      </c>
      <c r="FF50" s="549"/>
      <c r="FG50" s="21">
        <v>45809</v>
      </c>
      <c r="FH50" s="20">
        <v>414964.31</v>
      </c>
      <c r="FI50" s="20">
        <v>23390</v>
      </c>
      <c r="FJ50" s="20">
        <v>98542.45</v>
      </c>
      <c r="FK50" s="20">
        <v>122225.69</v>
      </c>
      <c r="FL50" s="20">
        <v>13702.37</v>
      </c>
      <c r="FM50" s="20">
        <v>11764.39</v>
      </c>
      <c r="FN50" s="20">
        <v>7823.2300000000005</v>
      </c>
      <c r="FO50" s="20">
        <v>1929.62</v>
      </c>
      <c r="FP50" s="20">
        <v>11390.32</v>
      </c>
      <c r="FQ50" s="20">
        <v>46993.68</v>
      </c>
      <c r="FR50" s="549"/>
      <c r="FS50" s="21">
        <v>45809</v>
      </c>
      <c r="FT50" s="20">
        <v>251</v>
      </c>
      <c r="FU50" s="20">
        <v>94</v>
      </c>
      <c r="FV50" s="20">
        <v>140</v>
      </c>
      <c r="FW50" s="20">
        <v>48</v>
      </c>
      <c r="FX50" s="20">
        <v>180</v>
      </c>
      <c r="FY50" s="20">
        <v>898</v>
      </c>
      <c r="FZ50" s="20">
        <v>193</v>
      </c>
      <c r="GA50" s="20">
        <v>575</v>
      </c>
      <c r="GB50" s="20">
        <v>160</v>
      </c>
      <c r="GC50" s="20">
        <v>2427</v>
      </c>
      <c r="GD50" s="549"/>
      <c r="GE50" s="11">
        <v>45809</v>
      </c>
      <c r="GF50" s="5">
        <v>610</v>
      </c>
      <c r="GG50" s="5">
        <v>204</v>
      </c>
      <c r="GH50" s="5">
        <v>22</v>
      </c>
      <c r="GI50" s="5">
        <v>77</v>
      </c>
      <c r="GJ50" s="5">
        <v>128</v>
      </c>
      <c r="GK50" s="5">
        <v>1395</v>
      </c>
      <c r="GL50" s="5">
        <v>158</v>
      </c>
      <c r="GM50" s="5">
        <v>1377</v>
      </c>
      <c r="GN50" s="5">
        <v>202</v>
      </c>
      <c r="GO50" s="5">
        <v>4173</v>
      </c>
      <c r="GQ50" s="21">
        <v>45809</v>
      </c>
      <c r="GR50" s="20">
        <v>516</v>
      </c>
      <c r="GS50" s="20">
        <v>2947</v>
      </c>
      <c r="GT50" s="20">
        <v>22790</v>
      </c>
      <c r="GU50" s="20">
        <v>14697</v>
      </c>
      <c r="GV50" s="20">
        <v>13855</v>
      </c>
      <c r="GW50" s="20">
        <v>4154</v>
      </c>
      <c r="GX50" s="20">
        <v>37293</v>
      </c>
      <c r="GY50" s="20">
        <v>43690</v>
      </c>
      <c r="GZ50" s="20">
        <v>538</v>
      </c>
      <c r="HA50" s="20">
        <f t="shared" si="94"/>
        <v>140480</v>
      </c>
      <c r="HB50" s="550"/>
      <c r="HC50" s="11">
        <v>45809</v>
      </c>
      <c r="HD50" s="5">
        <f t="shared" si="82"/>
        <v>1744353</v>
      </c>
      <c r="HE50" s="5">
        <f t="shared" si="83"/>
        <v>75107</v>
      </c>
      <c r="HF50" s="5">
        <f t="shared" si="84"/>
        <v>296307</v>
      </c>
      <c r="HG50" s="5">
        <f t="shared" si="85"/>
        <v>349091</v>
      </c>
      <c r="HH50" s="5">
        <f t="shared" si="86"/>
        <v>74864</v>
      </c>
      <c r="HI50" s="5">
        <f t="shared" si="87"/>
        <v>38393</v>
      </c>
      <c r="HJ50" s="5">
        <f t="shared" si="88"/>
        <v>39655</v>
      </c>
      <c r="HK50" s="5">
        <f t="shared" si="89"/>
        <v>3612</v>
      </c>
      <c r="HL50" s="5">
        <f t="shared" si="90"/>
        <v>42630</v>
      </c>
      <c r="HM50" s="5">
        <f t="shared" si="91"/>
        <v>214383</v>
      </c>
      <c r="HO50" s="11">
        <v>45809</v>
      </c>
      <c r="HP50" s="5">
        <f t="shared" si="71"/>
        <v>621126</v>
      </c>
      <c r="HQ50" s="5">
        <f t="shared" si="72"/>
        <v>29988</v>
      </c>
      <c r="HR50" s="5">
        <f t="shared" si="73"/>
        <v>163136</v>
      </c>
      <c r="HS50" s="5">
        <f t="shared" si="74"/>
        <v>166013</v>
      </c>
      <c r="HT50" s="5">
        <f t="shared" si="75"/>
        <v>34656</v>
      </c>
      <c r="HU50" s="5">
        <f t="shared" si="76"/>
        <v>21855</v>
      </c>
      <c r="HV50" s="5">
        <f t="shared" si="77"/>
        <v>27296</v>
      </c>
      <c r="HW50" s="5">
        <f t="shared" si="78"/>
        <v>3584</v>
      </c>
      <c r="HX50" s="5">
        <f t="shared" si="79"/>
        <v>19019</v>
      </c>
      <c r="HY50" s="5">
        <f t="shared" si="80"/>
        <v>76593</v>
      </c>
    </row>
    <row r="51" spans="2:233">
      <c r="B51" s="11">
        <v>45839</v>
      </c>
      <c r="C51" s="2">
        <v>10</v>
      </c>
      <c r="D51" s="2">
        <v>176</v>
      </c>
      <c r="E51" s="2">
        <v>877</v>
      </c>
      <c r="F51" s="2">
        <v>251</v>
      </c>
      <c r="G51" s="2">
        <v>152</v>
      </c>
      <c r="H51" s="2">
        <v>97</v>
      </c>
      <c r="I51" s="2">
        <v>2544</v>
      </c>
      <c r="J51" s="2">
        <v>1693</v>
      </c>
      <c r="K51" s="2">
        <v>300</v>
      </c>
      <c r="L51" s="8">
        <f t="shared" si="57"/>
        <v>6100</v>
      </c>
      <c r="N51" s="11">
        <v>45839</v>
      </c>
      <c r="O51" s="2">
        <v>10</v>
      </c>
      <c r="P51" s="2">
        <v>176</v>
      </c>
      <c r="Q51" s="2">
        <v>877</v>
      </c>
      <c r="R51" s="2">
        <v>251</v>
      </c>
      <c r="S51" s="2">
        <v>152</v>
      </c>
      <c r="T51" s="2">
        <v>97</v>
      </c>
      <c r="U51" s="2">
        <v>2544</v>
      </c>
      <c r="V51" s="2">
        <v>1693</v>
      </c>
      <c r="W51" s="2">
        <v>300</v>
      </c>
      <c r="X51" s="8">
        <f t="shared" si="58"/>
        <v>6100</v>
      </c>
      <c r="Y51" s="8"/>
      <c r="Z51" s="11">
        <v>45839</v>
      </c>
      <c r="AA51" s="207">
        <v>134487</v>
      </c>
      <c r="AB51" s="207">
        <v>792472</v>
      </c>
      <c r="AC51" s="211">
        <v>1256387</v>
      </c>
      <c r="AD51" s="211">
        <v>42659</v>
      </c>
      <c r="AE51" s="211">
        <v>135423</v>
      </c>
      <c r="AF51" s="211">
        <v>35299</v>
      </c>
      <c r="AG51" s="210">
        <v>178</v>
      </c>
      <c r="AH51" s="210">
        <v>56167</v>
      </c>
      <c r="AI51" s="210">
        <v>310330</v>
      </c>
      <c r="AJ51" s="210">
        <v>3737699</v>
      </c>
      <c r="AL51" s="11">
        <v>45839</v>
      </c>
      <c r="AM51" s="5">
        <v>134487</v>
      </c>
      <c r="AN51" s="5">
        <v>792472</v>
      </c>
      <c r="AO51" s="5">
        <v>1256387</v>
      </c>
      <c r="AP51" s="5">
        <v>42659</v>
      </c>
      <c r="AQ51" s="5">
        <v>135423</v>
      </c>
      <c r="AR51" s="5">
        <v>35299</v>
      </c>
      <c r="AS51" s="5">
        <v>178</v>
      </c>
      <c r="AT51" s="5">
        <v>56167</v>
      </c>
      <c r="AU51" s="5">
        <v>310330</v>
      </c>
      <c r="AV51" s="5">
        <v>2763402</v>
      </c>
      <c r="AW51" s="23"/>
      <c r="AX51" s="11">
        <v>45839</v>
      </c>
      <c r="AY51" s="5">
        <v>110947</v>
      </c>
      <c r="AZ51" s="5">
        <v>656690</v>
      </c>
      <c r="BA51" s="5">
        <v>1091634</v>
      </c>
      <c r="BB51" s="5">
        <v>20821</v>
      </c>
      <c r="BC51" s="5">
        <v>103865</v>
      </c>
      <c r="BD51" s="5">
        <v>16378</v>
      </c>
      <c r="BE51" s="5">
        <v>71</v>
      </c>
      <c r="BF51" s="5">
        <v>31619</v>
      </c>
      <c r="BG51" s="5">
        <v>216027</v>
      </c>
      <c r="BH51" s="5">
        <v>2248052</v>
      </c>
      <c r="BI51" s="8"/>
      <c r="BJ51" s="11">
        <v>45839</v>
      </c>
      <c r="BK51" s="5">
        <f t="shared" si="81"/>
        <v>2932423</v>
      </c>
      <c r="BL51" s="8"/>
      <c r="BM51" s="5">
        <v>1774062</v>
      </c>
      <c r="BN51" s="8"/>
      <c r="BO51" s="5">
        <v>1158361</v>
      </c>
      <c r="BP51" s="5">
        <v>70428</v>
      </c>
      <c r="BQ51" s="5">
        <v>316203</v>
      </c>
      <c r="BR51" s="5">
        <v>379670</v>
      </c>
      <c r="BS51" s="5">
        <v>68097</v>
      </c>
      <c r="BT51" s="5">
        <v>41351</v>
      </c>
      <c r="BU51" s="5">
        <v>35576</v>
      </c>
      <c r="BV51" s="5">
        <v>2072</v>
      </c>
      <c r="BW51" s="5">
        <v>40425</v>
      </c>
      <c r="BX51" s="5">
        <v>204539</v>
      </c>
      <c r="BY51" s="5">
        <v>120</v>
      </c>
      <c r="BZ51" s="8"/>
      <c r="CA51" s="11">
        <v>45839</v>
      </c>
      <c r="CB51" s="5">
        <v>117570</v>
      </c>
      <c r="CC51" s="5">
        <v>2490</v>
      </c>
      <c r="CD51" s="5">
        <v>13402</v>
      </c>
      <c r="CE51" s="5">
        <v>16027</v>
      </c>
      <c r="CF51" s="5">
        <v>8126</v>
      </c>
      <c r="CG51" s="5">
        <v>4011</v>
      </c>
      <c r="CH51" s="5">
        <v>1293</v>
      </c>
      <c r="CI51" s="5">
        <v>15</v>
      </c>
      <c r="CJ51" s="5">
        <v>2932</v>
      </c>
      <c r="CK51" s="5">
        <v>14909</v>
      </c>
      <c r="CL51" s="34"/>
      <c r="CM51" s="11">
        <v>45839</v>
      </c>
      <c r="CN51" s="5">
        <f t="shared" si="93"/>
        <v>147149</v>
      </c>
      <c r="CO51" s="5">
        <f t="shared" si="92"/>
        <v>4051</v>
      </c>
      <c r="CP51" s="5">
        <f t="shared" si="92"/>
        <v>19701</v>
      </c>
      <c r="CQ51" s="5">
        <f t="shared" si="92"/>
        <v>24065</v>
      </c>
      <c r="CR51" s="5">
        <f t="shared" si="92"/>
        <v>10349</v>
      </c>
      <c r="CS51" s="5">
        <f t="shared" si="92"/>
        <v>6644</v>
      </c>
      <c r="CT51" s="5">
        <f t="shared" si="92"/>
        <v>2072</v>
      </c>
      <c r="CU51" s="5">
        <f t="shared" si="92"/>
        <v>22</v>
      </c>
      <c r="CV51" s="5">
        <f t="shared" si="92"/>
        <v>4852</v>
      </c>
      <c r="CW51" s="5">
        <f t="shared" si="92"/>
        <v>19762</v>
      </c>
      <c r="CX51" s="8"/>
      <c r="CY51" s="11">
        <v>45839</v>
      </c>
      <c r="CZ51" s="20">
        <v>67853</v>
      </c>
      <c r="DA51" s="8">
        <v>640</v>
      </c>
      <c r="DB51" s="8">
        <v>2631</v>
      </c>
      <c r="DC51" s="8">
        <v>4085</v>
      </c>
      <c r="DD51" s="8">
        <v>891</v>
      </c>
      <c r="DE51" s="8">
        <v>1025</v>
      </c>
      <c r="DF51" s="8">
        <v>263</v>
      </c>
      <c r="DG51" s="8">
        <v>5</v>
      </c>
      <c r="DH51" s="8">
        <v>640</v>
      </c>
      <c r="DI51" s="8">
        <v>2042</v>
      </c>
      <c r="DJ51" s="8"/>
      <c r="DK51" s="11">
        <v>45839</v>
      </c>
      <c r="DL51" s="5">
        <f t="shared" si="95"/>
        <v>79296</v>
      </c>
      <c r="DM51" s="8">
        <v>3411</v>
      </c>
      <c r="DN51" s="8">
        <v>17070</v>
      </c>
      <c r="DO51" s="8">
        <v>19980</v>
      </c>
      <c r="DP51" s="8">
        <v>9458</v>
      </c>
      <c r="DQ51" s="8">
        <v>5619</v>
      </c>
      <c r="DR51" s="8">
        <v>1809</v>
      </c>
      <c r="DS51" s="8">
        <v>17</v>
      </c>
      <c r="DT51" s="8">
        <v>4212</v>
      </c>
      <c r="DU51" s="8">
        <v>17720</v>
      </c>
      <c r="DV51" s="8"/>
      <c r="DW51" s="11">
        <v>45839</v>
      </c>
      <c r="DX51" s="8">
        <v>569448</v>
      </c>
      <c r="DY51" s="8">
        <v>30510</v>
      </c>
      <c r="DZ51" s="8">
        <v>128233</v>
      </c>
      <c r="EA51" s="8">
        <v>157260</v>
      </c>
      <c r="EB51" s="8">
        <v>22101</v>
      </c>
      <c r="EC51" s="8">
        <v>25568</v>
      </c>
      <c r="ED51" s="8">
        <v>14647</v>
      </c>
      <c r="EE51" s="8">
        <v>53</v>
      </c>
      <c r="EF51" s="8">
        <v>18526</v>
      </c>
      <c r="EG51" s="8">
        <v>62628</v>
      </c>
      <c r="EH51" s="8"/>
      <c r="EI51" s="11">
        <v>45839</v>
      </c>
      <c r="EJ51" s="8">
        <v>396559</v>
      </c>
      <c r="EK51" s="8">
        <v>20815</v>
      </c>
      <c r="EL51" s="8">
        <v>92980</v>
      </c>
      <c r="EM51" s="8">
        <v>116401</v>
      </c>
      <c r="EN51" s="8">
        <v>12507</v>
      </c>
      <c r="EO51" s="8">
        <v>15813</v>
      </c>
      <c r="EP51" s="8">
        <v>7930</v>
      </c>
      <c r="EQ51" s="8">
        <v>26</v>
      </c>
      <c r="ER51" s="8">
        <v>10566</v>
      </c>
      <c r="ES51" s="8">
        <v>42888</v>
      </c>
      <c r="ET51" s="8"/>
      <c r="EU51" s="21">
        <v>45839</v>
      </c>
      <c r="EV51" s="20">
        <v>947410.3</v>
      </c>
      <c r="EW51" s="20">
        <v>38516.269999999997</v>
      </c>
      <c r="EX51" s="20">
        <v>167920.8</v>
      </c>
      <c r="EY51" s="20">
        <v>197389.21000000002</v>
      </c>
      <c r="EZ51" s="20">
        <v>28634.66</v>
      </c>
      <c r="FA51" s="20">
        <v>29147.86</v>
      </c>
      <c r="FB51" s="20">
        <v>18863.650000000001</v>
      </c>
      <c r="FC51" s="20">
        <v>79</v>
      </c>
      <c r="FD51" s="20">
        <v>22533.75</v>
      </c>
      <c r="FE51" s="20">
        <v>89291.42</v>
      </c>
      <c r="FF51" s="549"/>
      <c r="FG51" s="21">
        <v>45839</v>
      </c>
      <c r="FH51" s="20">
        <v>462635.30000000005</v>
      </c>
      <c r="FI51" s="20">
        <v>24141.27</v>
      </c>
      <c r="FJ51" s="20">
        <v>116916.8</v>
      </c>
      <c r="FK51" s="20">
        <v>139173.21</v>
      </c>
      <c r="FL51" s="20">
        <v>15716.66</v>
      </c>
      <c r="FM51" s="20">
        <v>16851.86</v>
      </c>
      <c r="FN51" s="20">
        <v>9596.65</v>
      </c>
      <c r="FO51" s="20">
        <v>34</v>
      </c>
      <c r="FP51" s="20">
        <v>12222.75</v>
      </c>
      <c r="FQ51" s="20">
        <v>60224.42</v>
      </c>
      <c r="FR51" s="549"/>
      <c r="FS51" s="21">
        <v>45839</v>
      </c>
      <c r="FT51" s="20">
        <v>277</v>
      </c>
      <c r="FU51" s="20">
        <v>106</v>
      </c>
      <c r="FV51" s="20">
        <v>2</v>
      </c>
      <c r="FW51" s="20">
        <v>53</v>
      </c>
      <c r="FX51" s="20">
        <v>193</v>
      </c>
      <c r="FY51" s="20">
        <v>851</v>
      </c>
      <c r="FZ51" s="20">
        <v>221</v>
      </c>
      <c r="GA51" s="20">
        <v>609</v>
      </c>
      <c r="GB51" s="20">
        <v>164</v>
      </c>
      <c r="GC51" s="20">
        <v>2360</v>
      </c>
      <c r="GD51" s="549"/>
      <c r="GE51" s="11">
        <v>45839</v>
      </c>
      <c r="GF51" s="5">
        <v>663</v>
      </c>
      <c r="GG51" s="5">
        <v>195</v>
      </c>
      <c r="GH51" s="5"/>
      <c r="GI51" s="5">
        <v>61</v>
      </c>
      <c r="GJ51" s="5">
        <v>122</v>
      </c>
      <c r="GK51" s="5">
        <v>1774</v>
      </c>
      <c r="GL51" s="5">
        <v>169</v>
      </c>
      <c r="GM51" s="5">
        <v>1544</v>
      </c>
      <c r="GN51" s="5">
        <v>191</v>
      </c>
      <c r="GO51" s="5">
        <v>4719</v>
      </c>
      <c r="GQ51" s="21">
        <v>45839</v>
      </c>
      <c r="GR51" s="20">
        <v>356</v>
      </c>
      <c r="GS51" s="20">
        <v>3755</v>
      </c>
      <c r="GT51" s="20">
        <v>25285</v>
      </c>
      <c r="GU51" s="20">
        <v>16213</v>
      </c>
      <c r="GV51" s="20">
        <v>14958</v>
      </c>
      <c r="GW51" s="20">
        <v>4922</v>
      </c>
      <c r="GX51" s="20">
        <v>41635</v>
      </c>
      <c r="GY51" s="20">
        <v>47643</v>
      </c>
      <c r="GZ51" s="20">
        <v>2361</v>
      </c>
      <c r="HA51" s="20">
        <f t="shared" si="94"/>
        <v>157128</v>
      </c>
      <c r="HB51" s="550"/>
      <c r="HC51" s="11">
        <v>45839</v>
      </c>
      <c r="HD51" s="5">
        <f t="shared" si="82"/>
        <v>1921211</v>
      </c>
      <c r="HE51" s="5">
        <f t="shared" si="83"/>
        <v>74479</v>
      </c>
      <c r="HF51" s="5">
        <f t="shared" si="84"/>
        <v>335904</v>
      </c>
      <c r="HG51" s="5">
        <f t="shared" si="85"/>
        <v>403735</v>
      </c>
      <c r="HH51" s="5">
        <f t="shared" si="86"/>
        <v>78446</v>
      </c>
      <c r="HI51" s="5">
        <f t="shared" si="87"/>
        <v>47995</v>
      </c>
      <c r="HJ51" s="5">
        <f t="shared" si="88"/>
        <v>37648</v>
      </c>
      <c r="HK51" s="5">
        <f t="shared" si="89"/>
        <v>2094</v>
      </c>
      <c r="HL51" s="5">
        <f t="shared" si="90"/>
        <v>45277</v>
      </c>
      <c r="HM51" s="5">
        <f t="shared" si="91"/>
        <v>224301</v>
      </c>
      <c r="HO51" s="11">
        <v>45839</v>
      </c>
      <c r="HP51" s="5">
        <f>DX51+HA51</f>
        <v>726576</v>
      </c>
      <c r="HQ51" s="5">
        <f t="shared" si="72"/>
        <v>32871</v>
      </c>
      <c r="HR51" s="5">
        <f t="shared" si="73"/>
        <v>175876</v>
      </c>
      <c r="HS51" s="5">
        <f t="shared" si="74"/>
        <v>198895</v>
      </c>
      <c r="HT51" s="5">
        <f t="shared" si="75"/>
        <v>38314</v>
      </c>
      <c r="HU51" s="5">
        <f t="shared" si="76"/>
        <v>29323</v>
      </c>
      <c r="HV51" s="5">
        <f t="shared" si="77"/>
        <v>29605</v>
      </c>
      <c r="HW51" s="5">
        <f t="shared" si="78"/>
        <v>409</v>
      </c>
      <c r="HX51" s="5">
        <f t="shared" si="79"/>
        <v>23448</v>
      </c>
      <c r="HY51" s="5">
        <f t="shared" si="80"/>
        <v>87913</v>
      </c>
    </row>
    <row r="52" spans="2:233">
      <c r="B52" s="11">
        <v>45870</v>
      </c>
      <c r="C52" s="2">
        <v>1</v>
      </c>
      <c r="D52" s="2">
        <v>249</v>
      </c>
      <c r="E52" s="2">
        <v>926</v>
      </c>
      <c r="F52" s="2">
        <v>321</v>
      </c>
      <c r="G52" s="2">
        <v>171</v>
      </c>
      <c r="H52" s="2">
        <v>175</v>
      </c>
      <c r="I52" s="2">
        <v>3065</v>
      </c>
      <c r="J52" s="2">
        <v>2087</v>
      </c>
      <c r="K52" s="2">
        <v>350</v>
      </c>
      <c r="L52" s="8">
        <v>7345</v>
      </c>
      <c r="N52" s="11">
        <v>45870</v>
      </c>
      <c r="O52" s="2">
        <v>1</v>
      </c>
      <c r="P52" s="2">
        <v>249</v>
      </c>
      <c r="Q52" s="2">
        <v>926</v>
      </c>
      <c r="R52" s="2">
        <v>321</v>
      </c>
      <c r="S52" s="2">
        <v>171</v>
      </c>
      <c r="T52" s="2">
        <v>175</v>
      </c>
      <c r="U52" s="2">
        <v>3065</v>
      </c>
      <c r="V52" s="2">
        <v>2087</v>
      </c>
      <c r="W52" s="2">
        <v>350</v>
      </c>
      <c r="X52" s="8">
        <v>7345</v>
      </c>
      <c r="Y52" s="8"/>
      <c r="Z52" s="11">
        <v>45870</v>
      </c>
      <c r="AA52" s="207">
        <v>157568</v>
      </c>
      <c r="AB52" s="207">
        <v>880183</v>
      </c>
      <c r="AC52" s="211">
        <v>1423670</v>
      </c>
      <c r="AD52" s="211">
        <v>49608</v>
      </c>
      <c r="AE52" s="211">
        <v>128785</v>
      </c>
      <c r="AF52" s="211">
        <v>41165</v>
      </c>
      <c r="AG52" s="210">
        <v>2</v>
      </c>
      <c r="AH52" s="210">
        <v>63126</v>
      </c>
      <c r="AI52" s="210">
        <v>372597</v>
      </c>
      <c r="AJ52" s="210">
        <v>3803561</v>
      </c>
      <c r="AL52" s="11">
        <v>45870</v>
      </c>
      <c r="AM52" s="5">
        <v>157568</v>
      </c>
      <c r="AN52" s="5">
        <v>880183</v>
      </c>
      <c r="AO52" s="5">
        <v>1423670</v>
      </c>
      <c r="AP52" s="5">
        <v>49608</v>
      </c>
      <c r="AQ52" s="5">
        <v>128785</v>
      </c>
      <c r="AR52" s="5">
        <v>41165</v>
      </c>
      <c r="AS52" s="5">
        <v>2</v>
      </c>
      <c r="AT52" s="5">
        <v>63126</v>
      </c>
      <c r="AU52" s="5">
        <v>372597</v>
      </c>
      <c r="AV52" s="5">
        <v>3116704</v>
      </c>
      <c r="AW52" s="23"/>
      <c r="AX52" s="11">
        <v>45870</v>
      </c>
      <c r="AY52" s="5">
        <v>112428</v>
      </c>
      <c r="AZ52" s="5">
        <v>702798</v>
      </c>
      <c r="BA52" s="5">
        <v>1204672</v>
      </c>
      <c r="BB52" s="5">
        <v>21612</v>
      </c>
      <c r="BC52" s="5">
        <v>101195</v>
      </c>
      <c r="BD52" s="5">
        <v>18204</v>
      </c>
      <c r="BE52" s="5">
        <v>0</v>
      </c>
      <c r="BF52" s="5">
        <v>42342</v>
      </c>
      <c r="BG52" s="5">
        <v>241913</v>
      </c>
      <c r="BH52" s="5">
        <v>2445164</v>
      </c>
      <c r="BI52" s="8"/>
      <c r="BJ52" s="11">
        <v>45870</v>
      </c>
      <c r="BK52" s="5">
        <f t="shared" si="81"/>
        <v>3051421</v>
      </c>
      <c r="BL52" s="8"/>
      <c r="BM52" s="8">
        <v>1840689</v>
      </c>
      <c r="BN52" s="8"/>
      <c r="BO52" s="5">
        <v>1210732</v>
      </c>
      <c r="BP52" s="5">
        <v>78156</v>
      </c>
      <c r="BQ52" s="5">
        <v>359925</v>
      </c>
      <c r="BR52" s="5">
        <v>382408</v>
      </c>
      <c r="BS52" s="5">
        <v>77063</v>
      </c>
      <c r="BT52" s="5">
        <v>38503</v>
      </c>
      <c r="BU52" s="5">
        <v>36023</v>
      </c>
      <c r="BV52" s="5">
        <v>1676</v>
      </c>
      <c r="BW52" s="5">
        <v>32423</v>
      </c>
      <c r="BX52" s="5">
        <v>204555</v>
      </c>
      <c r="BY52" s="5">
        <v>163</v>
      </c>
      <c r="BZ52" s="8"/>
      <c r="CA52" s="11">
        <v>45870</v>
      </c>
      <c r="CB52" s="5">
        <v>116537</v>
      </c>
      <c r="CC52" s="5">
        <v>3528</v>
      </c>
      <c r="CD52" s="5">
        <v>18319</v>
      </c>
      <c r="CE52" s="5">
        <v>25428</v>
      </c>
      <c r="CF52" s="5">
        <v>3499</v>
      </c>
      <c r="CG52" s="5">
        <v>3913</v>
      </c>
      <c r="CH52" s="5">
        <v>1826</v>
      </c>
      <c r="CI52" s="5">
        <v>0</v>
      </c>
      <c r="CJ52" s="5">
        <v>2642</v>
      </c>
      <c r="CK52" s="5">
        <v>14868</v>
      </c>
      <c r="CL52" s="34"/>
      <c r="CM52" s="11">
        <v>45870</v>
      </c>
      <c r="CN52" s="5">
        <f t="shared" si="93"/>
        <v>163738</v>
      </c>
      <c r="CO52" s="5">
        <f t="shared" si="92"/>
        <v>5920</v>
      </c>
      <c r="CP52" s="5">
        <f t="shared" si="92"/>
        <v>27391</v>
      </c>
      <c r="CQ52" s="5">
        <f t="shared" si="92"/>
        <v>37556</v>
      </c>
      <c r="CR52" s="5">
        <f t="shared" si="92"/>
        <v>5475</v>
      </c>
      <c r="CS52" s="5">
        <f t="shared" si="92"/>
        <v>6418</v>
      </c>
      <c r="CT52" s="5">
        <f t="shared" si="92"/>
        <v>2955</v>
      </c>
      <c r="CU52" s="5">
        <f t="shared" si="92"/>
        <v>0</v>
      </c>
      <c r="CV52" s="5">
        <f t="shared" si="92"/>
        <v>4325</v>
      </c>
      <c r="CW52" s="5">
        <f t="shared" si="92"/>
        <v>21462</v>
      </c>
      <c r="CX52" s="8"/>
      <c r="CY52" s="11">
        <v>45870</v>
      </c>
      <c r="CZ52" s="20">
        <v>69485</v>
      </c>
      <c r="DA52" s="8">
        <v>894</v>
      </c>
      <c r="DB52" s="8">
        <v>4126</v>
      </c>
      <c r="DC52" s="8">
        <v>6318</v>
      </c>
      <c r="DD52" s="8">
        <v>743</v>
      </c>
      <c r="DE52" s="8">
        <v>1266</v>
      </c>
      <c r="DF52" s="8">
        <v>359</v>
      </c>
      <c r="DG52" s="8">
        <v>0</v>
      </c>
      <c r="DH52" s="8">
        <v>710</v>
      </c>
      <c r="DI52" s="8">
        <v>2833</v>
      </c>
      <c r="DJ52" s="8"/>
      <c r="DK52" s="11">
        <v>45870</v>
      </c>
      <c r="DL52" s="5">
        <f t="shared" si="95"/>
        <v>94253</v>
      </c>
      <c r="DM52" s="8">
        <v>5026</v>
      </c>
      <c r="DN52" s="8">
        <v>23265</v>
      </c>
      <c r="DO52" s="8">
        <v>31238</v>
      </c>
      <c r="DP52" s="8">
        <v>4732</v>
      </c>
      <c r="DQ52" s="8">
        <v>5152</v>
      </c>
      <c r="DR52" s="8">
        <v>2596</v>
      </c>
      <c r="DS52" s="8">
        <v>0</v>
      </c>
      <c r="DT52" s="8">
        <v>3615</v>
      </c>
      <c r="DU52" s="8">
        <v>18629</v>
      </c>
      <c r="DV52" s="8"/>
      <c r="DW52" s="11">
        <v>45870</v>
      </c>
      <c r="DX52" s="8">
        <v>645165</v>
      </c>
      <c r="DY52" s="8">
        <v>36183</v>
      </c>
      <c r="DZ52" s="8">
        <v>143891</v>
      </c>
      <c r="EA52" s="8">
        <v>175527</v>
      </c>
      <c r="EB52" s="8">
        <v>24969</v>
      </c>
      <c r="EC52" s="8">
        <v>29729</v>
      </c>
      <c r="ED52" s="8">
        <v>18140</v>
      </c>
      <c r="EE52" s="8">
        <v>0</v>
      </c>
      <c r="EF52" s="8">
        <v>24590</v>
      </c>
      <c r="EG52" s="8">
        <v>67389</v>
      </c>
      <c r="EH52" s="8"/>
      <c r="EI52" s="11">
        <v>45870</v>
      </c>
      <c r="EJ52" s="8">
        <v>449832</v>
      </c>
      <c r="EK52" s="8">
        <v>22897</v>
      </c>
      <c r="EL52" s="8">
        <v>103355</v>
      </c>
      <c r="EM52" s="8">
        <v>133383</v>
      </c>
      <c r="EN52" s="8">
        <v>13826</v>
      </c>
      <c r="EO52" s="8">
        <v>18753</v>
      </c>
      <c r="EP52" s="8">
        <v>9502</v>
      </c>
      <c r="EQ52" s="8">
        <v>0</v>
      </c>
      <c r="ER52" s="8">
        <v>14410</v>
      </c>
      <c r="ES52" s="8">
        <v>47709</v>
      </c>
      <c r="ET52" s="8"/>
      <c r="EU52" s="11">
        <v>45870</v>
      </c>
      <c r="EV52" s="5">
        <v>964906</v>
      </c>
      <c r="EW52" s="5">
        <v>44456</v>
      </c>
      <c r="EX52" s="5">
        <v>178586</v>
      </c>
      <c r="EY52" s="5">
        <v>220019</v>
      </c>
      <c r="EZ52" s="5">
        <v>33489</v>
      </c>
      <c r="FA52" s="5">
        <v>34711</v>
      </c>
      <c r="FB52" s="5">
        <v>23934</v>
      </c>
      <c r="FC52" s="5">
        <v>0</v>
      </c>
      <c r="FD52" s="5">
        <v>29828</v>
      </c>
      <c r="FE52" s="5">
        <v>95518</v>
      </c>
      <c r="FG52" s="11">
        <v>45870</v>
      </c>
      <c r="FH52" s="5">
        <v>605234</v>
      </c>
      <c r="FI52" s="5">
        <v>26056</v>
      </c>
      <c r="FJ52" s="5">
        <v>119261</v>
      </c>
      <c r="FK52" s="5">
        <v>160742</v>
      </c>
      <c r="FL52" s="5">
        <v>18261</v>
      </c>
      <c r="FM52" s="5">
        <v>18774</v>
      </c>
      <c r="FN52" s="5">
        <v>12115</v>
      </c>
      <c r="FO52" s="5">
        <v>0</v>
      </c>
      <c r="FP52" s="5">
        <v>14115</v>
      </c>
      <c r="FQ52" s="5">
        <v>66768</v>
      </c>
      <c r="FS52" s="11">
        <v>45870</v>
      </c>
      <c r="FT52" s="5">
        <v>398</v>
      </c>
      <c r="FU52" s="5">
        <v>89</v>
      </c>
      <c r="FV52" s="5">
        <v>0</v>
      </c>
      <c r="FW52" s="5">
        <v>61</v>
      </c>
      <c r="FX52" s="5">
        <v>172</v>
      </c>
      <c r="FY52" s="5">
        <v>902</v>
      </c>
      <c r="FZ52" s="5">
        <v>242</v>
      </c>
      <c r="GA52" s="5">
        <v>868</v>
      </c>
      <c r="GB52" s="5">
        <v>194</v>
      </c>
      <c r="GC52" s="5">
        <v>2792</v>
      </c>
      <c r="GE52" s="11">
        <v>45870</v>
      </c>
      <c r="GF52" s="5">
        <v>686</v>
      </c>
      <c r="GG52" s="5">
        <v>198</v>
      </c>
      <c r="GH52" s="5"/>
      <c r="GI52" s="5">
        <v>87</v>
      </c>
      <c r="GJ52" s="5">
        <v>122</v>
      </c>
      <c r="GK52" s="5">
        <v>2060</v>
      </c>
      <c r="GL52" s="5">
        <v>181</v>
      </c>
      <c r="GM52" s="5">
        <v>1618</v>
      </c>
      <c r="GN52" s="5">
        <v>192</v>
      </c>
      <c r="GO52" s="5">
        <v>5144</v>
      </c>
      <c r="GQ52" s="21">
        <v>45870</v>
      </c>
      <c r="GR52" s="20">
        <v>314</v>
      </c>
      <c r="GS52" s="20">
        <v>3687</v>
      </c>
      <c r="GT52" s="20">
        <v>25826</v>
      </c>
      <c r="GU52" s="20">
        <v>15239</v>
      </c>
      <c r="GV52" s="20">
        <v>15187</v>
      </c>
      <c r="GW52" s="20">
        <v>5422</v>
      </c>
      <c r="GX52" s="20">
        <v>38926</v>
      </c>
      <c r="GY52" s="20">
        <v>46747</v>
      </c>
      <c r="GZ52" s="20">
        <v>9471</v>
      </c>
      <c r="HA52" s="20">
        <f t="shared" si="94"/>
        <v>160819</v>
      </c>
      <c r="HB52" s="550"/>
      <c r="HC52" s="11">
        <v>45870</v>
      </c>
      <c r="HD52" s="5">
        <f t="shared" si="82"/>
        <v>2004427</v>
      </c>
      <c r="HE52" s="5">
        <f t="shared" si="83"/>
        <v>84076</v>
      </c>
      <c r="HF52" s="5">
        <f t="shared" si="84"/>
        <v>387316</v>
      </c>
      <c r="HG52" s="5">
        <f t="shared" si="85"/>
        <v>419964</v>
      </c>
      <c r="HH52" s="5">
        <f t="shared" si="86"/>
        <v>82538</v>
      </c>
      <c r="HI52" s="5">
        <f t="shared" si="87"/>
        <v>44921</v>
      </c>
      <c r="HJ52" s="5">
        <f t="shared" si="88"/>
        <v>38978</v>
      </c>
      <c r="HK52" s="5">
        <f t="shared" si="89"/>
        <v>1676</v>
      </c>
      <c r="HL52" s="5">
        <f t="shared" si="90"/>
        <v>36748</v>
      </c>
      <c r="HM52" s="5">
        <f t="shared" si="91"/>
        <v>226017</v>
      </c>
      <c r="HO52" s="11">
        <v>45870</v>
      </c>
      <c r="HP52" s="5">
        <f t="shared" si="71"/>
        <v>805984</v>
      </c>
      <c r="HQ52" s="5">
        <f t="shared" si="72"/>
        <v>45654</v>
      </c>
      <c r="HR52" s="5">
        <f t="shared" si="73"/>
        <v>190638</v>
      </c>
      <c r="HS52" s="5">
        <f t="shared" si="74"/>
        <v>214453</v>
      </c>
      <c r="HT52" s="5">
        <f t="shared" si="75"/>
        <v>40208</v>
      </c>
      <c r="HU52" s="5">
        <f t="shared" si="76"/>
        <v>33416</v>
      </c>
      <c r="HV52" s="5">
        <f t="shared" si="77"/>
        <v>33327</v>
      </c>
      <c r="HW52" s="5">
        <f t="shared" si="78"/>
        <v>314</v>
      </c>
      <c r="HX52" s="5">
        <f t="shared" si="79"/>
        <v>30012</v>
      </c>
      <c r="HY52" s="5">
        <f t="shared" si="80"/>
        <v>93215</v>
      </c>
    </row>
    <row r="53" spans="2:233">
      <c r="B53" s="11">
        <v>45901</v>
      </c>
      <c r="C53" s="2">
        <v>0</v>
      </c>
      <c r="D53" s="2">
        <v>248</v>
      </c>
      <c r="E53" s="2">
        <v>604</v>
      </c>
      <c r="F53" s="2">
        <v>306</v>
      </c>
      <c r="G53" s="2">
        <v>131</v>
      </c>
      <c r="H53" s="2">
        <v>264</v>
      </c>
      <c r="I53" s="2">
        <v>2410</v>
      </c>
      <c r="J53" s="2">
        <v>1667</v>
      </c>
      <c r="K53" s="2">
        <v>261</v>
      </c>
      <c r="L53" s="8">
        <f t="shared" ref="L53:L63" si="96">SUM(C53:K53)</f>
        <v>5891</v>
      </c>
      <c r="N53" s="11">
        <v>45901</v>
      </c>
      <c r="O53" s="2">
        <v>0</v>
      </c>
      <c r="P53" s="2">
        <v>248</v>
      </c>
      <c r="Q53" s="2">
        <v>604</v>
      </c>
      <c r="R53" s="2">
        <v>306</v>
      </c>
      <c r="S53" s="2">
        <v>131</v>
      </c>
      <c r="T53" s="2">
        <v>264</v>
      </c>
      <c r="U53" s="2">
        <v>2410</v>
      </c>
      <c r="V53" s="2">
        <v>1667</v>
      </c>
      <c r="W53" s="2">
        <v>261</v>
      </c>
      <c r="X53" s="8">
        <f t="shared" ref="X53:X63" si="97">SUM(O53:W53)</f>
        <v>5891</v>
      </c>
      <c r="Y53" s="8"/>
      <c r="Z53" s="11">
        <v>45901</v>
      </c>
      <c r="AA53" s="207">
        <v>107619</v>
      </c>
      <c r="AB53" s="207">
        <v>691243</v>
      </c>
      <c r="AC53" s="210">
        <v>860455</v>
      </c>
      <c r="AD53" s="210">
        <v>45228</v>
      </c>
      <c r="AE53" s="210">
        <v>94701</v>
      </c>
      <c r="AF53" s="210">
        <v>36589</v>
      </c>
      <c r="AG53" s="210">
        <v>1</v>
      </c>
      <c r="AH53" s="210">
        <v>117325</v>
      </c>
      <c r="AI53" s="210">
        <v>201833</v>
      </c>
      <c r="AJ53" s="210">
        <v>2581522</v>
      </c>
      <c r="AL53" s="11">
        <v>45901</v>
      </c>
      <c r="AM53" s="5">
        <v>107658</v>
      </c>
      <c r="AN53" s="5">
        <v>691594</v>
      </c>
      <c r="AO53" s="5">
        <v>860754</v>
      </c>
      <c r="AP53" s="5">
        <v>45247</v>
      </c>
      <c r="AQ53" s="5">
        <v>94749</v>
      </c>
      <c r="AR53" s="5">
        <v>36610</v>
      </c>
      <c r="AS53" s="5">
        <v>1</v>
      </c>
      <c r="AT53" s="5">
        <v>117379</v>
      </c>
      <c r="AU53" s="5">
        <v>201870</v>
      </c>
      <c r="AV53" s="5">
        <v>2155862</v>
      </c>
      <c r="AW53" s="5"/>
      <c r="AX53" s="11">
        <v>45901</v>
      </c>
      <c r="AY53" s="5">
        <v>84277</v>
      </c>
      <c r="AZ53" s="5">
        <v>558461</v>
      </c>
      <c r="BA53" s="5">
        <v>746543</v>
      </c>
      <c r="BB53" s="5">
        <v>22293</v>
      </c>
      <c r="BC53" s="5">
        <v>64168</v>
      </c>
      <c r="BD53" s="5">
        <v>16886</v>
      </c>
      <c r="BE53" s="5">
        <v>0</v>
      </c>
      <c r="BF53" s="5">
        <v>86117</v>
      </c>
      <c r="BG53" s="5">
        <v>113634</v>
      </c>
      <c r="BH53" s="5">
        <v>1692379</v>
      </c>
      <c r="BI53" s="8"/>
      <c r="BJ53" s="11">
        <v>45901</v>
      </c>
      <c r="BK53" s="5">
        <f t="shared" si="81"/>
        <v>2886868</v>
      </c>
      <c r="BL53" s="8"/>
      <c r="BM53" s="8">
        <v>1759334</v>
      </c>
      <c r="BN53" s="8"/>
      <c r="BO53" s="5">
        <v>1127534</v>
      </c>
      <c r="BP53" s="5">
        <v>77727</v>
      </c>
      <c r="BQ53" s="5">
        <v>335045</v>
      </c>
      <c r="BR53" s="5">
        <v>353469</v>
      </c>
      <c r="BS53" s="5">
        <v>73714</v>
      </c>
      <c r="BT53" s="5">
        <v>32544</v>
      </c>
      <c r="BU53" s="5">
        <v>41230</v>
      </c>
      <c r="BV53" s="5">
        <v>1142</v>
      </c>
      <c r="BW53" s="5">
        <v>33661</v>
      </c>
      <c r="BX53" s="5">
        <v>179002</v>
      </c>
      <c r="BY53" s="5">
        <v>85</v>
      </c>
      <c r="BZ53" s="8"/>
      <c r="CA53" s="11">
        <v>45901</v>
      </c>
      <c r="CB53" s="5">
        <v>84224</v>
      </c>
      <c r="CC53" s="5">
        <v>2908</v>
      </c>
      <c r="CD53" s="5">
        <v>12899</v>
      </c>
      <c r="CE53" s="5">
        <v>16651</v>
      </c>
      <c r="CF53" s="5">
        <v>2341</v>
      </c>
      <c r="CG53" s="5">
        <v>3345</v>
      </c>
      <c r="CH53" s="5">
        <v>1313</v>
      </c>
      <c r="CI53" s="5">
        <v>0</v>
      </c>
      <c r="CJ53" s="5">
        <v>3593</v>
      </c>
      <c r="CK53" s="5">
        <v>8098</v>
      </c>
      <c r="CL53" s="35"/>
      <c r="CM53" s="11">
        <v>45901</v>
      </c>
      <c r="CN53" s="5">
        <f t="shared" si="93"/>
        <v>134161</v>
      </c>
      <c r="CO53" s="5">
        <f t="shared" si="92"/>
        <v>4956</v>
      </c>
      <c r="CP53" s="5">
        <f t="shared" si="92"/>
        <v>20927</v>
      </c>
      <c r="CQ53" s="5">
        <f t="shared" si="92"/>
        <v>25823</v>
      </c>
      <c r="CR53" s="5">
        <f t="shared" si="92"/>
        <v>4342</v>
      </c>
      <c r="CS53" s="5">
        <f t="shared" si="92"/>
        <v>6124</v>
      </c>
      <c r="CT53" s="5">
        <f t="shared" si="92"/>
        <v>2409</v>
      </c>
      <c r="CU53" s="5">
        <f t="shared" si="92"/>
        <v>0</v>
      </c>
      <c r="CV53" s="5">
        <f t="shared" si="92"/>
        <v>6169</v>
      </c>
      <c r="CW53" s="5">
        <f t="shared" si="92"/>
        <v>13958</v>
      </c>
      <c r="CX53" s="8"/>
      <c r="CY53" s="11">
        <v>45901</v>
      </c>
      <c r="CZ53" s="20">
        <v>62950</v>
      </c>
      <c r="DA53" s="8">
        <v>819</v>
      </c>
      <c r="DB53" s="8">
        <v>3521</v>
      </c>
      <c r="DC53" s="8">
        <v>4220</v>
      </c>
      <c r="DD53" s="8">
        <v>672</v>
      </c>
      <c r="DE53" s="8">
        <v>1251</v>
      </c>
      <c r="DF53" s="8">
        <v>313</v>
      </c>
      <c r="DG53" s="8">
        <v>0</v>
      </c>
      <c r="DH53" s="8">
        <v>1106</v>
      </c>
      <c r="DI53" s="8">
        <v>1595</v>
      </c>
      <c r="DJ53" s="8"/>
      <c r="DK53" s="11">
        <v>45901</v>
      </c>
      <c r="DL53" s="5">
        <f t="shared" si="95"/>
        <v>71211</v>
      </c>
      <c r="DM53" s="8">
        <v>4137</v>
      </c>
      <c r="DN53" s="8">
        <v>17406</v>
      </c>
      <c r="DO53" s="8">
        <v>21603</v>
      </c>
      <c r="DP53" s="8">
        <v>3670</v>
      </c>
      <c r="DQ53" s="8">
        <v>4873</v>
      </c>
      <c r="DR53" s="8">
        <v>2096</v>
      </c>
      <c r="DS53" s="8">
        <v>0</v>
      </c>
      <c r="DT53" s="8">
        <v>5063</v>
      </c>
      <c r="DU53" s="8">
        <v>12363</v>
      </c>
      <c r="DV53" s="8"/>
      <c r="DW53" s="11">
        <v>45901</v>
      </c>
      <c r="DX53" s="8">
        <v>575834</v>
      </c>
      <c r="DY53" s="8">
        <v>31482</v>
      </c>
      <c r="DZ53" s="8">
        <v>137444</v>
      </c>
      <c r="EA53" s="8">
        <v>151931</v>
      </c>
      <c r="EB53" s="8">
        <v>23433</v>
      </c>
      <c r="EC53" s="8">
        <v>30292</v>
      </c>
      <c r="ED53" s="8">
        <v>16913</v>
      </c>
      <c r="EE53" s="8">
        <v>0</v>
      </c>
      <c r="EF53" s="8">
        <v>44763</v>
      </c>
      <c r="EG53" s="8">
        <v>49520</v>
      </c>
      <c r="EH53" s="8"/>
      <c r="EI53" s="11">
        <v>45901</v>
      </c>
      <c r="EJ53" s="8">
        <v>381617</v>
      </c>
      <c r="EK53" s="8">
        <v>20170</v>
      </c>
      <c r="EL53" s="8">
        <v>97630</v>
      </c>
      <c r="EM53" s="8">
        <v>112944</v>
      </c>
      <c r="EN53" s="8">
        <v>12242</v>
      </c>
      <c r="EO53" s="8">
        <v>16926</v>
      </c>
      <c r="EP53" s="8">
        <v>8579</v>
      </c>
      <c r="EQ53" s="8">
        <v>0</v>
      </c>
      <c r="ER53" s="8">
        <v>27518</v>
      </c>
      <c r="ES53" s="8">
        <v>28114</v>
      </c>
      <c r="ET53" s="8"/>
      <c r="EU53" s="11">
        <v>45901</v>
      </c>
      <c r="EV53" s="5">
        <v>850200</v>
      </c>
      <c r="EW53" s="5">
        <v>39353</v>
      </c>
      <c r="EX53" s="5">
        <v>167547</v>
      </c>
      <c r="EY53" s="5">
        <v>182083</v>
      </c>
      <c r="EZ53" s="5">
        <v>31041</v>
      </c>
      <c r="FA53" s="5">
        <v>36372</v>
      </c>
      <c r="FB53" s="5">
        <v>21558</v>
      </c>
      <c r="FC53" s="5">
        <v>1</v>
      </c>
      <c r="FD53" s="5">
        <v>50756</v>
      </c>
      <c r="FE53" s="5">
        <v>71796</v>
      </c>
      <c r="FG53" s="11">
        <v>45901</v>
      </c>
      <c r="FH53" s="5">
        <v>486774</v>
      </c>
      <c r="FI53" s="5">
        <v>23902</v>
      </c>
      <c r="FJ53" s="5">
        <v>106240</v>
      </c>
      <c r="FK53" s="5">
        <v>124946</v>
      </c>
      <c r="FL53" s="5">
        <v>15790</v>
      </c>
      <c r="FM53" s="5">
        <v>16320</v>
      </c>
      <c r="FN53" s="5">
        <v>10165</v>
      </c>
      <c r="FO53" s="5">
        <v>0</v>
      </c>
      <c r="FP53" s="5">
        <v>22363</v>
      </c>
      <c r="FQ53" s="5">
        <v>42601</v>
      </c>
      <c r="FS53" s="11">
        <v>45901</v>
      </c>
      <c r="FT53" s="5">
        <v>186</v>
      </c>
      <c r="FU53" s="5">
        <v>75</v>
      </c>
      <c r="FV53" s="5">
        <v>1</v>
      </c>
      <c r="FW53" s="5">
        <v>57</v>
      </c>
      <c r="FX53" s="5">
        <v>538</v>
      </c>
      <c r="FY53" s="5">
        <v>617</v>
      </c>
      <c r="FZ53" s="5">
        <v>336</v>
      </c>
      <c r="GA53" s="5">
        <v>677</v>
      </c>
      <c r="GB53" s="5">
        <v>135</v>
      </c>
      <c r="GC53" s="5">
        <v>2499</v>
      </c>
      <c r="GE53" s="11">
        <v>45901</v>
      </c>
      <c r="GF53" s="5">
        <v>415</v>
      </c>
      <c r="GG53" s="5">
        <v>203</v>
      </c>
      <c r="GH53" s="5"/>
      <c r="GI53" s="5">
        <v>87</v>
      </c>
      <c r="GJ53" s="5">
        <v>278</v>
      </c>
      <c r="GK53" s="5">
        <v>1763</v>
      </c>
      <c r="GL53" s="5">
        <v>221</v>
      </c>
      <c r="GM53" s="5">
        <v>1413</v>
      </c>
      <c r="GN53" s="5">
        <v>174</v>
      </c>
      <c r="GO53" s="5">
        <v>4554</v>
      </c>
      <c r="GQ53" s="21">
        <v>45901</v>
      </c>
      <c r="GR53" s="20">
        <v>247</v>
      </c>
      <c r="GS53" s="20">
        <v>4154</v>
      </c>
      <c r="GT53" s="20">
        <v>17914</v>
      </c>
      <c r="GU53" s="20">
        <v>14036</v>
      </c>
      <c r="GV53" s="20">
        <v>12520</v>
      </c>
      <c r="GW53" s="20">
        <v>6112</v>
      </c>
      <c r="GX53" s="20">
        <v>31897</v>
      </c>
      <c r="GY53" s="20">
        <v>42265</v>
      </c>
      <c r="GZ53" s="20">
        <v>7962</v>
      </c>
      <c r="HA53" s="20">
        <f t="shared" si="94"/>
        <v>137107</v>
      </c>
      <c r="HB53" s="550"/>
      <c r="HC53" s="11">
        <v>45901</v>
      </c>
      <c r="HD53" s="5">
        <f t="shared" si="82"/>
        <v>1893495</v>
      </c>
      <c r="HE53" s="5">
        <f t="shared" si="83"/>
        <v>82683</v>
      </c>
      <c r="HF53" s="5">
        <f t="shared" si="84"/>
        <v>355972</v>
      </c>
      <c r="HG53" s="5">
        <f t="shared" si="85"/>
        <v>379292</v>
      </c>
      <c r="HH53" s="5">
        <f t="shared" si="86"/>
        <v>78056</v>
      </c>
      <c r="HI53" s="5">
        <f t="shared" si="87"/>
        <v>38668</v>
      </c>
      <c r="HJ53" s="5">
        <f t="shared" si="88"/>
        <v>43639</v>
      </c>
      <c r="HK53" s="5">
        <f t="shared" si="89"/>
        <v>1142</v>
      </c>
      <c r="HL53" s="5">
        <f t="shared" si="90"/>
        <v>39830</v>
      </c>
      <c r="HM53" s="5">
        <f t="shared" si="91"/>
        <v>192960</v>
      </c>
      <c r="HO53" s="11">
        <v>45901</v>
      </c>
      <c r="HP53" s="5">
        <f t="shared" si="71"/>
        <v>712941</v>
      </c>
      <c r="HQ53" s="5">
        <f t="shared" si="72"/>
        <v>39444</v>
      </c>
      <c r="HR53" s="5">
        <f t="shared" si="73"/>
        <v>179709</v>
      </c>
      <c r="HS53" s="5">
        <f t="shared" si="74"/>
        <v>183828</v>
      </c>
      <c r="HT53" s="5">
        <f t="shared" si="75"/>
        <v>37469</v>
      </c>
      <c r="HU53" s="5">
        <f t="shared" si="76"/>
        <v>34446</v>
      </c>
      <c r="HV53" s="5">
        <f t="shared" si="77"/>
        <v>29433</v>
      </c>
      <c r="HW53" s="5">
        <f t="shared" si="78"/>
        <v>247</v>
      </c>
      <c r="HX53" s="5">
        <f t="shared" si="79"/>
        <v>50875</v>
      </c>
      <c r="HY53" s="5">
        <f t="shared" si="80"/>
        <v>67434</v>
      </c>
    </row>
    <row r="54" spans="2:233">
      <c r="B54" s="11">
        <v>45931</v>
      </c>
      <c r="C54" s="2">
        <v>0</v>
      </c>
      <c r="D54" s="2">
        <v>15</v>
      </c>
      <c r="E54" s="2">
        <v>560</v>
      </c>
      <c r="F54" s="2">
        <v>307</v>
      </c>
      <c r="G54" s="2">
        <v>152</v>
      </c>
      <c r="H54" s="2">
        <v>93</v>
      </c>
      <c r="I54" s="2">
        <v>2456</v>
      </c>
      <c r="J54" s="2">
        <v>1815</v>
      </c>
      <c r="K54" s="2">
        <v>353</v>
      </c>
      <c r="L54" s="8">
        <f t="shared" si="96"/>
        <v>5751</v>
      </c>
      <c r="N54" s="11">
        <v>45931</v>
      </c>
      <c r="O54" s="2">
        <v>0</v>
      </c>
      <c r="P54" s="2">
        <v>15</v>
      </c>
      <c r="Q54" s="2">
        <v>560</v>
      </c>
      <c r="R54" s="2">
        <v>307</v>
      </c>
      <c r="S54" s="2">
        <v>152</v>
      </c>
      <c r="T54" s="2">
        <v>93</v>
      </c>
      <c r="U54" s="2">
        <v>2456</v>
      </c>
      <c r="V54" s="2">
        <v>1815</v>
      </c>
      <c r="W54" s="2">
        <v>353</v>
      </c>
      <c r="X54" s="8">
        <f t="shared" si="97"/>
        <v>5751</v>
      </c>
      <c r="Y54" s="8"/>
      <c r="Z54" s="11">
        <v>45931</v>
      </c>
      <c r="AA54" s="210">
        <v>147725</v>
      </c>
      <c r="AB54" s="210">
        <v>856888</v>
      </c>
      <c r="AC54" s="210">
        <v>1084580</v>
      </c>
      <c r="AD54" s="210">
        <v>40898</v>
      </c>
      <c r="AE54" s="210">
        <v>79725</v>
      </c>
      <c r="AF54" s="210">
        <v>35085</v>
      </c>
      <c r="AG54" s="210">
        <v>1</v>
      </c>
      <c r="AH54" s="210">
        <v>53425</v>
      </c>
      <c r="AI54" s="210">
        <v>303090</v>
      </c>
      <c r="AJ54" s="210">
        <v>3236889</v>
      </c>
      <c r="AL54" s="11">
        <v>45931</v>
      </c>
      <c r="AM54" s="5">
        <v>147725</v>
      </c>
      <c r="AN54" s="5">
        <v>856888</v>
      </c>
      <c r="AO54" s="5">
        <v>1084580</v>
      </c>
      <c r="AP54" s="5">
        <v>40898</v>
      </c>
      <c r="AQ54" s="5">
        <v>79725</v>
      </c>
      <c r="AR54" s="5">
        <v>35085</v>
      </c>
      <c r="AS54" s="5">
        <v>1</v>
      </c>
      <c r="AT54" s="5">
        <v>53425</v>
      </c>
      <c r="AU54" s="5">
        <v>303090</v>
      </c>
      <c r="AV54" s="5">
        <v>2601417</v>
      </c>
      <c r="AW54" s="10"/>
      <c r="AX54" s="11">
        <v>45931</v>
      </c>
      <c r="AY54" s="5">
        <v>126550</v>
      </c>
      <c r="AZ54" s="5">
        <v>745644</v>
      </c>
      <c r="BA54" s="5">
        <v>930849</v>
      </c>
      <c r="BB54" s="5">
        <v>20817</v>
      </c>
      <c r="BC54" s="5">
        <v>55887</v>
      </c>
      <c r="BD54" s="5">
        <v>15735</v>
      </c>
      <c r="BE54" s="5">
        <v>1</v>
      </c>
      <c r="BF54" s="5">
        <v>32258</v>
      </c>
      <c r="BG54" s="5">
        <v>249986</v>
      </c>
      <c r="BH54" s="5">
        <v>2177727</v>
      </c>
      <c r="BI54" s="8"/>
      <c r="BJ54" s="11">
        <v>45931</v>
      </c>
      <c r="BK54" s="5">
        <f t="shared" si="81"/>
        <v>2886582</v>
      </c>
      <c r="BL54" s="8"/>
      <c r="BM54" s="8">
        <v>1769582</v>
      </c>
      <c r="BN54" s="8"/>
      <c r="BO54" s="5">
        <v>1117000</v>
      </c>
      <c r="BP54" s="5">
        <v>85356</v>
      </c>
      <c r="BQ54" s="5">
        <v>358546</v>
      </c>
      <c r="BR54" s="5">
        <v>350017</v>
      </c>
      <c r="BS54" s="5">
        <v>76216</v>
      </c>
      <c r="BT54" s="5">
        <v>13912</v>
      </c>
      <c r="BU54" s="5">
        <v>46527</v>
      </c>
      <c r="BV54" s="5">
        <v>820</v>
      </c>
      <c r="BW54" s="5">
        <v>20554</v>
      </c>
      <c r="BX54" s="5">
        <v>165052</v>
      </c>
      <c r="BY54" s="5">
        <v>357</v>
      </c>
      <c r="BZ54" s="8"/>
      <c r="CA54" s="11">
        <v>45931</v>
      </c>
      <c r="CB54" s="5">
        <v>84869</v>
      </c>
      <c r="CC54" s="5">
        <v>3289</v>
      </c>
      <c r="CD54" s="5">
        <v>15404</v>
      </c>
      <c r="CE54" s="5">
        <v>17956</v>
      </c>
      <c r="CF54" s="5">
        <v>2469</v>
      </c>
      <c r="CG54" s="5">
        <v>1423</v>
      </c>
      <c r="CH54" s="5">
        <v>1267</v>
      </c>
      <c r="CI54" s="5">
        <v>0</v>
      </c>
      <c r="CJ54" s="5">
        <v>1501</v>
      </c>
      <c r="CK54" s="5">
        <v>9524</v>
      </c>
      <c r="CL54" s="6"/>
      <c r="CM54" s="11">
        <v>45931</v>
      </c>
      <c r="CN54" s="5">
        <f t="shared" si="93"/>
        <v>125618</v>
      </c>
      <c r="CO54" s="5">
        <f t="shared" si="92"/>
        <v>5282</v>
      </c>
      <c r="CP54" s="5">
        <f t="shared" si="92"/>
        <v>24058</v>
      </c>
      <c r="CQ54" s="5">
        <f t="shared" si="92"/>
        <v>27773</v>
      </c>
      <c r="CR54" s="5">
        <f t="shared" si="92"/>
        <v>4362</v>
      </c>
      <c r="CS54" s="5">
        <f t="shared" si="92"/>
        <v>2557</v>
      </c>
      <c r="CT54" s="5">
        <f t="shared" si="92"/>
        <v>2317</v>
      </c>
      <c r="CU54" s="5">
        <f t="shared" si="92"/>
        <v>2</v>
      </c>
      <c r="CV54" s="5">
        <f t="shared" si="92"/>
        <v>2967</v>
      </c>
      <c r="CW54" s="5">
        <f t="shared" si="92"/>
        <v>14568</v>
      </c>
      <c r="CX54" s="8"/>
      <c r="CY54" s="11">
        <v>45931</v>
      </c>
      <c r="CZ54" s="20">
        <v>54007</v>
      </c>
      <c r="DA54" s="8">
        <v>784</v>
      </c>
      <c r="DB54" s="8">
        <v>3603</v>
      </c>
      <c r="DC54" s="8">
        <v>4389</v>
      </c>
      <c r="DD54" s="8">
        <v>636</v>
      </c>
      <c r="DE54" s="8">
        <v>416</v>
      </c>
      <c r="DF54" s="8">
        <v>333</v>
      </c>
      <c r="DG54" s="8">
        <v>1</v>
      </c>
      <c r="DH54" s="8">
        <v>483</v>
      </c>
      <c r="DI54" s="8">
        <v>1630</v>
      </c>
      <c r="DJ54" s="8"/>
      <c r="DK54" s="11">
        <v>45931</v>
      </c>
      <c r="DL54" s="5">
        <f t="shared" si="95"/>
        <v>71611</v>
      </c>
      <c r="DM54" s="8">
        <v>4498</v>
      </c>
      <c r="DN54" s="8">
        <v>20455</v>
      </c>
      <c r="DO54" s="8">
        <v>23384</v>
      </c>
      <c r="DP54" s="8">
        <v>3726</v>
      </c>
      <c r="DQ54" s="8">
        <v>2141</v>
      </c>
      <c r="DR54" s="8">
        <v>1984</v>
      </c>
      <c r="DS54" s="8">
        <v>1</v>
      </c>
      <c r="DT54" s="8">
        <v>2484</v>
      </c>
      <c r="DU54" s="8">
        <v>12938</v>
      </c>
      <c r="DV54" s="8"/>
      <c r="DW54" s="11">
        <v>45931</v>
      </c>
      <c r="DX54" s="8">
        <v>552680</v>
      </c>
      <c r="DY54" s="8">
        <v>33092</v>
      </c>
      <c r="DZ54" s="8">
        <v>153880</v>
      </c>
      <c r="EA54" s="8">
        <v>139299</v>
      </c>
      <c r="EB54" s="8">
        <v>20947</v>
      </c>
      <c r="EC54" s="8">
        <v>14967</v>
      </c>
      <c r="ED54" s="8">
        <v>15193</v>
      </c>
      <c r="EE54" s="8">
        <v>0</v>
      </c>
      <c r="EF54" s="8">
        <v>17798</v>
      </c>
      <c r="EG54" s="8">
        <v>52299</v>
      </c>
      <c r="EH54" s="8"/>
      <c r="EI54" s="11">
        <v>45931</v>
      </c>
      <c r="EJ54" s="8">
        <v>383612</v>
      </c>
      <c r="EK54" s="8">
        <v>22476</v>
      </c>
      <c r="EL54" s="8">
        <v>115557</v>
      </c>
      <c r="EM54" s="8">
        <v>101030</v>
      </c>
      <c r="EN54" s="8">
        <v>10956</v>
      </c>
      <c r="EO54" s="8">
        <v>9140</v>
      </c>
      <c r="EP54" s="8">
        <v>7496</v>
      </c>
      <c r="EQ54" s="8">
        <v>0</v>
      </c>
      <c r="ER54" s="8">
        <v>9850</v>
      </c>
      <c r="ES54" s="8">
        <v>37273</v>
      </c>
      <c r="ET54" s="8"/>
      <c r="EU54" s="21">
        <v>45931</v>
      </c>
      <c r="EV54" s="20">
        <v>881010.88235294074</v>
      </c>
      <c r="EW54" s="20">
        <v>41755.083333333343</v>
      </c>
      <c r="EX54" s="20">
        <v>191347.54545454553</v>
      </c>
      <c r="EY54" s="20">
        <v>176824</v>
      </c>
      <c r="EZ54" s="20">
        <v>27569.166666666668</v>
      </c>
      <c r="FA54" s="20">
        <v>17049.100000000002</v>
      </c>
      <c r="FB54" s="20">
        <v>19458.368421052641</v>
      </c>
      <c r="FC54" s="20">
        <v>1</v>
      </c>
      <c r="FD54" s="20">
        <v>20222.333333333339</v>
      </c>
      <c r="FE54" s="20">
        <v>74694.300000000047</v>
      </c>
      <c r="FF54" s="549" t="s">
        <v>173</v>
      </c>
      <c r="FG54" s="21">
        <v>45931</v>
      </c>
      <c r="FH54" s="20">
        <v>596611.8823529412</v>
      </c>
      <c r="FI54" s="20">
        <v>26851.083333333318</v>
      </c>
      <c r="FJ54" s="20">
        <v>133135.54545454535</v>
      </c>
      <c r="FK54" s="20">
        <v>121692</v>
      </c>
      <c r="FL54" s="20">
        <v>14072.166666666664</v>
      </c>
      <c r="FM54" s="20">
        <v>9791.1000000000076</v>
      </c>
      <c r="FN54" s="20">
        <v>9097.3684210526299</v>
      </c>
      <c r="FO54" s="24" t="s">
        <v>174</v>
      </c>
      <c r="FP54" s="20">
        <v>11136.235294117649</v>
      </c>
      <c r="FQ54" s="20">
        <v>50648.300000000039</v>
      </c>
      <c r="FR54" s="549" t="s">
        <v>173</v>
      </c>
      <c r="FS54" s="11">
        <v>45931</v>
      </c>
      <c r="FT54" s="5">
        <v>214</v>
      </c>
      <c r="FU54" s="5">
        <v>76</v>
      </c>
      <c r="FV54" s="5">
        <v>0</v>
      </c>
      <c r="FW54" s="5">
        <v>48</v>
      </c>
      <c r="FX54" s="5">
        <v>106</v>
      </c>
      <c r="FY54" s="5">
        <v>649</v>
      </c>
      <c r="FZ54" s="5">
        <v>129</v>
      </c>
      <c r="GA54" s="5">
        <v>747</v>
      </c>
      <c r="GB54" s="5">
        <v>144</v>
      </c>
      <c r="GC54" s="5">
        <v>2015</v>
      </c>
      <c r="GE54" s="11">
        <v>45931</v>
      </c>
      <c r="GF54" s="5">
        <v>499</v>
      </c>
      <c r="GG54" s="5">
        <v>191</v>
      </c>
      <c r="GH54" s="5"/>
      <c r="GI54" s="5">
        <v>86</v>
      </c>
      <c r="GJ54" s="5">
        <v>42</v>
      </c>
      <c r="GK54" s="5">
        <v>1835</v>
      </c>
      <c r="GL54" s="5">
        <v>10</v>
      </c>
      <c r="GM54" s="5">
        <v>1429</v>
      </c>
      <c r="GN54" s="5">
        <v>213</v>
      </c>
      <c r="GO54" s="5">
        <v>4305</v>
      </c>
      <c r="GQ54" s="21">
        <v>45931</v>
      </c>
      <c r="GR54" s="20">
        <v>203</v>
      </c>
      <c r="GS54" s="20">
        <v>2621</v>
      </c>
      <c r="GT54" s="20">
        <v>18674</v>
      </c>
      <c r="GU54" s="20">
        <v>14992</v>
      </c>
      <c r="GV54" s="20">
        <v>13576</v>
      </c>
      <c r="GW54" s="20">
        <v>4338</v>
      </c>
      <c r="GX54" s="20">
        <v>32808</v>
      </c>
      <c r="GY54" s="20">
        <v>50252</v>
      </c>
      <c r="GZ54" s="20">
        <v>8827</v>
      </c>
      <c r="HA54" s="20">
        <f t="shared" si="94"/>
        <v>146291</v>
      </c>
      <c r="HB54" s="550"/>
      <c r="HC54" s="11">
        <v>45931</v>
      </c>
      <c r="HD54" s="5">
        <f t="shared" si="82"/>
        <v>1895200</v>
      </c>
      <c r="HE54" s="5">
        <f t="shared" si="83"/>
        <v>90638</v>
      </c>
      <c r="HF54" s="5">
        <f t="shared" si="84"/>
        <v>382604</v>
      </c>
      <c r="HG54" s="5">
        <f t="shared" si="85"/>
        <v>377790</v>
      </c>
      <c r="HH54" s="5">
        <f t="shared" si="86"/>
        <v>80578</v>
      </c>
      <c r="HI54" s="5">
        <f t="shared" si="87"/>
        <v>16469</v>
      </c>
      <c r="HJ54" s="5">
        <f t="shared" si="88"/>
        <v>48844</v>
      </c>
      <c r="HK54" s="5">
        <f t="shared" si="89"/>
        <v>822</v>
      </c>
      <c r="HL54" s="5">
        <f t="shared" si="90"/>
        <v>23521</v>
      </c>
      <c r="HM54" s="5">
        <f t="shared" si="91"/>
        <v>179620</v>
      </c>
      <c r="HO54" s="11">
        <v>45931</v>
      </c>
      <c r="HP54" s="5">
        <f t="shared" si="71"/>
        <v>698971</v>
      </c>
      <c r="HQ54" s="5">
        <f t="shared" si="72"/>
        <v>41919</v>
      </c>
      <c r="HR54" s="5">
        <f t="shared" si="73"/>
        <v>204132</v>
      </c>
      <c r="HS54" s="5">
        <f t="shared" si="74"/>
        <v>172107</v>
      </c>
      <c r="HT54" s="5">
        <f t="shared" si="75"/>
        <v>35939</v>
      </c>
      <c r="HU54" s="5">
        <f t="shared" si="76"/>
        <v>17588</v>
      </c>
      <c r="HV54" s="5">
        <f t="shared" si="77"/>
        <v>28769</v>
      </c>
      <c r="HW54" s="5">
        <f t="shared" si="78"/>
        <v>203</v>
      </c>
      <c r="HX54" s="5">
        <f t="shared" si="79"/>
        <v>22136</v>
      </c>
      <c r="HY54" s="5">
        <f t="shared" si="80"/>
        <v>70973</v>
      </c>
    </row>
    <row r="55" spans="2:233">
      <c r="B55" s="11">
        <v>45962</v>
      </c>
      <c r="C55" s="2">
        <v>0</v>
      </c>
      <c r="D55" s="2">
        <v>25</v>
      </c>
      <c r="E55" s="2">
        <v>648</v>
      </c>
      <c r="F55" s="2">
        <v>394</v>
      </c>
      <c r="G55" s="2">
        <v>156</v>
      </c>
      <c r="H55" s="2">
        <v>31</v>
      </c>
      <c r="I55" s="2">
        <v>2909</v>
      </c>
      <c r="J55" s="2">
        <v>2159</v>
      </c>
      <c r="K55" s="2">
        <v>410</v>
      </c>
      <c r="L55" s="8">
        <f t="shared" si="96"/>
        <v>6732</v>
      </c>
      <c r="N55" s="11">
        <v>45962</v>
      </c>
      <c r="O55" s="2">
        <v>0</v>
      </c>
      <c r="P55" s="2">
        <v>25</v>
      </c>
      <c r="Q55" s="2">
        <v>648</v>
      </c>
      <c r="R55" s="2">
        <v>394</v>
      </c>
      <c r="S55" s="2">
        <v>156</v>
      </c>
      <c r="T55" s="2">
        <v>31</v>
      </c>
      <c r="U55" s="2">
        <v>2909</v>
      </c>
      <c r="V55" s="2">
        <v>2159</v>
      </c>
      <c r="W55" s="2">
        <v>410</v>
      </c>
      <c r="X55" s="8">
        <f t="shared" si="97"/>
        <v>6732</v>
      </c>
      <c r="Y55" s="8"/>
      <c r="Z55" s="11">
        <v>45962</v>
      </c>
      <c r="AA55" s="210">
        <v>153762</v>
      </c>
      <c r="AB55" s="210">
        <v>711636</v>
      </c>
      <c r="AC55" s="210">
        <v>1164983</v>
      </c>
      <c r="AD55" s="210">
        <v>42633</v>
      </c>
      <c r="AE55" s="210">
        <v>56180</v>
      </c>
      <c r="AF55" s="210">
        <v>45792</v>
      </c>
      <c r="AG55" s="210">
        <v>0</v>
      </c>
      <c r="AH55" s="210">
        <v>48158</v>
      </c>
      <c r="AI55" s="210">
        <v>313408</v>
      </c>
      <c r="AJ55" s="210">
        <v>3281361</v>
      </c>
      <c r="AL55" s="11">
        <v>45962</v>
      </c>
      <c r="AM55" s="5">
        <v>153762</v>
      </c>
      <c r="AN55" s="5">
        <v>711636</v>
      </c>
      <c r="AO55" s="5">
        <v>1164983</v>
      </c>
      <c r="AP55" s="5">
        <v>42633</v>
      </c>
      <c r="AQ55" s="5">
        <v>56180</v>
      </c>
      <c r="AR55" s="5">
        <v>45792</v>
      </c>
      <c r="AS55" s="5">
        <v>0</v>
      </c>
      <c r="AT55" s="5">
        <v>48158</v>
      </c>
      <c r="AU55" s="5">
        <v>313408</v>
      </c>
      <c r="AV55" s="5">
        <v>2536552</v>
      </c>
      <c r="AX55" s="11">
        <v>45962</v>
      </c>
      <c r="AY55" s="5">
        <v>112540</v>
      </c>
      <c r="AZ55" s="5">
        <v>567562</v>
      </c>
      <c r="BA55" s="5">
        <v>997706</v>
      </c>
      <c r="BB55" s="5">
        <v>22151</v>
      </c>
      <c r="BC55" s="5">
        <v>36377</v>
      </c>
      <c r="BD55" s="5">
        <v>17675</v>
      </c>
      <c r="BE55" s="5">
        <v>0</v>
      </c>
      <c r="BF55" s="5">
        <v>24601</v>
      </c>
      <c r="BG55" s="5">
        <v>262500</v>
      </c>
      <c r="BH55" s="5">
        <v>2041112</v>
      </c>
      <c r="BI55" s="8"/>
      <c r="BJ55" s="11">
        <v>45962</v>
      </c>
      <c r="BK55" s="5">
        <f>BM55+BO55</f>
        <v>2930881</v>
      </c>
      <c r="BL55" s="8"/>
      <c r="BM55" s="8">
        <v>1799571</v>
      </c>
      <c r="BN55" s="8"/>
      <c r="BO55" s="5">
        <v>1131310</v>
      </c>
      <c r="BP55" s="5">
        <v>85976</v>
      </c>
      <c r="BQ55" s="5">
        <v>355864</v>
      </c>
      <c r="BR55" s="5">
        <v>356184</v>
      </c>
      <c r="BS55" s="5">
        <v>75029</v>
      </c>
      <c r="BT55" s="5">
        <v>11007</v>
      </c>
      <c r="BU55" s="5">
        <v>65591</v>
      </c>
      <c r="BV55" s="5">
        <v>738</v>
      </c>
      <c r="BW55" s="5">
        <v>16084</v>
      </c>
      <c r="BX55" s="5">
        <v>164837</v>
      </c>
      <c r="BY55" s="5">
        <v>366</v>
      </c>
      <c r="BZ55" s="8"/>
      <c r="CA55" s="11">
        <v>45962</v>
      </c>
      <c r="CB55" s="5">
        <v>81373</v>
      </c>
      <c r="CC55" s="5">
        <v>2992</v>
      </c>
      <c r="CD55" s="5">
        <v>14862</v>
      </c>
      <c r="CE55" s="5">
        <v>19098</v>
      </c>
      <c r="CF55" s="5">
        <v>2009</v>
      </c>
      <c r="CG55" s="5">
        <v>1262</v>
      </c>
      <c r="CH55" s="5">
        <v>1222</v>
      </c>
      <c r="CI55" s="5">
        <v>0</v>
      </c>
      <c r="CJ55" s="5">
        <v>924</v>
      </c>
      <c r="CK55" s="5">
        <v>8981</v>
      </c>
      <c r="CL55" s="6"/>
      <c r="CM55" s="11">
        <v>45962</v>
      </c>
      <c r="CN55" s="5">
        <f t="shared" si="93"/>
        <v>124179</v>
      </c>
      <c r="CO55" s="5">
        <f t="shared" si="92"/>
        <v>5049</v>
      </c>
      <c r="CP55" s="5">
        <f t="shared" si="92"/>
        <v>24328</v>
      </c>
      <c r="CQ55" s="5">
        <f t="shared" si="92"/>
        <v>29278</v>
      </c>
      <c r="CR55" s="5">
        <f t="shared" si="92"/>
        <v>3909</v>
      </c>
      <c r="CS55" s="5">
        <f t="shared" si="92"/>
        <v>2333</v>
      </c>
      <c r="CT55" s="5">
        <f t="shared" si="92"/>
        <v>2406</v>
      </c>
      <c r="CU55" s="5">
        <f t="shared" si="92"/>
        <v>0</v>
      </c>
      <c r="CV55" s="5">
        <f t="shared" si="92"/>
        <v>2055</v>
      </c>
      <c r="CW55" s="5">
        <f t="shared" si="92"/>
        <v>14208</v>
      </c>
      <c r="CX55" s="8"/>
      <c r="CY55" s="11">
        <v>45962</v>
      </c>
      <c r="CZ55" s="20">
        <v>53663</v>
      </c>
      <c r="DA55" s="8">
        <v>817</v>
      </c>
      <c r="DB55" s="8">
        <v>4262</v>
      </c>
      <c r="DC55" s="8">
        <v>4576</v>
      </c>
      <c r="DD55" s="8">
        <v>592</v>
      </c>
      <c r="DE55" s="8">
        <v>420</v>
      </c>
      <c r="DF55" s="8">
        <v>364</v>
      </c>
      <c r="DG55" s="8">
        <v>0</v>
      </c>
      <c r="DH55" s="8">
        <v>334</v>
      </c>
      <c r="DI55" s="8">
        <v>1685</v>
      </c>
      <c r="DJ55" s="8"/>
      <c r="DK55" s="11">
        <v>45962</v>
      </c>
      <c r="DL55" s="5">
        <f t="shared" si="95"/>
        <v>70516</v>
      </c>
      <c r="DM55" s="8">
        <v>4232</v>
      </c>
      <c r="DN55" s="8">
        <v>20066</v>
      </c>
      <c r="DO55" s="8">
        <v>24702</v>
      </c>
      <c r="DP55" s="8">
        <v>3317</v>
      </c>
      <c r="DQ55" s="8">
        <v>1913</v>
      </c>
      <c r="DR55" s="8">
        <v>2042</v>
      </c>
      <c r="DS55" s="8">
        <v>0</v>
      </c>
      <c r="DT55" s="8">
        <v>1721</v>
      </c>
      <c r="DU55" s="8">
        <v>12523</v>
      </c>
      <c r="DV55" s="8"/>
      <c r="DW55" s="11">
        <v>45962</v>
      </c>
      <c r="DX55" s="8">
        <v>549955</v>
      </c>
      <c r="DY55" s="8">
        <v>31232</v>
      </c>
      <c r="DZ55" s="8">
        <v>138042</v>
      </c>
      <c r="EA55" s="8">
        <v>137643</v>
      </c>
      <c r="EB55" s="8">
        <v>20215</v>
      </c>
      <c r="EC55" s="8">
        <v>11652</v>
      </c>
      <c r="ED55" s="8">
        <v>17599</v>
      </c>
      <c r="EE55" s="8">
        <v>0</v>
      </c>
      <c r="EF55" s="8">
        <v>16316</v>
      </c>
      <c r="EG55" s="8">
        <v>58351</v>
      </c>
      <c r="EH55" s="8"/>
      <c r="EI55" s="11">
        <v>45962</v>
      </c>
      <c r="EJ55" s="8">
        <v>374370</v>
      </c>
      <c r="EK55" s="8">
        <v>19707</v>
      </c>
      <c r="EL55" s="8">
        <v>98624</v>
      </c>
      <c r="EM55" s="8">
        <v>101459</v>
      </c>
      <c r="EN55" s="8">
        <v>9867</v>
      </c>
      <c r="EO55" s="8">
        <v>6407</v>
      </c>
      <c r="EP55" s="8">
        <v>7502</v>
      </c>
      <c r="EQ55" s="8">
        <v>0</v>
      </c>
      <c r="ER55" s="8">
        <v>8075</v>
      </c>
      <c r="ES55" s="8">
        <v>41774</v>
      </c>
      <c r="ET55" s="8"/>
      <c r="EU55" s="11">
        <v>45962</v>
      </c>
      <c r="EV55" s="5">
        <v>938780</v>
      </c>
      <c r="EW55" s="5">
        <v>41501</v>
      </c>
      <c r="EX55" s="5">
        <v>188233</v>
      </c>
      <c r="EY55" s="5">
        <v>205810</v>
      </c>
      <c r="EZ55" s="5">
        <v>27508</v>
      </c>
      <c r="FA55" s="5">
        <v>14133</v>
      </c>
      <c r="FB55" s="5">
        <v>22463</v>
      </c>
      <c r="FC55" s="5">
        <v>0</v>
      </c>
      <c r="FD55" s="5">
        <v>17559</v>
      </c>
      <c r="FE55" s="5">
        <v>79579</v>
      </c>
      <c r="FF55" s="549"/>
      <c r="FG55" s="11">
        <v>45962</v>
      </c>
      <c r="FH55" s="5">
        <v>653593</v>
      </c>
      <c r="FI55" s="5">
        <v>26250</v>
      </c>
      <c r="FJ55" s="5">
        <v>131045</v>
      </c>
      <c r="FK55" s="5">
        <v>155779</v>
      </c>
      <c r="FL55" s="5">
        <v>13556</v>
      </c>
      <c r="FM55" s="5">
        <v>7578</v>
      </c>
      <c r="FN55" s="5">
        <v>9202</v>
      </c>
      <c r="FO55" s="5">
        <v>0</v>
      </c>
      <c r="FP55" s="5">
        <v>7570</v>
      </c>
      <c r="FQ55" s="5">
        <v>54860</v>
      </c>
      <c r="FR55" s="549"/>
      <c r="FS55" s="11">
        <v>45962</v>
      </c>
      <c r="FT55" s="5">
        <v>336</v>
      </c>
      <c r="FU55" s="5">
        <v>92</v>
      </c>
      <c r="FV55" s="5" t="s">
        <v>174</v>
      </c>
      <c r="FW55" s="5">
        <v>54</v>
      </c>
      <c r="FX55" s="5">
        <v>118</v>
      </c>
      <c r="FY55" s="5">
        <v>898</v>
      </c>
      <c r="FZ55" s="5">
        <v>105</v>
      </c>
      <c r="GA55" s="5">
        <v>935</v>
      </c>
      <c r="GB55" s="5">
        <v>208</v>
      </c>
      <c r="GC55" s="5">
        <v>2636</v>
      </c>
      <c r="GE55" s="11">
        <v>45962</v>
      </c>
      <c r="GF55" s="5">
        <v>575</v>
      </c>
      <c r="GG55" s="5">
        <v>182</v>
      </c>
      <c r="GH55" s="5"/>
      <c r="GI55" s="5">
        <v>86</v>
      </c>
      <c r="GJ55" s="5">
        <v>13</v>
      </c>
      <c r="GK55" s="5">
        <v>2540</v>
      </c>
      <c r="GL55" s="5">
        <v>17</v>
      </c>
      <c r="GM55" s="5">
        <v>1970</v>
      </c>
      <c r="GN55" s="5">
        <v>329</v>
      </c>
      <c r="GO55" s="5">
        <v>5712</v>
      </c>
      <c r="GQ55" s="21">
        <v>45962</v>
      </c>
      <c r="GR55" s="20">
        <v>223</v>
      </c>
      <c r="GS55" s="20">
        <v>2615</v>
      </c>
      <c r="GT55" s="20">
        <v>19163</v>
      </c>
      <c r="GU55" s="20">
        <v>15163</v>
      </c>
      <c r="GV55" s="20">
        <v>19785</v>
      </c>
      <c r="GW55" s="20">
        <v>4007</v>
      </c>
      <c r="GX55" s="20">
        <v>34233</v>
      </c>
      <c r="GY55" s="20">
        <v>52600</v>
      </c>
      <c r="GZ55" s="20">
        <v>9521</v>
      </c>
      <c r="HA55" s="20">
        <f t="shared" si="94"/>
        <v>157310</v>
      </c>
      <c r="HB55" s="550"/>
      <c r="HC55" s="11">
        <v>45962</v>
      </c>
      <c r="HD55" s="5">
        <f t="shared" si="82"/>
        <v>1923750</v>
      </c>
      <c r="HE55" s="5">
        <f t="shared" si="83"/>
        <v>91025</v>
      </c>
      <c r="HF55" s="5">
        <f t="shared" si="84"/>
        <v>380192</v>
      </c>
      <c r="HG55" s="5">
        <f t="shared" si="85"/>
        <v>385462</v>
      </c>
      <c r="HH55" s="5">
        <f t="shared" si="86"/>
        <v>78938</v>
      </c>
      <c r="HI55" s="5">
        <f t="shared" si="87"/>
        <v>13340</v>
      </c>
      <c r="HJ55" s="5">
        <f t="shared" si="88"/>
        <v>67997</v>
      </c>
      <c r="HK55" s="5">
        <f t="shared" si="89"/>
        <v>738</v>
      </c>
      <c r="HL55" s="5">
        <f t="shared" si="90"/>
        <v>18139</v>
      </c>
      <c r="HM55" s="5">
        <f t="shared" si="91"/>
        <v>179045</v>
      </c>
      <c r="HO55" s="11">
        <v>45962</v>
      </c>
      <c r="HP55" s="5">
        <f t="shared" si="71"/>
        <v>707265</v>
      </c>
      <c r="HQ55" s="5">
        <f t="shared" si="72"/>
        <v>40753</v>
      </c>
      <c r="HR55" s="5">
        <f t="shared" si="73"/>
        <v>190642</v>
      </c>
      <c r="HS55" s="5">
        <f t="shared" si="74"/>
        <v>171876</v>
      </c>
      <c r="HT55" s="5">
        <f t="shared" si="75"/>
        <v>35378</v>
      </c>
      <c r="HU55" s="5">
        <f t="shared" si="76"/>
        <v>14267</v>
      </c>
      <c r="HV55" s="5">
        <f t="shared" si="77"/>
        <v>37384</v>
      </c>
      <c r="HW55" s="5">
        <f t="shared" si="78"/>
        <v>223</v>
      </c>
      <c r="HX55" s="5">
        <f t="shared" si="79"/>
        <v>20323</v>
      </c>
      <c r="HY55" s="5">
        <f t="shared" si="80"/>
        <v>77514</v>
      </c>
    </row>
    <row r="56" spans="2:233">
      <c r="B56" s="11">
        <v>45992</v>
      </c>
      <c r="C56" s="2">
        <v>4</v>
      </c>
      <c r="D56" s="2">
        <v>25</v>
      </c>
      <c r="E56" s="2">
        <v>762</v>
      </c>
      <c r="F56" s="2">
        <v>302</v>
      </c>
      <c r="G56" s="2">
        <v>137</v>
      </c>
      <c r="H56" s="2">
        <v>21</v>
      </c>
      <c r="I56" s="2">
        <v>3478</v>
      </c>
      <c r="J56" s="2">
        <v>2695</v>
      </c>
      <c r="K56" s="2">
        <v>479</v>
      </c>
      <c r="L56" s="8">
        <f t="shared" si="96"/>
        <v>7903</v>
      </c>
      <c r="N56" s="11">
        <v>45992</v>
      </c>
      <c r="O56" s="2">
        <v>4</v>
      </c>
      <c r="P56" s="2">
        <v>25</v>
      </c>
      <c r="Q56" s="2">
        <v>762</v>
      </c>
      <c r="R56" s="2">
        <v>302</v>
      </c>
      <c r="S56" s="2">
        <v>137</v>
      </c>
      <c r="T56" s="2">
        <v>21</v>
      </c>
      <c r="U56" s="2">
        <v>3478</v>
      </c>
      <c r="V56" s="2">
        <v>2695</v>
      </c>
      <c r="W56" s="2">
        <v>479</v>
      </c>
      <c r="X56" s="8">
        <f t="shared" si="97"/>
        <v>7903</v>
      </c>
      <c r="Y56" s="22"/>
      <c r="Z56" s="11">
        <v>45992</v>
      </c>
      <c r="AA56" s="55">
        <v>152337</v>
      </c>
      <c r="AB56" s="55">
        <v>686659</v>
      </c>
      <c r="AC56" s="55">
        <v>1202151</v>
      </c>
      <c r="AD56" s="55">
        <v>44343</v>
      </c>
      <c r="AE56" s="55">
        <v>59883</v>
      </c>
      <c r="AF56" s="55">
        <v>40332</v>
      </c>
      <c r="AG56" s="55">
        <v>2</v>
      </c>
      <c r="AH56" s="55">
        <v>43341</v>
      </c>
      <c r="AI56" s="55">
        <v>275005</v>
      </c>
      <c r="AJ56" s="55">
        <v>3168892</v>
      </c>
      <c r="AL56" s="11">
        <v>45992</v>
      </c>
      <c r="AM56" s="5">
        <v>152337</v>
      </c>
      <c r="AN56" s="5">
        <v>686659</v>
      </c>
      <c r="AO56" s="5">
        <v>1202151</v>
      </c>
      <c r="AP56" s="5">
        <v>44343</v>
      </c>
      <c r="AQ56" s="5">
        <v>59883</v>
      </c>
      <c r="AR56" s="5">
        <v>40332</v>
      </c>
      <c r="AS56" s="5">
        <v>2</v>
      </c>
      <c r="AT56" s="5">
        <v>43341</v>
      </c>
      <c r="AU56" s="5">
        <v>275005</v>
      </c>
      <c r="AV56" s="5">
        <v>2504053</v>
      </c>
      <c r="AW56" s="5"/>
      <c r="AX56" s="11">
        <v>45992</v>
      </c>
      <c r="AY56" s="5">
        <v>117165</v>
      </c>
      <c r="AZ56" s="5">
        <v>524137</v>
      </c>
      <c r="BA56" s="5">
        <v>1060193</v>
      </c>
      <c r="BB56" s="5">
        <v>26421</v>
      </c>
      <c r="BC56" s="5">
        <v>42117</v>
      </c>
      <c r="BD56" s="5">
        <v>20507</v>
      </c>
      <c r="BE56" s="5">
        <v>0</v>
      </c>
      <c r="BF56" s="5">
        <v>23817</v>
      </c>
      <c r="BG56" s="5">
        <v>205826</v>
      </c>
      <c r="BH56" s="5">
        <v>2020183</v>
      </c>
      <c r="BI56" s="8"/>
      <c r="BJ56" s="11">
        <v>45992</v>
      </c>
      <c r="BK56" s="8">
        <f t="shared" si="81"/>
        <v>3071150</v>
      </c>
      <c r="BL56" s="8"/>
      <c r="BM56" s="8">
        <v>1899900</v>
      </c>
      <c r="BN56" s="8"/>
      <c r="BO56" s="5">
        <v>1171250</v>
      </c>
      <c r="BP56" s="5">
        <v>97854</v>
      </c>
      <c r="BQ56" s="5">
        <v>373381</v>
      </c>
      <c r="BR56" s="5">
        <v>361818</v>
      </c>
      <c r="BS56" s="5">
        <v>77149</v>
      </c>
      <c r="BT56" s="5">
        <v>10639</v>
      </c>
      <c r="BU56" s="5">
        <v>57644</v>
      </c>
      <c r="BV56" s="8">
        <v>609</v>
      </c>
      <c r="BW56" s="8">
        <v>18329</v>
      </c>
      <c r="BX56" s="8">
        <v>173827</v>
      </c>
      <c r="BY56" s="8">
        <v>1695</v>
      </c>
      <c r="BZ56" s="8"/>
      <c r="CA56" s="11">
        <v>45992</v>
      </c>
      <c r="CB56" s="5">
        <v>110633</v>
      </c>
      <c r="CC56" s="5">
        <v>4395</v>
      </c>
      <c r="CD56" s="5">
        <v>21014</v>
      </c>
      <c r="CE56" s="5">
        <v>31346</v>
      </c>
      <c r="CF56" s="5">
        <v>2667</v>
      </c>
      <c r="CG56" s="5">
        <v>1842</v>
      </c>
      <c r="CH56" s="5">
        <v>1780</v>
      </c>
      <c r="CI56" s="5">
        <v>0</v>
      </c>
      <c r="CJ56" s="5">
        <v>1060</v>
      </c>
      <c r="CK56" s="5">
        <v>11844</v>
      </c>
      <c r="CL56" s="6"/>
      <c r="CM56" s="11">
        <v>45992</v>
      </c>
      <c r="CN56" s="5">
        <f t="shared" si="93"/>
        <v>157197</v>
      </c>
      <c r="CO56" s="5">
        <f t="shared" si="92"/>
        <v>6853</v>
      </c>
      <c r="CP56" s="5">
        <f t="shared" si="92"/>
        <v>30783</v>
      </c>
      <c r="CQ56" s="5">
        <f t="shared" si="92"/>
        <v>42310</v>
      </c>
      <c r="CR56" s="5">
        <f t="shared" si="92"/>
        <v>4478</v>
      </c>
      <c r="CS56" s="5">
        <f t="shared" si="92"/>
        <v>2959</v>
      </c>
      <c r="CT56" s="5">
        <f t="shared" si="92"/>
        <v>2898</v>
      </c>
      <c r="CU56" s="5">
        <f t="shared" si="92"/>
        <v>0</v>
      </c>
      <c r="CV56" s="5">
        <f t="shared" si="92"/>
        <v>2067</v>
      </c>
      <c r="CW56" s="5">
        <f t="shared" si="92"/>
        <v>17411</v>
      </c>
      <c r="CX56" s="8"/>
      <c r="CY56" s="11">
        <v>45992</v>
      </c>
      <c r="CZ56" s="20">
        <v>64597</v>
      </c>
      <c r="DA56" s="5">
        <v>1161</v>
      </c>
      <c r="DB56" s="5">
        <v>5453</v>
      </c>
      <c r="DC56" s="5">
        <v>6495</v>
      </c>
      <c r="DD56" s="5">
        <v>616</v>
      </c>
      <c r="DE56" s="5">
        <v>489</v>
      </c>
      <c r="DF56" s="5">
        <v>424</v>
      </c>
      <c r="DG56" s="5">
        <v>0</v>
      </c>
      <c r="DH56" s="5">
        <v>316</v>
      </c>
      <c r="DI56" s="5">
        <v>2205</v>
      </c>
      <c r="DJ56" s="8"/>
      <c r="DK56" s="11">
        <v>45992</v>
      </c>
      <c r="DL56" s="5">
        <f t="shared" si="95"/>
        <v>92600</v>
      </c>
      <c r="DM56" s="5">
        <v>5692</v>
      </c>
      <c r="DN56" s="5">
        <v>25330</v>
      </c>
      <c r="DO56" s="5">
        <v>35815</v>
      </c>
      <c r="DP56" s="5">
        <v>3862</v>
      </c>
      <c r="DQ56" s="5">
        <v>2470</v>
      </c>
      <c r="DR56" s="5">
        <v>2474</v>
      </c>
      <c r="DS56" s="5">
        <v>0</v>
      </c>
      <c r="DT56" s="5">
        <v>1751</v>
      </c>
      <c r="DU56" s="5">
        <v>15206</v>
      </c>
      <c r="DV56" s="8"/>
      <c r="DW56" s="11">
        <v>45992</v>
      </c>
      <c r="DX56" s="5">
        <v>639940</v>
      </c>
      <c r="DY56" s="5">
        <v>36611</v>
      </c>
      <c r="DZ56" s="5">
        <v>160396</v>
      </c>
      <c r="EA56" s="5">
        <v>180178</v>
      </c>
      <c r="EB56" s="5">
        <v>23401</v>
      </c>
      <c r="EC56" s="5">
        <v>14071</v>
      </c>
      <c r="ED56" s="5">
        <v>17311</v>
      </c>
      <c r="EE56" s="5">
        <v>1</v>
      </c>
      <c r="EF56" s="5">
        <v>15491</v>
      </c>
      <c r="EG56" s="5">
        <v>63398</v>
      </c>
      <c r="EH56" s="8"/>
      <c r="EI56" s="11">
        <v>45992</v>
      </c>
      <c r="EJ56" s="5">
        <v>475577</v>
      </c>
      <c r="EK56" s="5">
        <v>26024</v>
      </c>
      <c r="EL56" s="5">
        <v>123617</v>
      </c>
      <c r="EM56" s="5">
        <v>145460</v>
      </c>
      <c r="EN56" s="5">
        <v>14301</v>
      </c>
      <c r="EO56" s="5">
        <v>9360</v>
      </c>
      <c r="EP56" s="5">
        <v>9812</v>
      </c>
      <c r="EQ56" s="5">
        <v>0</v>
      </c>
      <c r="ER56" s="5">
        <v>8550</v>
      </c>
      <c r="ES56" s="5">
        <v>48178</v>
      </c>
      <c r="ET56" s="8"/>
      <c r="EU56" s="11">
        <v>45992</v>
      </c>
      <c r="EV56" s="5">
        <v>1038706</v>
      </c>
      <c r="EW56" s="5">
        <v>48686</v>
      </c>
      <c r="EX56" s="5">
        <v>210914</v>
      </c>
      <c r="EY56" s="5">
        <v>256347</v>
      </c>
      <c r="EZ56" s="5">
        <v>31182</v>
      </c>
      <c r="FA56" s="5">
        <v>17060</v>
      </c>
      <c r="FB56" s="5">
        <v>22810</v>
      </c>
      <c r="FC56" s="5">
        <v>3</v>
      </c>
      <c r="FD56" s="5">
        <v>18030</v>
      </c>
      <c r="FE56" s="5">
        <v>77612</v>
      </c>
      <c r="FG56" s="11">
        <v>45992</v>
      </c>
      <c r="FH56" s="5">
        <v>766216</v>
      </c>
      <c r="FI56" s="5">
        <v>33724</v>
      </c>
      <c r="FJ56" s="5">
        <v>155511</v>
      </c>
      <c r="FK56" s="5">
        <v>207249</v>
      </c>
      <c r="FL56" s="5">
        <v>18212</v>
      </c>
      <c r="FM56" s="5">
        <v>10822</v>
      </c>
      <c r="FN56" s="5">
        <v>12097</v>
      </c>
      <c r="FO56" s="5">
        <v>3</v>
      </c>
      <c r="FP56" s="5">
        <v>9316</v>
      </c>
      <c r="FQ56" s="5">
        <v>53943</v>
      </c>
      <c r="FS56" s="11">
        <v>45992</v>
      </c>
      <c r="FT56" s="5">
        <v>330</v>
      </c>
      <c r="FU56" s="5">
        <v>83</v>
      </c>
      <c r="FV56" s="5">
        <v>0</v>
      </c>
      <c r="FW56" s="5">
        <v>46</v>
      </c>
      <c r="FX56" s="5">
        <v>100</v>
      </c>
      <c r="FY56" s="5">
        <v>1022</v>
      </c>
      <c r="FZ56" s="5">
        <v>118</v>
      </c>
      <c r="GA56" s="5">
        <v>1090</v>
      </c>
      <c r="GB56" s="5">
        <v>191</v>
      </c>
      <c r="GC56" s="5">
        <v>2873</v>
      </c>
      <c r="GE56" s="11">
        <v>45992</v>
      </c>
      <c r="GF56" s="5">
        <v>294</v>
      </c>
      <c r="GG56" s="5">
        <v>65</v>
      </c>
      <c r="GH56" s="5"/>
      <c r="GI56" s="5">
        <v>47</v>
      </c>
      <c r="GJ56" s="5">
        <v>6</v>
      </c>
      <c r="GK56" s="5">
        <v>1171</v>
      </c>
      <c r="GL56" s="5">
        <v>10</v>
      </c>
      <c r="GM56" s="5">
        <v>908</v>
      </c>
      <c r="GN56" s="5">
        <v>160</v>
      </c>
      <c r="GO56" s="5">
        <v>2661</v>
      </c>
      <c r="GQ56" s="21">
        <v>45992</v>
      </c>
      <c r="GR56" s="20">
        <v>185</v>
      </c>
      <c r="GS56" s="20">
        <v>2410</v>
      </c>
      <c r="GT56" s="20">
        <v>18733</v>
      </c>
      <c r="GU56" s="20">
        <v>15118</v>
      </c>
      <c r="GV56" s="20">
        <v>15892</v>
      </c>
      <c r="GW56" s="20">
        <v>4264</v>
      </c>
      <c r="GX56" s="20">
        <v>35630</v>
      </c>
      <c r="GY56" s="20">
        <v>54629</v>
      </c>
      <c r="GZ56" s="20">
        <v>9816</v>
      </c>
      <c r="HA56" s="20">
        <f t="shared" si="94"/>
        <v>156677</v>
      </c>
      <c r="HB56" s="550"/>
      <c r="HC56" s="11">
        <v>45992</v>
      </c>
      <c r="HD56" s="5">
        <f t="shared" si="82"/>
        <v>2057097</v>
      </c>
      <c r="HE56" s="5">
        <f t="shared" si="83"/>
        <v>104707</v>
      </c>
      <c r="HF56" s="5">
        <f t="shared" si="84"/>
        <v>404164</v>
      </c>
      <c r="HG56" s="5">
        <f t="shared" si="85"/>
        <v>404128</v>
      </c>
      <c r="HH56" s="5">
        <f t="shared" si="86"/>
        <v>81627</v>
      </c>
      <c r="HI56" s="5">
        <f t="shared" si="87"/>
        <v>13598</v>
      </c>
      <c r="HJ56" s="5">
        <f t="shared" si="88"/>
        <v>60542</v>
      </c>
      <c r="HK56" s="5">
        <f t="shared" si="89"/>
        <v>609</v>
      </c>
      <c r="HL56" s="5">
        <f t="shared" si="90"/>
        <v>20396</v>
      </c>
      <c r="HM56" s="5">
        <f t="shared" si="91"/>
        <v>191238</v>
      </c>
      <c r="HO56" s="11">
        <v>45992</v>
      </c>
      <c r="HP56" s="5">
        <f t="shared" si="71"/>
        <v>796617</v>
      </c>
      <c r="HQ56" s="5">
        <f t="shared" si="72"/>
        <v>46427</v>
      </c>
      <c r="HR56" s="5">
        <f t="shared" si="73"/>
        <v>215025</v>
      </c>
      <c r="HS56" s="5">
        <f t="shared" si="74"/>
        <v>215808</v>
      </c>
      <c r="HT56" s="5">
        <f t="shared" si="75"/>
        <v>38519</v>
      </c>
      <c r="HU56" s="5">
        <f t="shared" si="76"/>
        <v>16481</v>
      </c>
      <c r="HV56" s="5">
        <f t="shared" si="77"/>
        <v>33203</v>
      </c>
      <c r="HW56" s="5">
        <f t="shared" si="78"/>
        <v>186</v>
      </c>
      <c r="HX56" s="5">
        <f t="shared" si="79"/>
        <v>19755</v>
      </c>
      <c r="HY56" s="5">
        <f t="shared" si="80"/>
        <v>82131</v>
      </c>
    </row>
    <row r="57" spans="2:233">
      <c r="B57" s="11">
        <v>46023</v>
      </c>
      <c r="C57" s="2">
        <v>0</v>
      </c>
      <c r="D57" s="2">
        <v>17</v>
      </c>
      <c r="E57" s="2">
        <v>649</v>
      </c>
      <c r="F57" s="2">
        <v>243</v>
      </c>
      <c r="G57" s="2">
        <v>73</v>
      </c>
      <c r="H57" s="2">
        <v>11</v>
      </c>
      <c r="I57" s="2">
        <v>2159</v>
      </c>
      <c r="J57" s="2">
        <v>1591</v>
      </c>
      <c r="K57" s="2">
        <v>307</v>
      </c>
      <c r="L57" s="8">
        <f t="shared" si="96"/>
        <v>5050</v>
      </c>
      <c r="N57" s="11">
        <v>46023</v>
      </c>
      <c r="O57" s="2">
        <v>0</v>
      </c>
      <c r="P57" s="2">
        <v>17</v>
      </c>
      <c r="Q57" s="2">
        <v>649</v>
      </c>
      <c r="R57" s="2">
        <v>243</v>
      </c>
      <c r="S57" s="2">
        <v>73</v>
      </c>
      <c r="T57" s="2">
        <v>11</v>
      </c>
      <c r="U57" s="2">
        <v>2159</v>
      </c>
      <c r="V57" s="2">
        <v>1591</v>
      </c>
      <c r="W57" s="2">
        <v>307</v>
      </c>
      <c r="X57" s="8">
        <f t="shared" si="97"/>
        <v>5050</v>
      </c>
      <c r="Y57" s="22"/>
      <c r="Z57" s="11">
        <v>46023</v>
      </c>
      <c r="AA57" s="22"/>
      <c r="AB57" s="22"/>
      <c r="AC57" s="22"/>
      <c r="AD57" s="22"/>
      <c r="AE57" s="22"/>
      <c r="AF57" s="22"/>
      <c r="AJ57" s="210">
        <v>2524097</v>
      </c>
      <c r="AL57" s="11">
        <v>46023</v>
      </c>
      <c r="AM57" s="5">
        <v>132135</v>
      </c>
      <c r="AN57" s="5">
        <v>633378</v>
      </c>
      <c r="AO57" s="5">
        <v>769661</v>
      </c>
      <c r="AP57" s="5">
        <v>42380</v>
      </c>
      <c r="AQ57" s="5">
        <v>75827</v>
      </c>
      <c r="AR57" s="5">
        <v>35696</v>
      </c>
      <c r="AS57" s="5">
        <v>0</v>
      </c>
      <c r="AT57" s="5">
        <v>40316</v>
      </c>
      <c r="AU57" s="5">
        <v>225764</v>
      </c>
      <c r="AV57" s="5">
        <v>1955157</v>
      </c>
      <c r="AW57" s="5"/>
      <c r="AX57" s="11">
        <v>46023</v>
      </c>
      <c r="AY57" s="5">
        <v>114914</v>
      </c>
      <c r="AZ57" s="5">
        <v>470530</v>
      </c>
      <c r="BA57" s="5">
        <v>687542</v>
      </c>
      <c r="BB57" s="5">
        <v>24083</v>
      </c>
      <c r="BC57" s="5">
        <v>55602</v>
      </c>
      <c r="BD57" s="5">
        <v>17857</v>
      </c>
      <c r="BE57" s="5">
        <v>0</v>
      </c>
      <c r="BF57" s="5">
        <v>21354</v>
      </c>
      <c r="BG57" s="5">
        <v>197856</v>
      </c>
      <c r="BH57" s="5">
        <v>1589738</v>
      </c>
      <c r="BI57" s="8"/>
      <c r="BJ57" s="11">
        <v>46023</v>
      </c>
      <c r="BK57" s="8">
        <f t="shared" si="81"/>
        <v>3229386</v>
      </c>
      <c r="BL57" s="6"/>
      <c r="BM57" s="8">
        <v>2016293</v>
      </c>
      <c r="BN57" s="8"/>
      <c r="BO57" s="5">
        <v>1213093</v>
      </c>
      <c r="BP57" s="5">
        <v>105850</v>
      </c>
      <c r="BQ57" s="5">
        <v>373374</v>
      </c>
      <c r="BR57" s="5">
        <v>375343</v>
      </c>
      <c r="BS57" s="5">
        <v>89910</v>
      </c>
      <c r="BT57" s="5">
        <v>9190</v>
      </c>
      <c r="BU57" s="5">
        <v>52503</v>
      </c>
      <c r="BV57" s="8">
        <v>433</v>
      </c>
      <c r="BW57" s="8">
        <v>13092</v>
      </c>
      <c r="BX57" s="8">
        <v>193398</v>
      </c>
      <c r="BY57" s="8">
        <v>14349</v>
      </c>
      <c r="BZ57" s="8"/>
      <c r="CA57" s="11">
        <v>46023</v>
      </c>
      <c r="CB57" s="5">
        <v>86609</v>
      </c>
      <c r="CC57" s="5">
        <v>4062</v>
      </c>
      <c r="CD57" s="5">
        <v>16776</v>
      </c>
      <c r="CE57" s="5">
        <v>21393</v>
      </c>
      <c r="CF57" s="5">
        <v>2411</v>
      </c>
      <c r="CG57" s="5">
        <v>1799</v>
      </c>
      <c r="CH57" s="5">
        <v>1341</v>
      </c>
      <c r="CI57" s="5">
        <v>0</v>
      </c>
      <c r="CJ57" s="5">
        <v>965</v>
      </c>
      <c r="CK57" s="5">
        <v>10068</v>
      </c>
      <c r="CL57" s="6"/>
      <c r="CM57" s="11">
        <v>46023</v>
      </c>
      <c r="CN57" s="5">
        <f t="shared" si="93"/>
        <v>128462</v>
      </c>
      <c r="CO57" s="5">
        <f t="shared" si="92"/>
        <v>6123</v>
      </c>
      <c r="CP57" s="5">
        <f t="shared" si="92"/>
        <v>24238</v>
      </c>
      <c r="CQ57" s="5">
        <f t="shared" si="92"/>
        <v>30554</v>
      </c>
      <c r="CR57" s="5">
        <f t="shared" si="92"/>
        <v>3878</v>
      </c>
      <c r="CS57" s="5">
        <f t="shared" si="92"/>
        <v>2666</v>
      </c>
      <c r="CT57" s="5">
        <f t="shared" si="92"/>
        <v>2233</v>
      </c>
      <c r="CU57" s="5">
        <f t="shared" si="92"/>
        <v>1</v>
      </c>
      <c r="CV57" s="5">
        <f t="shared" si="92"/>
        <v>1769</v>
      </c>
      <c r="CW57" s="5">
        <f t="shared" si="92"/>
        <v>14754</v>
      </c>
      <c r="CX57" s="8"/>
      <c r="CY57" s="11">
        <v>46023</v>
      </c>
      <c r="CZ57" s="5">
        <v>56247</v>
      </c>
      <c r="DA57" s="5">
        <v>1050</v>
      </c>
      <c r="DB57" s="5">
        <v>4135</v>
      </c>
      <c r="DC57" s="5">
        <v>5351</v>
      </c>
      <c r="DD57" s="5">
        <v>545</v>
      </c>
      <c r="DE57" s="5">
        <v>399</v>
      </c>
      <c r="DF57" s="5">
        <v>372</v>
      </c>
      <c r="DG57" s="2">
        <v>1</v>
      </c>
      <c r="DH57" s="2">
        <v>259</v>
      </c>
      <c r="DI57" s="5">
        <v>1889</v>
      </c>
      <c r="DJ57" s="8"/>
      <c r="DK57" s="11">
        <v>46023</v>
      </c>
      <c r="DL57" s="5">
        <f t="shared" si="95"/>
        <v>72215</v>
      </c>
      <c r="DM57" s="5">
        <v>5073</v>
      </c>
      <c r="DN57" s="5">
        <v>20103</v>
      </c>
      <c r="DO57" s="5">
        <v>25203</v>
      </c>
      <c r="DP57" s="5">
        <v>3333</v>
      </c>
      <c r="DQ57" s="5">
        <v>2267</v>
      </c>
      <c r="DR57" s="5">
        <v>1861</v>
      </c>
      <c r="DS57" s="2">
        <v>0</v>
      </c>
      <c r="DT57" s="5">
        <v>1510</v>
      </c>
      <c r="DU57" s="5">
        <v>12865</v>
      </c>
      <c r="DV57" s="8"/>
      <c r="DW57" s="11">
        <v>46023</v>
      </c>
      <c r="DX57" s="5">
        <v>556309</v>
      </c>
      <c r="DY57" s="5">
        <v>34213</v>
      </c>
      <c r="DZ57" s="5">
        <v>140052</v>
      </c>
      <c r="EA57" s="5">
        <v>149873</v>
      </c>
      <c r="EB57" s="5">
        <v>22873</v>
      </c>
      <c r="EC57" s="5">
        <v>15328</v>
      </c>
      <c r="ED57" s="5">
        <v>16528</v>
      </c>
      <c r="EE57" s="2">
        <v>4</v>
      </c>
      <c r="EF57" s="2">
        <v>15020</v>
      </c>
      <c r="EG57" s="5">
        <v>60570</v>
      </c>
      <c r="EH57" s="8"/>
      <c r="EI57" s="11">
        <v>46023</v>
      </c>
      <c r="EJ57" s="5">
        <v>404951</v>
      </c>
      <c r="EK57" s="5">
        <v>25215</v>
      </c>
      <c r="EL57" s="5">
        <v>108243</v>
      </c>
      <c r="EM57" s="5">
        <v>115825</v>
      </c>
      <c r="EN57" s="5">
        <v>13721</v>
      </c>
      <c r="EO57" s="5">
        <v>10449</v>
      </c>
      <c r="EP57" s="5">
        <v>9372</v>
      </c>
      <c r="EQ57" s="2">
        <v>0</v>
      </c>
      <c r="ER57" s="2">
        <v>8279</v>
      </c>
      <c r="ES57" s="5">
        <v>45057</v>
      </c>
      <c r="ET57" s="8"/>
      <c r="EU57" s="11">
        <v>46023</v>
      </c>
      <c r="EV57" s="5"/>
      <c r="EW57" s="5"/>
      <c r="EX57" s="5"/>
      <c r="EY57" s="5"/>
      <c r="EZ57" s="5"/>
      <c r="FA57" s="5"/>
      <c r="FB57" s="5"/>
      <c r="FE57" s="5"/>
      <c r="FG57" s="11">
        <v>46023</v>
      </c>
      <c r="FH57" s="5"/>
      <c r="FI57" s="5"/>
      <c r="FJ57" s="5"/>
      <c r="FK57" s="5"/>
      <c r="FL57" s="5"/>
      <c r="FM57" s="5"/>
      <c r="FN57" s="5"/>
      <c r="FO57" s="5"/>
      <c r="FP57" s="5"/>
      <c r="FQ57" s="5"/>
      <c r="FS57" s="11">
        <v>46023</v>
      </c>
      <c r="FT57" s="5">
        <v>253</v>
      </c>
      <c r="FU57" s="5">
        <v>41</v>
      </c>
      <c r="FV57" s="5">
        <v>0</v>
      </c>
      <c r="FW57" s="5">
        <v>45</v>
      </c>
      <c r="FX57" s="5">
        <v>112</v>
      </c>
      <c r="FY57" s="5">
        <v>746</v>
      </c>
      <c r="FZ57" s="5">
        <v>113</v>
      </c>
      <c r="GA57" s="5">
        <v>590</v>
      </c>
      <c r="GB57" s="5">
        <v>208</v>
      </c>
      <c r="GC57" s="5">
        <v>2061</v>
      </c>
      <c r="GE57" s="11">
        <v>46023</v>
      </c>
      <c r="GQ57" s="21">
        <v>46023</v>
      </c>
      <c r="GR57" s="20">
        <v>189.85714285714286</v>
      </c>
      <c r="GS57" s="20">
        <v>2247.4285714285716</v>
      </c>
      <c r="GT57" s="20">
        <v>20407.571428571428</v>
      </c>
      <c r="GU57" s="20">
        <v>15227.285714285714</v>
      </c>
      <c r="GV57" s="20">
        <v>15534</v>
      </c>
      <c r="GW57" s="20">
        <v>3463.1428571428569</v>
      </c>
      <c r="GX57" s="20">
        <v>34081.571428571428</v>
      </c>
      <c r="GY57" s="20">
        <v>48756.714285714283</v>
      </c>
      <c r="GZ57" s="20">
        <v>7846.5714285714284</v>
      </c>
      <c r="HA57" s="20">
        <f t="shared" si="94"/>
        <v>147754.14285714284</v>
      </c>
      <c r="HB57" s="550"/>
      <c r="HC57" s="11">
        <v>46023</v>
      </c>
      <c r="HD57" s="5">
        <f t="shared" si="82"/>
        <v>2144755</v>
      </c>
      <c r="HE57" s="5">
        <f t="shared" si="83"/>
        <v>111973</v>
      </c>
      <c r="HF57" s="5">
        <f t="shared" si="84"/>
        <v>397612</v>
      </c>
      <c r="HG57" s="5">
        <f t="shared" si="85"/>
        <v>405897</v>
      </c>
      <c r="HH57" s="5">
        <f t="shared" si="86"/>
        <v>93788</v>
      </c>
      <c r="HI57" s="5">
        <f t="shared" si="87"/>
        <v>11856</v>
      </c>
      <c r="HJ57" s="5">
        <f t="shared" si="88"/>
        <v>54736</v>
      </c>
      <c r="HK57" s="5">
        <f t="shared" si="89"/>
        <v>434</v>
      </c>
      <c r="HL57" s="5">
        <f t="shared" si="90"/>
        <v>14861</v>
      </c>
      <c r="HM57" s="5">
        <f t="shared" si="91"/>
        <v>208152</v>
      </c>
      <c r="HO57" s="11">
        <v>46023</v>
      </c>
      <c r="HP57" s="5">
        <f t="shared" ref="HP57:HP62" si="98">DX57+HA57</f>
        <v>704063.14285714284</v>
      </c>
      <c r="HQ57" s="5">
        <f t="shared" si="72"/>
        <v>42059.571428571428</v>
      </c>
      <c r="HR57" s="5">
        <f t="shared" si="73"/>
        <v>188808.71428571429</v>
      </c>
      <c r="HS57" s="5">
        <f t="shared" si="74"/>
        <v>183954.57142857142</v>
      </c>
      <c r="HT57" s="5">
        <f t="shared" si="75"/>
        <v>38100.28571428571</v>
      </c>
      <c r="HU57" s="5">
        <f t="shared" si="76"/>
        <v>17575.428571428572</v>
      </c>
      <c r="HV57" s="5">
        <f t="shared" si="77"/>
        <v>32062</v>
      </c>
      <c r="HW57" s="5">
        <f t="shared" si="78"/>
        <v>193.85714285714286</v>
      </c>
      <c r="HX57" s="5">
        <f t="shared" si="79"/>
        <v>18483.142857142855</v>
      </c>
      <c r="HY57" s="5">
        <f t="shared" si="80"/>
        <v>80977.57142857142</v>
      </c>
    </row>
    <row r="58" spans="2:233">
      <c r="B58" s="11">
        <v>46054</v>
      </c>
      <c r="C58" s="2">
        <v>0</v>
      </c>
      <c r="D58" s="2">
        <v>13</v>
      </c>
      <c r="E58" s="2">
        <v>609</v>
      </c>
      <c r="F58" s="2">
        <v>271</v>
      </c>
      <c r="G58" s="2">
        <v>106</v>
      </c>
      <c r="H58" s="2">
        <v>34</v>
      </c>
      <c r="I58" s="2">
        <v>2483</v>
      </c>
      <c r="J58" s="2">
        <v>1405</v>
      </c>
      <c r="K58" s="2">
        <v>307</v>
      </c>
      <c r="L58" s="8">
        <f t="shared" si="96"/>
        <v>5228</v>
      </c>
      <c r="N58" s="11">
        <v>46054</v>
      </c>
      <c r="O58" s="2">
        <v>0</v>
      </c>
      <c r="P58" s="2">
        <v>13</v>
      </c>
      <c r="Q58" s="2">
        <v>609</v>
      </c>
      <c r="R58" s="2">
        <v>271</v>
      </c>
      <c r="S58" s="2">
        <v>106</v>
      </c>
      <c r="T58" s="2">
        <v>34</v>
      </c>
      <c r="U58" s="2">
        <v>2483</v>
      </c>
      <c r="V58" s="2">
        <v>1405</v>
      </c>
      <c r="W58" s="2">
        <v>307</v>
      </c>
      <c r="X58" s="8">
        <f t="shared" si="97"/>
        <v>5228</v>
      </c>
      <c r="Y58" s="22"/>
      <c r="Z58" s="11">
        <v>46054</v>
      </c>
      <c r="AA58" s="22"/>
      <c r="AB58" s="22"/>
      <c r="AC58" s="22"/>
      <c r="AD58" s="22"/>
      <c r="AE58" s="22"/>
      <c r="AF58" s="22"/>
      <c r="AJ58" s="440">
        <v>2512501</v>
      </c>
      <c r="AL58" s="11">
        <v>46054</v>
      </c>
      <c r="AM58" s="5">
        <v>105153</v>
      </c>
      <c r="AN58" s="5">
        <v>625287</v>
      </c>
      <c r="AO58" s="5">
        <v>743903</v>
      </c>
      <c r="AP58" s="5">
        <v>38911</v>
      </c>
      <c r="AQ58" s="5">
        <v>77790</v>
      </c>
      <c r="AR58" s="5">
        <v>34423</v>
      </c>
      <c r="AS58" s="5">
        <v>2</v>
      </c>
      <c r="AT58" s="5">
        <v>39039</v>
      </c>
      <c r="AU58" s="5">
        <v>204691</v>
      </c>
      <c r="AV58" s="5">
        <v>1869199</v>
      </c>
      <c r="AW58" s="5"/>
      <c r="AX58" s="11">
        <v>46054</v>
      </c>
      <c r="AY58" s="5">
        <v>89366</v>
      </c>
      <c r="AZ58" s="5">
        <v>470027</v>
      </c>
      <c r="BA58" s="5">
        <v>682992</v>
      </c>
      <c r="BB58" s="5">
        <v>21614</v>
      </c>
      <c r="BC58" s="5">
        <v>59728</v>
      </c>
      <c r="BD58" s="5">
        <v>17095</v>
      </c>
      <c r="BE58" s="5">
        <v>0</v>
      </c>
      <c r="BF58" s="5">
        <v>20700</v>
      </c>
      <c r="BG58" s="5">
        <v>179760</v>
      </c>
      <c r="BH58" s="5">
        <v>1541282</v>
      </c>
      <c r="BI58" s="8"/>
      <c r="BJ58" s="11">
        <v>46054</v>
      </c>
      <c r="BK58" s="8">
        <f>BM58+BO58</f>
        <v>2904850</v>
      </c>
      <c r="BL58" s="6"/>
      <c r="BM58" s="8">
        <v>1821723</v>
      </c>
      <c r="BN58" s="8"/>
      <c r="BO58" s="5">
        <f t="shared" ref="BO58:BO63" si="99">SUM(BP58:BX58)</f>
        <v>1083127</v>
      </c>
      <c r="BP58" s="5">
        <v>87391</v>
      </c>
      <c r="BQ58" s="5">
        <v>327209</v>
      </c>
      <c r="BR58" s="5">
        <v>348219</v>
      </c>
      <c r="BS58" s="5">
        <v>79824</v>
      </c>
      <c r="BT58" s="5">
        <v>7771</v>
      </c>
      <c r="BU58" s="5">
        <v>50730</v>
      </c>
      <c r="BV58" s="8">
        <v>435</v>
      </c>
      <c r="BW58" s="8">
        <v>13672</v>
      </c>
      <c r="BX58" s="8">
        <v>167876</v>
      </c>
      <c r="BY58" s="8">
        <v>4501</v>
      </c>
      <c r="BZ58" s="8"/>
      <c r="CA58" s="11">
        <v>46054</v>
      </c>
      <c r="CB58" s="5">
        <v>86529</v>
      </c>
      <c r="CC58" s="5">
        <v>3956</v>
      </c>
      <c r="CD58" s="5">
        <v>16186</v>
      </c>
      <c r="CE58" s="5">
        <v>20383</v>
      </c>
      <c r="CF58" s="5">
        <v>2393</v>
      </c>
      <c r="CG58" s="5">
        <v>1891</v>
      </c>
      <c r="CH58" s="5">
        <v>1483</v>
      </c>
      <c r="CI58" s="5">
        <v>0</v>
      </c>
      <c r="CJ58" s="5">
        <v>1155</v>
      </c>
      <c r="CK58" s="5">
        <v>11306</v>
      </c>
      <c r="CL58" s="6"/>
      <c r="CM58" s="11">
        <v>46054</v>
      </c>
      <c r="CN58" s="5">
        <f t="shared" si="93"/>
        <v>124497</v>
      </c>
      <c r="CO58" s="5">
        <f t="shared" si="92"/>
        <v>5905</v>
      </c>
      <c r="CP58" s="5">
        <f t="shared" si="92"/>
        <v>22589</v>
      </c>
      <c r="CQ58" s="5">
        <f t="shared" si="92"/>
        <v>28179</v>
      </c>
      <c r="CR58" s="5">
        <f t="shared" si="92"/>
        <v>3843</v>
      </c>
      <c r="CS58" s="5">
        <f t="shared" si="92"/>
        <v>2710</v>
      </c>
      <c r="CT58" s="5">
        <f t="shared" si="92"/>
        <v>2370</v>
      </c>
      <c r="CU58" s="5">
        <f t="shared" si="92"/>
        <v>0</v>
      </c>
      <c r="CV58" s="5">
        <f t="shared" si="92"/>
        <v>1998</v>
      </c>
      <c r="CW58" s="5">
        <f t="shared" si="92"/>
        <v>15936</v>
      </c>
      <c r="CX58" s="8"/>
      <c r="CY58" s="11">
        <v>46054</v>
      </c>
      <c r="CZ58" s="5">
        <v>53214</v>
      </c>
      <c r="DA58" s="5">
        <v>956</v>
      </c>
      <c r="DB58" s="5">
        <v>3515</v>
      </c>
      <c r="DC58" s="5">
        <v>4466</v>
      </c>
      <c r="DD58" s="5">
        <v>598</v>
      </c>
      <c r="DE58" s="5">
        <v>386</v>
      </c>
      <c r="DF58" s="5">
        <v>294</v>
      </c>
      <c r="DG58" s="2">
        <v>0</v>
      </c>
      <c r="DH58" s="2">
        <v>263</v>
      </c>
      <c r="DI58" s="5">
        <v>1769</v>
      </c>
      <c r="DJ58" s="8"/>
      <c r="DK58" s="11">
        <v>46054</v>
      </c>
      <c r="DL58" s="9">
        <v>71283</v>
      </c>
      <c r="DM58" s="5">
        <v>4949</v>
      </c>
      <c r="DN58" s="5">
        <v>19074</v>
      </c>
      <c r="DO58" s="5">
        <v>23713</v>
      </c>
      <c r="DP58" s="5">
        <v>3245</v>
      </c>
      <c r="DQ58" s="5">
        <v>2324</v>
      </c>
      <c r="DR58" s="5">
        <v>2076</v>
      </c>
      <c r="DS58" s="5">
        <v>0</v>
      </c>
      <c r="DT58" s="5">
        <v>1735</v>
      </c>
      <c r="DU58" s="5">
        <v>14167</v>
      </c>
      <c r="DV58" s="8"/>
      <c r="DW58" s="11">
        <v>46054</v>
      </c>
      <c r="DX58" s="5">
        <v>506092</v>
      </c>
      <c r="DY58" s="5">
        <v>31433</v>
      </c>
      <c r="DZ58" s="5">
        <v>127351</v>
      </c>
      <c r="EA58" s="5">
        <v>139234</v>
      </c>
      <c r="EB58" s="5">
        <v>21023</v>
      </c>
      <c r="EC58" s="5">
        <v>14649</v>
      </c>
      <c r="ED58" s="5">
        <v>14748</v>
      </c>
      <c r="EE58" s="2">
        <v>0</v>
      </c>
      <c r="EF58" s="2">
        <v>14320</v>
      </c>
      <c r="EG58" s="5">
        <v>52827</v>
      </c>
      <c r="EH58" s="8"/>
      <c r="EI58" s="11">
        <v>46054</v>
      </c>
      <c r="EJ58" s="5">
        <v>376945</v>
      </c>
      <c r="EK58" s="5">
        <v>23502</v>
      </c>
      <c r="EL58" s="5">
        <v>100383</v>
      </c>
      <c r="EM58" s="5">
        <v>110371</v>
      </c>
      <c r="EN58" s="5">
        <v>13098</v>
      </c>
      <c r="EO58" s="5">
        <v>10485</v>
      </c>
      <c r="EP58" s="5">
        <v>8789</v>
      </c>
      <c r="EQ58" s="2">
        <v>0</v>
      </c>
      <c r="ER58" s="2">
        <v>8140</v>
      </c>
      <c r="ES58" s="5">
        <v>39342</v>
      </c>
      <c r="ET58" s="8"/>
      <c r="EU58" s="5"/>
      <c r="EV58" s="5"/>
      <c r="EW58" s="5"/>
      <c r="EX58" s="5"/>
      <c r="EY58" s="5"/>
      <c r="EZ58" s="5"/>
      <c r="FA58" s="5"/>
      <c r="FB58" s="5"/>
      <c r="FE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S58" s="11">
        <v>46054</v>
      </c>
      <c r="FT58" s="5">
        <v>177</v>
      </c>
      <c r="FU58" s="5">
        <v>48</v>
      </c>
      <c r="FV58" s="5">
        <v>0</v>
      </c>
      <c r="FW58" s="5">
        <v>34</v>
      </c>
      <c r="FX58" s="5">
        <v>76</v>
      </c>
      <c r="FY58" s="5">
        <v>549</v>
      </c>
      <c r="FZ58" s="5">
        <v>88</v>
      </c>
      <c r="GA58" s="5">
        <v>459</v>
      </c>
      <c r="GB58" s="5">
        <v>74</v>
      </c>
      <c r="GC58" s="5">
        <v>1477</v>
      </c>
      <c r="GQ58" s="21">
        <v>46054</v>
      </c>
      <c r="GR58" s="20">
        <v>169.85714285714286</v>
      </c>
      <c r="GS58" s="20">
        <v>1500.8571428571429</v>
      </c>
      <c r="GT58" s="20">
        <v>18290.857142857141</v>
      </c>
      <c r="GU58" s="20">
        <v>15426.571428571429</v>
      </c>
      <c r="GV58" s="20">
        <v>12917.571428571429</v>
      </c>
      <c r="GW58" s="20">
        <v>2813.1428571428569</v>
      </c>
      <c r="GX58" s="20">
        <v>30763.142857142855</v>
      </c>
      <c r="GY58" s="20">
        <v>40259.714285714283</v>
      </c>
      <c r="GZ58" s="20">
        <v>6189.8571428571431</v>
      </c>
      <c r="HA58" s="20">
        <f t="shared" si="94"/>
        <v>128331.57142857143</v>
      </c>
      <c r="HB58" s="550"/>
      <c r="HC58" s="11">
        <v>46054</v>
      </c>
      <c r="HD58" s="5">
        <f t="shared" si="82"/>
        <v>1946220</v>
      </c>
      <c r="HE58" s="5">
        <f t="shared" si="83"/>
        <v>93296</v>
      </c>
      <c r="HF58" s="5">
        <f t="shared" si="84"/>
        <v>349798</v>
      </c>
      <c r="HG58" s="5">
        <f t="shared" si="85"/>
        <v>376398</v>
      </c>
      <c r="HH58" s="5">
        <f t="shared" si="86"/>
        <v>83667</v>
      </c>
      <c r="HI58" s="5">
        <f t="shared" si="87"/>
        <v>10481</v>
      </c>
      <c r="HJ58" s="5">
        <f t="shared" si="88"/>
        <v>53100</v>
      </c>
      <c r="HK58" s="5">
        <f t="shared" si="89"/>
        <v>435</v>
      </c>
      <c r="HL58" s="5">
        <f t="shared" si="90"/>
        <v>15670</v>
      </c>
      <c r="HM58" s="5">
        <f t="shared" si="91"/>
        <v>183812</v>
      </c>
      <c r="HO58" s="11">
        <v>46054</v>
      </c>
      <c r="HP58" s="5">
        <f t="shared" si="98"/>
        <v>634423.57142857148</v>
      </c>
      <c r="HQ58" s="5">
        <f t="shared" ref="HQ58:HQ59" si="100">DY58+GZ58</f>
        <v>37622.857142857145</v>
      </c>
      <c r="HR58" s="5">
        <f t="shared" ref="HR58:HR59" si="101">DZ58+GY58</f>
        <v>167610.71428571429</v>
      </c>
      <c r="HS58" s="5">
        <f t="shared" ref="HS58:HS59" si="102">EA58+GX58</f>
        <v>169997.14285714284</v>
      </c>
      <c r="HT58" s="5">
        <f t="shared" ref="HT58:HT59" si="103">EB58+GU58</f>
        <v>36449.571428571428</v>
      </c>
      <c r="HU58" s="5">
        <f t="shared" ref="HU58:HU59" si="104">EC58+GS58</f>
        <v>16149.857142857143</v>
      </c>
      <c r="HV58" s="5">
        <f t="shared" ref="HV58:HV59" si="105">ED58+GV58</f>
        <v>27665.571428571428</v>
      </c>
      <c r="HW58" s="5">
        <f t="shared" ref="HW58:HW59" si="106">EE58+GR58</f>
        <v>169.85714285714286</v>
      </c>
      <c r="HX58" s="5">
        <f t="shared" ref="HX58:HX59" si="107">EF58+GW58</f>
        <v>17133.142857142855</v>
      </c>
      <c r="HY58" s="5">
        <f t="shared" ref="HY58:HY59" si="108">EG58+GT58</f>
        <v>71117.857142857145</v>
      </c>
    </row>
    <row r="59" spans="2:233">
      <c r="B59" s="11">
        <v>46082</v>
      </c>
      <c r="C59" s="2">
        <v>0</v>
      </c>
      <c r="D59" s="2">
        <v>17</v>
      </c>
      <c r="E59" s="2">
        <v>809</v>
      </c>
      <c r="F59" s="2">
        <v>318</v>
      </c>
      <c r="G59" s="2">
        <v>133</v>
      </c>
      <c r="H59" s="2">
        <v>72</v>
      </c>
      <c r="I59" s="2">
        <v>3201</v>
      </c>
      <c r="J59" s="2">
        <v>2037</v>
      </c>
      <c r="K59" s="2">
        <v>279</v>
      </c>
      <c r="L59" s="8">
        <f t="shared" si="96"/>
        <v>6866</v>
      </c>
      <c r="N59" s="11">
        <v>46082</v>
      </c>
      <c r="O59" s="2">
        <v>0</v>
      </c>
      <c r="P59" s="2">
        <v>17</v>
      </c>
      <c r="Q59" s="2">
        <v>809</v>
      </c>
      <c r="R59" s="2">
        <v>318</v>
      </c>
      <c r="S59" s="2">
        <v>133</v>
      </c>
      <c r="T59" s="2">
        <v>72</v>
      </c>
      <c r="U59" s="2">
        <v>3201</v>
      </c>
      <c r="V59" s="2">
        <v>2037</v>
      </c>
      <c r="W59" s="2">
        <v>279</v>
      </c>
      <c r="X59" s="8">
        <f t="shared" si="97"/>
        <v>6866</v>
      </c>
      <c r="Y59" s="22"/>
      <c r="Z59" s="11">
        <v>46082</v>
      </c>
      <c r="AA59" s="54"/>
      <c r="AB59" s="22"/>
      <c r="AC59" s="22"/>
      <c r="AD59" s="22"/>
      <c r="AE59" s="22"/>
      <c r="AF59" s="22"/>
      <c r="AJ59" s="55">
        <v>2875240</v>
      </c>
      <c r="AL59" s="11">
        <v>46082</v>
      </c>
      <c r="AM59" s="5">
        <v>123274</v>
      </c>
      <c r="AN59" s="5">
        <v>665802</v>
      </c>
      <c r="AO59" s="5">
        <v>972877</v>
      </c>
      <c r="AP59" s="5">
        <v>41821</v>
      </c>
      <c r="AQ59" s="5">
        <v>69204</v>
      </c>
      <c r="AR59" s="5">
        <v>36045</v>
      </c>
      <c r="AS59" s="5">
        <v>2</v>
      </c>
      <c r="AT59" s="5">
        <v>44087</v>
      </c>
      <c r="AU59" s="5">
        <v>277642</v>
      </c>
      <c r="AV59" s="5">
        <v>2230754</v>
      </c>
      <c r="AW59" s="5"/>
      <c r="AX59" s="11">
        <v>46082</v>
      </c>
      <c r="AY59" s="5">
        <v>107773</v>
      </c>
      <c r="AZ59" s="5">
        <v>516629</v>
      </c>
      <c r="BA59" s="5">
        <v>893336</v>
      </c>
      <c r="BB59" s="5">
        <v>24029</v>
      </c>
      <c r="BC59" s="5">
        <v>50827</v>
      </c>
      <c r="BD59" s="5">
        <v>18303</v>
      </c>
      <c r="BE59" s="5">
        <v>1</v>
      </c>
      <c r="BF59" s="5">
        <v>24764</v>
      </c>
      <c r="BG59" s="5">
        <v>248926</v>
      </c>
      <c r="BH59" s="5">
        <v>1884588</v>
      </c>
      <c r="BI59" s="8"/>
      <c r="BJ59" s="11">
        <v>46082</v>
      </c>
      <c r="BK59" s="8">
        <f>BM59+BO59</f>
        <v>3196204</v>
      </c>
      <c r="BL59" s="6"/>
      <c r="BM59" s="8">
        <v>2020230</v>
      </c>
      <c r="BN59" s="8"/>
      <c r="BO59" s="5">
        <f t="shared" si="99"/>
        <v>1175974</v>
      </c>
      <c r="BP59" s="5">
        <v>90168</v>
      </c>
      <c r="BQ59" s="5">
        <v>348547</v>
      </c>
      <c r="BR59" s="5">
        <v>380389</v>
      </c>
      <c r="BS59" s="5">
        <v>83442</v>
      </c>
      <c r="BT59" s="5">
        <v>7460</v>
      </c>
      <c r="BU59" s="5">
        <v>54002</v>
      </c>
      <c r="BV59" s="8">
        <v>751</v>
      </c>
      <c r="BW59" s="8">
        <v>19777</v>
      </c>
      <c r="BX59" s="8">
        <v>191438</v>
      </c>
      <c r="BY59" s="8">
        <v>1202</v>
      </c>
      <c r="BZ59" s="8"/>
      <c r="CA59" s="11">
        <v>46082</v>
      </c>
      <c r="CB59" s="5">
        <v>104741</v>
      </c>
      <c r="CC59" s="5">
        <v>4153</v>
      </c>
      <c r="CD59" s="5">
        <v>18129</v>
      </c>
      <c r="CE59" s="5">
        <v>25683</v>
      </c>
      <c r="CF59" s="5">
        <v>2965</v>
      </c>
      <c r="CG59" s="5">
        <v>2473</v>
      </c>
      <c r="CH59" s="5">
        <v>1926</v>
      </c>
      <c r="CI59" s="5">
        <v>0</v>
      </c>
      <c r="CJ59" s="5">
        <v>2454</v>
      </c>
      <c r="CK59" s="5">
        <v>14341</v>
      </c>
      <c r="CL59" s="6"/>
      <c r="CM59" s="11">
        <v>46082</v>
      </c>
      <c r="CN59" s="5">
        <f t="shared" si="93"/>
        <v>146311</v>
      </c>
      <c r="CO59" s="5">
        <f t="shared" si="92"/>
        <v>5969</v>
      </c>
      <c r="CP59" s="5">
        <f t="shared" si="92"/>
        <v>24669</v>
      </c>
      <c r="CQ59" s="5">
        <f t="shared" si="92"/>
        <v>34292</v>
      </c>
      <c r="CR59" s="5">
        <f t="shared" si="92"/>
        <v>4560</v>
      </c>
      <c r="CS59" s="5">
        <f t="shared" si="92"/>
        <v>3602</v>
      </c>
      <c r="CT59" s="5">
        <f t="shared" si="92"/>
        <v>2859</v>
      </c>
      <c r="CU59" s="5">
        <f t="shared" si="92"/>
        <v>0</v>
      </c>
      <c r="CV59" s="5">
        <f t="shared" si="92"/>
        <v>3990</v>
      </c>
      <c r="CW59" s="5">
        <f t="shared" si="92"/>
        <v>19758</v>
      </c>
      <c r="CX59" s="8"/>
      <c r="CY59" s="11">
        <v>46082</v>
      </c>
      <c r="CZ59" s="5">
        <v>61315</v>
      </c>
      <c r="DA59" s="5">
        <v>797</v>
      </c>
      <c r="DB59" s="5">
        <v>3982</v>
      </c>
      <c r="DC59" s="5">
        <v>5697</v>
      </c>
      <c r="DD59" s="5">
        <v>613</v>
      </c>
      <c r="DE59" s="5">
        <v>569</v>
      </c>
      <c r="DF59" s="5">
        <v>374</v>
      </c>
      <c r="DG59" s="2">
        <v>0</v>
      </c>
      <c r="DH59" s="2">
        <v>637</v>
      </c>
      <c r="DI59" s="5">
        <v>2034</v>
      </c>
      <c r="DJ59" s="5"/>
      <c r="DK59" s="11">
        <v>46082</v>
      </c>
      <c r="DL59" s="9">
        <v>84996</v>
      </c>
      <c r="DM59" s="5">
        <v>5172</v>
      </c>
      <c r="DN59" s="5">
        <v>20687</v>
      </c>
      <c r="DO59" s="5">
        <v>28595</v>
      </c>
      <c r="DP59" s="5">
        <v>3947</v>
      </c>
      <c r="DQ59" s="5">
        <v>3033</v>
      </c>
      <c r="DR59" s="5">
        <v>2485</v>
      </c>
      <c r="DS59" s="5">
        <v>0</v>
      </c>
      <c r="DT59" s="5">
        <v>3353</v>
      </c>
      <c r="DU59" s="5">
        <v>17724</v>
      </c>
      <c r="DV59" s="8"/>
      <c r="DW59" s="11">
        <v>46082</v>
      </c>
      <c r="DX59" s="5">
        <v>573530</v>
      </c>
      <c r="DY59" s="5">
        <v>30340</v>
      </c>
      <c r="DZ59" s="5">
        <v>137111</v>
      </c>
      <c r="EA59" s="5">
        <v>166449</v>
      </c>
      <c r="EB59" s="5">
        <v>22180</v>
      </c>
      <c r="EC59" s="5">
        <v>16859</v>
      </c>
      <c r="ED59" s="5">
        <v>15179</v>
      </c>
      <c r="EE59" s="2">
        <v>3</v>
      </c>
      <c r="EF59" s="2">
        <v>16810</v>
      </c>
      <c r="EG59" s="5">
        <v>64619</v>
      </c>
      <c r="EH59" s="11"/>
      <c r="EI59" s="11">
        <v>46082</v>
      </c>
      <c r="EJ59" s="5">
        <v>436366</v>
      </c>
      <c r="EK59" s="5">
        <v>22733</v>
      </c>
      <c r="EL59" s="5">
        <v>110133</v>
      </c>
      <c r="EM59" s="5">
        <v>135594</v>
      </c>
      <c r="EN59" s="5">
        <v>14044</v>
      </c>
      <c r="EO59" s="5">
        <v>11802</v>
      </c>
      <c r="EP59" s="5">
        <v>9056</v>
      </c>
      <c r="EQ59" s="2">
        <v>1</v>
      </c>
      <c r="ER59" s="2">
        <v>9904</v>
      </c>
      <c r="ES59" s="5">
        <v>49877</v>
      </c>
      <c r="ET59" s="8"/>
      <c r="EU59" s="5"/>
      <c r="EV59" s="5"/>
      <c r="EW59" s="5"/>
      <c r="EX59" s="5"/>
      <c r="EY59" s="5"/>
      <c r="EZ59" s="5"/>
      <c r="FA59" s="5"/>
      <c r="FB59" s="5"/>
      <c r="FE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S59" s="11">
        <v>46082</v>
      </c>
      <c r="FT59" s="5">
        <v>315</v>
      </c>
      <c r="FU59" s="5">
        <v>76</v>
      </c>
      <c r="FV59" s="5">
        <v>0</v>
      </c>
      <c r="FW59" s="5">
        <v>45</v>
      </c>
      <c r="FX59" s="5">
        <v>110</v>
      </c>
      <c r="FY59" s="5">
        <v>852</v>
      </c>
      <c r="FZ59" s="5">
        <v>141</v>
      </c>
      <c r="GA59" s="5">
        <v>647</v>
      </c>
      <c r="GB59" s="5">
        <v>97</v>
      </c>
      <c r="GC59" s="5">
        <v>2230</v>
      </c>
      <c r="GQ59" s="11">
        <v>46082</v>
      </c>
      <c r="GR59" s="5">
        <v>216</v>
      </c>
      <c r="GS59" s="5">
        <v>1849</v>
      </c>
      <c r="GT59" s="5">
        <v>20828</v>
      </c>
      <c r="GU59" s="5">
        <v>15085</v>
      </c>
      <c r="GV59" s="5">
        <v>14101</v>
      </c>
      <c r="GW59" s="5">
        <v>4245</v>
      </c>
      <c r="GX59" s="5">
        <v>32967</v>
      </c>
      <c r="GY59" s="5">
        <v>41003</v>
      </c>
      <c r="GZ59" s="5">
        <v>7586</v>
      </c>
      <c r="HA59" s="5">
        <f t="shared" si="94"/>
        <v>137880</v>
      </c>
      <c r="HB59" s="5"/>
      <c r="HC59" s="11">
        <v>46082</v>
      </c>
      <c r="HD59" s="5">
        <f t="shared" si="82"/>
        <v>2166541</v>
      </c>
      <c r="HE59" s="5">
        <f t="shared" si="83"/>
        <v>96137</v>
      </c>
      <c r="HF59" s="5">
        <f t="shared" si="84"/>
        <v>373216</v>
      </c>
      <c r="HG59" s="5">
        <f t="shared" si="85"/>
        <v>414681</v>
      </c>
      <c r="HH59" s="5">
        <f t="shared" si="86"/>
        <v>88002</v>
      </c>
      <c r="HI59" s="5">
        <f t="shared" si="87"/>
        <v>11062</v>
      </c>
      <c r="HJ59" s="5">
        <f t="shared" si="88"/>
        <v>56861</v>
      </c>
      <c r="HK59" s="5">
        <f t="shared" si="89"/>
        <v>751</v>
      </c>
      <c r="HL59" s="5">
        <f t="shared" si="90"/>
        <v>23767</v>
      </c>
      <c r="HM59" s="5">
        <f t="shared" si="91"/>
        <v>211196</v>
      </c>
      <c r="HO59" s="11">
        <v>46082</v>
      </c>
      <c r="HP59" s="5">
        <f t="shared" si="98"/>
        <v>711410</v>
      </c>
      <c r="HQ59" s="5">
        <f t="shared" si="100"/>
        <v>37926</v>
      </c>
      <c r="HR59" s="5">
        <f t="shared" si="101"/>
        <v>178114</v>
      </c>
      <c r="HS59" s="5">
        <f t="shared" si="102"/>
        <v>199416</v>
      </c>
      <c r="HT59" s="5">
        <f t="shared" si="103"/>
        <v>37265</v>
      </c>
      <c r="HU59" s="5">
        <f t="shared" si="104"/>
        <v>18708</v>
      </c>
      <c r="HV59" s="5">
        <f t="shared" si="105"/>
        <v>29280</v>
      </c>
      <c r="HW59" s="5">
        <f t="shared" si="106"/>
        <v>219</v>
      </c>
      <c r="HX59" s="5">
        <f t="shared" si="107"/>
        <v>21055</v>
      </c>
      <c r="HY59" s="5">
        <f t="shared" si="108"/>
        <v>85447</v>
      </c>
    </row>
    <row r="60" spans="2:233">
      <c r="B60" s="11">
        <v>46113</v>
      </c>
      <c r="C60" s="2">
        <v>0</v>
      </c>
      <c r="D60" s="2">
        <v>7</v>
      </c>
      <c r="E60" s="2">
        <v>669</v>
      </c>
      <c r="F60" s="2">
        <v>264</v>
      </c>
      <c r="G60" s="2">
        <v>29</v>
      </c>
      <c r="H60" s="2">
        <v>89</v>
      </c>
      <c r="I60" s="2">
        <v>2512</v>
      </c>
      <c r="J60" s="2">
        <v>1571</v>
      </c>
      <c r="K60" s="2">
        <v>332</v>
      </c>
      <c r="L60" s="8">
        <f t="shared" si="96"/>
        <v>5473</v>
      </c>
      <c r="N60" s="11">
        <v>46113</v>
      </c>
      <c r="O60" s="2">
        <v>0</v>
      </c>
      <c r="P60" s="2">
        <v>7</v>
      </c>
      <c r="Q60" s="2">
        <v>669</v>
      </c>
      <c r="R60" s="2">
        <v>264</v>
      </c>
      <c r="S60" s="2">
        <v>29</v>
      </c>
      <c r="T60" s="2">
        <v>89</v>
      </c>
      <c r="U60" s="2">
        <v>2512</v>
      </c>
      <c r="V60" s="2">
        <v>1571</v>
      </c>
      <c r="W60" s="2">
        <v>332</v>
      </c>
      <c r="X60" s="8">
        <f t="shared" si="97"/>
        <v>5473</v>
      </c>
      <c r="Y60" s="22"/>
      <c r="Z60" s="11">
        <v>46113</v>
      </c>
      <c r="AA60" s="54"/>
      <c r="AB60" s="22"/>
      <c r="AC60" s="22"/>
      <c r="AD60" s="22"/>
      <c r="AE60" s="22"/>
      <c r="AF60" s="22"/>
      <c r="AJ60" s="55">
        <v>3388854</v>
      </c>
      <c r="AL60" s="11">
        <v>46113</v>
      </c>
      <c r="AM60" s="5">
        <v>135126</v>
      </c>
      <c r="AN60" s="5">
        <v>621734</v>
      </c>
      <c r="AO60" s="5">
        <v>1664575</v>
      </c>
      <c r="AP60" s="5">
        <v>41958</v>
      </c>
      <c r="AQ60" s="5">
        <v>103267</v>
      </c>
      <c r="AR60" s="5">
        <v>40826</v>
      </c>
      <c r="AS60" s="5">
        <v>6</v>
      </c>
      <c r="AT60" s="5">
        <v>44713</v>
      </c>
      <c r="AU60" s="5">
        <v>273038</v>
      </c>
      <c r="AV60" s="5">
        <v>2925243</v>
      </c>
      <c r="AW60" s="5"/>
      <c r="AX60" s="11">
        <v>46113</v>
      </c>
      <c r="AY60" s="5">
        <v>120533</v>
      </c>
      <c r="AZ60" s="5">
        <v>526579</v>
      </c>
      <c r="BA60" s="5">
        <v>1554443</v>
      </c>
      <c r="BB60" s="5">
        <v>24704</v>
      </c>
      <c r="BC60" s="5">
        <v>80385</v>
      </c>
      <c r="BD60" s="5">
        <v>21162</v>
      </c>
      <c r="BE60" s="5">
        <v>0</v>
      </c>
      <c r="BF60" s="5">
        <v>25536</v>
      </c>
      <c r="BG60" s="5">
        <v>248390</v>
      </c>
      <c r="BH60" s="5">
        <v>2601732</v>
      </c>
      <c r="BI60" s="8"/>
      <c r="BJ60" s="11">
        <v>46113</v>
      </c>
      <c r="BK60" s="8">
        <f>BM60+BO60</f>
        <v>3091457</v>
      </c>
      <c r="BL60" s="6"/>
      <c r="BM60" s="8">
        <v>1972931</v>
      </c>
      <c r="BN60" s="8"/>
      <c r="BO60" s="5">
        <f t="shared" si="99"/>
        <v>1118526</v>
      </c>
      <c r="BP60" s="5">
        <v>84484</v>
      </c>
      <c r="BQ60" s="5">
        <v>318661</v>
      </c>
      <c r="BR60" s="5">
        <v>363259</v>
      </c>
      <c r="BS60" s="5">
        <v>80706</v>
      </c>
      <c r="BT60" s="5">
        <v>7354</v>
      </c>
      <c r="BU60" s="5">
        <v>53957</v>
      </c>
      <c r="BV60" s="8">
        <v>629</v>
      </c>
      <c r="BW60" s="8">
        <v>24824</v>
      </c>
      <c r="BX60" s="8">
        <v>184652</v>
      </c>
      <c r="BY60" s="8">
        <v>1911</v>
      </c>
      <c r="BZ60" s="8"/>
      <c r="CA60" s="11">
        <v>46113</v>
      </c>
      <c r="CB60" s="5">
        <v>79363</v>
      </c>
      <c r="CC60" s="5">
        <v>4067</v>
      </c>
      <c r="CD60" s="5">
        <v>15221</v>
      </c>
      <c r="CE60" s="5">
        <v>20836</v>
      </c>
      <c r="CF60" s="5">
        <v>2530</v>
      </c>
      <c r="CG60" s="5">
        <v>2200</v>
      </c>
      <c r="CH60" s="5">
        <v>1511</v>
      </c>
      <c r="CI60" s="5">
        <v>0</v>
      </c>
      <c r="CJ60" s="5">
        <v>2173</v>
      </c>
      <c r="CK60" s="5">
        <v>11557</v>
      </c>
      <c r="CL60" s="6"/>
      <c r="CM60" s="11">
        <v>46113</v>
      </c>
      <c r="CN60" s="5">
        <f>CZ60+DL60</f>
        <v>115872</v>
      </c>
      <c r="CO60" s="5">
        <f t="shared" si="92"/>
        <v>5505</v>
      </c>
      <c r="CP60" s="5">
        <f t="shared" si="92"/>
        <v>20545</v>
      </c>
      <c r="CQ60" s="5">
        <f t="shared" si="92"/>
        <v>27986</v>
      </c>
      <c r="CR60" s="5">
        <f t="shared" si="92"/>
        <v>3827</v>
      </c>
      <c r="CS60" s="5">
        <f t="shared" si="92"/>
        <v>3082</v>
      </c>
      <c r="CT60" s="5">
        <f t="shared" si="92"/>
        <v>2275</v>
      </c>
      <c r="CU60" s="5">
        <f t="shared" si="92"/>
        <v>0</v>
      </c>
      <c r="CV60" s="5">
        <f t="shared" si="92"/>
        <v>3792</v>
      </c>
      <c r="CW60" s="5">
        <f t="shared" si="92"/>
        <v>15896</v>
      </c>
      <c r="CY60" s="11">
        <v>46113</v>
      </c>
      <c r="CZ60" s="5">
        <v>44525</v>
      </c>
      <c r="DA60" s="5">
        <v>720</v>
      </c>
      <c r="DB60" s="5">
        <v>3108</v>
      </c>
      <c r="DC60" s="5">
        <v>4177</v>
      </c>
      <c r="DD60" s="5">
        <v>595</v>
      </c>
      <c r="DE60" s="5">
        <v>385</v>
      </c>
      <c r="DF60" s="5">
        <v>269</v>
      </c>
      <c r="DG60" s="2">
        <v>0</v>
      </c>
      <c r="DH60" s="2">
        <v>637</v>
      </c>
      <c r="DI60" s="5">
        <v>1670</v>
      </c>
      <c r="DK60" s="11">
        <v>46113</v>
      </c>
      <c r="DL60" s="9">
        <v>71347</v>
      </c>
      <c r="DM60" s="5">
        <v>4785</v>
      </c>
      <c r="DN60" s="5">
        <v>17437</v>
      </c>
      <c r="DO60" s="5">
        <v>23809</v>
      </c>
      <c r="DP60" s="5">
        <v>3232</v>
      </c>
      <c r="DQ60" s="5">
        <v>2697</v>
      </c>
      <c r="DR60" s="5">
        <v>2006</v>
      </c>
      <c r="DS60" s="5">
        <v>0</v>
      </c>
      <c r="DT60" s="5">
        <v>3155</v>
      </c>
      <c r="DU60" s="5">
        <v>14226</v>
      </c>
      <c r="DV60" s="8"/>
      <c r="DW60" s="11">
        <v>46113</v>
      </c>
      <c r="DX60" s="8">
        <v>564240</v>
      </c>
      <c r="DY60" s="8">
        <v>35785</v>
      </c>
      <c r="DZ60" s="8">
        <v>131466</v>
      </c>
      <c r="EA60" s="8">
        <v>159784</v>
      </c>
      <c r="EB60" s="8">
        <v>23019</v>
      </c>
      <c r="EC60" s="8">
        <v>20340</v>
      </c>
      <c r="ED60" s="8">
        <v>16982</v>
      </c>
      <c r="EE60" s="8">
        <v>2</v>
      </c>
      <c r="EF60" s="8">
        <v>18302</v>
      </c>
      <c r="EG60" s="8">
        <v>60255</v>
      </c>
      <c r="EH60" s="5"/>
      <c r="EI60" s="11">
        <v>46113</v>
      </c>
      <c r="EJ60" s="5">
        <v>440108</v>
      </c>
      <c r="EK60" s="5">
        <v>28536</v>
      </c>
      <c r="EL60" s="5">
        <v>108280</v>
      </c>
      <c r="EM60" s="5">
        <v>132742</v>
      </c>
      <c r="EN60" s="5">
        <v>15451</v>
      </c>
      <c r="EO60" s="5">
        <v>15065</v>
      </c>
      <c r="EP60" s="5">
        <v>10661</v>
      </c>
      <c r="EQ60" s="5">
        <v>0</v>
      </c>
      <c r="ER60" s="5">
        <v>11233</v>
      </c>
      <c r="ES60" s="5">
        <v>46877</v>
      </c>
      <c r="ET60" s="8"/>
      <c r="EU60" s="5"/>
      <c r="EV60" s="5"/>
      <c r="EW60" s="5"/>
      <c r="EX60" s="5"/>
      <c r="EY60" s="5"/>
      <c r="EZ60" s="5"/>
      <c r="FA60" s="5"/>
      <c r="FB60" s="5"/>
      <c r="FE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S60" s="11">
        <v>46113</v>
      </c>
      <c r="FT60" s="5">
        <v>209</v>
      </c>
      <c r="FU60" s="5">
        <v>71</v>
      </c>
      <c r="FV60" s="5">
        <v>0</v>
      </c>
      <c r="FW60" s="5">
        <v>40</v>
      </c>
      <c r="FX60" s="5">
        <v>123</v>
      </c>
      <c r="FY60" s="5">
        <v>662</v>
      </c>
      <c r="FZ60" s="5">
        <v>161</v>
      </c>
      <c r="GA60" s="5">
        <v>571</v>
      </c>
      <c r="GB60" s="5">
        <v>92</v>
      </c>
      <c r="GC60" s="5">
        <v>1871</v>
      </c>
      <c r="GD60" s="5"/>
      <c r="GQ60" s="11">
        <v>46113</v>
      </c>
      <c r="GR60" s="5">
        <v>522.85714285714289</v>
      </c>
      <c r="GS60" s="5">
        <v>1702.7261904761906</v>
      </c>
      <c r="GT60" s="5">
        <v>20884.542717086835</v>
      </c>
      <c r="GU60" s="5">
        <v>13744.80462184874</v>
      </c>
      <c r="GV60" s="5">
        <v>16299.336134453783</v>
      </c>
      <c r="GW60" s="5">
        <v>6330.8858543417373</v>
      </c>
      <c r="GX60" s="5">
        <v>27873.323529411766</v>
      </c>
      <c r="GY60" s="5">
        <v>38906.598039215685</v>
      </c>
      <c r="GZ60" s="5">
        <v>8615.7857142857138</v>
      </c>
      <c r="HA60" s="5">
        <v>134880.85994397759</v>
      </c>
      <c r="HB60" s="5"/>
      <c r="HC60" s="11">
        <v>46113</v>
      </c>
      <c r="HD60" s="5">
        <f t="shared" si="82"/>
        <v>2088803</v>
      </c>
      <c r="HE60" s="5">
        <f t="shared" si="83"/>
        <v>89989</v>
      </c>
      <c r="HF60" s="5">
        <f t="shared" si="84"/>
        <v>339206</v>
      </c>
      <c r="HG60" s="5">
        <f t="shared" si="85"/>
        <v>391245</v>
      </c>
      <c r="HH60" s="5">
        <f t="shared" si="86"/>
        <v>84533</v>
      </c>
      <c r="HI60" s="5">
        <f t="shared" si="87"/>
        <v>10436</v>
      </c>
      <c r="HJ60" s="5">
        <f t="shared" si="88"/>
        <v>56232</v>
      </c>
      <c r="HK60" s="5">
        <f t="shared" si="89"/>
        <v>629</v>
      </c>
      <c r="HL60" s="5">
        <f t="shared" si="90"/>
        <v>28616</v>
      </c>
      <c r="HM60" s="5">
        <f t="shared" si="91"/>
        <v>200548</v>
      </c>
      <c r="HO60" s="11">
        <v>46113</v>
      </c>
      <c r="HP60" s="5">
        <f t="shared" si="98"/>
        <v>699120.85994397756</v>
      </c>
      <c r="HQ60" s="5">
        <f t="shared" ref="HQ60:HQ62" si="109">DY60+GZ60</f>
        <v>44400.78571428571</v>
      </c>
      <c r="HR60" s="5">
        <f t="shared" ref="HR60:HR63" si="110">DZ60+GY60</f>
        <v>170372.59803921569</v>
      </c>
      <c r="HS60" s="5">
        <f t="shared" ref="HS60:HS63" si="111">EA60+GX60</f>
        <v>187657.32352941178</v>
      </c>
      <c r="HT60" s="5">
        <f t="shared" ref="HT60:HT63" si="112">EB60+GU60</f>
        <v>36763.804621848743</v>
      </c>
      <c r="HU60" s="5">
        <f t="shared" ref="HU60:HU63" si="113">EC60+GS60</f>
        <v>22042.726190476191</v>
      </c>
      <c r="HV60" s="5">
        <f t="shared" ref="HV60:HV63" si="114">ED60+GV60</f>
        <v>33281.336134453784</v>
      </c>
      <c r="HW60" s="5">
        <f t="shared" ref="HW60:HW63" si="115">EE60+GR60</f>
        <v>524.85714285714289</v>
      </c>
      <c r="HX60" s="5">
        <f t="shared" ref="HX60:HX63" si="116">EF60+GW60</f>
        <v>24632.885854341737</v>
      </c>
      <c r="HY60" s="5">
        <f t="shared" ref="HY60:HY63" si="117">EG60+GT60</f>
        <v>81139.542717086835</v>
      </c>
    </row>
    <row r="61" spans="2:233">
      <c r="B61" s="11">
        <v>46143</v>
      </c>
      <c r="C61" s="2">
        <v>0</v>
      </c>
      <c r="D61" s="2">
        <v>12</v>
      </c>
      <c r="E61" s="2">
        <v>804</v>
      </c>
      <c r="F61" s="2">
        <v>278</v>
      </c>
      <c r="G61" s="2">
        <v>151</v>
      </c>
      <c r="H61" s="2">
        <v>132</v>
      </c>
      <c r="I61" s="2">
        <v>3158</v>
      </c>
      <c r="J61" s="2">
        <v>1784</v>
      </c>
      <c r="K61" s="2">
        <v>303</v>
      </c>
      <c r="L61" s="8">
        <f t="shared" si="96"/>
        <v>6622</v>
      </c>
      <c r="N61" s="11">
        <v>46143</v>
      </c>
      <c r="O61" s="2">
        <v>0</v>
      </c>
      <c r="P61" s="2">
        <v>12</v>
      </c>
      <c r="Q61" s="2">
        <v>804</v>
      </c>
      <c r="R61" s="2">
        <v>278</v>
      </c>
      <c r="S61" s="2">
        <v>151</v>
      </c>
      <c r="T61" s="2">
        <v>132</v>
      </c>
      <c r="U61" s="2">
        <v>3158</v>
      </c>
      <c r="V61" s="2">
        <v>1784</v>
      </c>
      <c r="W61" s="2">
        <v>303</v>
      </c>
      <c r="X61" s="8">
        <f t="shared" si="97"/>
        <v>6622</v>
      </c>
      <c r="Y61" s="22"/>
      <c r="Z61" s="11">
        <v>46143</v>
      </c>
      <c r="AA61" s="54"/>
      <c r="AJ61" s="55">
        <v>2864914</v>
      </c>
      <c r="AL61" s="11">
        <v>46143</v>
      </c>
      <c r="AM61" s="5">
        <v>127668</v>
      </c>
      <c r="AN61" s="5">
        <v>540467</v>
      </c>
      <c r="AO61" s="5">
        <v>1306215</v>
      </c>
      <c r="AP61" s="5">
        <v>42189</v>
      </c>
      <c r="AQ61" s="5">
        <v>104172</v>
      </c>
      <c r="AR61" s="5">
        <v>34365</v>
      </c>
      <c r="AS61" s="5">
        <v>26</v>
      </c>
      <c r="AT61" s="5">
        <v>41955</v>
      </c>
      <c r="AU61" s="5">
        <v>294389</v>
      </c>
      <c r="AV61" s="5">
        <v>2491446</v>
      </c>
      <c r="AW61" s="5"/>
      <c r="AX61" s="11">
        <v>46143</v>
      </c>
      <c r="AY61" s="5">
        <v>114996</v>
      </c>
      <c r="AZ61" s="5">
        <v>472449</v>
      </c>
      <c r="BA61" s="5">
        <v>1085554</v>
      </c>
      <c r="BB61" s="5">
        <v>24615</v>
      </c>
      <c r="BC61" s="5">
        <v>81172</v>
      </c>
      <c r="BD61" s="5">
        <v>18793</v>
      </c>
      <c r="BE61" s="5">
        <v>0</v>
      </c>
      <c r="BF61" s="5">
        <v>23090</v>
      </c>
      <c r="BG61" s="5">
        <v>269797</v>
      </c>
      <c r="BH61" s="5">
        <v>2090466</v>
      </c>
      <c r="BI61" s="8"/>
      <c r="BJ61" s="11">
        <v>46143</v>
      </c>
      <c r="BK61" s="8">
        <f>BM61+BO61</f>
        <v>3098903</v>
      </c>
      <c r="BM61" s="8">
        <v>1979341</v>
      </c>
      <c r="BO61" s="5">
        <f t="shared" si="99"/>
        <v>1119562</v>
      </c>
      <c r="BP61" s="5">
        <v>85006</v>
      </c>
      <c r="BQ61" s="5">
        <v>312983</v>
      </c>
      <c r="BR61" s="5">
        <v>385188</v>
      </c>
      <c r="BS61" s="5">
        <v>78647</v>
      </c>
      <c r="BT61" s="5">
        <v>6423</v>
      </c>
      <c r="BU61" s="5">
        <v>51108</v>
      </c>
      <c r="BV61" s="8">
        <v>123</v>
      </c>
      <c r="BW61" s="8">
        <v>31081</v>
      </c>
      <c r="BX61" s="8">
        <v>169003</v>
      </c>
      <c r="BY61" s="8">
        <v>4323</v>
      </c>
      <c r="BZ61" s="8"/>
      <c r="CA61" s="11">
        <v>46143</v>
      </c>
      <c r="CB61" s="5">
        <v>80676</v>
      </c>
      <c r="CC61" s="5">
        <v>4006</v>
      </c>
      <c r="CD61" s="5">
        <v>14056</v>
      </c>
      <c r="CE61" s="5">
        <v>21165</v>
      </c>
      <c r="CF61" s="5">
        <v>2664</v>
      </c>
      <c r="CG61" s="5">
        <v>2336</v>
      </c>
      <c r="CH61" s="5">
        <v>1929</v>
      </c>
      <c r="CI61" s="5">
        <v>0</v>
      </c>
      <c r="CJ61" s="5">
        <v>2698</v>
      </c>
      <c r="CK61" s="5">
        <v>12479</v>
      </c>
      <c r="CL61" s="5"/>
      <c r="CM61" s="11">
        <v>46143</v>
      </c>
      <c r="CN61" s="5">
        <f>CZ61+DL61</f>
        <v>119435</v>
      </c>
      <c r="CO61" s="5">
        <f t="shared" ref="CO61:CW63" si="118">DA61+DM61</f>
        <v>5518</v>
      </c>
      <c r="CP61" s="5">
        <f t="shared" si="118"/>
        <v>19194</v>
      </c>
      <c r="CQ61" s="5">
        <f t="shared" si="118"/>
        <v>28630</v>
      </c>
      <c r="CR61" s="5">
        <f t="shared" si="118"/>
        <v>4029</v>
      </c>
      <c r="CS61" s="5">
        <f t="shared" si="118"/>
        <v>3296</v>
      </c>
      <c r="CT61" s="5">
        <f t="shared" si="118"/>
        <v>2752</v>
      </c>
      <c r="CU61" s="5">
        <f t="shared" si="118"/>
        <v>1</v>
      </c>
      <c r="CV61" s="5">
        <f t="shared" si="118"/>
        <v>4666</v>
      </c>
      <c r="CW61" s="5">
        <f t="shared" si="118"/>
        <v>16860</v>
      </c>
      <c r="CX61" s="8"/>
      <c r="CY61" s="11">
        <v>46143</v>
      </c>
      <c r="CZ61" s="5">
        <v>46307</v>
      </c>
      <c r="DA61" s="5">
        <v>841</v>
      </c>
      <c r="DB61" s="5">
        <v>2843</v>
      </c>
      <c r="DC61" s="5">
        <v>4378</v>
      </c>
      <c r="DD61" s="5">
        <v>487</v>
      </c>
      <c r="DE61" s="5">
        <v>420</v>
      </c>
      <c r="DF61" s="5">
        <v>313</v>
      </c>
      <c r="DG61" s="2">
        <v>1</v>
      </c>
      <c r="DH61" s="2">
        <v>803</v>
      </c>
      <c r="DI61" s="5">
        <v>1732</v>
      </c>
      <c r="DK61" s="11">
        <v>46143</v>
      </c>
      <c r="DL61" s="9">
        <v>73128</v>
      </c>
      <c r="DM61" s="5">
        <v>4677</v>
      </c>
      <c r="DN61" s="5">
        <v>16351</v>
      </c>
      <c r="DO61" s="5">
        <v>24252</v>
      </c>
      <c r="DP61" s="5">
        <v>3542</v>
      </c>
      <c r="DQ61" s="5">
        <v>2876</v>
      </c>
      <c r="DR61" s="5">
        <v>2439</v>
      </c>
      <c r="DS61" s="5">
        <v>0</v>
      </c>
      <c r="DT61" s="5">
        <v>3863</v>
      </c>
      <c r="DU61" s="5">
        <v>15128</v>
      </c>
      <c r="DV61" s="8"/>
      <c r="DW61" s="11">
        <v>46143</v>
      </c>
      <c r="DX61" s="8">
        <v>531056</v>
      </c>
      <c r="DY61" s="8">
        <v>31015</v>
      </c>
      <c r="DZ61" s="8">
        <v>114347</v>
      </c>
      <c r="EA61" s="8">
        <v>155916</v>
      </c>
      <c r="EB61" s="8">
        <v>22909</v>
      </c>
      <c r="EC61" s="8">
        <v>19119</v>
      </c>
      <c r="ED61" s="8">
        <v>15385</v>
      </c>
      <c r="EE61" s="8">
        <v>1</v>
      </c>
      <c r="EF61" s="8">
        <v>19428</v>
      </c>
      <c r="EG61" s="8">
        <v>58738</v>
      </c>
      <c r="EI61" s="11">
        <v>46143</v>
      </c>
      <c r="EJ61" s="5">
        <v>409785</v>
      </c>
      <c r="EK61" s="5">
        <v>24653</v>
      </c>
      <c r="EL61" s="5">
        <v>91889</v>
      </c>
      <c r="EM61" s="5">
        <v>128830</v>
      </c>
      <c r="EN61" s="5">
        <v>15371</v>
      </c>
      <c r="EO61" s="5">
        <v>13991</v>
      </c>
      <c r="EP61" s="5">
        <v>10006</v>
      </c>
      <c r="EQ61" s="5">
        <v>0</v>
      </c>
      <c r="ER61" s="5">
        <v>11747</v>
      </c>
      <c r="ES61" s="5">
        <v>45520</v>
      </c>
      <c r="ET61" s="8"/>
      <c r="EU61" s="5"/>
      <c r="EV61" s="5"/>
      <c r="EW61" s="5"/>
      <c r="EX61" s="5"/>
      <c r="EY61" s="5"/>
      <c r="EZ61" s="5"/>
      <c r="FA61" s="5"/>
      <c r="FB61" s="5"/>
      <c r="FE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S61" s="11">
        <v>46143</v>
      </c>
      <c r="FT61" s="5">
        <v>256</v>
      </c>
      <c r="FU61" s="5">
        <v>64</v>
      </c>
      <c r="FV61" s="5">
        <v>1</v>
      </c>
      <c r="FW61" s="5">
        <v>41</v>
      </c>
      <c r="FX61" s="5">
        <v>143</v>
      </c>
      <c r="FY61" s="5">
        <v>696</v>
      </c>
      <c r="FZ61" s="5">
        <v>169</v>
      </c>
      <c r="GA61" s="5">
        <v>494</v>
      </c>
      <c r="GB61" s="5">
        <v>102</v>
      </c>
      <c r="GC61" s="5">
        <v>1901</v>
      </c>
      <c r="GQ61" s="11">
        <v>46143</v>
      </c>
      <c r="GR61" s="5">
        <v>188.14285714285714</v>
      </c>
      <c r="GS61" s="5">
        <v>2173.8571428571431</v>
      </c>
      <c r="GT61" s="5">
        <v>22147.285714285714</v>
      </c>
      <c r="GU61" s="5">
        <v>14687.857142857143</v>
      </c>
      <c r="GV61" s="5">
        <v>15239.428571428571</v>
      </c>
      <c r="GW61" s="5">
        <v>7331.2857142857147</v>
      </c>
      <c r="GX61" s="5">
        <v>32862</v>
      </c>
      <c r="GY61" s="5">
        <v>38044</v>
      </c>
      <c r="GZ61" s="5">
        <v>7683.7142857142853</v>
      </c>
      <c r="HA61" s="5">
        <v>140357.57142857142</v>
      </c>
      <c r="HB61" s="5"/>
      <c r="HC61" s="11">
        <v>46143</v>
      </c>
      <c r="HD61" s="5">
        <f t="shared" si="82"/>
        <v>2098776</v>
      </c>
      <c r="HE61" s="5">
        <f t="shared" si="83"/>
        <v>90524</v>
      </c>
      <c r="HF61" s="5">
        <f t="shared" si="84"/>
        <v>332177</v>
      </c>
      <c r="HG61" s="5">
        <f t="shared" si="85"/>
        <v>413818</v>
      </c>
      <c r="HH61" s="5">
        <f t="shared" si="86"/>
        <v>82676</v>
      </c>
      <c r="HI61" s="5">
        <f t="shared" si="87"/>
        <v>9719</v>
      </c>
      <c r="HJ61" s="5">
        <f t="shared" si="88"/>
        <v>53860</v>
      </c>
      <c r="HK61" s="5">
        <f t="shared" si="89"/>
        <v>124</v>
      </c>
      <c r="HL61" s="5">
        <f t="shared" si="90"/>
        <v>35747</v>
      </c>
      <c r="HM61" s="5">
        <f t="shared" si="91"/>
        <v>185863</v>
      </c>
      <c r="HO61" s="11">
        <v>46143</v>
      </c>
      <c r="HP61" s="5">
        <f t="shared" si="98"/>
        <v>671413.57142857136</v>
      </c>
      <c r="HQ61" s="5">
        <f t="shared" si="109"/>
        <v>38698.714285714283</v>
      </c>
      <c r="HR61" s="5">
        <f t="shared" si="110"/>
        <v>152391</v>
      </c>
      <c r="HS61" s="5">
        <f t="shared" si="111"/>
        <v>188778</v>
      </c>
      <c r="HT61" s="5">
        <f t="shared" si="112"/>
        <v>37596.857142857145</v>
      </c>
      <c r="HU61" s="5">
        <f t="shared" si="113"/>
        <v>21292.857142857145</v>
      </c>
      <c r="HV61" s="5">
        <f t="shared" si="114"/>
        <v>30624.428571428572</v>
      </c>
      <c r="HW61" s="5">
        <f t="shared" si="115"/>
        <v>189.14285714285714</v>
      </c>
      <c r="HX61" s="5">
        <f t="shared" si="116"/>
        <v>26759.285714285714</v>
      </c>
      <c r="HY61" s="5">
        <f t="shared" si="117"/>
        <v>80885.28571428571</v>
      </c>
    </row>
    <row r="62" spans="2:233">
      <c r="B62" s="11">
        <v>46174</v>
      </c>
      <c r="C62" s="2">
        <v>0</v>
      </c>
      <c r="D62" s="2">
        <v>5</v>
      </c>
      <c r="E62" s="2">
        <v>733</v>
      </c>
      <c r="F62" s="2">
        <v>219</v>
      </c>
      <c r="G62" s="2">
        <v>126</v>
      </c>
      <c r="H62" s="2">
        <v>147</v>
      </c>
      <c r="I62" s="2">
        <v>3186</v>
      </c>
      <c r="J62" s="2">
        <v>1886</v>
      </c>
      <c r="K62" s="2">
        <v>299</v>
      </c>
      <c r="L62" s="8">
        <f t="shared" si="96"/>
        <v>6601</v>
      </c>
      <c r="N62" s="11">
        <v>46174</v>
      </c>
      <c r="O62" s="2">
        <v>0</v>
      </c>
      <c r="P62" s="2">
        <v>5</v>
      </c>
      <c r="Q62" s="2">
        <v>733</v>
      </c>
      <c r="R62" s="2">
        <v>219</v>
      </c>
      <c r="S62" s="2">
        <v>126</v>
      </c>
      <c r="T62" s="2">
        <v>147</v>
      </c>
      <c r="U62" s="2">
        <v>3186</v>
      </c>
      <c r="V62" s="2">
        <v>1886</v>
      </c>
      <c r="W62" s="2">
        <v>299</v>
      </c>
      <c r="X62" s="8">
        <f t="shared" si="97"/>
        <v>6601</v>
      </c>
      <c r="Y62" s="22"/>
      <c r="Z62" s="11">
        <v>46174</v>
      </c>
      <c r="AA62" s="54"/>
      <c r="AJ62" s="55">
        <v>2693692</v>
      </c>
      <c r="AL62" s="11">
        <v>46174</v>
      </c>
      <c r="AM62" s="5">
        <v>85894</v>
      </c>
      <c r="AN62" s="5">
        <v>649274</v>
      </c>
      <c r="AO62" s="5">
        <v>1043947</v>
      </c>
      <c r="AP62" s="5">
        <v>42532</v>
      </c>
      <c r="AQ62" s="5">
        <v>92527</v>
      </c>
      <c r="AR62" s="5">
        <v>32834</v>
      </c>
      <c r="AS62" s="5">
        <v>0</v>
      </c>
      <c r="AT62" s="5">
        <v>40275</v>
      </c>
      <c r="AU62" s="5">
        <v>198337</v>
      </c>
      <c r="AV62" s="5">
        <v>2185620</v>
      </c>
      <c r="AW62" s="5"/>
      <c r="AX62" s="11">
        <v>46174</v>
      </c>
      <c r="AY62" s="5">
        <v>73764</v>
      </c>
      <c r="AZ62" s="5">
        <v>577786</v>
      </c>
      <c r="BA62" s="5">
        <v>804710</v>
      </c>
      <c r="BB62" s="5">
        <v>24410</v>
      </c>
      <c r="BC62" s="5">
        <v>71420</v>
      </c>
      <c r="BD62" s="5">
        <v>17122</v>
      </c>
      <c r="BE62" s="5">
        <v>0</v>
      </c>
      <c r="BF62" s="5">
        <v>21520</v>
      </c>
      <c r="BG62" s="5">
        <v>174045</v>
      </c>
      <c r="BH62" s="5">
        <v>1764777</v>
      </c>
      <c r="BI62" s="8"/>
      <c r="BJ62" s="11">
        <v>46174</v>
      </c>
      <c r="BK62" s="8">
        <f>BM62+BO62</f>
        <v>3005724</v>
      </c>
      <c r="BL62" s="30"/>
      <c r="BM62" s="8">
        <v>1946573</v>
      </c>
      <c r="BO62" s="5">
        <f t="shared" si="99"/>
        <v>1059151</v>
      </c>
      <c r="BP62" s="5">
        <v>78449</v>
      </c>
      <c r="BQ62" s="5">
        <v>300185</v>
      </c>
      <c r="BR62" s="5">
        <v>359336</v>
      </c>
      <c r="BS62" s="5">
        <v>69737</v>
      </c>
      <c r="BT62" s="5">
        <v>3637</v>
      </c>
      <c r="BU62" s="5">
        <v>51051</v>
      </c>
      <c r="BV62" s="8">
        <v>132</v>
      </c>
      <c r="BW62" s="8">
        <v>28088</v>
      </c>
      <c r="BX62" s="8">
        <v>168536</v>
      </c>
      <c r="BY62" s="8"/>
      <c r="BZ62" s="8"/>
      <c r="CA62" s="11">
        <v>46174</v>
      </c>
      <c r="CB62" s="5">
        <v>82315</v>
      </c>
      <c r="CC62" s="5">
        <v>4118</v>
      </c>
      <c r="CD62" s="5">
        <v>17086</v>
      </c>
      <c r="CE62" s="5">
        <v>22572</v>
      </c>
      <c r="CF62" s="5">
        <v>2610</v>
      </c>
      <c r="CG62" s="5">
        <v>2370</v>
      </c>
      <c r="CH62" s="5">
        <v>2173</v>
      </c>
      <c r="CI62" s="5">
        <v>0</v>
      </c>
      <c r="CJ62" s="5">
        <v>2931</v>
      </c>
      <c r="CK62" s="5">
        <v>12937</v>
      </c>
      <c r="CM62" s="11">
        <v>46174</v>
      </c>
      <c r="CN62" s="5">
        <f>CZ62+DL62</f>
        <v>123336</v>
      </c>
      <c r="CO62" s="5">
        <f t="shared" si="118"/>
        <v>5685</v>
      </c>
      <c r="CP62" s="5">
        <f t="shared" si="118"/>
        <v>23566</v>
      </c>
      <c r="CQ62" s="5">
        <f t="shared" si="118"/>
        <v>30545</v>
      </c>
      <c r="CR62" s="5">
        <f t="shared" si="118"/>
        <v>3955</v>
      </c>
      <c r="CS62" s="5">
        <f t="shared" si="118"/>
        <v>3280</v>
      </c>
      <c r="CT62" s="5">
        <f t="shared" si="118"/>
        <v>3088</v>
      </c>
      <c r="CU62" s="5">
        <f t="shared" si="118"/>
        <v>0</v>
      </c>
      <c r="CV62" s="5">
        <f t="shared" si="118"/>
        <v>5373</v>
      </c>
      <c r="CW62" s="5">
        <f t="shared" si="118"/>
        <v>17863</v>
      </c>
      <c r="CX62" s="8"/>
      <c r="CY62" s="11">
        <v>46174</v>
      </c>
      <c r="CZ62" s="5">
        <v>42249</v>
      </c>
      <c r="DA62" s="8">
        <v>657</v>
      </c>
      <c r="DB62" s="8">
        <v>3372</v>
      </c>
      <c r="DC62" s="8">
        <v>4357</v>
      </c>
      <c r="DD62" s="8">
        <v>466</v>
      </c>
      <c r="DE62" s="8">
        <v>366</v>
      </c>
      <c r="DF62" s="8">
        <v>394</v>
      </c>
      <c r="DG62" s="8">
        <v>0</v>
      </c>
      <c r="DH62" s="8">
        <v>891</v>
      </c>
      <c r="DI62" s="8">
        <v>1765</v>
      </c>
      <c r="DJ62" s="5"/>
      <c r="DK62" s="11">
        <v>46174</v>
      </c>
      <c r="DL62" s="9">
        <v>81087</v>
      </c>
      <c r="DM62" s="5">
        <v>5028</v>
      </c>
      <c r="DN62" s="5">
        <v>20194</v>
      </c>
      <c r="DO62" s="5">
        <v>26188</v>
      </c>
      <c r="DP62" s="5">
        <v>3489</v>
      </c>
      <c r="DQ62" s="5">
        <v>2914</v>
      </c>
      <c r="DR62" s="5">
        <v>2694</v>
      </c>
      <c r="DS62" s="5">
        <v>0</v>
      </c>
      <c r="DT62" s="5">
        <v>4482</v>
      </c>
      <c r="DU62" s="5">
        <v>16098</v>
      </c>
      <c r="DV62" s="8"/>
      <c r="DW62" s="11">
        <v>46174</v>
      </c>
      <c r="DX62" s="8">
        <v>523360</v>
      </c>
      <c r="DY62" s="8">
        <v>25635</v>
      </c>
      <c r="DZ62" s="8">
        <v>128773</v>
      </c>
      <c r="EA62" s="8">
        <v>151315</v>
      </c>
      <c r="EB62" s="8">
        <v>23316</v>
      </c>
      <c r="EC62" s="8">
        <v>17282</v>
      </c>
      <c r="ED62" s="8">
        <v>14712</v>
      </c>
      <c r="EE62" s="8">
        <v>0</v>
      </c>
      <c r="EF62" s="8">
        <v>19349</v>
      </c>
      <c r="EG62" s="8">
        <v>55629</v>
      </c>
      <c r="EI62" s="11">
        <v>46174</v>
      </c>
      <c r="EJ62" s="5">
        <v>400447</v>
      </c>
      <c r="EK62" s="5">
        <v>19398</v>
      </c>
      <c r="EL62" s="5">
        <v>104330</v>
      </c>
      <c r="EM62" s="5">
        <v>124114</v>
      </c>
      <c r="EN62" s="5">
        <v>15271</v>
      </c>
      <c r="EO62" s="5">
        <v>12429</v>
      </c>
      <c r="EP62" s="5">
        <v>9284</v>
      </c>
      <c r="EQ62" s="5">
        <v>0</v>
      </c>
      <c r="ER62" s="5">
        <v>11147</v>
      </c>
      <c r="ES62" s="5">
        <v>42331</v>
      </c>
      <c r="ET62" s="8"/>
      <c r="EU62" s="5"/>
      <c r="EV62" s="5"/>
      <c r="EW62" s="5"/>
      <c r="EX62" s="5"/>
      <c r="EY62" s="5"/>
      <c r="EZ62" s="5"/>
      <c r="FA62" s="5"/>
      <c r="FB62" s="5"/>
      <c r="FE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S62" s="11">
        <v>46174</v>
      </c>
      <c r="FT62" s="5">
        <v>204</v>
      </c>
      <c r="FU62" s="5">
        <v>56</v>
      </c>
      <c r="FV62" s="5">
        <v>0</v>
      </c>
      <c r="FW62" s="5">
        <v>45</v>
      </c>
      <c r="FX62" s="5">
        <v>112</v>
      </c>
      <c r="FY62" s="5">
        <v>622</v>
      </c>
      <c r="FZ62" s="5">
        <v>139</v>
      </c>
      <c r="GA62" s="5">
        <v>545</v>
      </c>
      <c r="GB62" s="5">
        <v>68</v>
      </c>
      <c r="GC62" s="5">
        <v>1725</v>
      </c>
      <c r="GQ62" s="11">
        <v>46174</v>
      </c>
      <c r="GR62" s="5">
        <v>51.571428571428569</v>
      </c>
      <c r="GS62" s="5">
        <v>1533.5714285714287</v>
      </c>
      <c r="GT62" s="5">
        <v>23530.714285714286</v>
      </c>
      <c r="GU62" s="5">
        <v>12855.571428571429</v>
      </c>
      <c r="GV62" s="5">
        <v>14233</v>
      </c>
      <c r="GW62" s="5">
        <v>7138.1428571428569</v>
      </c>
      <c r="GX62" s="5">
        <v>31262</v>
      </c>
      <c r="GY62" s="5">
        <v>38663.714285714283</v>
      </c>
      <c r="GZ62" s="5">
        <v>6735.2857142857147</v>
      </c>
      <c r="HA62" s="5">
        <v>136003.57142857142</v>
      </c>
      <c r="HB62" s="5"/>
      <c r="HC62" s="11">
        <v>46174</v>
      </c>
      <c r="HD62" s="5">
        <f t="shared" si="82"/>
        <v>2069909</v>
      </c>
      <c r="HE62" s="5">
        <f t="shared" si="83"/>
        <v>84134</v>
      </c>
      <c r="HF62" s="5">
        <f t="shared" si="84"/>
        <v>323751</v>
      </c>
      <c r="HG62" s="5">
        <f t="shared" si="85"/>
        <v>389881</v>
      </c>
      <c r="HH62" s="5">
        <f t="shared" si="86"/>
        <v>73692</v>
      </c>
      <c r="HI62" s="5">
        <f t="shared" si="87"/>
        <v>6917</v>
      </c>
      <c r="HJ62" s="5">
        <f t="shared" si="88"/>
        <v>54139</v>
      </c>
      <c r="HK62" s="5">
        <f t="shared" si="89"/>
        <v>132</v>
      </c>
      <c r="HL62" s="5">
        <f t="shared" si="90"/>
        <v>33461</v>
      </c>
      <c r="HM62" s="5">
        <f t="shared" si="91"/>
        <v>186399</v>
      </c>
      <c r="HO62" s="11">
        <v>46174</v>
      </c>
      <c r="HP62" s="5">
        <f t="shared" si="98"/>
        <v>659363.57142857136</v>
      </c>
      <c r="HQ62" s="5">
        <f t="shared" si="109"/>
        <v>32370.285714285714</v>
      </c>
      <c r="HR62" s="5">
        <f t="shared" si="110"/>
        <v>167436.71428571429</v>
      </c>
      <c r="HS62" s="5">
        <f t="shared" si="111"/>
        <v>182577</v>
      </c>
      <c r="HT62" s="5">
        <f t="shared" si="112"/>
        <v>36171.571428571428</v>
      </c>
      <c r="HU62" s="5">
        <f t="shared" si="113"/>
        <v>18815.571428571428</v>
      </c>
      <c r="HV62" s="5">
        <f t="shared" si="114"/>
        <v>28945</v>
      </c>
      <c r="HW62" s="5">
        <f t="shared" si="115"/>
        <v>51.571428571428569</v>
      </c>
      <c r="HX62" s="5">
        <f t="shared" si="116"/>
        <v>26487.142857142855</v>
      </c>
      <c r="HY62" s="5">
        <f t="shared" si="117"/>
        <v>79159.71428571429</v>
      </c>
    </row>
    <row r="63" spans="2:233" ht="16">
      <c r="B63" s="11">
        <v>46204</v>
      </c>
      <c r="C63" s="2">
        <v>0</v>
      </c>
      <c r="D63" s="2">
        <v>7</v>
      </c>
      <c r="E63" s="2">
        <v>659</v>
      </c>
      <c r="F63" s="2">
        <v>252</v>
      </c>
      <c r="G63" s="2">
        <v>135</v>
      </c>
      <c r="H63" s="2">
        <f>108+5</f>
        <v>113</v>
      </c>
      <c r="I63" s="2">
        <v>2711</v>
      </c>
      <c r="J63" s="2">
        <v>1708</v>
      </c>
      <c r="K63" s="2">
        <v>328</v>
      </c>
      <c r="L63" s="8">
        <f t="shared" si="96"/>
        <v>5913</v>
      </c>
      <c r="N63" s="11">
        <v>46204</v>
      </c>
      <c r="O63" s="2">
        <v>0</v>
      </c>
      <c r="P63" s="2">
        <v>7</v>
      </c>
      <c r="Q63" s="2">
        <v>659</v>
      </c>
      <c r="R63" s="2">
        <v>252</v>
      </c>
      <c r="S63" s="2">
        <v>135</v>
      </c>
      <c r="T63" s="2">
        <f>108+5</f>
        <v>113</v>
      </c>
      <c r="U63" s="2">
        <v>2711</v>
      </c>
      <c r="V63" s="2">
        <v>1708</v>
      </c>
      <c r="W63" s="2">
        <v>328</v>
      </c>
      <c r="X63" s="8">
        <f t="shared" si="97"/>
        <v>5913</v>
      </c>
      <c r="Z63" s="11">
        <v>46204</v>
      </c>
      <c r="AA63" s="54"/>
      <c r="AC63" s="5"/>
      <c r="AD63" s="5"/>
      <c r="AE63" s="5"/>
      <c r="AJ63" s="55">
        <v>2973825</v>
      </c>
      <c r="AL63" s="11">
        <v>46204</v>
      </c>
      <c r="AM63" s="5">
        <v>149316</v>
      </c>
      <c r="AN63" s="5">
        <v>770135</v>
      </c>
      <c r="AO63" s="5">
        <v>1106026</v>
      </c>
      <c r="AP63" s="5">
        <v>54803</v>
      </c>
      <c r="AQ63" s="5">
        <v>86246</v>
      </c>
      <c r="AR63" s="5">
        <v>36490</v>
      </c>
      <c r="AS63" s="5">
        <v>6</v>
      </c>
      <c r="AT63" s="5">
        <v>50761</v>
      </c>
      <c r="AU63" s="5">
        <v>290178</v>
      </c>
      <c r="AV63" s="5">
        <v>2543961</v>
      </c>
      <c r="AW63" s="5"/>
      <c r="AX63" s="11">
        <v>46204</v>
      </c>
      <c r="AY63" s="5">
        <v>135282</v>
      </c>
      <c r="AZ63" s="5">
        <v>689401</v>
      </c>
      <c r="BA63" s="5">
        <v>885164</v>
      </c>
      <c r="BB63" s="5">
        <v>33600</v>
      </c>
      <c r="BC63" s="5">
        <v>64385</v>
      </c>
      <c r="BD63" s="5">
        <v>20442</v>
      </c>
      <c r="BE63" s="5">
        <v>0</v>
      </c>
      <c r="BF63" s="5">
        <v>27854</v>
      </c>
      <c r="BG63" s="5">
        <v>264691</v>
      </c>
      <c r="BH63" s="5">
        <v>2120819</v>
      </c>
      <c r="BI63" s="8"/>
      <c r="BJ63" s="11">
        <v>46204</v>
      </c>
      <c r="BK63" s="8">
        <f t="shared" ref="BK63" si="119">BM63+BO63</f>
        <v>3250631</v>
      </c>
      <c r="BM63" s="8">
        <v>2108899</v>
      </c>
      <c r="BO63" s="5">
        <f t="shared" si="99"/>
        <v>1141732</v>
      </c>
      <c r="BP63" s="5">
        <v>73903</v>
      </c>
      <c r="BQ63" s="5">
        <v>331067</v>
      </c>
      <c r="BR63" s="5">
        <v>406790</v>
      </c>
      <c r="BS63" s="5">
        <v>69882</v>
      </c>
      <c r="BT63" s="5">
        <v>2634</v>
      </c>
      <c r="BU63" s="5">
        <v>53257</v>
      </c>
      <c r="BV63" s="8">
        <v>132</v>
      </c>
      <c r="BW63" s="8">
        <v>23471</v>
      </c>
      <c r="BX63" s="8">
        <v>180596</v>
      </c>
      <c r="BY63" s="8">
        <v>3843</v>
      </c>
      <c r="BZ63"/>
      <c r="CA63" s="11">
        <v>46204</v>
      </c>
      <c r="CB63" s="5">
        <v>104503</v>
      </c>
      <c r="CC63" s="5">
        <v>6113</v>
      </c>
      <c r="CD63" s="5">
        <v>23294</v>
      </c>
      <c r="CE63" s="5">
        <v>31640</v>
      </c>
      <c r="CF63" s="5">
        <v>3598</v>
      </c>
      <c r="CG63" s="5">
        <v>2252</v>
      </c>
      <c r="CH63" s="5">
        <v>2420</v>
      </c>
      <c r="CI63" s="5">
        <v>0</v>
      </c>
      <c r="CJ63" s="5">
        <v>3492</v>
      </c>
      <c r="CK63" s="5">
        <v>16654</v>
      </c>
      <c r="CM63" s="11">
        <v>46204</v>
      </c>
      <c r="CN63" s="5">
        <f t="shared" ref="CN63" si="120">CZ63+DL63</f>
        <v>152697</v>
      </c>
      <c r="CO63" s="5">
        <f t="shared" si="118"/>
        <v>8267</v>
      </c>
      <c r="CP63" s="5">
        <f t="shared" si="118"/>
        <v>31025</v>
      </c>
      <c r="CQ63" s="5">
        <f t="shared" si="118"/>
        <v>41486</v>
      </c>
      <c r="CR63" s="5">
        <f>DD63+DP63</f>
        <v>5437</v>
      </c>
      <c r="CS63" s="5">
        <f t="shared" si="118"/>
        <v>3296</v>
      </c>
      <c r="CT63" s="5">
        <f t="shared" si="118"/>
        <v>3443</v>
      </c>
      <c r="CU63" s="5">
        <f t="shared" si="118"/>
        <v>1</v>
      </c>
      <c r="CV63" s="5">
        <f t="shared" si="118"/>
        <v>6026</v>
      </c>
      <c r="CW63" s="5">
        <f t="shared" si="118"/>
        <v>22609</v>
      </c>
      <c r="CY63" s="11">
        <v>46204</v>
      </c>
      <c r="CZ63" s="5">
        <v>45935</v>
      </c>
      <c r="DA63" s="8">
        <v>981</v>
      </c>
      <c r="DB63" s="8">
        <v>4217</v>
      </c>
      <c r="DC63" s="8">
        <v>5225</v>
      </c>
      <c r="DD63" s="8">
        <v>612</v>
      </c>
      <c r="DE63" s="8">
        <v>388</v>
      </c>
      <c r="DF63" s="8">
        <v>420</v>
      </c>
      <c r="DG63" s="8">
        <v>0</v>
      </c>
      <c r="DH63" s="8">
        <v>798</v>
      </c>
      <c r="DI63" s="8">
        <v>2187</v>
      </c>
      <c r="DK63" s="11">
        <v>46204</v>
      </c>
      <c r="DL63" s="9">
        <v>106762</v>
      </c>
      <c r="DM63" s="5">
        <v>7286</v>
      </c>
      <c r="DN63" s="5">
        <v>26808</v>
      </c>
      <c r="DO63" s="5">
        <v>36261</v>
      </c>
      <c r="DP63" s="5">
        <v>4825</v>
      </c>
      <c r="DQ63" s="5">
        <v>2908</v>
      </c>
      <c r="DR63" s="5">
        <v>3023</v>
      </c>
      <c r="DS63" s="5">
        <v>1</v>
      </c>
      <c r="DT63" s="5">
        <v>5228</v>
      </c>
      <c r="DU63" s="5">
        <v>20422</v>
      </c>
      <c r="DW63" s="11">
        <v>46204</v>
      </c>
      <c r="DX63" s="8">
        <v>681417</v>
      </c>
      <c r="DY63" s="8">
        <v>37500</v>
      </c>
      <c r="DZ63" s="8">
        <v>172030</v>
      </c>
      <c r="EA63" s="8">
        <v>202070</v>
      </c>
      <c r="EB63" s="8">
        <v>29433</v>
      </c>
      <c r="EC63" s="8">
        <v>18195</v>
      </c>
      <c r="ED63" s="8">
        <v>17265</v>
      </c>
      <c r="EE63" s="8">
        <v>0</v>
      </c>
      <c r="EF63" s="8">
        <v>24671</v>
      </c>
      <c r="EG63" s="8">
        <v>74549</v>
      </c>
      <c r="EI63" s="11">
        <v>46204</v>
      </c>
      <c r="EJ63" s="5">
        <v>538494</v>
      </c>
      <c r="EK63" s="5">
        <v>30335</v>
      </c>
      <c r="EL63" s="5">
        <v>143409</v>
      </c>
      <c r="EM63" s="5">
        <v>166704</v>
      </c>
      <c r="EN63" s="5">
        <v>20040</v>
      </c>
      <c r="EO63" s="5">
        <v>13286</v>
      </c>
      <c r="EP63" s="5">
        <v>11461</v>
      </c>
      <c r="EQ63" s="5">
        <v>0</v>
      </c>
      <c r="ER63" s="5">
        <v>15225</v>
      </c>
      <c r="ES63" s="5">
        <v>59914</v>
      </c>
      <c r="ET63" s="8"/>
      <c r="FG63" s="11"/>
      <c r="FH63" s="14"/>
      <c r="FI63" s="26"/>
      <c r="FS63" s="11">
        <v>46204</v>
      </c>
      <c r="FT63" s="5">
        <v>244</v>
      </c>
      <c r="FU63" s="5">
        <v>71</v>
      </c>
      <c r="FV63" s="5">
        <v>0</v>
      </c>
      <c r="FW63" s="5">
        <v>30</v>
      </c>
      <c r="FX63" s="5">
        <v>127</v>
      </c>
      <c r="FY63" s="5">
        <v>694</v>
      </c>
      <c r="FZ63" s="5">
        <v>122</v>
      </c>
      <c r="GA63" s="5">
        <v>626</v>
      </c>
      <c r="GB63" s="5">
        <v>86</v>
      </c>
      <c r="GC63" s="5">
        <v>1951</v>
      </c>
      <c r="GD63" s="5"/>
      <c r="GQ63" s="11">
        <v>46204</v>
      </c>
      <c r="GR63" s="5">
        <v>35.857142857142861</v>
      </c>
      <c r="GS63" s="5">
        <v>1390.1428571428571</v>
      </c>
      <c r="GT63" s="5">
        <v>24000.142857142859</v>
      </c>
      <c r="GU63" s="5">
        <v>14239.714285714286</v>
      </c>
      <c r="GV63" s="5">
        <v>15842.857142857143</v>
      </c>
      <c r="GW63" s="5">
        <v>7332</v>
      </c>
      <c r="GX63" s="5">
        <v>33433.571428571428</v>
      </c>
      <c r="GY63" s="5">
        <v>44008.285714285717</v>
      </c>
      <c r="GZ63" s="5">
        <v>7305</v>
      </c>
      <c r="HA63" s="5">
        <v>147587.57142857142</v>
      </c>
      <c r="HB63" s="11"/>
      <c r="HC63" s="11">
        <v>46204</v>
      </c>
      <c r="HD63" s="5">
        <f t="shared" si="82"/>
        <v>2261596</v>
      </c>
      <c r="HE63" s="5">
        <f t="shared" si="83"/>
        <v>82170</v>
      </c>
      <c r="HF63" s="5">
        <f t="shared" si="84"/>
        <v>362092</v>
      </c>
      <c r="HG63" s="5">
        <f t="shared" si="85"/>
        <v>448276</v>
      </c>
      <c r="HH63" s="5">
        <f t="shared" si="86"/>
        <v>75319</v>
      </c>
      <c r="HI63" s="5">
        <f t="shared" si="87"/>
        <v>5930</v>
      </c>
      <c r="HJ63" s="5">
        <f t="shared" si="88"/>
        <v>56700</v>
      </c>
      <c r="HK63" s="5">
        <f t="shared" si="89"/>
        <v>133</v>
      </c>
      <c r="HL63" s="5">
        <f t="shared" si="90"/>
        <v>29497</v>
      </c>
      <c r="HM63" s="5">
        <f t="shared" si="91"/>
        <v>203205</v>
      </c>
      <c r="HO63" s="11">
        <v>46204</v>
      </c>
      <c r="HP63" s="5">
        <f>DX63+HA63</f>
        <v>829004.57142857136</v>
      </c>
      <c r="HQ63" s="5">
        <f>DY63+GZ63</f>
        <v>44805</v>
      </c>
      <c r="HR63" s="5">
        <f t="shared" si="110"/>
        <v>216038.28571428571</v>
      </c>
      <c r="HS63" s="5">
        <f t="shared" si="111"/>
        <v>235503.57142857142</v>
      </c>
      <c r="HT63" s="5">
        <f t="shared" si="112"/>
        <v>43672.71428571429</v>
      </c>
      <c r="HU63" s="5">
        <f t="shared" si="113"/>
        <v>19585.142857142859</v>
      </c>
      <c r="HV63" s="5">
        <f t="shared" si="114"/>
        <v>33107.857142857145</v>
      </c>
      <c r="HW63" s="5">
        <f t="shared" si="115"/>
        <v>35.857142857142861</v>
      </c>
      <c r="HX63" s="5">
        <f t="shared" si="116"/>
        <v>32003</v>
      </c>
      <c r="HY63" s="5">
        <f t="shared" si="117"/>
        <v>98549.142857142855</v>
      </c>
    </row>
    <row r="64" spans="2:233">
      <c r="B64" s="11"/>
      <c r="L64" s="8"/>
      <c r="N64" s="11"/>
      <c r="X64" s="8"/>
      <c r="Y64" s="22"/>
      <c r="Z64" s="11"/>
      <c r="AA64" s="54"/>
      <c r="AJ64" s="55"/>
      <c r="AL64" s="11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11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8"/>
      <c r="BJ64" s="11"/>
      <c r="BK64" s="8"/>
      <c r="BL64" s="30"/>
      <c r="BM64" s="8"/>
      <c r="BO64" s="5"/>
      <c r="BP64" s="5"/>
      <c r="BQ64" s="5"/>
      <c r="BR64" s="5"/>
      <c r="BS64" s="5"/>
      <c r="BT64" s="5"/>
      <c r="BU64" s="5"/>
      <c r="BV64" s="8"/>
      <c r="BW64" s="8"/>
      <c r="BX64" s="8"/>
      <c r="BY64" s="8"/>
      <c r="BZ64" s="8"/>
      <c r="CA64" s="11"/>
      <c r="CB64" s="5"/>
      <c r="CC64" s="5"/>
      <c r="CD64" s="5"/>
      <c r="CE64" s="5"/>
      <c r="CF64" s="5"/>
      <c r="CG64" s="5"/>
      <c r="CH64" s="5"/>
      <c r="CI64" s="5"/>
      <c r="CJ64" s="5"/>
      <c r="CK64" s="5"/>
      <c r="CM64" s="11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8"/>
      <c r="CY64" s="11"/>
      <c r="CZ64" s="5"/>
      <c r="DA64" s="8"/>
      <c r="DB64" s="8"/>
      <c r="DC64" s="8"/>
      <c r="DD64" s="8"/>
      <c r="DE64" s="8"/>
      <c r="DF64" s="8"/>
      <c r="DG64" s="8"/>
      <c r="DH64" s="8"/>
      <c r="DI64" s="8"/>
      <c r="DJ64" s="5"/>
      <c r="DK64" s="11"/>
      <c r="DL64" s="9"/>
      <c r="DM64" s="5"/>
      <c r="DN64" s="5"/>
      <c r="DO64" s="5"/>
      <c r="DP64" s="5"/>
      <c r="DQ64" s="5"/>
      <c r="DR64" s="5"/>
      <c r="DS64" s="5"/>
      <c r="DT64" s="5"/>
      <c r="DU64" s="5"/>
      <c r="DV64" s="8"/>
      <c r="DW64" s="11"/>
      <c r="DX64" s="8"/>
      <c r="DY64" s="8"/>
      <c r="DZ64" s="8"/>
      <c r="EA64" s="8"/>
      <c r="EB64" s="8"/>
      <c r="EC64" s="8"/>
      <c r="ED64" s="8"/>
      <c r="EE64" s="8"/>
      <c r="EF64" s="8"/>
      <c r="EG64" s="8"/>
      <c r="EI64" s="11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8"/>
      <c r="EU64" s="5"/>
      <c r="EV64" s="5"/>
      <c r="EW64" s="5"/>
      <c r="EX64" s="5"/>
      <c r="EY64" s="5"/>
      <c r="EZ64" s="5"/>
      <c r="FA64" s="5"/>
      <c r="FB64" s="5"/>
      <c r="FE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S64" s="11"/>
      <c r="FT64" s="5"/>
      <c r="FU64" s="5"/>
      <c r="FV64" s="5"/>
      <c r="FW64" s="5"/>
      <c r="FX64" s="5"/>
      <c r="FY64" s="5"/>
      <c r="FZ64" s="5"/>
      <c r="GA64" s="5"/>
      <c r="GB64" s="5"/>
      <c r="GC64" s="5"/>
      <c r="GQ64" s="11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11"/>
      <c r="HD64" s="5"/>
      <c r="HE64" s="5"/>
      <c r="HF64" s="5"/>
      <c r="HG64" s="5"/>
      <c r="HH64" s="5"/>
      <c r="HI64" s="5"/>
      <c r="HJ64" s="5"/>
      <c r="HK64" s="5"/>
      <c r="HL64" s="5"/>
      <c r="HM64" s="5"/>
      <c r="HO64" s="11"/>
      <c r="HP64" s="5"/>
      <c r="HQ64" s="5"/>
      <c r="HR64" s="5"/>
      <c r="HS64" s="5"/>
      <c r="HT64" s="5"/>
      <c r="HU64" s="5"/>
      <c r="HV64" s="5"/>
      <c r="HW64" s="5"/>
      <c r="HX64" s="5"/>
      <c r="HY64" s="5"/>
    </row>
    <row r="65" spans="2:233">
      <c r="B65" s="11"/>
      <c r="L65" s="8"/>
      <c r="N65" s="11"/>
      <c r="X65" s="8"/>
      <c r="Y65" s="22"/>
      <c r="Z65" s="22"/>
      <c r="AA65" s="22"/>
      <c r="AB65" s="22"/>
      <c r="AC65" s="22"/>
      <c r="AD65" s="22"/>
      <c r="AE65" s="22"/>
      <c r="AF65" s="22"/>
      <c r="AP65" s="5"/>
      <c r="AW65" s="5"/>
      <c r="AX65" s="5"/>
      <c r="AY65" s="14"/>
      <c r="AZ65" s="5"/>
      <c r="BA65" s="5"/>
      <c r="BB65" s="5"/>
      <c r="BC65" s="5"/>
      <c r="BD65" s="5"/>
      <c r="BE65" s="5"/>
      <c r="BF65" s="5"/>
      <c r="BG65" s="5"/>
      <c r="BH65" s="5"/>
      <c r="BI65" s="8"/>
      <c r="BJ65" s="22"/>
      <c r="BK65" s="8"/>
      <c r="BL65" s="6"/>
      <c r="BM65" s="8"/>
      <c r="BN65" s="8"/>
      <c r="BO65" s="5"/>
      <c r="BP65" s="5"/>
      <c r="BQ65" s="5"/>
      <c r="BR65" s="5"/>
      <c r="BS65" s="5"/>
      <c r="BT65" s="5"/>
      <c r="BU65" s="5"/>
      <c r="BV65" s="8"/>
      <c r="BW65" s="8"/>
      <c r="BX65" s="8"/>
      <c r="BY65" s="8"/>
      <c r="BZ65" s="8"/>
      <c r="CA65" s="11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6"/>
      <c r="CM65" s="5"/>
      <c r="CN65" s="5"/>
      <c r="CO65" s="5"/>
      <c r="CP65" s="5"/>
      <c r="CQ65" s="5"/>
      <c r="CR65" s="5"/>
      <c r="CS65" s="5"/>
      <c r="CT65" s="5"/>
      <c r="CW65" s="5"/>
      <c r="CX65" s="8"/>
      <c r="CY65" s="5"/>
      <c r="CZ65" s="5"/>
      <c r="DA65" s="5"/>
      <c r="DB65" s="5"/>
      <c r="DC65" s="5"/>
      <c r="DD65" s="5"/>
      <c r="DE65" s="5"/>
      <c r="DF65" s="5"/>
      <c r="DI65" s="5"/>
      <c r="DJ65" s="8"/>
      <c r="DK65" s="5"/>
      <c r="DL65" s="5"/>
      <c r="DM65" s="5"/>
      <c r="DN65" s="5"/>
      <c r="DO65" s="5"/>
      <c r="DP65" s="5"/>
      <c r="DQ65" s="5"/>
      <c r="DR65" s="5"/>
      <c r="DU65" s="5"/>
      <c r="DV65" s="8"/>
      <c r="DW65" s="5"/>
      <c r="DX65" s="5"/>
      <c r="DY65" s="5"/>
      <c r="DZ65" s="5"/>
      <c r="EA65" s="5"/>
      <c r="EB65" s="5"/>
      <c r="EC65" s="5"/>
      <c r="ED65" s="5"/>
      <c r="EG65" s="5"/>
      <c r="EH65" s="8"/>
      <c r="EI65" s="5"/>
      <c r="EJ65" s="5"/>
      <c r="EK65" s="5"/>
      <c r="EL65" s="5"/>
      <c r="EM65" s="5"/>
      <c r="EN65" s="5"/>
      <c r="EO65" s="5"/>
      <c r="EP65" s="5"/>
      <c r="ES65" s="5"/>
      <c r="ET65" s="8"/>
      <c r="EU65" s="5"/>
      <c r="EV65" s="5"/>
      <c r="EW65" s="5"/>
      <c r="EX65" s="5"/>
      <c r="EY65" s="5"/>
      <c r="EZ65" s="5"/>
      <c r="FA65" s="5"/>
      <c r="FB65" s="5"/>
      <c r="FE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</row>
    <row r="66" spans="2:233" ht="16" customHeight="1">
      <c r="D66" s="1"/>
      <c r="E66" s="1"/>
      <c r="I66" s="22"/>
      <c r="J66" s="22"/>
      <c r="K66" s="22"/>
      <c r="L66" s="22"/>
      <c r="P66" s="1"/>
      <c r="Q66" s="1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M66" s="5"/>
      <c r="AN66" s="9"/>
      <c r="AW66" s="5"/>
      <c r="AX66" s="5"/>
      <c r="AY66" s="14"/>
      <c r="AZ66" s="5"/>
      <c r="BA66" s="5"/>
      <c r="BB66" s="5"/>
      <c r="BC66" s="5"/>
      <c r="BD66" s="5"/>
      <c r="BE66" s="5"/>
      <c r="BF66" s="5"/>
      <c r="BG66" s="5"/>
      <c r="BH66" s="5"/>
      <c r="BI66" s="8"/>
      <c r="BJ66" s="22"/>
      <c r="BK66" s="6"/>
      <c r="BL66" s="6"/>
      <c r="BM66" s="631" t="s">
        <v>175</v>
      </c>
      <c r="BN66" s="631"/>
      <c r="BO66" s="631"/>
      <c r="BP66" s="631"/>
      <c r="BQ66" s="631"/>
      <c r="BR66" s="631"/>
      <c r="BS66" s="631"/>
      <c r="BT66" s="631"/>
      <c r="BU66" s="631"/>
      <c r="BV66" s="631"/>
      <c r="BW66" s="631"/>
      <c r="BX66" s="631"/>
      <c r="BY66" s="631"/>
      <c r="BZ66" s="544"/>
      <c r="CA66" s="11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6"/>
      <c r="CM66" s="5"/>
      <c r="CN66" s="54"/>
      <c r="CO66" s="5"/>
      <c r="CP66" s="5"/>
      <c r="CQ66" s="5"/>
      <c r="CR66" s="5"/>
      <c r="CS66" s="5"/>
      <c r="CT66" s="5"/>
      <c r="CW66" s="5"/>
      <c r="CX66" s="8"/>
      <c r="CY66" s="630" t="s">
        <v>175</v>
      </c>
      <c r="CZ66" s="630"/>
      <c r="DA66" s="630"/>
      <c r="DB66" s="630"/>
      <c r="DC66" s="630"/>
      <c r="DD66" s="630"/>
      <c r="DE66" s="630"/>
      <c r="DF66" s="630"/>
      <c r="DG66" s="630"/>
      <c r="DH66" s="630"/>
      <c r="DI66" s="630"/>
      <c r="DJ66" s="630"/>
      <c r="DK66" s="630"/>
      <c r="DL66" s="630"/>
      <c r="DM66" s="630"/>
      <c r="DN66" s="630"/>
      <c r="DO66" s="630"/>
      <c r="DP66" s="630"/>
      <c r="DQ66" s="630"/>
      <c r="DR66" s="630"/>
      <c r="DS66" s="630"/>
      <c r="DT66" s="630"/>
      <c r="DU66" s="630"/>
      <c r="DV66" s="8"/>
      <c r="DW66" s="629" t="s">
        <v>175</v>
      </c>
      <c r="DX66" s="629"/>
      <c r="DY66" s="629"/>
      <c r="DZ66" s="629"/>
      <c r="EA66" s="629"/>
      <c r="EB66" s="629"/>
      <c r="EC66" s="629"/>
      <c r="ED66" s="629"/>
      <c r="EE66" s="629"/>
      <c r="EF66" s="629"/>
      <c r="EG66" s="629"/>
      <c r="EH66" s="8"/>
      <c r="EI66" s="5"/>
      <c r="EJ66" s="5"/>
      <c r="EK66" s="5"/>
      <c r="EL66" s="5"/>
      <c r="EM66" s="5"/>
      <c r="EN66" s="5"/>
      <c r="EO66" s="5"/>
      <c r="EP66" s="5"/>
      <c r="ES66" s="5"/>
      <c r="ET66" s="8"/>
      <c r="EU66" s="5"/>
      <c r="EV66" s="5"/>
      <c r="EW66" s="5"/>
      <c r="EX66" s="5"/>
      <c r="EY66" s="5"/>
      <c r="EZ66" s="5"/>
      <c r="FA66" s="5"/>
      <c r="FB66" s="5"/>
      <c r="FE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Q66" s="629" t="s">
        <v>175</v>
      </c>
      <c r="GR66" s="629"/>
      <c r="GS66" s="629"/>
      <c r="GT66" s="629"/>
      <c r="GU66" s="629"/>
      <c r="GV66" s="629"/>
      <c r="GW66" s="629"/>
      <c r="GX66" s="629"/>
      <c r="GY66" s="629"/>
      <c r="GZ66" s="629"/>
      <c r="HA66" s="629"/>
      <c r="HC66" s="629" t="s">
        <v>176</v>
      </c>
      <c r="HD66" s="629"/>
      <c r="HE66" s="629"/>
      <c r="HF66" s="629"/>
      <c r="HG66" s="629"/>
      <c r="HH66" s="629"/>
      <c r="HI66" s="629"/>
      <c r="HJ66" s="629"/>
      <c r="HK66" s="629"/>
      <c r="HL66" s="629"/>
      <c r="HM66" s="629"/>
      <c r="HO66" s="629" t="s">
        <v>177</v>
      </c>
      <c r="HP66" s="629"/>
      <c r="HQ66" s="629"/>
      <c r="HR66" s="629"/>
      <c r="HS66" s="629"/>
      <c r="HT66" s="629"/>
      <c r="HU66" s="629"/>
      <c r="HV66" s="629"/>
      <c r="HW66" s="629"/>
      <c r="HX66" s="629"/>
      <c r="HY66" s="629"/>
    </row>
    <row r="67" spans="2:233" ht="16" customHeight="1">
      <c r="B67" s="27"/>
      <c r="C67" s="4"/>
      <c r="D67" s="1"/>
      <c r="E67" s="1"/>
      <c r="H67" s="4"/>
      <c r="I67" s="28"/>
      <c r="J67" s="28"/>
      <c r="K67" s="22"/>
      <c r="L67" s="22"/>
      <c r="N67" s="27"/>
      <c r="O67" s="4"/>
      <c r="P67" s="1"/>
      <c r="Q67" s="1"/>
      <c r="T67" s="4"/>
      <c r="U67" s="28"/>
      <c r="V67" s="28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M67" s="5"/>
      <c r="AN67" s="9"/>
      <c r="AW67" s="5"/>
      <c r="AX67" s="5"/>
      <c r="AY67" s="14"/>
      <c r="AZ67" s="5"/>
      <c r="BA67" s="5"/>
      <c r="BB67" s="5"/>
      <c r="BC67" s="5"/>
      <c r="BD67" s="5"/>
      <c r="BE67" s="5"/>
      <c r="BF67" s="5"/>
      <c r="BG67" s="5"/>
      <c r="BH67" s="5"/>
      <c r="BI67" s="8"/>
      <c r="BJ67" s="22"/>
      <c r="BK67" s="22"/>
      <c r="BL67" s="6"/>
      <c r="BM67" s="2" t="s">
        <v>6</v>
      </c>
      <c r="BO67" s="2" t="s">
        <v>7</v>
      </c>
      <c r="BP67" s="2" t="s">
        <v>96</v>
      </c>
      <c r="BQ67" s="2" t="s">
        <v>97</v>
      </c>
      <c r="BR67" s="2" t="s">
        <v>94</v>
      </c>
      <c r="BS67" s="2" t="s">
        <v>89</v>
      </c>
      <c r="BT67" s="2" t="s">
        <v>142</v>
      </c>
      <c r="BU67" s="2" t="s">
        <v>92</v>
      </c>
      <c r="BV67" s="2" t="s">
        <v>143</v>
      </c>
      <c r="BW67" s="2" t="s">
        <v>93</v>
      </c>
      <c r="BX67" s="2" t="s">
        <v>88</v>
      </c>
      <c r="BY67" s="2" t="s">
        <v>153</v>
      </c>
      <c r="BZ67" s="6"/>
      <c r="CA67" s="11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6"/>
      <c r="CN67" s="55"/>
      <c r="CZ67" s="55"/>
      <c r="DL67" s="55"/>
      <c r="FG67" s="11"/>
      <c r="FH67" s="14"/>
      <c r="FI67" s="26"/>
      <c r="FJ67" s="5"/>
      <c r="FK67" s="5"/>
      <c r="FL67" s="5"/>
      <c r="FM67" s="5"/>
      <c r="FN67" s="5"/>
      <c r="FO67" s="5"/>
      <c r="FP67" s="5"/>
      <c r="FQ67" s="5"/>
      <c r="GC67" s="9"/>
      <c r="HD67" s="2" t="s">
        <v>24</v>
      </c>
      <c r="HE67" s="2" t="s">
        <v>96</v>
      </c>
      <c r="HF67" s="2" t="s">
        <v>97</v>
      </c>
      <c r="HG67" s="2" t="s">
        <v>94</v>
      </c>
      <c r="HH67" s="2" t="s">
        <v>89</v>
      </c>
      <c r="HI67" s="2" t="s">
        <v>142</v>
      </c>
      <c r="HJ67" s="2" t="s">
        <v>92</v>
      </c>
      <c r="HK67" s="2" t="s">
        <v>143</v>
      </c>
      <c r="HL67" s="2" t="s">
        <v>93</v>
      </c>
      <c r="HM67" s="2" t="s">
        <v>88</v>
      </c>
      <c r="HP67" s="2" t="s">
        <v>24</v>
      </c>
      <c r="HQ67" s="2" t="s">
        <v>96</v>
      </c>
      <c r="HR67" s="2" t="s">
        <v>97</v>
      </c>
      <c r="HS67" s="2" t="s">
        <v>94</v>
      </c>
      <c r="HT67" s="2" t="s">
        <v>89</v>
      </c>
      <c r="HU67" s="2" t="s">
        <v>142</v>
      </c>
      <c r="HV67" s="2" t="s">
        <v>92</v>
      </c>
      <c r="HW67" s="2" t="s">
        <v>143</v>
      </c>
      <c r="HX67" s="2" t="s">
        <v>93</v>
      </c>
      <c r="HY67" s="2" t="s">
        <v>88</v>
      </c>
    </row>
    <row r="68" spans="2:233" ht="15">
      <c r="B68" s="29"/>
      <c r="C68" s="5"/>
      <c r="D68" s="1"/>
      <c r="E68" s="1"/>
      <c r="H68" s="29"/>
      <c r="I68" s="29"/>
      <c r="J68" s="29"/>
      <c r="K68" s="22"/>
      <c r="L68" s="22"/>
      <c r="N68" s="29"/>
      <c r="O68" s="5"/>
      <c r="P68" s="1"/>
      <c r="Q68" s="1"/>
      <c r="T68" s="29"/>
      <c r="U68" s="29"/>
      <c r="V68" s="29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L68" s="11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14"/>
      <c r="AZ68" s="5"/>
      <c r="BA68" s="5"/>
      <c r="BB68" s="5"/>
      <c r="BC68" s="5"/>
      <c r="BD68" s="5"/>
      <c r="BE68" s="5"/>
      <c r="BF68" s="5"/>
      <c r="BG68" s="5"/>
      <c r="BH68" s="5"/>
      <c r="BI68" s="8"/>
      <c r="BJ68" s="11">
        <v>45658</v>
      </c>
      <c r="BK68" s="22"/>
      <c r="BL68" s="6"/>
      <c r="BM68" s="8">
        <f>BM45*'Shop Goals'!$K$5</f>
        <v>570205.4230429813</v>
      </c>
      <c r="BN68" s="8"/>
      <c r="BO68" s="8">
        <f>SUM(BP68:BX68)</f>
        <v>404853.37841999816</v>
      </c>
      <c r="BP68" s="8">
        <f>BP45*'Shop Goals'!$K$65</f>
        <v>21136.290114032829</v>
      </c>
      <c r="BQ68" s="8">
        <f>BQ45*'Shop Goals'!$K$45</f>
        <v>116731.51576273839</v>
      </c>
      <c r="BR68" s="8">
        <f>BR45*'Shop Goals'!$K$85</f>
        <v>135600.59043815985</v>
      </c>
      <c r="BS68" s="8">
        <f>BS45*'Shop Goals'!$K$165</f>
        <v>26119.310277836445</v>
      </c>
      <c r="BT68" s="8">
        <f>BT45*'Shop Goals'!$K$105</f>
        <v>15137.279538225919</v>
      </c>
      <c r="BU68" s="8">
        <f>BU45*'Shop Goals'!$K$185</f>
        <v>7713.0366324681481</v>
      </c>
      <c r="BV68" s="8" t="s">
        <v>174</v>
      </c>
      <c r="BW68" s="8">
        <f>BW45*'Shop Goals'!$K$145</f>
        <v>17733.554147766503</v>
      </c>
      <c r="BX68" s="8">
        <f>BX45*'Shop Goals'!$K$125</f>
        <v>64681.801508770011</v>
      </c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6"/>
      <c r="CN68" s="9"/>
      <c r="CY68" s="11">
        <v>45658</v>
      </c>
      <c r="CZ68" s="9">
        <f>CZ45*'Shop Goals'!$K$3</f>
        <v>23440.164368790542</v>
      </c>
      <c r="DA68" s="9">
        <f>DA45*'Shop Goals'!$K$63</f>
        <v>314.3805622463077</v>
      </c>
      <c r="DB68" s="9">
        <f>DB45*'Shop Goals'!$K$43</f>
        <v>1049.0327978301668</v>
      </c>
      <c r="DC68" s="9">
        <f>DC45*'Shop Goals'!$K$83</f>
        <v>1527.5636341948211</v>
      </c>
      <c r="DD68" s="9">
        <f>DD45*'Shop Goals'!$K$163</f>
        <v>305.51669374345215</v>
      </c>
      <c r="DE68" s="9">
        <f>DE45*'Shop Goals'!$K$103</f>
        <v>183.18530645336239</v>
      </c>
      <c r="DF68" s="9">
        <f>DF45*'Shop Goals'!$K$183</f>
        <v>147.19154387323383</v>
      </c>
      <c r="DG68" s="9" t="s">
        <v>174</v>
      </c>
      <c r="DH68" s="9">
        <f>DH45*'Shop Goals'!$K$143</f>
        <v>214.73218426743949</v>
      </c>
      <c r="DI68" s="9">
        <f>DI45*'Shop Goals'!$K$123</f>
        <v>516.48855820874269</v>
      </c>
      <c r="DK68" s="11">
        <v>45658</v>
      </c>
      <c r="DL68" s="9">
        <f>DL45*'Shop Goals'!$K$4</f>
        <v>18793.07399036373</v>
      </c>
      <c r="DM68" s="9">
        <f>DM45*'Shop Goals'!$K$64</f>
        <v>1259.1145279918755</v>
      </c>
      <c r="DN68" s="9">
        <f>DN45*'Shop Goals'!$K$44</f>
        <v>4630.781136532587</v>
      </c>
      <c r="DO68" s="9">
        <f>DO45*'Shop Goals'!$K$84</f>
        <v>4960.0641760745921</v>
      </c>
      <c r="DP68" s="9">
        <f>DP45*'Shop Goals'!$K$164</f>
        <v>1479.3119210062459</v>
      </c>
      <c r="DQ68" s="9">
        <f>DQ45*'Shop Goals'!$K$104</f>
        <v>710.63931808788948</v>
      </c>
      <c r="DR68" s="9">
        <f>DR45*'Shop Goals'!$K$184</f>
        <v>639.27505905420094</v>
      </c>
      <c r="DS68" s="2" t="s">
        <v>174</v>
      </c>
      <c r="DT68" s="9">
        <f>DT45*'Shop Goals'!$K$144</f>
        <v>837.04873551552691</v>
      </c>
      <c r="DU68" s="9">
        <f>DU45*'Shop Goals'!$K$124</f>
        <v>2405.6331068538798</v>
      </c>
      <c r="DW68" s="11">
        <v>45658</v>
      </c>
      <c r="DX68" s="9">
        <f>DX45*'Research Goals'!$K$3</f>
        <v>302757.67419038271</v>
      </c>
      <c r="DY68" s="9">
        <f>DY45*'Research Goals'!$K$60</f>
        <v>20709.066732090283</v>
      </c>
      <c r="DZ68" s="9">
        <f>DZ45*'Research Goals'!$K$41</f>
        <v>71216.016683022564</v>
      </c>
      <c r="EA68" s="9">
        <f>EA45*'Research Goals'!$K$79</f>
        <v>83269.819103696427</v>
      </c>
      <c r="EB68" s="9">
        <f>EB45*'Research Goals'!$K$155</f>
        <v>15700.299313052012</v>
      </c>
      <c r="EC68" s="9">
        <f>EC45*'Research Goals'!$K$98</f>
        <v>11962.132809944389</v>
      </c>
      <c r="ED68" s="9">
        <f>ED45*'Research Goals'!$K$174</f>
        <v>9343.5377821393522</v>
      </c>
      <c r="EE68" s="2" t="s">
        <v>174</v>
      </c>
      <c r="EF68" s="9">
        <f>EF45*'Research Goals'!$K$136</f>
        <v>13046.38894340857</v>
      </c>
      <c r="EG68" s="9">
        <f>EG45*'Research Goals'!$K$117</f>
        <v>31493.771017337258</v>
      </c>
      <c r="FG68" s="11"/>
      <c r="FH68" s="14"/>
      <c r="FI68" s="26"/>
      <c r="FJ68" s="5"/>
      <c r="FK68" s="5"/>
      <c r="FL68" s="5"/>
      <c r="FM68" s="5"/>
      <c r="FN68" s="5"/>
      <c r="FO68" s="5"/>
      <c r="FP68" s="5"/>
      <c r="FQ68" s="5"/>
      <c r="FS68" s="11"/>
      <c r="GC68" s="9"/>
      <c r="GQ68" s="11">
        <v>45658</v>
      </c>
      <c r="GR68" s="55" t="s">
        <v>174</v>
      </c>
      <c r="GS68" s="55">
        <f>GS45*'Research Goals'!$K$99</f>
        <v>776.15963362773959</v>
      </c>
      <c r="GT68" s="55">
        <f>GT45*'Research Goals'!$K$118</f>
        <v>5595.4596009159304</v>
      </c>
      <c r="GU68" s="55">
        <f>GU45*'Research Goals'!$K$156</f>
        <v>3876.571802420674</v>
      </c>
      <c r="GV68" s="55">
        <f>GV45*'Research Goals'!$K$175</f>
        <v>3252.809944389925</v>
      </c>
      <c r="GW68" s="55">
        <f>GW45*'Research Goals'!$K$137</f>
        <v>1550.5789990186458</v>
      </c>
      <c r="GX68" s="55">
        <f>GX45*'Research Goals'!$K$80</f>
        <v>10022.204775924109</v>
      </c>
      <c r="GY68" s="55">
        <f>GY45*'Research Goals'!$K$42</f>
        <v>13214.6025515211</v>
      </c>
      <c r="GZ68" s="55">
        <f>GZ45*'Research Goals'!$K$61</f>
        <v>205.10304219823357</v>
      </c>
      <c r="HA68" s="55">
        <f>HA45*'Research Goals'!$K$4</f>
        <v>38782.1262675826</v>
      </c>
      <c r="HC68" s="11">
        <v>45658</v>
      </c>
      <c r="HD68" s="5">
        <f t="shared" ref="HD68:HD85" si="121">CZ68+DL68+BM68</f>
        <v>612438.66140213562</v>
      </c>
      <c r="HE68" s="5">
        <f t="shared" ref="HE68:HE85" si="122">DA68+DM68+BP68</f>
        <v>22709.785204271011</v>
      </c>
      <c r="HF68" s="5">
        <f t="shared" ref="HF68:HF85" si="123">DB68+DN68+BQ68</f>
        <v>122411.32969710114</v>
      </c>
      <c r="HG68" s="5">
        <f t="shared" ref="HG68:HG85" si="124">DC68+DO68+BR68</f>
        <v>142088.21824842927</v>
      </c>
      <c r="HH68" s="5">
        <f t="shared" ref="HH68:HH85" si="125">DD68+DP68+BS68</f>
        <v>27904.138892586143</v>
      </c>
      <c r="HI68" s="5">
        <f t="shared" ref="HI68:HI85" si="126">DE68+DQ68+BT68</f>
        <v>16031.104162767171</v>
      </c>
      <c r="HJ68" s="5">
        <f t="shared" ref="HJ68:HJ85" si="127">DF68+DR68+BU68</f>
        <v>8499.503235395583</v>
      </c>
      <c r="HK68" s="5" t="s">
        <v>174</v>
      </c>
      <c r="HL68" s="5">
        <f t="shared" ref="HL68:HL85" si="128">DH68+DT68+BW68</f>
        <v>18785.335067549469</v>
      </c>
      <c r="HM68" s="5">
        <f t="shared" ref="HM68:HM85" si="129">DI68+DU68+BX68</f>
        <v>67603.923173832634</v>
      </c>
      <c r="HO68" s="11">
        <v>45658</v>
      </c>
      <c r="HP68" s="5">
        <f>DX68+HA68</f>
        <v>341539.80045796529</v>
      </c>
      <c r="HQ68" s="5">
        <f t="shared" ref="HQ68" si="130">DY68+GZ68</f>
        <v>20914.169774288515</v>
      </c>
      <c r="HR68" s="5">
        <f t="shared" ref="HR68" si="131">DZ68+GY68</f>
        <v>84430.619234543672</v>
      </c>
      <c r="HS68" s="5">
        <f t="shared" ref="HS68" si="132">EA68+GX68</f>
        <v>93292.023879620538</v>
      </c>
      <c r="HT68" s="5">
        <f t="shared" ref="HT68" si="133">EB68+GU68</f>
        <v>19576.871115472684</v>
      </c>
      <c r="HU68" s="5">
        <f t="shared" ref="HU68" si="134">EC68+GS68</f>
        <v>12738.292443572129</v>
      </c>
      <c r="HV68" s="5">
        <f t="shared" ref="HV68" si="135">ED68+GV68</f>
        <v>12596.347726529277</v>
      </c>
      <c r="HW68" s="5" t="s">
        <v>174</v>
      </c>
      <c r="HX68" s="5">
        <f t="shared" ref="HX68" si="136">EF68+GW68</f>
        <v>14596.967942427216</v>
      </c>
      <c r="HY68" s="5">
        <f t="shared" ref="HY68" si="137">EG68+GT68</f>
        <v>37089.23061825319</v>
      </c>
    </row>
    <row r="69" spans="2:233" ht="15">
      <c r="B69" s="29"/>
      <c r="C69" s="5"/>
      <c r="D69" s="1"/>
      <c r="E69" s="1"/>
      <c r="H69" s="29"/>
      <c r="I69" s="29"/>
      <c r="J69" s="29"/>
      <c r="N69" s="29"/>
      <c r="O69" s="5"/>
      <c r="P69" s="1"/>
      <c r="Q69" s="1"/>
      <c r="T69" s="29"/>
      <c r="U69" s="29"/>
      <c r="V69" s="29"/>
      <c r="AL69" s="11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8"/>
      <c r="BJ69" s="11">
        <v>45689</v>
      </c>
      <c r="BM69" s="8">
        <f>BM46*'Shop Goals'!$K$5</f>
        <v>541886.55642773421</v>
      </c>
      <c r="BN69" s="8"/>
      <c r="BO69" s="8">
        <f t="shared" ref="BO69:BO79" si="138">SUM(BP69:BX69)</f>
        <v>397739.17804796493</v>
      </c>
      <c r="BP69" s="8">
        <f>BP46*'Shop Goals'!$K$65</f>
        <v>21878.012063174483</v>
      </c>
      <c r="BQ69" s="8">
        <f>BQ46*'Shop Goals'!$K$45</f>
        <v>112936.92999188062</v>
      </c>
      <c r="BR69" s="8">
        <f>BR46*'Shop Goals'!$K$85</f>
        <v>138342.53213189155</v>
      </c>
      <c r="BS69" s="8">
        <f>BS46*'Shop Goals'!$K$165</f>
        <v>23458.434971177903</v>
      </c>
      <c r="BT69" s="8">
        <f>BT46*'Shop Goals'!$K$105</f>
        <v>15485.957660267364</v>
      </c>
      <c r="BU69" s="8">
        <f>BU46*'Shop Goals'!$K$185</f>
        <v>7050.9054174078328</v>
      </c>
      <c r="BV69" s="8" t="s">
        <v>174</v>
      </c>
      <c r="BW69" s="8">
        <f>BW46*'Shop Goals'!$K$145</f>
        <v>17286.515204597763</v>
      </c>
      <c r="BX69" s="8">
        <f>BX46*'Shop Goals'!$K$125</f>
        <v>61299.890607567475</v>
      </c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Y69" s="11">
        <v>45689</v>
      </c>
      <c r="CZ69" s="9">
        <f>CZ46*'Shop Goals'!$K$3</f>
        <v>22553.812825473691</v>
      </c>
      <c r="DA69" s="9">
        <f>DA46*'Shop Goals'!$K$63</f>
        <v>304.04567631880445</v>
      </c>
      <c r="DB69" s="9">
        <f>DB46*'Shop Goals'!$K$43</f>
        <v>1118.3085486302723</v>
      </c>
      <c r="DC69" s="9">
        <f>DC46*'Shop Goals'!$K$83</f>
        <v>1664.0327718602894</v>
      </c>
      <c r="DD69" s="9">
        <f>DD46*'Shop Goals'!$K$163</f>
        <v>243.6102442992696</v>
      </c>
      <c r="DE69" s="9">
        <f>DE46*'Shop Goals'!$K$103</f>
        <v>184.14439182746375</v>
      </c>
      <c r="DF69" s="9">
        <f>DF46*'Shop Goals'!$K$183</f>
        <v>142.82384227462154</v>
      </c>
      <c r="DG69" s="9" t="s">
        <v>174</v>
      </c>
      <c r="DH69" s="9">
        <f>DH46*'Shop Goals'!$K$143</f>
        <v>217.82928307898908</v>
      </c>
      <c r="DI69" s="9">
        <f>DI46*'Shop Goals'!$K$123</f>
        <v>534.92302772527262</v>
      </c>
      <c r="DK69" s="11">
        <v>45689</v>
      </c>
      <c r="DL69" s="9">
        <f>DL46*'Shop Goals'!$K$4</f>
        <v>18931.027917852491</v>
      </c>
      <c r="DM69" s="9">
        <f>DM46*'Shop Goals'!$K$64</f>
        <v>1163.4583666676954</v>
      </c>
      <c r="DN69" s="9">
        <f>DN46*'Shop Goals'!$K$44</f>
        <v>4676.246117548093</v>
      </c>
      <c r="DO69" s="9">
        <f>DO46*'Shop Goals'!$K$84</f>
        <v>5160.3024745091134</v>
      </c>
      <c r="DP69" s="9">
        <f>DP46*'Shop Goals'!$K$164</f>
        <v>1079.8842172669113</v>
      </c>
      <c r="DQ69" s="9">
        <f>DQ46*'Shop Goals'!$K$104</f>
        <v>680.23488025816835</v>
      </c>
      <c r="DR69" s="9">
        <f>DR46*'Shop Goals'!$K$184</f>
        <v>607.59292507023713</v>
      </c>
      <c r="DS69" s="2" t="s">
        <v>174</v>
      </c>
      <c r="DT69" s="9">
        <f>DT46*'Shop Goals'!$K$144</f>
        <v>937.72755956858725</v>
      </c>
      <c r="DU69" s="9">
        <f>DU46*'Shop Goals'!$K$124</f>
        <v>2721.5532851513012</v>
      </c>
      <c r="DW69" s="11">
        <v>45689</v>
      </c>
      <c r="DX69" s="9">
        <f>DX46*'Research Goals'!$K$3</f>
        <v>300324.67255479225</v>
      </c>
      <c r="DY69" s="9">
        <f>DY46*'Research Goals'!$K$60</f>
        <v>19442.222767419036</v>
      </c>
      <c r="DZ69" s="9">
        <f>DZ46*'Research Goals'!$K$41</f>
        <v>65843.576382073923</v>
      </c>
      <c r="EA69" s="9">
        <f>EA46*'Research Goals'!$K$79</f>
        <v>84269.168138698064</v>
      </c>
      <c r="EB69" s="9">
        <f>EB46*'Research Goals'!$K$155</f>
        <v>13280.071311743539</v>
      </c>
      <c r="EC69" s="9">
        <f>EC46*'Research Goals'!$K$98</f>
        <v>11311.428851815504</v>
      </c>
      <c r="ED69" s="9">
        <f>ED46*'Research Goals'!$K$174</f>
        <v>8589.1419692508989</v>
      </c>
      <c r="EE69" s="2" t="s">
        <v>174</v>
      </c>
      <c r="EF69" s="9">
        <f>EF46*'Research Goals'!$K$136</f>
        <v>12597.057572783775</v>
      </c>
      <c r="EG69" s="9">
        <f>EG46*'Research Goals'!$K$117</f>
        <v>29258.385017991495</v>
      </c>
      <c r="FG69" s="11"/>
      <c r="FH69" s="14"/>
      <c r="FI69" s="26"/>
      <c r="FJ69" s="5"/>
      <c r="FK69" s="5"/>
      <c r="FL69" s="5"/>
      <c r="FM69" s="5"/>
      <c r="FN69" s="5"/>
      <c r="FO69" s="5"/>
      <c r="FP69" s="5"/>
      <c r="FQ69" s="5"/>
      <c r="FS69" s="11"/>
      <c r="GQ69" s="11">
        <v>45689</v>
      </c>
      <c r="GR69" s="55" t="s">
        <v>174</v>
      </c>
      <c r="GS69" s="55">
        <f>GS46*'Research Goals'!$K$99</f>
        <v>707.04612365063792</v>
      </c>
      <c r="GT69" s="55">
        <f>GT46*'Research Goals'!$K$118</f>
        <v>5628.2760876676484</v>
      </c>
      <c r="GU69" s="55">
        <f>GU46*'Research Goals'!$K$156</f>
        <v>3757.9849525678774</v>
      </c>
      <c r="GV69" s="55">
        <f>GV46*'Research Goals'!$K$175</f>
        <v>3156.3493621197254</v>
      </c>
      <c r="GW69" s="55">
        <f>GW46*'Research Goals'!$K$137</f>
        <v>1490.6640497219496</v>
      </c>
      <c r="GX69" s="55">
        <f>GX46*'Research Goals'!$K$80</f>
        <v>10809.303238469087</v>
      </c>
      <c r="GY69" s="55">
        <f>GY46*'Research Goals'!$K$42</f>
        <v>13034.360484134773</v>
      </c>
      <c r="GZ69" s="55">
        <f>GZ46*'Research Goals'!$K$61</f>
        <v>177.25875040889761</v>
      </c>
      <c r="HA69" s="55">
        <f>HA46*'Research Goals'!$K$4</f>
        <v>38980.516846581617</v>
      </c>
      <c r="HC69" s="11">
        <v>45689</v>
      </c>
      <c r="HD69" s="5">
        <f t="shared" si="121"/>
        <v>583371.39717106044</v>
      </c>
      <c r="HE69" s="5">
        <f t="shared" si="122"/>
        <v>23345.516106160983</v>
      </c>
      <c r="HF69" s="5">
        <f t="shared" si="123"/>
        <v>118731.48465805898</v>
      </c>
      <c r="HG69" s="5">
        <f t="shared" si="124"/>
        <v>145166.86737826094</v>
      </c>
      <c r="HH69" s="5">
        <f t="shared" si="125"/>
        <v>24781.929432744084</v>
      </c>
      <c r="HI69" s="5">
        <f t="shared" si="126"/>
        <v>16350.336932352997</v>
      </c>
      <c r="HJ69" s="5">
        <f t="shared" si="127"/>
        <v>7801.3221847526911</v>
      </c>
      <c r="HK69" s="5" t="s">
        <v>174</v>
      </c>
      <c r="HL69" s="5">
        <f t="shared" si="128"/>
        <v>18442.072047245339</v>
      </c>
      <c r="HM69" s="5">
        <f t="shared" si="129"/>
        <v>64556.366920444052</v>
      </c>
      <c r="HO69" s="11">
        <v>45689</v>
      </c>
      <c r="HP69" s="5">
        <f>DX69+HA69</f>
        <v>339305.18940137385</v>
      </c>
      <c r="HQ69" s="5">
        <f t="shared" ref="HQ69:HQ79" si="139">DY69+GZ69</f>
        <v>19619.481517827935</v>
      </c>
      <c r="HR69" s="5">
        <f t="shared" ref="HR69:HR79" si="140">DZ69+GY69</f>
        <v>78877.936866208693</v>
      </c>
      <c r="HS69" s="5">
        <f t="shared" ref="HS69:HS79" si="141">EA69+GX69</f>
        <v>95078.471377167152</v>
      </c>
      <c r="HT69" s="5">
        <f t="shared" ref="HT69:HT79" si="142">EB69+GU69</f>
        <v>17038.056264311417</v>
      </c>
      <c r="HU69" s="5">
        <f t="shared" ref="HU69:HU79" si="143">EC69+GS69</f>
        <v>12018.474975466142</v>
      </c>
      <c r="HV69" s="5">
        <f t="shared" ref="HV69:HV79" si="144">ED69+GV69</f>
        <v>11745.491331370624</v>
      </c>
      <c r="HW69" s="5" t="s">
        <v>174</v>
      </c>
      <c r="HX69" s="5">
        <f t="shared" ref="HX69:HX79" si="145">EF69+GW69</f>
        <v>14087.721622505724</v>
      </c>
      <c r="HY69" s="5">
        <f t="shared" ref="HY69:HY79" si="146">EG69+GT69</f>
        <v>34886.661105659143</v>
      </c>
    </row>
    <row r="70" spans="2:233" ht="15">
      <c r="B70" s="29"/>
      <c r="C70" s="5"/>
      <c r="D70" s="1"/>
      <c r="E70" s="1"/>
      <c r="H70" s="29"/>
      <c r="I70" s="29"/>
      <c r="J70" s="29"/>
      <c r="K70" s="30"/>
      <c r="L70" s="30"/>
      <c r="N70" s="29"/>
      <c r="O70" s="5"/>
      <c r="P70" s="1"/>
      <c r="Q70" s="1"/>
      <c r="T70" s="29"/>
      <c r="U70" s="29"/>
      <c r="V70" s="29"/>
      <c r="W70" s="30"/>
      <c r="X70" s="30"/>
      <c r="Y70" s="30"/>
      <c r="Z70" s="30"/>
      <c r="AA70" s="30"/>
      <c r="AB70" s="30"/>
      <c r="AD70" s="30"/>
      <c r="AE70" s="30"/>
      <c r="AF70" s="30"/>
      <c r="AG70" s="30"/>
      <c r="AL70" s="11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8"/>
      <c r="BJ70" s="11">
        <v>45717</v>
      </c>
      <c r="BK70" s="30"/>
      <c r="BL70" s="30"/>
      <c r="BM70" s="8">
        <f>BM47*'Shop Goals'!$K$5</f>
        <v>607798.25018834823</v>
      </c>
      <c r="BN70" s="8"/>
      <c r="BO70" s="8">
        <f>SUM(BP70:BX70)</f>
        <v>448944.5210172002</v>
      </c>
      <c r="BP70" s="8">
        <f>BP47*'Shop Goals'!$K$65</f>
        <v>24880.712614796219</v>
      </c>
      <c r="BQ70" s="8">
        <f>BQ47*'Shop Goals'!$K$45</f>
        <v>124209.92598547926</v>
      </c>
      <c r="BR70" s="8">
        <f>BR47*'Shop Goals'!$K$85</f>
        <v>149893.66359677899</v>
      </c>
      <c r="BS70" s="8">
        <f>BS47*'Shop Goals'!$K$165</f>
        <v>28030.392468343616</v>
      </c>
      <c r="BT70" s="8">
        <f>BT47*'Shop Goals'!$K$105</f>
        <v>18907.652297900742</v>
      </c>
      <c r="BU70" s="8">
        <f>BU47*'Shop Goals'!$K$185</f>
        <v>7723.8081450576465</v>
      </c>
      <c r="BV70" s="8" t="s">
        <v>174</v>
      </c>
      <c r="BW70" s="8">
        <f>BW47*'Shop Goals'!$K$145</f>
        <v>19357.8082588055</v>
      </c>
      <c r="BX70" s="8">
        <f>BX47*'Shop Goals'!$K$125</f>
        <v>75940.557650038187</v>
      </c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Y70" s="11">
        <v>45717</v>
      </c>
      <c r="CZ70" s="9">
        <f>CZ47*'Shop Goals'!$K$3</f>
        <v>29107.145084855714</v>
      </c>
      <c r="DA70" s="9">
        <f>DA47*'Shop Goals'!$K$63</f>
        <v>359.72070696051537</v>
      </c>
      <c r="DB70" s="9">
        <f>DB47*'Shop Goals'!$K$43</f>
        <v>1343.289796466805</v>
      </c>
      <c r="DC70" s="9">
        <f>DC47*'Shop Goals'!$K$83</f>
        <v>2254.444705443294</v>
      </c>
      <c r="DD70" s="9">
        <f>DD47*'Shop Goals'!$K$163</f>
        <v>287.78133255133497</v>
      </c>
      <c r="DE70" s="9">
        <f>DE47*'Shop Goals'!$K$103</f>
        <v>333.76171018727808</v>
      </c>
      <c r="DF70" s="9">
        <f>DF47*'Shop Goals'!$K$183</f>
        <v>129.72073747878471</v>
      </c>
      <c r="DG70" s="9" t="s">
        <v>174</v>
      </c>
      <c r="DH70" s="9">
        <f>DH47*'Shop Goals'!$K$143</f>
        <v>325.88361939305321</v>
      </c>
      <c r="DI70" s="9">
        <f>DI47*'Shop Goals'!$K$123</f>
        <v>854.13042093255444</v>
      </c>
      <c r="DK70" s="11">
        <v>45717</v>
      </c>
      <c r="DL70" s="9">
        <f>DL47*'Shop Goals'!$K$4</f>
        <v>28447.212852268236</v>
      </c>
      <c r="DM70" s="9">
        <f>DM47*'Shop Goals'!$K$64</f>
        <v>1501.7479933731524</v>
      </c>
      <c r="DN70" s="9">
        <f>DN47*'Shop Goals'!$K$44</f>
        <v>5951.6584797199266</v>
      </c>
      <c r="DO70" s="9">
        <f>DO47*'Shop Goals'!$K$84</f>
        <v>7700.3291359570085</v>
      </c>
      <c r="DP70" s="9">
        <f>DP47*'Shop Goals'!$K$164</f>
        <v>1655.9663071975115</v>
      </c>
      <c r="DQ70" s="9">
        <f>DQ47*'Shop Goals'!$K$104</f>
        <v>1032.4625625736669</v>
      </c>
      <c r="DR70" s="9">
        <f>DR47*'Shop Goals'!$K$184</f>
        <v>751.21859913087258</v>
      </c>
      <c r="DS70" s="2" t="s">
        <v>174</v>
      </c>
      <c r="DT70" s="9">
        <f>DT47*'Shop Goals'!$K$144</f>
        <v>1405.6206068895594</v>
      </c>
      <c r="DU70" s="9">
        <f>DU47*'Shop Goals'!$K$124</f>
        <v>5476.4710775815383</v>
      </c>
      <c r="DW70" s="11">
        <v>45717</v>
      </c>
      <c r="DX70" s="9">
        <f>DX47*'Research Goals'!$K$3</f>
        <v>421366.12823029113</v>
      </c>
      <c r="DY70" s="9">
        <f>DY47*'Research Goals'!$K$60</f>
        <v>22664.935557736342</v>
      </c>
      <c r="DZ70" s="9">
        <f>DZ47*'Research Goals'!$K$41</f>
        <v>88564.866208701336</v>
      </c>
      <c r="EA70" s="9">
        <f>EA47*'Research Goals'!$K$79</f>
        <v>129284.95812888452</v>
      </c>
      <c r="EB70" s="9">
        <f>EB47*'Research Goals'!$K$155</f>
        <v>16099.287536800784</v>
      </c>
      <c r="EC70" s="9">
        <f>EC47*'Research Goals'!$K$98</f>
        <v>15456.848871442591</v>
      </c>
      <c r="ED70" s="9">
        <f>ED47*'Research Goals'!$K$174</f>
        <v>9390.1239777559695</v>
      </c>
      <c r="EE70" s="2" t="s">
        <v>174</v>
      </c>
      <c r="EF70" s="9">
        <f>EF47*'Research Goals'!$K$136</f>
        <v>17547.216552175334</v>
      </c>
      <c r="EG70" s="9">
        <f>EG47*'Research Goals'!$K$117</f>
        <v>46104.55446516192</v>
      </c>
      <c r="EJ70" s="5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5"/>
      <c r="FG70" s="11"/>
      <c r="FH70" s="14"/>
      <c r="FI70" s="26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Q70" s="11">
        <v>45717</v>
      </c>
      <c r="GR70" s="55" t="s">
        <v>174</v>
      </c>
      <c r="GS70" s="55">
        <f>GS47*'Research Goals'!$K$99</f>
        <v>882.31599607458293</v>
      </c>
      <c r="GT70" s="55">
        <f>GT47*'Research Goals'!$K$118</f>
        <v>6759.2018318613018</v>
      </c>
      <c r="GU70" s="55">
        <f>GU47*'Research Goals'!$K$156</f>
        <v>4396.6633954857707</v>
      </c>
      <c r="GV70" s="55">
        <f>GV47*'Research Goals'!$K$175</f>
        <v>3603.8469087340532</v>
      </c>
      <c r="GW70" s="55">
        <f>GW47*'Research Goals'!$K$137</f>
        <v>1596.571802420674</v>
      </c>
      <c r="GX70" s="55">
        <f>GX47*'Research Goals'!$K$80</f>
        <v>11928.544324501145</v>
      </c>
      <c r="GY70" s="55">
        <f>GY47*'Research Goals'!$K$42</f>
        <v>14089.957474648349</v>
      </c>
      <c r="GZ70" s="55">
        <f>GZ47*'Research Goals'!$K$61</f>
        <v>177.25875040889761</v>
      </c>
      <c r="HA70" s="55">
        <f>HA47*'Research Goals'!$K$4</f>
        <v>43658.357867190054</v>
      </c>
      <c r="HC70" s="11">
        <v>45717</v>
      </c>
      <c r="HD70" s="5">
        <f t="shared" si="121"/>
        <v>665352.60812547221</v>
      </c>
      <c r="HE70" s="5">
        <f t="shared" si="122"/>
        <v>26742.181315129888</v>
      </c>
      <c r="HF70" s="5">
        <f t="shared" si="123"/>
        <v>131504.874261666</v>
      </c>
      <c r="HG70" s="5">
        <f t="shared" si="124"/>
        <v>159848.4374381793</v>
      </c>
      <c r="HH70" s="5">
        <f t="shared" si="125"/>
        <v>29974.140108092462</v>
      </c>
      <c r="HI70" s="5">
        <f t="shared" si="126"/>
        <v>20273.876570661687</v>
      </c>
      <c r="HJ70" s="5">
        <f t="shared" si="127"/>
        <v>8604.7474816673039</v>
      </c>
      <c r="HK70" s="5" t="s">
        <v>174</v>
      </c>
      <c r="HL70" s="5">
        <f t="shared" si="128"/>
        <v>21089.312485088114</v>
      </c>
      <c r="HM70" s="5">
        <f t="shared" si="129"/>
        <v>82271.15914855228</v>
      </c>
      <c r="HO70" s="11">
        <v>45717</v>
      </c>
      <c r="HP70" s="5">
        <f t="shared" ref="HP70:HP78" si="147">DX70+HA70</f>
        <v>465024.48609748116</v>
      </c>
      <c r="HQ70" s="5">
        <f t="shared" si="139"/>
        <v>22842.194308145241</v>
      </c>
      <c r="HR70" s="5">
        <f t="shared" si="140"/>
        <v>102654.82368334968</v>
      </c>
      <c r="HS70" s="5">
        <f t="shared" si="141"/>
        <v>141213.50245338568</v>
      </c>
      <c r="HT70" s="5">
        <f t="shared" si="142"/>
        <v>20495.950932286556</v>
      </c>
      <c r="HU70" s="5">
        <f t="shared" si="143"/>
        <v>16339.164867517175</v>
      </c>
      <c r="HV70" s="5">
        <f t="shared" si="144"/>
        <v>12993.970886490022</v>
      </c>
      <c r="HW70" s="5" t="s">
        <v>174</v>
      </c>
      <c r="HX70" s="5">
        <f t="shared" si="145"/>
        <v>19143.788354596007</v>
      </c>
      <c r="HY70" s="5">
        <f t="shared" si="146"/>
        <v>52863.756297023225</v>
      </c>
    </row>
    <row r="71" spans="2:233" ht="15">
      <c r="B71" s="29"/>
      <c r="C71" s="5"/>
      <c r="D71" s="1"/>
      <c r="E71" s="1"/>
      <c r="H71" s="29"/>
      <c r="I71" s="29"/>
      <c r="J71" s="29"/>
      <c r="N71" s="29"/>
      <c r="O71" s="5"/>
      <c r="P71" s="1"/>
      <c r="Q71" s="1"/>
      <c r="T71" s="29"/>
      <c r="U71" s="29"/>
      <c r="V71" s="29"/>
      <c r="AC71" s="5"/>
      <c r="AD71" s="5"/>
      <c r="AE71" s="5"/>
      <c r="AL71" s="11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8"/>
      <c r="BJ71" s="11">
        <v>45748</v>
      </c>
      <c r="BM71" s="8">
        <f>BM48*'Shop Goals'!$K$5</f>
        <v>577076.60189330019</v>
      </c>
      <c r="BN71" s="8"/>
      <c r="BO71" s="8">
        <f>SUM(BP71:BX71)</f>
        <v>432559.08916610171</v>
      </c>
      <c r="BP71" s="8">
        <f>BP48*'Shop Goals'!$K$65</f>
        <v>24778.049383638197</v>
      </c>
      <c r="BQ71" s="8">
        <f>BQ48*'Shop Goals'!$K$45</f>
        <v>122713.83970254066</v>
      </c>
      <c r="BR71" s="8">
        <f>BR48*'Shop Goals'!$K$85</f>
        <v>147899.33077267589</v>
      </c>
      <c r="BS71" s="8">
        <f>BS48*'Shop Goals'!$K$165</f>
        <v>28460.880547695957</v>
      </c>
      <c r="BT71" s="8">
        <f>BT48*'Shop Goals'!$K$105</f>
        <v>13044.365525681393</v>
      </c>
      <c r="BU71" s="8">
        <f>BU48*'Shop Goals'!$K$185</f>
        <v>7470.7832022690473</v>
      </c>
      <c r="BV71" s="8" t="s">
        <v>174</v>
      </c>
      <c r="BW71" s="8">
        <f>BW48*'Shop Goals'!$K$145</f>
        <v>15880.670467147556</v>
      </c>
      <c r="BX71" s="8">
        <f>BX48*'Shop Goals'!$K$125</f>
        <v>72311.169564452968</v>
      </c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Y71" s="11">
        <v>45748</v>
      </c>
      <c r="CZ71" s="9">
        <f>CZ48*'Shop Goals'!$K$3</f>
        <v>24656.126756629073</v>
      </c>
      <c r="DA71" s="9">
        <f>DA48*'Shop Goals'!$K$63</f>
        <v>320.71484716961612</v>
      </c>
      <c r="DB71" s="9">
        <f>DB48*'Shop Goals'!$K$43</f>
        <v>975.13866364338787</v>
      </c>
      <c r="DC71" s="9">
        <f>DC48*'Shop Goals'!$K$83</f>
        <v>1741.0153623382457</v>
      </c>
      <c r="DD71" s="9">
        <f>DD48*'Shop Goals'!$K$163</f>
        <v>244.94876212508976</v>
      </c>
      <c r="DE71" s="9">
        <f>DE48*'Shop Goals'!$K$103</f>
        <v>156.97030622792482</v>
      </c>
      <c r="DF71" s="9">
        <f>DF48*'Shop Goals'!$K$183</f>
        <v>149.81216483240118</v>
      </c>
      <c r="DG71" s="9" t="s">
        <v>174</v>
      </c>
      <c r="DH71" s="9">
        <f>DH48*'Shop Goals'!$K$143</f>
        <v>252.24149209620694</v>
      </c>
      <c r="DI71" s="9">
        <f>DI48*'Shop Goals'!$K$123</f>
        <v>724.76572257094074</v>
      </c>
      <c r="DK71" s="11">
        <v>45748</v>
      </c>
      <c r="DL71" s="9">
        <f>DL48*'Shop Goals'!$K$4</f>
        <v>24574.837320784376</v>
      </c>
      <c r="DM71" s="9">
        <f>DM48*'Shop Goals'!$K$64</f>
        <v>1388.0891275300958</v>
      </c>
      <c r="DN71" s="9">
        <f>DN48*'Shop Goals'!$K$44</f>
        <v>4866.0823540689789</v>
      </c>
      <c r="DO71" s="9">
        <f>DO48*'Shop Goals'!$K$84</f>
        <v>6289.4311125444956</v>
      </c>
      <c r="DP71" s="9">
        <f>DP48*'Shop Goals'!$K$164</f>
        <v>1350.9340769954943</v>
      </c>
      <c r="DQ71" s="9">
        <f>DQ48*'Shop Goals'!$K$104</f>
        <v>653.18008388426392</v>
      </c>
      <c r="DR71" s="9">
        <f>DR48*'Shop Goals'!$K$184</f>
        <v>959.61663600316717</v>
      </c>
      <c r="DS71" s="2" t="s">
        <v>174</v>
      </c>
      <c r="DT71" s="9">
        <f>DT48*'Shop Goals'!$K$144</f>
        <v>1057.2663286233228</v>
      </c>
      <c r="DU71" s="9">
        <f>DU48*'Shop Goals'!$K$124</f>
        <v>5378.4628374496651</v>
      </c>
      <c r="DW71" s="11">
        <v>45748</v>
      </c>
      <c r="DX71" s="9">
        <f>DX48*'Research Goals'!$K$3</f>
        <v>365080.98724239448</v>
      </c>
      <c r="DY71" s="9">
        <f>DY48*'Research Goals'!$K$60</f>
        <v>23631.974811907097</v>
      </c>
      <c r="DZ71" s="9">
        <f>DZ48*'Research Goals'!$K$41</f>
        <v>91825.148511612686</v>
      </c>
      <c r="EA71" s="9">
        <f>EA48*'Research Goals'!$K$79</f>
        <v>91907.050049067708</v>
      </c>
      <c r="EB71" s="9">
        <f>EB48*'Research Goals'!$K$155</f>
        <v>16459.954857703629</v>
      </c>
      <c r="EC71" s="9">
        <f>EC48*'Research Goals'!$K$98</f>
        <v>10754.648675171737</v>
      </c>
      <c r="ED71" s="9">
        <f>ED48*'Research Goals'!$K$174</f>
        <v>11950.861956166176</v>
      </c>
      <c r="EE71" s="2" t="s">
        <v>174</v>
      </c>
      <c r="EF71" s="9">
        <f>EF48*'Research Goals'!$K$136</f>
        <v>12899.116454039908</v>
      </c>
      <c r="EG71" s="9">
        <f>EG48*'Research Goals'!$K$117</f>
        <v>41061.974484789011</v>
      </c>
      <c r="FG71" s="11"/>
      <c r="FH71" s="14"/>
      <c r="FI71" s="26"/>
      <c r="FS71" s="11"/>
      <c r="FT71" s="5"/>
      <c r="FU71" s="5"/>
      <c r="FV71" s="5"/>
      <c r="FW71" s="5"/>
      <c r="FX71" s="5"/>
      <c r="FY71" s="5"/>
      <c r="FZ71" s="5"/>
      <c r="GA71" s="5"/>
      <c r="GB71" s="5"/>
      <c r="GC71" s="5"/>
      <c r="GQ71" s="11">
        <v>45748</v>
      </c>
      <c r="GR71" s="55" t="s">
        <v>174</v>
      </c>
      <c r="GS71" s="55">
        <f>GS48*'Research Goals'!$K$99</f>
        <v>662.29636898920512</v>
      </c>
      <c r="GT71" s="55">
        <f>GT48*'Research Goals'!$K$118</f>
        <v>6095.165194635264</v>
      </c>
      <c r="GU71" s="55">
        <f>GU48*'Research Goals'!$K$156</f>
        <v>3877.0690219169123</v>
      </c>
      <c r="GV71" s="55">
        <f>GV48*'Research Goals'!$K$175</f>
        <v>3669.2312724893686</v>
      </c>
      <c r="GW71" s="55">
        <f>GW48*'Research Goals'!$K$137</f>
        <v>1372.8230291135101</v>
      </c>
      <c r="GX71" s="55">
        <f>GX48*'Research Goals'!$K$80</f>
        <v>10322.525351651946</v>
      </c>
      <c r="GY71" s="55">
        <f>GY48*'Research Goals'!$K$42</f>
        <v>12119.72522080471</v>
      </c>
      <c r="GZ71" s="55">
        <f>GZ48*'Research Goals'!$K$61</f>
        <v>138.97284919856068</v>
      </c>
      <c r="HA71" s="55">
        <f>HA48*'Research Goals'!$K$4</f>
        <v>38469.12659470069</v>
      </c>
      <c r="HC71" s="11">
        <v>45748</v>
      </c>
      <c r="HD71" s="5">
        <f t="shared" si="121"/>
        <v>626307.56597071362</v>
      </c>
      <c r="HE71" s="5">
        <f t="shared" si="122"/>
        <v>26486.85335833791</v>
      </c>
      <c r="HF71" s="5">
        <f t="shared" si="123"/>
        <v>128555.06072025302</v>
      </c>
      <c r="HG71" s="5">
        <f t="shared" si="124"/>
        <v>155929.77724755864</v>
      </c>
      <c r="HH71" s="5">
        <f t="shared" si="125"/>
        <v>30056.763386816539</v>
      </c>
      <c r="HI71" s="5">
        <f t="shared" si="126"/>
        <v>13854.515915793581</v>
      </c>
      <c r="HJ71" s="5">
        <f t="shared" si="127"/>
        <v>8580.2120031046161</v>
      </c>
      <c r="HK71" s="5" t="s">
        <v>174</v>
      </c>
      <c r="HL71" s="5">
        <f t="shared" si="128"/>
        <v>17190.178287867086</v>
      </c>
      <c r="HM71" s="5">
        <f t="shared" si="129"/>
        <v>78414.398124473577</v>
      </c>
      <c r="HO71" s="11">
        <v>45748</v>
      </c>
      <c r="HP71" s="5">
        <f t="shared" si="147"/>
        <v>403550.11383709515</v>
      </c>
      <c r="HQ71" s="5">
        <f t="shared" si="139"/>
        <v>23770.94766110566</v>
      </c>
      <c r="HR71" s="5">
        <f t="shared" si="140"/>
        <v>103944.8737324174</v>
      </c>
      <c r="HS71" s="5">
        <f t="shared" si="141"/>
        <v>102229.57540071965</v>
      </c>
      <c r="HT71" s="5">
        <f t="shared" si="142"/>
        <v>20337.023879620541</v>
      </c>
      <c r="HU71" s="5">
        <f t="shared" si="143"/>
        <v>11416.945044160942</v>
      </c>
      <c r="HV71" s="5">
        <f t="shared" si="144"/>
        <v>15620.093228655545</v>
      </c>
      <c r="HW71" s="5" t="s">
        <v>174</v>
      </c>
      <c r="HX71" s="5">
        <f t="shared" si="145"/>
        <v>14271.939483153417</v>
      </c>
      <c r="HY71" s="5">
        <f t="shared" si="146"/>
        <v>47157.139679424276</v>
      </c>
    </row>
    <row r="72" spans="2:233" ht="15">
      <c r="B72" s="29"/>
      <c r="C72" s="5"/>
      <c r="D72" s="1"/>
      <c r="E72" s="1"/>
      <c r="H72" s="29"/>
      <c r="I72" s="29"/>
      <c r="J72" s="29"/>
      <c r="N72" s="29"/>
      <c r="O72" s="5"/>
      <c r="P72" s="1"/>
      <c r="Q72" s="1"/>
      <c r="T72" s="29"/>
      <c r="U72" s="29"/>
      <c r="V72" s="29"/>
      <c r="AC72" s="5"/>
      <c r="AD72" s="5"/>
      <c r="AE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8"/>
      <c r="BJ72" s="11">
        <v>45778</v>
      </c>
      <c r="BM72" s="8">
        <f>BM49*'Shop Goals'!$K$5</f>
        <v>560797.42090863874</v>
      </c>
      <c r="BN72" s="8"/>
      <c r="BO72" s="8">
        <f t="shared" si="138"/>
        <v>423773.19726855087</v>
      </c>
      <c r="BP72" s="8">
        <f>BP49*'Shop Goals'!$K$65</f>
        <v>24447.776198129846</v>
      </c>
      <c r="BQ72" s="8">
        <f>BQ49*'Shop Goals'!$K$45</f>
        <v>116529.80080591959</v>
      </c>
      <c r="BR72" s="8">
        <f>BR49*'Shop Goals'!$K$85</f>
        <v>148432.06059895648</v>
      </c>
      <c r="BS72" s="8">
        <f>BS49*'Shop Goals'!$K$165</f>
        <v>27844.032279579875</v>
      </c>
      <c r="BT72" s="8">
        <f>BT49*'Shop Goals'!$K$105</f>
        <v>14428.089370001017</v>
      </c>
      <c r="BU72" s="8">
        <f>BU49*'Shop Goals'!$K$185</f>
        <v>7675.0195292110966</v>
      </c>
      <c r="BV72" s="8" t="s">
        <v>174</v>
      </c>
      <c r="BW72" s="8">
        <f>BW49*'Shop Goals'!$K$145</f>
        <v>13953.217208370912</v>
      </c>
      <c r="BX72" s="8">
        <f>BX49*'Shop Goals'!$K$125</f>
        <v>70463.201278382025</v>
      </c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Y72" s="11">
        <v>45778</v>
      </c>
      <c r="CZ72" s="9">
        <f>CZ49*'Shop Goals'!$K$3</f>
        <v>24028.52154330058</v>
      </c>
      <c r="DA72" s="9">
        <f>DA49*'Shop Goals'!$K$63</f>
        <v>283.70928788081426</v>
      </c>
      <c r="DB72" s="9">
        <f>DB49*'Shop Goals'!$K$43</f>
        <v>884.09053402039228</v>
      </c>
      <c r="DC72" s="9">
        <f>DC49*'Shop Goals'!$K$83</f>
        <v>1572.4171269939611</v>
      </c>
      <c r="DD72" s="9">
        <f>DD49*'Shop Goals'!$K$163</f>
        <v>205.12785680693992</v>
      </c>
      <c r="DE72" s="9">
        <f>DE49*'Shop Goals'!$K$103</f>
        <v>173.91414783704911</v>
      </c>
      <c r="DF72" s="9">
        <f>DF49*'Shop Goals'!$K$183</f>
        <v>158.11079786976453</v>
      </c>
      <c r="DG72" s="9" t="s">
        <v>174</v>
      </c>
      <c r="DH72" s="9">
        <f>DH49*'Shop Goals'!$K$143</f>
        <v>185.48180660280428</v>
      </c>
      <c r="DI72" s="9">
        <f>DI49*'Shop Goals'!$K$123</f>
        <v>717.97407590695605</v>
      </c>
      <c r="DK72" s="11">
        <v>45778</v>
      </c>
      <c r="DL72" s="9">
        <f>DL49*'Shop Goals'!$K$4</f>
        <v>24090.680543419367</v>
      </c>
      <c r="DM72" s="9">
        <f>DM49*'Shop Goals'!$K$64</f>
        <v>1173.9375528801759</v>
      </c>
      <c r="DN72" s="9">
        <f>DN49*'Shop Goals'!$K$44</f>
        <v>4091.5824143136006</v>
      </c>
      <c r="DO72" s="9">
        <f>DO49*'Shop Goals'!$K$84</f>
        <v>6337.6318809256609</v>
      </c>
      <c r="DP72" s="9">
        <f>DP49*'Shop Goals'!$K$164</f>
        <v>1237.1201060447859</v>
      </c>
      <c r="DQ72" s="9">
        <f>DQ49*'Shop Goals'!$K$104</f>
        <v>861.88851305438379</v>
      </c>
      <c r="DR72" s="9">
        <f>DR49*'Shop Goals'!$K$184</f>
        <v>940.60735561278898</v>
      </c>
      <c r="DS72" s="2" t="s">
        <v>174</v>
      </c>
      <c r="DT72" s="9">
        <f>DT49*'Shop Goals'!$K$144</f>
        <v>823.45848102902562</v>
      </c>
      <c r="DU72" s="9">
        <f>DU49*'Shop Goals'!$K$124</f>
        <v>6078.0748494548461</v>
      </c>
      <c r="DW72" s="11">
        <v>45778</v>
      </c>
      <c r="DX72" s="9">
        <f>DX49*'Research Goals'!$K$3</f>
        <v>384236.93032384693</v>
      </c>
      <c r="DY72" s="9">
        <f>DY49*'Research Goals'!$K$60</f>
        <v>23649.25678770036</v>
      </c>
      <c r="DZ72" s="9">
        <f>DZ49*'Research Goals'!$K$41</f>
        <v>90761.179914949302</v>
      </c>
      <c r="EA72" s="9">
        <f>EA49*'Research Goals'!$K$79</f>
        <v>117294.27248936865</v>
      </c>
      <c r="EB72" s="9">
        <f>EB49*'Research Goals'!$K$155</f>
        <v>15276.515210991167</v>
      </c>
      <c r="EC72" s="9">
        <f>EC49*'Research Goals'!$K$98</f>
        <v>13736.165194635263</v>
      </c>
      <c r="ED72" s="9">
        <f>ED49*'Research Goals'!$K$174</f>
        <v>10636.680405626432</v>
      </c>
      <c r="EE72" s="2" t="s">
        <v>174</v>
      </c>
      <c r="EF72" s="9">
        <f>EF49*'Research Goals'!$K$136</f>
        <v>11707.411514556756</v>
      </c>
      <c r="EG72" s="9">
        <f>EG49*'Research Goals'!$K$117</f>
        <v>43725.652927706898</v>
      </c>
      <c r="FG72" s="11"/>
      <c r="FH72" s="14"/>
      <c r="FI72" s="26"/>
      <c r="FT72" s="11"/>
      <c r="FU72" s="11"/>
      <c r="FV72" s="11"/>
      <c r="GA72" s="15"/>
      <c r="GC72" s="15"/>
      <c r="GQ72" s="11">
        <v>45778</v>
      </c>
      <c r="GR72" s="55" t="s">
        <v>174</v>
      </c>
      <c r="GS72" s="55">
        <f>GS49*'Research Goals'!$K$99</f>
        <v>683.42819757932614</v>
      </c>
      <c r="GT72" s="55">
        <f>GT49*'Research Goals'!$K$118</f>
        <v>6131.9594373568862</v>
      </c>
      <c r="GU72" s="55">
        <f>GU49*'Research Goals'!$K$156</f>
        <v>3931.2659470068697</v>
      </c>
      <c r="GV72" s="55">
        <f>GV49*'Research Goals'!$K$175</f>
        <v>3625.2273470722935</v>
      </c>
      <c r="GW72" s="55">
        <f>GW49*'Research Goals'!$K$137</f>
        <v>1197.0559371933268</v>
      </c>
      <c r="GX72" s="55">
        <f>GX49*'Research Goals'!$K$80</f>
        <v>10567.157343801113</v>
      </c>
      <c r="GY72" s="55">
        <f>GY49*'Research Goals'!$K$42</f>
        <v>11784.350670592084</v>
      </c>
      <c r="GZ72" s="55">
        <f>GZ49*'Research Goals'!$K$61</f>
        <v>137.72980045796533</v>
      </c>
      <c r="HA72" s="55">
        <f>HA49*'Research Goals'!$K$4</f>
        <v>38218.279358848544</v>
      </c>
      <c r="HC72" s="11">
        <v>45778</v>
      </c>
      <c r="HD72" s="5">
        <f t="shared" si="121"/>
        <v>608916.62299535866</v>
      </c>
      <c r="HE72" s="5">
        <f t="shared" si="122"/>
        <v>25905.423038890836</v>
      </c>
      <c r="HF72" s="5">
        <f t="shared" si="123"/>
        <v>121505.47375425357</v>
      </c>
      <c r="HG72" s="5">
        <f t="shared" si="124"/>
        <v>156342.1096068761</v>
      </c>
      <c r="HH72" s="5">
        <f t="shared" si="125"/>
        <v>29286.2802424316</v>
      </c>
      <c r="HI72" s="5">
        <f t="shared" si="126"/>
        <v>15463.89203089245</v>
      </c>
      <c r="HJ72" s="5">
        <f t="shared" si="127"/>
        <v>8773.7376826936506</v>
      </c>
      <c r="HK72" s="5" t="s">
        <v>174</v>
      </c>
      <c r="HL72" s="5">
        <f t="shared" si="128"/>
        <v>14962.157496002743</v>
      </c>
      <c r="HM72" s="5">
        <f t="shared" si="129"/>
        <v>77259.250203743824</v>
      </c>
      <c r="HO72" s="11">
        <v>45778</v>
      </c>
      <c r="HP72" s="5">
        <f t="shared" si="147"/>
        <v>422455.20968269545</v>
      </c>
      <c r="HQ72" s="5">
        <f t="shared" si="139"/>
        <v>23786.986588158325</v>
      </c>
      <c r="HR72" s="5">
        <f t="shared" si="140"/>
        <v>102545.53058554139</v>
      </c>
      <c r="HS72" s="5">
        <f t="shared" si="141"/>
        <v>127861.42983316976</v>
      </c>
      <c r="HT72" s="5">
        <f t="shared" si="142"/>
        <v>19207.781157998037</v>
      </c>
      <c r="HU72" s="5">
        <f t="shared" si="143"/>
        <v>14419.593392214589</v>
      </c>
      <c r="HV72" s="5">
        <f t="shared" si="144"/>
        <v>14261.907752698726</v>
      </c>
      <c r="HW72" s="5" t="s">
        <v>174</v>
      </c>
      <c r="HX72" s="5">
        <f t="shared" si="145"/>
        <v>12904.467451750083</v>
      </c>
      <c r="HY72" s="5">
        <f t="shared" si="146"/>
        <v>49857.612365063782</v>
      </c>
    </row>
    <row r="73" spans="2:233">
      <c r="B73" s="29"/>
      <c r="C73" s="5"/>
      <c r="D73" s="5"/>
      <c r="E73" s="5"/>
      <c r="F73" s="5"/>
      <c r="G73" s="5"/>
      <c r="H73" s="29"/>
      <c r="I73" s="29"/>
      <c r="J73" s="29"/>
      <c r="N73" s="29"/>
      <c r="O73" s="5"/>
      <c r="P73" s="5"/>
      <c r="Q73" s="5"/>
      <c r="R73" s="5"/>
      <c r="S73" s="5"/>
      <c r="T73" s="29"/>
      <c r="U73" s="29"/>
      <c r="V73" s="29"/>
      <c r="AC73" s="5"/>
      <c r="AD73" s="5"/>
      <c r="AE73" s="5"/>
      <c r="AM73" s="11"/>
      <c r="AN73" s="11"/>
      <c r="AO73" s="11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8"/>
      <c r="BJ73" s="11">
        <v>45809</v>
      </c>
      <c r="BM73" s="8">
        <f>BM50*'Shop Goals'!$K$5</f>
        <v>550028.72464322299</v>
      </c>
      <c r="BN73" s="8"/>
      <c r="BO73" s="8">
        <f t="shared" si="138"/>
        <v>416617.81305109267</v>
      </c>
      <c r="BP73" s="8">
        <f>BP50*'Shop Goals'!$K$65</f>
        <v>27862.323432885492</v>
      </c>
      <c r="BQ73" s="8">
        <f>BQ50*'Shop Goals'!$K$45</f>
        <v>111639.72899702789</v>
      </c>
      <c r="BR73" s="8">
        <f>BR50*'Shop Goals'!$K$85</f>
        <v>135801.85338371154</v>
      </c>
      <c r="BS73" s="8">
        <f>BS50*'Shop Goals'!$K$165</f>
        <v>27525.51858116201</v>
      </c>
      <c r="BT73" s="8">
        <f>BT50*'Shop Goals'!$K$105</f>
        <v>14596.722789024698</v>
      </c>
      <c r="BU73" s="8">
        <f>BU50*'Shop Goals'!$K$185</f>
        <v>7844.1956387049759</v>
      </c>
      <c r="BV73" s="8" t="s">
        <v>174</v>
      </c>
      <c r="BW73" s="8">
        <f>BW50*'Shop Goals'!$K$145</f>
        <v>14782.188660986947</v>
      </c>
      <c r="BX73" s="8">
        <f>BX50*'Shop Goals'!$K$125</f>
        <v>76565.28156758906</v>
      </c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Y73" s="11">
        <v>45809</v>
      </c>
      <c r="CZ73" s="9">
        <f>CZ50*'Shop Goals'!$K$3</f>
        <v>20190.935525495766</v>
      </c>
      <c r="DA73" s="9">
        <f>DA50*'Shop Goals'!$K$63</f>
        <v>241.7029773367689</v>
      </c>
      <c r="DB73" s="9">
        <f>DB50*'Shop Goals'!$K$43</f>
        <v>973.48924100529007</v>
      </c>
      <c r="DC73" s="9">
        <f>DC50*'Shop Goals'!$K$83</f>
        <v>1423.5417040861776</v>
      </c>
      <c r="DD73" s="9">
        <f>DD50*'Shop Goals'!$K$163</f>
        <v>219.18229397805163</v>
      </c>
      <c r="DE73" s="9">
        <f>DE50*'Shop Goals'!$K$103</f>
        <v>228.58201416082741</v>
      </c>
      <c r="DF73" s="9">
        <f>DF50*'Shop Goals'!$K$183</f>
        <v>128.41042699920104</v>
      </c>
      <c r="DG73" s="9" t="s">
        <v>174</v>
      </c>
      <c r="DH73" s="9">
        <f>DH50*'Shop Goals'!$K$143</f>
        <v>160.01677193006307</v>
      </c>
      <c r="DI73" s="9">
        <f>DI50*'Shop Goals'!$K$123</f>
        <v>869.65418473594809</v>
      </c>
      <c r="DK73" s="11">
        <v>45809</v>
      </c>
      <c r="DL73" s="9">
        <f>DL50*'Shop Goals'!$K$4</f>
        <v>25909.563536424037</v>
      </c>
      <c r="DM73" s="9">
        <f>DM50*'Shop Goals'!$K$64</f>
        <v>1172.0566733035769</v>
      </c>
      <c r="DN73" s="9">
        <f>DN50*'Shop Goals'!$K$44</f>
        <v>4568.5658993534735</v>
      </c>
      <c r="DO73" s="9">
        <f>DO50*'Shop Goals'!$K$84</f>
        <v>6527.6146967258919</v>
      </c>
      <c r="DP73" s="9">
        <f>DP50*'Shop Goals'!$K$164</f>
        <v>1251.9536804577929</v>
      </c>
      <c r="DQ73" s="9">
        <f>DQ50*'Shop Goals'!$K$104</f>
        <v>809.3249086707981</v>
      </c>
      <c r="DR73" s="9">
        <f>DR50*'Shop Goals'!$K$184</f>
        <v>781.84466198203756</v>
      </c>
      <c r="DS73" s="2" t="s">
        <v>174</v>
      </c>
      <c r="DT73" s="9">
        <f>DT50*'Shop Goals'!$K$144</f>
        <v>863.39718809139663</v>
      </c>
      <c r="DU73" s="9">
        <f>DU50*'Shop Goals'!$K$124</f>
        <v>7197.0891443647715</v>
      </c>
      <c r="DW73" s="11">
        <v>45809</v>
      </c>
      <c r="DX73" s="9">
        <f>DX50*'Research Goals'!$K$3</f>
        <v>361152.71900556103</v>
      </c>
      <c r="DY73" s="9">
        <f>DY50*'Research Goals'!$K$60</f>
        <v>22128.442917893361</v>
      </c>
      <c r="DZ73" s="9">
        <f>DZ50*'Research Goals'!$K$41</f>
        <v>89750.560026169449</v>
      </c>
      <c r="EA73" s="9">
        <f>EA50*'Research Goals'!$K$79</f>
        <v>96718.953222113181</v>
      </c>
      <c r="EB73" s="9">
        <f>EB50*'Research Goals'!$K$155</f>
        <v>14996.998037291462</v>
      </c>
      <c r="EC73" s="9">
        <f>EC50*'Research Goals'!$K$98</f>
        <v>14207.286882564606</v>
      </c>
      <c r="ED73" s="9">
        <f>ED50*'Research Goals'!$K$174</f>
        <v>10099.436375531566</v>
      </c>
      <c r="EE73" s="2" t="s">
        <v>174</v>
      </c>
      <c r="EF73" s="9">
        <f>EF50*'Research Goals'!$K$136</f>
        <v>11169.41609421001</v>
      </c>
      <c r="EG73" s="9">
        <f>EG50*'Research Goals'!$K$117</f>
        <v>40427.049721949625</v>
      </c>
      <c r="FG73" s="11"/>
      <c r="FH73" s="14"/>
      <c r="FS73" s="11"/>
      <c r="FT73" s="11"/>
      <c r="FU73" s="11"/>
      <c r="FV73" s="5"/>
      <c r="FZ73" s="9"/>
      <c r="GA73" s="15"/>
      <c r="GC73" s="15"/>
      <c r="GQ73" s="11">
        <v>45809</v>
      </c>
      <c r="GR73" s="55" t="s">
        <v>174</v>
      </c>
      <c r="GS73" s="55">
        <f>GS50*'Research Goals'!$K$99</f>
        <v>732.65292770690223</v>
      </c>
      <c r="GT73" s="55">
        <f>GT50*'Research Goals'!$K$118</f>
        <v>5665.8161596336276</v>
      </c>
      <c r="GU73" s="55">
        <f>GU50*'Research Goals'!$K$156</f>
        <v>3653.8174681059863</v>
      </c>
      <c r="GV73" s="55">
        <f>GV50*'Research Goals'!$K$175</f>
        <v>3444.4880601897285</v>
      </c>
      <c r="GW73" s="55">
        <f>GW50*'Research Goals'!$K$137</f>
        <v>1032.7248936866208</v>
      </c>
      <c r="GX73" s="55">
        <f>GX50*'Research Goals'!$K$80</f>
        <v>9271.4033366045151</v>
      </c>
      <c r="GY73" s="55">
        <f>GY50*'Research Goals'!$K$42</f>
        <v>10861.759895322211</v>
      </c>
      <c r="GZ73" s="55">
        <f>GZ50*'Research Goals'!$K$61</f>
        <v>133.75204448806019</v>
      </c>
      <c r="HA73" s="55">
        <f>HA50*'Research Goals'!$K$4</f>
        <v>34924.697415767092</v>
      </c>
      <c r="HC73" s="11">
        <v>45809</v>
      </c>
      <c r="HD73" s="5">
        <f t="shared" si="121"/>
        <v>596129.22370514274</v>
      </c>
      <c r="HE73" s="5">
        <f t="shared" si="122"/>
        <v>29276.083083525838</v>
      </c>
      <c r="HF73" s="5">
        <f t="shared" si="123"/>
        <v>117181.78413738665</v>
      </c>
      <c r="HG73" s="5">
        <f t="shared" si="124"/>
        <v>143753.0097845236</v>
      </c>
      <c r="HH73" s="5">
        <f t="shared" si="125"/>
        <v>28996.654555597856</v>
      </c>
      <c r="HI73" s="5">
        <f t="shared" si="126"/>
        <v>15634.629711856323</v>
      </c>
      <c r="HJ73" s="5">
        <f t="shared" si="127"/>
        <v>8754.450727686215</v>
      </c>
      <c r="HK73" s="5" t="s">
        <v>174</v>
      </c>
      <c r="HL73" s="5">
        <f t="shared" si="128"/>
        <v>15805.602621008407</v>
      </c>
      <c r="HM73" s="5">
        <f t="shared" si="129"/>
        <v>84632.024896689778</v>
      </c>
      <c r="HO73" s="11">
        <v>45809</v>
      </c>
      <c r="HP73" s="5">
        <f t="shared" si="147"/>
        <v>396077.41642132809</v>
      </c>
      <c r="HQ73" s="5">
        <f t="shared" si="139"/>
        <v>22262.194962381422</v>
      </c>
      <c r="HR73" s="5">
        <f t="shared" si="140"/>
        <v>100612.31992149167</v>
      </c>
      <c r="HS73" s="5">
        <f t="shared" si="141"/>
        <v>105990.3565587177</v>
      </c>
      <c r="HT73" s="5">
        <f>EB73+GU73</f>
        <v>18650.815505397448</v>
      </c>
      <c r="HU73" s="5">
        <f t="shared" si="143"/>
        <v>14939.939810271508</v>
      </c>
      <c r="HV73" s="5">
        <f t="shared" si="144"/>
        <v>13543.924435721296</v>
      </c>
      <c r="HW73" s="5" t="s">
        <v>174</v>
      </c>
      <c r="HX73" s="5">
        <f t="shared" si="145"/>
        <v>12202.14098789663</v>
      </c>
      <c r="HY73" s="5">
        <f t="shared" si="146"/>
        <v>46092.865881583253</v>
      </c>
    </row>
    <row r="74" spans="2:233">
      <c r="B74" s="29"/>
      <c r="C74" s="5"/>
      <c r="D74" s="5"/>
      <c r="E74" s="5"/>
      <c r="F74" s="5"/>
      <c r="G74" s="5"/>
      <c r="H74" s="29"/>
      <c r="I74" s="29"/>
      <c r="J74" s="29"/>
      <c r="N74" s="29"/>
      <c r="O74" s="5"/>
      <c r="P74" s="5"/>
      <c r="Q74" s="5"/>
      <c r="R74" s="5"/>
      <c r="S74" s="5"/>
      <c r="T74" s="29"/>
      <c r="U74" s="29"/>
      <c r="V74" s="29"/>
      <c r="AC74" s="5"/>
      <c r="AD74" s="5"/>
      <c r="AE74" s="5"/>
      <c r="AM74" s="5"/>
      <c r="AN74" s="5"/>
      <c r="AO74" s="5"/>
      <c r="AW74" s="5"/>
      <c r="AX74" s="5"/>
      <c r="BJ74" s="11">
        <v>45839</v>
      </c>
      <c r="BM74" s="8">
        <f>BM51*'Shop Goals'!$K$5</f>
        <v>609738.76018179057</v>
      </c>
      <c r="BN74" s="8"/>
      <c r="BO74" s="8">
        <f t="shared" si="138"/>
        <v>469706.56868519192</v>
      </c>
      <c r="BP74" s="8">
        <f>BP51*'Shop Goals'!$K$65</f>
        <v>28024.674589135382</v>
      </c>
      <c r="BQ74" s="8">
        <f>BQ51*'Shop Goals'!$K$45</f>
        <v>127821.39176547747</v>
      </c>
      <c r="BR74" s="8">
        <f>BR51*'Shop Goals'!$K$85</f>
        <v>161550.74532264398</v>
      </c>
      <c r="BS74" s="8">
        <f>BS51*'Shop Goals'!$K$165</f>
        <v>26943.884871007653</v>
      </c>
      <c r="BT74" s="8">
        <f>BT51*'Shop Goals'!$K$105</f>
        <v>17476.592757013066</v>
      </c>
      <c r="BU74" s="8">
        <f>BU51*'Shop Goals'!$K$185</f>
        <v>7513.8692526270388</v>
      </c>
      <c r="BV74" s="8" t="s">
        <v>174</v>
      </c>
      <c r="BW74" s="8">
        <f>BW51*'Shop Goals'!$K$145</f>
        <v>15301.904553426133</v>
      </c>
      <c r="BX74" s="8">
        <f>BX51*'Shop Goals'!$K$125</f>
        <v>85073.505573861243</v>
      </c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Y74" s="11">
        <v>45839</v>
      </c>
      <c r="CZ74" s="9">
        <f>CZ51*'Shop Goals'!$K$3</f>
        <v>24658.307203230099</v>
      </c>
      <c r="DA74" s="9">
        <f>DA51*'Shop Goals'!$K$63</f>
        <v>213.36538689038912</v>
      </c>
      <c r="DB74" s="9">
        <f>DB51*'Shop Goals'!$K$43</f>
        <v>867.92619216703429</v>
      </c>
      <c r="DC74" s="9">
        <f>DC51*'Shop Goals'!$K$83</f>
        <v>1299.4788516630247</v>
      </c>
      <c r="DD74" s="9">
        <f>DD51*'Shop Goals'!$K$163</f>
        <v>298.15484570144122</v>
      </c>
      <c r="DE74" s="9">
        <f>DE51*'Shop Goals'!$K$103</f>
        <v>327.68750281796935</v>
      </c>
      <c r="DF74" s="9">
        <f>DF51*'Shop Goals'!$K$183</f>
        <v>114.87055204350295</v>
      </c>
      <c r="DG74" s="9" t="s">
        <v>174</v>
      </c>
      <c r="DH74" s="9">
        <f>DH51*'Shop Goals'!$K$143</f>
        <v>220.23813771019434</v>
      </c>
      <c r="DI74" s="9">
        <f>DI51*'Shop Goals'!$K$123</f>
        <v>660.40678513603802</v>
      </c>
      <c r="DK74" s="11">
        <v>45839</v>
      </c>
      <c r="DL74" s="9">
        <f>DL51*'Shop Goals'!$K$4</f>
        <v>23225.466314540816</v>
      </c>
      <c r="DM74" s="9">
        <f>DM51*'Shop Goals'!$K$64</f>
        <v>916.52574796847784</v>
      </c>
      <c r="DN74" s="9">
        <f>DN51*'Shop Goals'!$K$44</f>
        <v>4538.5217890917647</v>
      </c>
      <c r="DO74" s="9">
        <f>DO51*'Shop Goals'!$K$84</f>
        <v>5122.6135758280961</v>
      </c>
      <c r="DP74" s="9">
        <f>DP51*'Shop Goals'!$K$164</f>
        <v>2550.8353963312807</v>
      </c>
      <c r="DQ74" s="9">
        <f>DQ51*'Shop Goals'!$K$104</f>
        <v>1447.8181030949424</v>
      </c>
      <c r="DR74" s="9">
        <f>DR51*'Shop Goals'!$K$184</f>
        <v>636.81089307767036</v>
      </c>
      <c r="DS74" s="2" t="s">
        <v>174</v>
      </c>
      <c r="DT74" s="9">
        <f>DT51*'Shop Goals'!$K$144</f>
        <v>1168.2071815743536</v>
      </c>
      <c r="DU74" s="9">
        <f>DU51*'Shop Goals'!$K$124</f>
        <v>4618.8989764276466</v>
      </c>
      <c r="DW74" s="11">
        <v>45839</v>
      </c>
      <c r="DX74" s="9">
        <f>DX51*'Research Goals'!$K$3</f>
        <v>427877.67615309125</v>
      </c>
      <c r="DY74" s="9">
        <f>DY51*'Research Goals'!$K$60</f>
        <v>22924.916584887145</v>
      </c>
      <c r="DZ74" s="9">
        <f>DZ51*'Research Goals'!$K$41</f>
        <v>96353.02616944717</v>
      </c>
      <c r="EA74" s="9">
        <f>EA51*'Research Goals'!$K$79</f>
        <v>118163.6310107949</v>
      </c>
      <c r="EB74" s="9">
        <f>EB51*'Research Goals'!$K$155</f>
        <v>16606.475956820414</v>
      </c>
      <c r="EC74" s="9">
        <f>EC51*'Research Goals'!$K$98</f>
        <v>19211.545960091593</v>
      </c>
      <c r="ED74" s="9">
        <f>ED51*'Research Goals'!$K$174</f>
        <v>11005.613019299966</v>
      </c>
      <c r="EE74" s="2" t="s">
        <v>174</v>
      </c>
      <c r="EF74" s="9">
        <f>EF51*'Research Goals'!$K$136</f>
        <v>13920.255806346091</v>
      </c>
      <c r="EG74" s="9">
        <f>EG51*'Research Goals'!$K$117</f>
        <v>47058.068694798822</v>
      </c>
      <c r="FT74" s="5"/>
      <c r="FU74" s="5"/>
      <c r="FV74" s="5"/>
      <c r="FZ74" s="17"/>
      <c r="GA74" s="15"/>
      <c r="GC74" s="15"/>
      <c r="GQ74" s="11">
        <v>45839</v>
      </c>
      <c r="GR74" s="55" t="s">
        <v>174</v>
      </c>
      <c r="GS74" s="55">
        <f>GS51*'Research Goals'!$K$99</f>
        <v>933.52960418711154</v>
      </c>
      <c r="GT74" s="55">
        <f>GT51*'Research Goals'!$K$118</f>
        <v>6286.0974811907099</v>
      </c>
      <c r="GU74" s="55">
        <f>GU51*'Research Goals'!$K$156</f>
        <v>4030.7098462544982</v>
      </c>
      <c r="GV74" s="55">
        <f>GV51*'Research Goals'!$K$175</f>
        <v>3718.7046123650639</v>
      </c>
      <c r="GW74" s="55">
        <f>GW51*'Research Goals'!$K$137</f>
        <v>1223.6571802420674</v>
      </c>
      <c r="GX74" s="55">
        <f>GX51*'Research Goals'!$K$80</f>
        <v>10350.866862937521</v>
      </c>
      <c r="GY74" s="55">
        <f>GY51*'Research Goals'!$K$42</f>
        <v>11844.514229636899</v>
      </c>
      <c r="GZ74" s="55">
        <f>GZ51*'Research Goals'!$K$61</f>
        <v>586.96761530912659</v>
      </c>
      <c r="HA74" s="55">
        <f>HA51*'Research Goals'!$K$4</f>
        <v>39063.552502453385</v>
      </c>
      <c r="HC74" s="11">
        <v>45839</v>
      </c>
      <c r="HD74" s="5">
        <f t="shared" si="121"/>
        <v>657622.53369956149</v>
      </c>
      <c r="HE74" s="5">
        <f t="shared" si="122"/>
        <v>29154.565723994248</v>
      </c>
      <c r="HF74" s="5">
        <f t="shared" si="123"/>
        <v>133227.83974673628</v>
      </c>
      <c r="HG74" s="5">
        <f t="shared" si="124"/>
        <v>167972.83775013511</v>
      </c>
      <c r="HH74" s="5">
        <f t="shared" si="125"/>
        <v>29792.875113040376</v>
      </c>
      <c r="HI74" s="5">
        <f t="shared" si="126"/>
        <v>19252.098362925979</v>
      </c>
      <c r="HJ74" s="5">
        <f t="shared" si="127"/>
        <v>8265.5506977482128</v>
      </c>
      <c r="HK74" s="5" t="s">
        <v>174</v>
      </c>
      <c r="HL74" s="5">
        <f t="shared" si="128"/>
        <v>16690.349872710682</v>
      </c>
      <c r="HM74" s="5">
        <f t="shared" si="129"/>
        <v>90352.811335424922</v>
      </c>
      <c r="HO74" s="11">
        <v>45839</v>
      </c>
      <c r="HP74" s="5">
        <f t="shared" si="147"/>
        <v>466941.22865554463</v>
      </c>
      <c r="HQ74" s="5">
        <f t="shared" si="139"/>
        <v>23511.884200196273</v>
      </c>
      <c r="HR74" s="5">
        <f t="shared" si="140"/>
        <v>108197.54039908407</v>
      </c>
      <c r="HS74" s="5">
        <f t="shared" si="141"/>
        <v>128514.49787373241</v>
      </c>
      <c r="HT74" s="5">
        <f t="shared" si="142"/>
        <v>20637.185803074914</v>
      </c>
      <c r="HU74" s="5">
        <f t="shared" si="143"/>
        <v>20145.075564278704</v>
      </c>
      <c r="HV74" s="5">
        <f t="shared" si="144"/>
        <v>14724.31763166503</v>
      </c>
      <c r="HW74" s="5" t="s">
        <v>174</v>
      </c>
      <c r="HX74" s="5">
        <f t="shared" si="145"/>
        <v>15143.912986588159</v>
      </c>
      <c r="HY74" s="5">
        <f t="shared" si="146"/>
        <v>53344.166175989529</v>
      </c>
    </row>
    <row r="75" spans="2:233">
      <c r="B75" s="29"/>
      <c r="C75" s="5"/>
      <c r="D75" s="5"/>
      <c r="E75" s="5"/>
      <c r="F75" s="5"/>
      <c r="G75" s="5"/>
      <c r="H75" s="29"/>
      <c r="I75" s="29"/>
      <c r="J75" s="29"/>
      <c r="N75" s="29"/>
      <c r="O75" s="5"/>
      <c r="P75" s="5"/>
      <c r="Q75" s="5"/>
      <c r="R75" s="5"/>
      <c r="S75" s="5"/>
      <c r="T75" s="29"/>
      <c r="U75" s="29"/>
      <c r="V75" s="29"/>
      <c r="AB75" s="15"/>
      <c r="AM75" s="5"/>
      <c r="AN75" s="5"/>
      <c r="AO75" s="11"/>
      <c r="AP75" s="11"/>
      <c r="AQ75" s="11"/>
      <c r="AW75" s="5"/>
      <c r="AX75" s="5"/>
      <c r="BJ75" s="11">
        <v>45870</v>
      </c>
      <c r="BM75" s="8">
        <f>BM52*'Shop Goals'!$K$5</f>
        <v>632638.22162937932</v>
      </c>
      <c r="BN75" s="8"/>
      <c r="BO75" s="8">
        <f t="shared" si="138"/>
        <v>491036.8203981992</v>
      </c>
      <c r="BP75" s="8">
        <f>BP52*'Shop Goals'!$K$65</f>
        <v>31099.796489868586</v>
      </c>
      <c r="BQ75" s="8">
        <f>BQ52*'Shop Goals'!$K$45</f>
        <v>145495.50267135189</v>
      </c>
      <c r="BR75" s="8">
        <f>BR52*'Shop Goals'!$K$85</f>
        <v>162715.77269034067</v>
      </c>
      <c r="BS75" s="8">
        <f>BS52*'Shop Goals'!$K$165</f>
        <v>30491.454833758649</v>
      </c>
      <c r="BT75" s="8">
        <f>BT52*'Shop Goals'!$K$105</f>
        <v>16272.913615711206</v>
      </c>
      <c r="BU75" s="8">
        <f>BU52*'Shop Goals'!$K$185</f>
        <v>7608.2783923820507</v>
      </c>
      <c r="BV75" s="8" t="s">
        <v>174</v>
      </c>
      <c r="BW75" s="8">
        <f>BW52*'Shop Goals'!$K$145</f>
        <v>12272.941282269276</v>
      </c>
      <c r="BX75" s="8">
        <f>BX52*'Shop Goals'!$K$125</f>
        <v>85080.160422516914</v>
      </c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Y75" s="11">
        <v>45870</v>
      </c>
      <c r="CZ75" s="9">
        <f>CZ52*'Shop Goals'!$K$3</f>
        <v>25251.388678709023</v>
      </c>
      <c r="DA75" s="9">
        <f>DA52*'Shop Goals'!$K$63</f>
        <v>298.04477481251229</v>
      </c>
      <c r="DB75" s="9">
        <f>DB52*'Shop Goals'!$K$43</f>
        <v>1361.1035609582607</v>
      </c>
      <c r="DC75" s="9">
        <f>DC52*'Shop Goals'!$K$83</f>
        <v>2009.8182092550771</v>
      </c>
      <c r="DD75" s="9">
        <f>DD52*'Shop Goals'!$K$163</f>
        <v>248.62968614609522</v>
      </c>
      <c r="DE75" s="9">
        <f>DE52*'Shop Goals'!$K$103</f>
        <v>404.7340278707797</v>
      </c>
      <c r="DF75" s="9">
        <f>DF52*'Shop Goals'!$K$183</f>
        <v>156.80048739018085</v>
      </c>
      <c r="DG75" s="9" t="s">
        <v>174</v>
      </c>
      <c r="DH75" s="9">
        <f>DH52*'Shop Goals'!$K$143</f>
        <v>244.32668402224684</v>
      </c>
      <c r="DI75" s="9">
        <f>DI52*'Shop Goals'!$K$123</f>
        <v>916.22547614612904</v>
      </c>
      <c r="DK75" s="11">
        <v>45870</v>
      </c>
      <c r="DL75" s="9">
        <f>DL52*'Shop Goals'!$K$4</f>
        <v>27606.308975792163</v>
      </c>
      <c r="DM75" s="9">
        <f>DM52*'Shop Goals'!$K$64</f>
        <v>1350.4715359981149</v>
      </c>
      <c r="DN75" s="9">
        <f>DN52*'Shop Goals'!$K$44</f>
        <v>6185.6303118465084</v>
      </c>
      <c r="DO75" s="9">
        <f>DO52*'Shop Goals'!$K$84</f>
        <v>8009.0191632491524</v>
      </c>
      <c r="DP75" s="9">
        <f>DP52*'Shop Goals'!$K$164</f>
        <v>1276.2268022245316</v>
      </c>
      <c r="DQ75" s="9">
        <f>DQ52*'Shop Goals'!$K$104</f>
        <v>1327.4886754129104</v>
      </c>
      <c r="DR75" s="9">
        <f>DR52*'Shop Goals'!$K$184</f>
        <v>913.85355358188633</v>
      </c>
      <c r="DS75" s="2" t="s">
        <v>174</v>
      </c>
      <c r="DT75" s="9">
        <f>DT52*'Shop Goals'!$K$144</f>
        <v>1002.6279585449403</v>
      </c>
      <c r="DU75" s="9">
        <f>DU52*'Shop Goals'!$K$124</f>
        <v>4855.8391101507132</v>
      </c>
      <c r="DW75" s="11">
        <v>45870</v>
      </c>
      <c r="DX75" s="9">
        <f>DX52*'Research Goals'!$K$3</f>
        <v>484770.69185475959</v>
      </c>
      <c r="DY75" s="9">
        <f>DY52*'Research Goals'!$K$60</f>
        <v>27187.553483807653</v>
      </c>
      <c r="DZ75" s="9">
        <f>DZ52*'Research Goals'!$K$41</f>
        <v>108118.29473339875</v>
      </c>
      <c r="EA75" s="9">
        <f>EA52*'Research Goals'!$K$79</f>
        <v>131889.27674190383</v>
      </c>
      <c r="EB75" s="9">
        <f>EB52*'Research Goals'!$K$155</f>
        <v>18761.463199214915</v>
      </c>
      <c r="EC75" s="9">
        <f>EC52*'Research Goals'!$K$98</f>
        <v>22338.080798168139</v>
      </c>
      <c r="ED75" s="9">
        <f>ED52*'Research Goals'!$K$174</f>
        <v>13630.219169120051</v>
      </c>
      <c r="EE75" s="2" t="s">
        <v>174</v>
      </c>
      <c r="EF75" s="9">
        <f>EF52*'Research Goals'!$K$136</f>
        <v>18476.686293752045</v>
      </c>
      <c r="EG75" s="9">
        <f>EG52*'Research Goals'!$K$117</f>
        <v>50635.437684003926</v>
      </c>
      <c r="EL75" s="5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5"/>
      <c r="FT75" s="5"/>
      <c r="FU75" s="5"/>
      <c r="GQ75" s="11">
        <v>45870</v>
      </c>
      <c r="GR75" s="55" t="s">
        <v>174</v>
      </c>
      <c r="GS75" s="55">
        <f>GS52*'Research Goals'!$K$99</f>
        <v>916.62414131501475</v>
      </c>
      <c r="GT75" s="55">
        <f>GT52*'Research Goals'!$K$118</f>
        <v>6420.5953549231272</v>
      </c>
      <c r="GU75" s="55">
        <f>GU52*'Research Goals'!$K$156</f>
        <v>3788.5639515865228</v>
      </c>
      <c r="GV75" s="55">
        <f>GV52*'Research Goals'!$K$175</f>
        <v>3775.6362446843314</v>
      </c>
      <c r="GW75" s="55">
        <f>GW52*'Research Goals'!$K$137</f>
        <v>1347.9620543016028</v>
      </c>
      <c r="GX75" s="55">
        <f>GX52*'Research Goals'!$K$80</f>
        <v>9677.3830552829568</v>
      </c>
      <c r="GY75" s="55">
        <f>GY52*'Research Goals'!$K$42</f>
        <v>11621.759895322211</v>
      </c>
      <c r="GZ75" s="55">
        <f>GZ52*'Research Goals'!$K$61</f>
        <v>2354.5829244357215</v>
      </c>
      <c r="HA75" s="55">
        <f>HA52*'Research Goals'!$K$4</f>
        <v>39981.171082760877</v>
      </c>
      <c r="HC75" s="11">
        <v>45870</v>
      </c>
      <c r="HD75" s="5">
        <f t="shared" si="121"/>
        <v>685495.9192838805</v>
      </c>
      <c r="HE75" s="5">
        <f t="shared" si="122"/>
        <v>32748.312800679214</v>
      </c>
      <c r="HF75" s="5">
        <f t="shared" si="123"/>
        <v>153042.23654415665</v>
      </c>
      <c r="HG75" s="5">
        <f t="shared" si="124"/>
        <v>172734.61006284491</v>
      </c>
      <c r="HH75" s="5">
        <f t="shared" si="125"/>
        <v>32016.311322129277</v>
      </c>
      <c r="HI75" s="5">
        <f t="shared" si="126"/>
        <v>18005.136318994897</v>
      </c>
      <c r="HJ75" s="5">
        <f t="shared" si="127"/>
        <v>8678.9324333541172</v>
      </c>
      <c r="HK75" s="5" t="s">
        <v>174</v>
      </c>
      <c r="HL75" s="5">
        <f t="shared" si="128"/>
        <v>13519.895924836463</v>
      </c>
      <c r="HM75" s="5">
        <f t="shared" si="129"/>
        <v>90852.225008813752</v>
      </c>
      <c r="HO75" s="11">
        <v>45870</v>
      </c>
      <c r="HP75" s="5">
        <f t="shared" si="147"/>
        <v>524751.86293752049</v>
      </c>
      <c r="HQ75" s="5">
        <f>DY75+GZ75</f>
        <v>29542.136408243376</v>
      </c>
      <c r="HR75" s="5">
        <f t="shared" si="140"/>
        <v>119740.05462872097</v>
      </c>
      <c r="HS75" s="5">
        <f t="shared" si="141"/>
        <v>141566.65979718679</v>
      </c>
      <c r="HT75" s="5">
        <f t="shared" si="142"/>
        <v>22550.027150801438</v>
      </c>
      <c r="HU75" s="5">
        <f t="shared" si="143"/>
        <v>23254.704939483156</v>
      </c>
      <c r="HV75" s="5">
        <f t="shared" si="144"/>
        <v>17405.855413804384</v>
      </c>
      <c r="HW75" s="5" t="s">
        <v>174</v>
      </c>
      <c r="HX75" s="5">
        <f t="shared" si="145"/>
        <v>19824.648348053648</v>
      </c>
      <c r="HY75" s="5">
        <f t="shared" si="146"/>
        <v>57056.033038927053</v>
      </c>
    </row>
    <row r="76" spans="2:233">
      <c r="B76" s="29"/>
      <c r="C76" s="5"/>
      <c r="D76" s="5"/>
      <c r="E76" s="5"/>
      <c r="F76" s="5"/>
      <c r="G76" s="5"/>
      <c r="H76" s="29"/>
      <c r="I76" s="29"/>
      <c r="J76" s="29"/>
      <c r="N76" s="29"/>
      <c r="O76" s="5"/>
      <c r="P76" s="5"/>
      <c r="Q76" s="5"/>
      <c r="R76" s="5"/>
      <c r="S76" s="5"/>
      <c r="T76" s="29"/>
      <c r="U76" s="29"/>
      <c r="V76" s="29"/>
      <c r="AM76" s="5"/>
      <c r="AN76" s="5"/>
      <c r="AP76" s="5"/>
      <c r="AQ76" s="5"/>
      <c r="AW76" s="5"/>
      <c r="AX76" s="5"/>
      <c r="BJ76" s="11">
        <v>45901</v>
      </c>
      <c r="BM76" s="8">
        <f>BM53*'Shop Goals'!$K$5</f>
        <v>604676.79929205996</v>
      </c>
      <c r="BN76" s="8"/>
      <c r="BO76" s="8">
        <f t="shared" si="138"/>
        <v>455591.57607269456</v>
      </c>
      <c r="BP76" s="8">
        <f>BP53*'Shop Goals'!$K$65</f>
        <v>30929.089024105837</v>
      </c>
      <c r="BQ76" s="8">
        <f>BQ53*'Shop Goals'!$K$45</f>
        <v>135438.05151774146</v>
      </c>
      <c r="BR76" s="8">
        <f>BR53*'Shop Goals'!$K$85</f>
        <v>150402.13974885992</v>
      </c>
      <c r="BS76" s="8">
        <f>BS53*'Shop Goals'!$K$165</f>
        <v>29166.358714502228</v>
      </c>
      <c r="BT76" s="8">
        <f>BT53*'Shop Goals'!$K$105</f>
        <v>13754.400974202154</v>
      </c>
      <c r="BU76" s="8">
        <f>BU53*'Shop Goals'!$K$185</f>
        <v>8708.028707156871</v>
      </c>
      <c r="BV76" s="8" t="s">
        <v>174</v>
      </c>
      <c r="BW76" s="8">
        <f>BW53*'Shop Goals'!$K$145</f>
        <v>12741.556194752678</v>
      </c>
      <c r="BX76" s="8">
        <f>BX53*'Shop Goals'!$K$125</f>
        <v>74451.951191373329</v>
      </c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Y76" s="11">
        <v>45901</v>
      </c>
      <c r="CZ76" s="9">
        <f>CZ53*'Shop Goals'!$K$3</f>
        <v>22876.518922425461</v>
      </c>
      <c r="DA76" s="9">
        <f>DA53*'Shop Goals'!$K$63</f>
        <v>273.04101853629481</v>
      </c>
      <c r="DB76" s="9">
        <f>DB53*'Shop Goals'!$K$43</f>
        <v>1161.5234217484333</v>
      </c>
      <c r="DC76" s="9">
        <f>DC53*'Shop Goals'!$K$83</f>
        <v>1342.4236851941162</v>
      </c>
      <c r="DD76" s="9">
        <f>DD53*'Shop Goals'!$K$163</f>
        <v>224.87099473778733</v>
      </c>
      <c r="DE76" s="9">
        <f>DE53*'Shop Goals'!$K$103</f>
        <v>399.93860100027285</v>
      </c>
      <c r="DF76" s="9">
        <f>DF53*'Shop Goals'!$K$183</f>
        <v>136.70906003656435</v>
      </c>
      <c r="DG76" s="9" t="s">
        <v>174</v>
      </c>
      <c r="DH76" s="9">
        <f>DH53*'Shop Goals'!$K$143</f>
        <v>380.5990317304296</v>
      </c>
      <c r="DI76" s="9">
        <f>DI53*'Shop Goals'!$K$123</f>
        <v>515.84173471693464</v>
      </c>
      <c r="DK76" s="11">
        <v>45901</v>
      </c>
      <c r="DL76" s="9">
        <f>DL53*'Shop Goals'!$K$4</f>
        <v>20857.403673889803</v>
      </c>
      <c r="DM76" s="9">
        <f>DM53*'Shop Goals'!$K$64</f>
        <v>1111.599829770036</v>
      </c>
      <c r="DN76" s="9">
        <f>DN53*'Shop Goals'!$K$44</f>
        <v>4627.856488631005</v>
      </c>
      <c r="DO76" s="9">
        <f>DO53*'Shop Goals'!$K$84</f>
        <v>5538.7297837144324</v>
      </c>
      <c r="DP76" s="9">
        <f>DP53*'Shop Goals'!$K$164</f>
        <v>989.80396537701415</v>
      </c>
      <c r="DQ76" s="9">
        <f>DQ53*'Shop Goals'!$K$104</f>
        <v>1255.6002164765357</v>
      </c>
      <c r="DR76" s="9">
        <f>DR53*'Shop Goals'!$K$184</f>
        <v>737.84169811542131</v>
      </c>
      <c r="DS76" s="2" t="s">
        <v>174</v>
      </c>
      <c r="DT76" s="9">
        <f>DT53*'Shop Goals'!$K$144</f>
        <v>1404.2338462276714</v>
      </c>
      <c r="DU76" s="9">
        <f>DU53*'Shop Goals'!$K$124</f>
        <v>3222.5422147615686</v>
      </c>
      <c r="DW76" s="11">
        <v>45901</v>
      </c>
      <c r="DX76" s="9">
        <f>DX53*'Research Goals'!$K$3</f>
        <v>432676.05430160288</v>
      </c>
      <c r="DY76" s="9">
        <f>DY53*'Research Goals'!$K$60</f>
        <v>23655.267909715407</v>
      </c>
      <c r="DZ76" s="9">
        <f>DZ53*'Research Goals'!$K$41</f>
        <v>103274.0817795224</v>
      </c>
      <c r="EA76" s="9">
        <f>EA53*'Research Goals'!$K$79</f>
        <v>114159.47235852142</v>
      </c>
      <c r="EB76" s="9">
        <f>EB53*'Research Goals'!$K$155</f>
        <v>17607.327772325811</v>
      </c>
      <c r="EC76" s="9">
        <f>EC53*'Research Goals'!$K$98</f>
        <v>22761.113509977102</v>
      </c>
      <c r="ED76" s="9">
        <f>ED53*'Research Goals'!$K$174</f>
        <v>12708.263330062153</v>
      </c>
      <c r="EE76" s="2" t="s">
        <v>174</v>
      </c>
      <c r="EF76" s="9">
        <f>EF53*'Research Goals'!$K$136</f>
        <v>33634.481844946022</v>
      </c>
      <c r="EG76" s="9">
        <f>EG53*'Research Goals'!$K$117</f>
        <v>37208.845273143605</v>
      </c>
      <c r="EK76" s="5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Q76" s="11">
        <v>45901</v>
      </c>
      <c r="GR76" s="55" t="s">
        <v>174</v>
      </c>
      <c r="GS76" s="55">
        <f>GS53*'Research Goals'!$K$99</f>
        <v>1032.7248936866208</v>
      </c>
      <c r="GT76" s="55">
        <f>GT53*'Research Goals'!$K$118</f>
        <v>4453.5950278050377</v>
      </c>
      <c r="GU76" s="55">
        <f>GU53*'Research Goals'!$K$156</f>
        <v>3489.4864245992803</v>
      </c>
      <c r="GV76" s="55">
        <f>GV53*'Research Goals'!$K$175</f>
        <v>3112.5940464507689</v>
      </c>
      <c r="GW76" s="55">
        <f>GW53*'Research Goals'!$K$137</f>
        <v>1519.5027805037619</v>
      </c>
      <c r="GX76" s="55">
        <f>GX53*'Research Goals'!$K$80</f>
        <v>7929.9051357540075</v>
      </c>
      <c r="GY76" s="55">
        <f>GY53*'Research Goals'!$K$42</f>
        <v>10507.491004252535</v>
      </c>
      <c r="GZ76" s="55">
        <f>GZ53*'Research Goals'!$K$61</f>
        <v>1979.4308145240432</v>
      </c>
      <c r="HA76" s="55">
        <f>HA53*'Research Goals'!$K$4</f>
        <v>34086.13673536147</v>
      </c>
      <c r="HC76" s="11">
        <v>45901</v>
      </c>
      <c r="HD76" s="5">
        <f t="shared" si="121"/>
        <v>648410.72188837524</v>
      </c>
      <c r="HE76" s="5">
        <f t="shared" si="122"/>
        <v>32313.729872412168</v>
      </c>
      <c r="HF76" s="5">
        <f t="shared" si="123"/>
        <v>141227.43142812091</v>
      </c>
      <c r="HG76" s="5">
        <f t="shared" si="124"/>
        <v>157283.29321776846</v>
      </c>
      <c r="HH76" s="5">
        <f t="shared" si="125"/>
        <v>30381.033674617029</v>
      </c>
      <c r="HI76" s="5">
        <f t="shared" si="126"/>
        <v>15409.939791678962</v>
      </c>
      <c r="HJ76" s="5">
        <f t="shared" si="127"/>
        <v>9582.579465308856</v>
      </c>
      <c r="HK76" s="5" t="s">
        <v>174</v>
      </c>
      <c r="HL76" s="5">
        <f t="shared" si="128"/>
        <v>14526.389072710779</v>
      </c>
      <c r="HM76" s="5">
        <f t="shared" si="129"/>
        <v>78190.335140851836</v>
      </c>
      <c r="HO76" s="11">
        <v>45901</v>
      </c>
      <c r="HP76" s="5">
        <f t="shared" si="147"/>
        <v>466762.19103696436</v>
      </c>
      <c r="HQ76" s="5">
        <f t="shared" si="139"/>
        <v>25634.69872423945</v>
      </c>
      <c r="HR76" s="5">
        <f t="shared" si="140"/>
        <v>113781.57278377493</v>
      </c>
      <c r="HS76" s="5">
        <f t="shared" si="141"/>
        <v>122089.37749427542</v>
      </c>
      <c r="HT76" s="5">
        <f t="shared" si="142"/>
        <v>21096.81419692509</v>
      </c>
      <c r="HU76" s="5">
        <f t="shared" si="143"/>
        <v>23793.838403663722</v>
      </c>
      <c r="HV76" s="5">
        <f>ED76+GV76</f>
        <v>15820.857376512922</v>
      </c>
      <c r="HW76" s="5" t="s">
        <v>174</v>
      </c>
      <c r="HX76" s="5">
        <f t="shared" si="145"/>
        <v>35153.984625449782</v>
      </c>
      <c r="HY76" s="5">
        <f t="shared" si="146"/>
        <v>41662.440300948641</v>
      </c>
    </row>
    <row r="77" spans="2:233">
      <c r="B77" s="29"/>
      <c r="C77" s="5"/>
      <c r="D77" s="5"/>
      <c r="E77" s="5"/>
      <c r="F77" s="5"/>
      <c r="G77" s="5"/>
      <c r="H77" s="29"/>
      <c r="I77" s="29"/>
      <c r="J77" s="29"/>
      <c r="N77" s="29"/>
      <c r="O77" s="5"/>
      <c r="P77" s="5"/>
      <c r="Q77" s="5"/>
      <c r="R77" s="5"/>
      <c r="S77" s="5"/>
      <c r="T77" s="29"/>
      <c r="U77" s="29"/>
      <c r="V77" s="29"/>
      <c r="AA77" s="30"/>
      <c r="AC77" s="30"/>
      <c r="AD77" s="30"/>
      <c r="AE77" s="30"/>
      <c r="AF77" s="30"/>
      <c r="AG77" s="30"/>
      <c r="AM77" s="5"/>
      <c r="AN77" s="5"/>
      <c r="AP77" s="5"/>
      <c r="AQ77" s="5"/>
      <c r="AW77" s="5"/>
      <c r="AX77" s="5"/>
      <c r="BJ77" s="11">
        <v>45931</v>
      </c>
      <c r="BM77" s="8">
        <f>BM54*'Shop Goals'!$K$5</f>
        <v>608199.00021533261</v>
      </c>
      <c r="BN77" s="8"/>
      <c r="BO77" s="8">
        <f t="shared" si="138"/>
        <v>450129.03221463622</v>
      </c>
      <c r="BP77" s="8">
        <f>BP54*'Shop Goals'!$K$65</f>
        <v>33964.816894278403</v>
      </c>
      <c r="BQ77" s="8">
        <f>BQ54*'Shop Goals'!$K$45</f>
        <v>144938.05793096489</v>
      </c>
      <c r="BR77" s="8">
        <f>BR54*'Shop Goals'!$K$85</f>
        <v>148933.30319908308</v>
      </c>
      <c r="BS77" s="8">
        <f>BS54*'Shop Goals'!$K$165</f>
        <v>30156.323029336378</v>
      </c>
      <c r="BT77" s="8">
        <f>BT54*'Shop Goals'!$K$105</f>
        <v>5879.7697379885803</v>
      </c>
      <c r="BU77" s="8">
        <f>BU54*'Shop Goals'!$K$185</f>
        <v>9826.7875735602156</v>
      </c>
      <c r="BV77" s="8" t="s">
        <v>174</v>
      </c>
      <c r="BW77" s="8">
        <f>BW54*'Shop Goals'!$K$145</f>
        <v>7780.2188297123248</v>
      </c>
      <c r="BX77" s="8">
        <f>BX54*'Shop Goals'!$K$125</f>
        <v>68649.755019712364</v>
      </c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30"/>
      <c r="CY77" s="11">
        <v>45931</v>
      </c>
      <c r="CZ77" s="9">
        <f>CZ54*'Shop Goals'!$K$3</f>
        <v>19626.563263597011</v>
      </c>
      <c r="DA77" s="9">
        <f>DA54*'Shop Goals'!$K$63</f>
        <v>261.37259894072668</v>
      </c>
      <c r="DB77" s="9">
        <f>DB54*'Shop Goals'!$K$43</f>
        <v>1188.5739530132362</v>
      </c>
      <c r="DC77" s="9">
        <f>DC54*'Shop Goals'!$K$83</f>
        <v>1396.1842545774823</v>
      </c>
      <c r="DD77" s="9">
        <f>DD54*'Shop Goals'!$K$163</f>
        <v>212.82433430540587</v>
      </c>
      <c r="DE77" s="9">
        <f>DE54*'Shop Goals'!$K$103</f>
        <v>132.99317187539049</v>
      </c>
      <c r="DF77" s="9">
        <f>DF54*'Shop Goals'!$K$183</f>
        <v>145.44446323378892</v>
      </c>
      <c r="DG77" s="9" t="s">
        <v>174</v>
      </c>
      <c r="DH77" s="9">
        <f>DH54*'Shop Goals'!$K$143</f>
        <v>166.2109695531623</v>
      </c>
      <c r="DI77" s="9">
        <f>DI54*'Shop Goals'!$K$123</f>
        <v>527.16114582357591</v>
      </c>
      <c r="DK77" s="11">
        <v>45931</v>
      </c>
      <c r="DL77" s="9">
        <f>DL54*'Shop Goals'!$K$4</f>
        <v>20974.561998721023</v>
      </c>
      <c r="DM77" s="9">
        <f>DM54*'Shop Goals'!$K$64</f>
        <v>1208.5994765060725</v>
      </c>
      <c r="DN77" s="9">
        <f>DN54*'Shop Goals'!$K$44</f>
        <v>5438.5157115332186</v>
      </c>
      <c r="DO77" s="9">
        <f>DO54*'Shop Goals'!$K$84</f>
        <v>5995.355148006216</v>
      </c>
      <c r="DP77" s="9">
        <f>DP54*'Shop Goals'!$K$164</f>
        <v>1004.907241142985</v>
      </c>
      <c r="DQ77" s="9">
        <f>DQ54*'Shop Goals'!$K$104</f>
        <v>551.66018130027976</v>
      </c>
      <c r="DR77" s="9">
        <f>DR54*'Shop Goals'!$K$184</f>
        <v>698.41504249093316</v>
      </c>
      <c r="DS77" s="2" t="s">
        <v>174</v>
      </c>
      <c r="DT77" s="9">
        <f>DT54*'Shop Goals'!$K$144</f>
        <v>688.94269682590084</v>
      </c>
      <c r="DU77" s="9">
        <f>DU54*'Shop Goals'!$K$124</f>
        <v>3372.4218373036624</v>
      </c>
      <c r="DW77" s="11">
        <v>45931</v>
      </c>
      <c r="DX77" s="9">
        <f>DX54*'Research Goals'!$K$3</f>
        <v>415278.36440955184</v>
      </c>
      <c r="DY77" s="9">
        <f>DY54*'Research Goals'!$K$60</f>
        <v>24865.006215243702</v>
      </c>
      <c r="DZ77" s="9">
        <f>DZ54*'Research Goals'!$K$41</f>
        <v>115623.93195943735</v>
      </c>
      <c r="EA77" s="9">
        <f>EA54*'Research Goals'!$K$79</f>
        <v>104667.91069676152</v>
      </c>
      <c r="EB77" s="9">
        <f>EB54*'Research Goals'!$K$155</f>
        <v>15739.37160614982</v>
      </c>
      <c r="EC77" s="9">
        <f>EC54*'Research Goals'!$K$98</f>
        <v>11246.057899901865</v>
      </c>
      <c r="ED77" s="9">
        <f>ED54*'Research Goals'!$K$174</f>
        <v>11415.872096826954</v>
      </c>
      <c r="EE77" s="2" t="s">
        <v>174</v>
      </c>
      <c r="EF77" s="9">
        <f>EF54*'Research Goals'!$K$136</f>
        <v>13373.243702976775</v>
      </c>
      <c r="EG77" s="9">
        <f>EG54*'Research Goals'!$K$117</f>
        <v>39296.958783120703</v>
      </c>
      <c r="FT77" s="5"/>
      <c r="FU77" s="5"/>
      <c r="FV77" s="5"/>
      <c r="FW77" s="5"/>
      <c r="FX77" s="5"/>
      <c r="FY77" s="5"/>
      <c r="FZ77" s="5"/>
      <c r="GA77" s="5"/>
      <c r="GB77" s="5"/>
      <c r="GC77" s="5"/>
      <c r="GQ77" s="11">
        <v>45931</v>
      </c>
      <c r="GR77" s="55" t="s">
        <v>174</v>
      </c>
      <c r="GS77" s="55">
        <f>GS54*'Research Goals'!$K$99</f>
        <v>651.60614982008508</v>
      </c>
      <c r="GT77" s="55">
        <f>GT54*'Research Goals'!$K$118</f>
        <v>4642.538436375532</v>
      </c>
      <c r="GU77" s="55">
        <f>GU54*'Research Goals'!$K$156</f>
        <v>3727.1573438011123</v>
      </c>
      <c r="GV77" s="55">
        <f>GV54*'Research Goals'!$K$175</f>
        <v>3375.1259404645079</v>
      </c>
      <c r="GW77" s="55">
        <f>GW54*'Research Goals'!$K$137</f>
        <v>1078.46908734053</v>
      </c>
      <c r="GX77" s="55">
        <f>GX54*'Research Goals'!$K$80</f>
        <v>8156.388616290481</v>
      </c>
      <c r="GY77" s="55">
        <f>GY54*'Research Goals'!$K$42</f>
        <v>12493.137062479556</v>
      </c>
      <c r="GZ77" s="55">
        <f>GZ54*'Research Goals'!$K$61</f>
        <v>2194.4782466470397</v>
      </c>
      <c r="HA77" s="55">
        <f>HA54*'Research Goals'!$K$4</f>
        <v>36369.368662087014</v>
      </c>
      <c r="HC77" s="11">
        <v>45931</v>
      </c>
      <c r="HD77" s="5">
        <f t="shared" si="121"/>
        <v>648800.12547765067</v>
      </c>
      <c r="HE77" s="5">
        <f t="shared" si="122"/>
        <v>35434.788969725203</v>
      </c>
      <c r="HF77" s="5">
        <f t="shared" si="123"/>
        <v>151565.14759551134</v>
      </c>
      <c r="HG77" s="5">
        <f t="shared" si="124"/>
        <v>156324.84260166678</v>
      </c>
      <c r="HH77" s="5">
        <f t="shared" si="125"/>
        <v>31374.054604784767</v>
      </c>
      <c r="HI77" s="5">
        <f t="shared" si="126"/>
        <v>6564.4230911642508</v>
      </c>
      <c r="HJ77" s="5">
        <f t="shared" si="127"/>
        <v>10670.647079284938</v>
      </c>
      <c r="HK77" s="5" t="s">
        <v>174</v>
      </c>
      <c r="HL77" s="5">
        <f t="shared" si="128"/>
        <v>8635.3724960913878</v>
      </c>
      <c r="HM77" s="5">
        <f t="shared" si="129"/>
        <v>72549.338002839606</v>
      </c>
      <c r="HO77" s="11">
        <v>45931</v>
      </c>
      <c r="HP77" s="5">
        <f t="shared" si="147"/>
        <v>451647.73307163885</v>
      </c>
      <c r="HQ77" s="5">
        <f t="shared" si="139"/>
        <v>27059.484461890741</v>
      </c>
      <c r="HR77" s="5">
        <f t="shared" si="140"/>
        <v>128117.0690219169</v>
      </c>
      <c r="HS77" s="5">
        <f t="shared" si="141"/>
        <v>112824.299313052</v>
      </c>
      <c r="HT77" s="5">
        <f t="shared" si="142"/>
        <v>19466.528949950931</v>
      </c>
      <c r="HU77" s="5">
        <f t="shared" si="143"/>
        <v>11897.664049721951</v>
      </c>
      <c r="HV77" s="5">
        <f t="shared" si="144"/>
        <v>14790.998037291462</v>
      </c>
      <c r="HW77" s="5" t="s">
        <v>174</v>
      </c>
      <c r="HX77" s="5">
        <f t="shared" si="145"/>
        <v>14451.712790317306</v>
      </c>
      <c r="HY77" s="5">
        <f t="shared" si="146"/>
        <v>43939.497219496232</v>
      </c>
    </row>
    <row r="78" spans="2:233">
      <c r="B78" s="29"/>
      <c r="C78" s="5"/>
      <c r="D78" s="5"/>
      <c r="E78" s="5"/>
      <c r="F78" s="5"/>
      <c r="G78" s="5"/>
      <c r="H78" s="29"/>
      <c r="I78" s="29"/>
      <c r="J78" s="29"/>
      <c r="N78" s="29"/>
      <c r="O78" s="5"/>
      <c r="P78" s="5"/>
      <c r="Q78" s="5"/>
      <c r="R78" s="5"/>
      <c r="S78" s="5"/>
      <c r="T78" s="29"/>
      <c r="U78" s="29"/>
      <c r="V78" s="29"/>
      <c r="AB78" s="5"/>
      <c r="AC78" s="5"/>
      <c r="AE78" s="5"/>
      <c r="AM78" s="5"/>
      <c r="AN78" s="5"/>
      <c r="AP78" s="5"/>
      <c r="AQ78" s="5"/>
      <c r="AW78" s="5"/>
      <c r="AX78" s="5"/>
      <c r="BJ78" s="11">
        <v>45962</v>
      </c>
      <c r="BM78" s="8">
        <f>BM55*'Shop Goals'!$K$5</f>
        <v>618506.11218723201</v>
      </c>
      <c r="BN78" s="8"/>
      <c r="BO78" s="8">
        <f t="shared" si="138"/>
        <v>452463.22222330957</v>
      </c>
      <c r="BP78" s="8">
        <f>BP55*'Shop Goals'!$K$65</f>
        <v>34211.526984658143</v>
      </c>
      <c r="BQ78" s="8">
        <f>BQ55*'Shop Goals'!$K$45</f>
        <v>143853.89056786266</v>
      </c>
      <c r="BR78" s="8">
        <f>BR55*'Shop Goals'!$K$85</f>
        <v>151557.38054626551</v>
      </c>
      <c r="BS78" s="8">
        <f>BS55*'Shop Goals'!$K$165</f>
        <v>29686.6637001165</v>
      </c>
      <c r="BT78" s="8">
        <f>BT55*'Shop Goals'!$K$105</f>
        <v>4652.000108254766</v>
      </c>
      <c r="BU78" s="8">
        <f>BU55*'Shop Goals'!$K$185</f>
        <v>13853.22122074039</v>
      </c>
      <c r="BV78" s="8" t="s">
        <v>174</v>
      </c>
      <c r="BW78" s="8">
        <f>BW55*'Shop Goals'!$K$145</f>
        <v>6088.2086045097321</v>
      </c>
      <c r="BX78" s="8">
        <f>BX55*'Shop Goals'!$K$125</f>
        <v>68560.330490901819</v>
      </c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Y78" s="11">
        <v>45962</v>
      </c>
      <c r="CZ78" s="9">
        <f>CZ55*'Shop Goals'!$K$3</f>
        <v>19501.550991804885</v>
      </c>
      <c r="DA78" s="9">
        <f>DA55*'Shop Goals'!$K$63</f>
        <v>272.37425170226231</v>
      </c>
      <c r="DB78" s="9">
        <f>DB55*'Shop Goals'!$K$43</f>
        <v>1405.9678567145193</v>
      </c>
      <c r="DC78" s="9">
        <f>DC55*'Shop Goals'!$K$83</f>
        <v>1455.6708017649942</v>
      </c>
      <c r="DD78" s="9">
        <f>DD55*'Shop Goals'!$K$163</f>
        <v>198.10063822138406</v>
      </c>
      <c r="DE78" s="9">
        <f>DE55*'Shop Goals'!$K$103</f>
        <v>134.27195237419232</v>
      </c>
      <c r="DF78" s="9">
        <f>DF55*'Shop Goals'!$K$183</f>
        <v>158.98433818948698</v>
      </c>
      <c r="DG78" s="9" t="s">
        <v>174</v>
      </c>
      <c r="DH78" s="9">
        <f>DH55*'Shop Goals'!$K$143</f>
        <v>114.93677811750767</v>
      </c>
      <c r="DI78" s="9">
        <f>DI55*'Shop Goals'!$K$123</f>
        <v>544.94879184829779</v>
      </c>
      <c r="DK78" s="11">
        <v>45962</v>
      </c>
      <c r="DL78" s="9">
        <f>DL55*'Shop Goals'!$K$4</f>
        <v>20653.841084495562</v>
      </c>
      <c r="DM78" s="9">
        <f>DM55*'Shop Goals'!$K$64</f>
        <v>1137.1260525953087</v>
      </c>
      <c r="DN78" s="9">
        <f>DN55*'Shop Goals'!$K$44</f>
        <v>5335.0895266499911</v>
      </c>
      <c r="DO78" s="9">
        <f>DO55*'Shop Goals'!$K$84</f>
        <v>6333.2733008060877</v>
      </c>
      <c r="DP78" s="9">
        <f>DP55*'Shop Goals'!$K$164</f>
        <v>894.59938778080539</v>
      </c>
      <c r="DQ78" s="9">
        <f>DQ55*'Shop Goals'!$K$104</f>
        <v>492.91262345980152</v>
      </c>
      <c r="DR78" s="9">
        <f>DR55*'Shop Goals'!$K$184</f>
        <v>718.83241772504311</v>
      </c>
      <c r="DS78" s="2" t="s">
        <v>174</v>
      </c>
      <c r="DT78" s="9">
        <f>DT55*'Shop Goals'!$K$144</f>
        <v>477.32301982180974</v>
      </c>
      <c r="DU78" s="9">
        <f>DU55*'Shop Goals'!$K$124</f>
        <v>3264.2478488602383</v>
      </c>
      <c r="DW78" s="11">
        <v>45962</v>
      </c>
      <c r="DX78" s="9">
        <f>DX55*'Research Goals'!$K$3</f>
        <v>413230.82597317634</v>
      </c>
      <c r="DY78" s="9">
        <f>DY55*'Research Goals'!$K$60</f>
        <v>23467.420346745173</v>
      </c>
      <c r="DZ78" s="9">
        <f>DZ55*'Research Goals'!$K$41</f>
        <v>103723.4131501472</v>
      </c>
      <c r="EA78" s="9">
        <f>EA55*'Research Goals'!$K$79</f>
        <v>103423.6084396467</v>
      </c>
      <c r="EB78" s="9">
        <f>EB55*'Research Goals'!$K$155</f>
        <v>15189.353941772979</v>
      </c>
      <c r="EC78" s="9">
        <f>EC55*'Research Goals'!$K$98</f>
        <v>8755.1992149165853</v>
      </c>
      <c r="ED78" s="9">
        <f>ED55*'Research Goals'!$K$174</f>
        <v>13223.71704285247</v>
      </c>
      <c r="EE78" s="2" t="s">
        <v>174</v>
      </c>
      <c r="EF78" s="9">
        <f>EF55*'Research Goals'!$K$136</f>
        <v>12259.683349689238</v>
      </c>
      <c r="EG78" s="9">
        <f>EG55*'Research Goals'!$K$117</f>
        <v>43844.372587504091</v>
      </c>
      <c r="FT78" s="5"/>
      <c r="FU78" s="5"/>
      <c r="FV78" s="14"/>
      <c r="GA78" s="15"/>
      <c r="GC78" s="15"/>
      <c r="GQ78" s="11">
        <v>45962</v>
      </c>
      <c r="GR78" s="55" t="s">
        <v>174</v>
      </c>
      <c r="GS78" s="55">
        <f>GS55*'Research Goals'!$K$99</f>
        <v>650.11449133137069</v>
      </c>
      <c r="GT78" s="55">
        <f>GT55*'Research Goals'!$K$118</f>
        <v>4764.1086032057574</v>
      </c>
      <c r="GU78" s="55">
        <f>GU55*'Research Goals'!$K$156</f>
        <v>3769.6696107294733</v>
      </c>
      <c r="GV78" s="55">
        <f>GV55*'Research Goals'!$K$175</f>
        <v>4918.7438665358195</v>
      </c>
      <c r="GW78" s="55">
        <f>GW55*'Research Goals'!$K$137</f>
        <v>996.17926071311751</v>
      </c>
      <c r="GX78" s="55">
        <f>GX55*'Research Goals'!$K$80</f>
        <v>8510.657507360158</v>
      </c>
      <c r="GY78" s="55">
        <f>GY55*'Research Goals'!$K$42</f>
        <v>13076.872751063134</v>
      </c>
      <c r="GZ78" s="55">
        <f>GZ55*'Research Goals'!$K$61</f>
        <v>2367.013411841675</v>
      </c>
      <c r="HA78" s="55">
        <f>HA55*'Research Goals'!$K$4</f>
        <v>39108.799476611057</v>
      </c>
      <c r="HC78" s="11">
        <v>45962</v>
      </c>
      <c r="HD78" s="5">
        <f t="shared" si="121"/>
        <v>658661.50426353246</v>
      </c>
      <c r="HE78" s="5">
        <f t="shared" si="122"/>
        <v>35621.027288955716</v>
      </c>
      <c r="HF78" s="5">
        <f t="shared" si="123"/>
        <v>150594.94795122716</v>
      </c>
      <c r="HG78" s="5">
        <f t="shared" si="124"/>
        <v>159346.3246488366</v>
      </c>
      <c r="HH78" s="5">
        <f t="shared" si="125"/>
        <v>30779.363726118689</v>
      </c>
      <c r="HI78" s="5">
        <f t="shared" si="126"/>
        <v>5279.1846840887602</v>
      </c>
      <c r="HJ78" s="5">
        <f t="shared" si="127"/>
        <v>14731.037976654919</v>
      </c>
      <c r="HK78" s="5" t="s">
        <v>174</v>
      </c>
      <c r="HL78" s="5">
        <f t="shared" si="128"/>
        <v>6680.4684024490498</v>
      </c>
      <c r="HM78" s="5">
        <f t="shared" si="129"/>
        <v>72369.527131610361</v>
      </c>
      <c r="HO78" s="11">
        <v>45962</v>
      </c>
      <c r="HP78" s="5">
        <f t="shared" si="147"/>
        <v>452339.62544978742</v>
      </c>
      <c r="HQ78" s="5">
        <f t="shared" si="139"/>
        <v>25834.433758586849</v>
      </c>
      <c r="HR78" s="5">
        <f t="shared" si="140"/>
        <v>116800.28590121033</v>
      </c>
      <c r="HS78" s="5">
        <f t="shared" si="141"/>
        <v>111934.26594700686</v>
      </c>
      <c r="HT78" s="5">
        <f t="shared" si="142"/>
        <v>18959.023552502451</v>
      </c>
      <c r="HU78" s="5">
        <f t="shared" si="143"/>
        <v>9405.3137062479564</v>
      </c>
      <c r="HV78" s="5">
        <f t="shared" si="144"/>
        <v>18142.46090938829</v>
      </c>
      <c r="HW78" s="5" t="s">
        <v>174</v>
      </c>
      <c r="HX78" s="5">
        <f t="shared" si="145"/>
        <v>13255.862610402355</v>
      </c>
      <c r="HY78" s="5">
        <f t="shared" si="146"/>
        <v>48608.481190709848</v>
      </c>
    </row>
    <row r="79" spans="2:233">
      <c r="B79" s="29"/>
      <c r="C79" s="5"/>
      <c r="D79" s="5"/>
      <c r="E79" s="5"/>
      <c r="F79" s="5"/>
      <c r="G79" s="5"/>
      <c r="H79" s="29"/>
      <c r="I79" s="29"/>
      <c r="J79" s="29"/>
      <c r="N79" s="29"/>
      <c r="O79" s="5"/>
      <c r="P79" s="5"/>
      <c r="Q79" s="5"/>
      <c r="R79" s="5"/>
      <c r="S79" s="5"/>
      <c r="T79" s="29"/>
      <c r="U79" s="29"/>
      <c r="V79" s="29"/>
      <c r="AB79" s="5"/>
      <c r="AC79" s="5"/>
      <c r="AE79" s="5"/>
      <c r="AM79" s="5"/>
      <c r="AN79" s="5"/>
      <c r="AP79" s="5"/>
      <c r="AQ79" s="5"/>
      <c r="AW79" s="5"/>
      <c r="AX79" s="5"/>
      <c r="BJ79" s="11">
        <v>45992</v>
      </c>
      <c r="BM79" s="8">
        <f>BM56*'Shop Goals'!$K$5</f>
        <v>652988.8304182064</v>
      </c>
      <c r="BN79" s="8"/>
      <c r="BO79" s="8">
        <f t="shared" si="138"/>
        <v>470261.85361438169</v>
      </c>
      <c r="BP79" s="8">
        <f>BP56*'Shop Goals'!$K$65</f>
        <v>38938.014812933121</v>
      </c>
      <c r="BQ79" s="8">
        <f>BQ56*'Shop Goals'!$K$45</f>
        <v>150934.93445282223</v>
      </c>
      <c r="BR79" s="8">
        <f>BR56*'Shop Goals'!$K$85</f>
        <v>153954.66476452813</v>
      </c>
      <c r="BS79" s="8">
        <f>BS56*'Shop Goals'!$K$165</f>
        <v>30525.482384148632</v>
      </c>
      <c r="BT79" s="8">
        <f>BT56*'Shop Goals'!$K$105</f>
        <v>4496.4685338168847</v>
      </c>
      <c r="BU79" s="8">
        <f>BU56*'Shop Goals'!$K$185</f>
        <v>12174.766111941562</v>
      </c>
      <c r="BV79" s="8" t="s">
        <v>174</v>
      </c>
      <c r="BW79" s="8">
        <f>BW56*'Shop Goals'!$K$145</f>
        <v>6937.9989748855305</v>
      </c>
      <c r="BX79" s="8">
        <f>BX56*'Shop Goals'!$K$125</f>
        <v>72299.523579305547</v>
      </c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Y79" s="11">
        <v>45992</v>
      </c>
      <c r="CZ79" s="9">
        <f>CZ56*'Shop Goals'!$K$3</f>
        <v>23475.05151440695</v>
      </c>
      <c r="DA79" s="9">
        <f>DA56*'Shop Goals'!$K$63</f>
        <v>387.05814715584648</v>
      </c>
      <c r="DB79" s="9">
        <f>DB56*'Shop Goals'!$K$43</f>
        <v>1798.8603291094025</v>
      </c>
      <c r="DC79" s="9">
        <f>DC56*'Shop Goals'!$K$83</f>
        <v>2066.1236576625079</v>
      </c>
      <c r="DD79" s="9">
        <f>DD56*'Shop Goals'!$K$163</f>
        <v>206.13174517630506</v>
      </c>
      <c r="DE79" s="9">
        <f>DE56*'Shop Goals'!$K$103</f>
        <v>156.3309159785239</v>
      </c>
      <c r="DF79" s="9">
        <f>DF56*'Shop Goals'!$K$183</f>
        <v>185.19054778116066</v>
      </c>
      <c r="DG79" s="9" t="s">
        <v>174</v>
      </c>
      <c r="DH79" s="9">
        <f>DH56*'Shop Goals'!$K$143</f>
        <v>108.74258049440846</v>
      </c>
      <c r="DI79" s="9">
        <f>DI56*'Shop Goals'!$K$123</f>
        <v>713.1228997183955</v>
      </c>
      <c r="DK79" s="11">
        <v>45992</v>
      </c>
      <c r="DL79" s="9">
        <f>DL56*'Shop Goals'!$K$4</f>
        <v>27122.152198427153</v>
      </c>
      <c r="DM79" s="9">
        <f>DM56*'Shop Goals'!$K$64</f>
        <v>1529.4237928573955</v>
      </c>
      <c r="DN79" s="9">
        <f>DN56*'Shop Goals'!$K$44</f>
        <v>6734.66648609809</v>
      </c>
      <c r="DO79" s="9">
        <f>DO56*'Shop Goals'!$K$84</f>
        <v>9182.5027636778414</v>
      </c>
      <c r="DP79" s="9">
        <f>DP56*'Shop Goals'!$K$164</f>
        <v>1041.5866251460568</v>
      </c>
      <c r="DQ79" s="9">
        <f>DQ56*'Shop Goals'!$K$104</f>
        <v>636.43187660518026</v>
      </c>
      <c r="DR79" s="9">
        <f>DR56*'Shop Goals'!$K$184</f>
        <v>870.90666084806878</v>
      </c>
      <c r="DS79" s="2" t="s">
        <v>174</v>
      </c>
      <c r="DT79" s="9">
        <f>DT56*'Shop Goals'!$K$144</f>
        <v>485.64358379313705</v>
      </c>
      <c r="DU79" s="9">
        <f>DU56*'Shop Goals'!$K$124</f>
        <v>3963.5992006523024</v>
      </c>
      <c r="DW79" s="11">
        <v>45992</v>
      </c>
      <c r="DX79" s="9">
        <f>DX56*'Research Goals'!$K$3</f>
        <v>480844.6777886817</v>
      </c>
      <c r="DY79" s="9">
        <f>DY56*'Research Goals'!$K$60</f>
        <v>27509.148511612693</v>
      </c>
      <c r="DZ79" s="9">
        <f>DZ56*'Research Goals'!$K$41</f>
        <v>120519.99084069348</v>
      </c>
      <c r="EA79" s="9">
        <f>EA56*'Research Goals'!$K$79</f>
        <v>135383.99280340201</v>
      </c>
      <c r="EB79" s="9">
        <f>EB56*'Research Goals'!$K$155</f>
        <v>17583.283284265621</v>
      </c>
      <c r="EC79" s="9">
        <f>EC56*'Research Goals'!$K$98</f>
        <v>10572.812234216552</v>
      </c>
      <c r="ED79" s="9">
        <f>ED56*'Research Goals'!$K$174</f>
        <v>13007.316650310762</v>
      </c>
      <c r="EE79" s="2" t="s">
        <v>174</v>
      </c>
      <c r="EF79" s="9">
        <f>EF56*'Research Goals'!$K$136</f>
        <v>11639.786391887472</v>
      </c>
      <c r="EG79" s="9">
        <f>EG56*'Research Goals'!$K$117</f>
        <v>47636.63918874714</v>
      </c>
      <c r="FT79" s="5"/>
      <c r="FU79" s="5"/>
      <c r="FV79" s="14"/>
      <c r="GA79" s="15"/>
      <c r="GC79" s="15"/>
      <c r="GQ79" s="11">
        <v>45992</v>
      </c>
      <c r="GR79" s="55" t="s">
        <v>174</v>
      </c>
      <c r="GS79" s="55">
        <f>GS56*'Research Goals'!$K$99</f>
        <v>599.14949296696113</v>
      </c>
      <c r="GT79" s="55">
        <f>GT56*'Research Goals'!$K$118</f>
        <v>4657.2064115145567</v>
      </c>
      <c r="GU79" s="55">
        <f>GU56*'Research Goals'!$K$156</f>
        <v>3758.4821720641153</v>
      </c>
      <c r="GV79" s="55">
        <f>GV56*'Research Goals'!$K$175</f>
        <v>3950.9061171082762</v>
      </c>
      <c r="GW79" s="55">
        <f>GW56*'Research Goals'!$K$137</f>
        <v>1060.0719659797187</v>
      </c>
      <c r="GX79" s="55">
        <f>GX56*'Research Goals'!$K$80</f>
        <v>8857.9653254824989</v>
      </c>
      <c r="GY79" s="55">
        <f>GY56*'Research Goals'!$K$42</f>
        <v>13581.301929996729</v>
      </c>
      <c r="GZ79" s="55">
        <f>GZ56*'Research Goals'!$K$61</f>
        <v>2440.353287536801</v>
      </c>
      <c r="HA79" s="55">
        <f>HA56*'Research Goals'!$K$4</f>
        <v>38951.429506051689</v>
      </c>
      <c r="HC79" s="11">
        <v>45992</v>
      </c>
      <c r="HD79" s="5">
        <f t="shared" si="121"/>
        <v>703586.03413104056</v>
      </c>
      <c r="HE79" s="5">
        <f t="shared" si="122"/>
        <v>40854.496752946361</v>
      </c>
      <c r="HF79" s="5">
        <f t="shared" si="123"/>
        <v>159468.46126802973</v>
      </c>
      <c r="HG79" s="5">
        <f t="shared" si="124"/>
        <v>165203.2911858685</v>
      </c>
      <c r="HH79" s="5">
        <f t="shared" si="125"/>
        <v>31773.200754470992</v>
      </c>
      <c r="HI79" s="5">
        <f t="shared" si="126"/>
        <v>5289.2313264005888</v>
      </c>
      <c r="HJ79" s="5">
        <f t="shared" si="127"/>
        <v>13230.863320570792</v>
      </c>
      <c r="HK79" s="5" t="s">
        <v>174</v>
      </c>
      <c r="HL79" s="5">
        <f t="shared" si="128"/>
        <v>7532.3851391730759</v>
      </c>
      <c r="HM79" s="5">
        <f t="shared" si="129"/>
        <v>76976.245679676242</v>
      </c>
      <c r="HO79" s="11">
        <v>45992</v>
      </c>
      <c r="HP79" s="5">
        <f t="shared" ref="HP79:HP83" si="148">DX79+HA79</f>
        <v>519796.1072947334</v>
      </c>
      <c r="HQ79" s="5">
        <f t="shared" si="139"/>
        <v>29949.501799149493</v>
      </c>
      <c r="HR79" s="5">
        <f t="shared" si="140"/>
        <v>134101.29277069023</v>
      </c>
      <c r="HS79" s="5">
        <f t="shared" si="141"/>
        <v>144241.95812888452</v>
      </c>
      <c r="HT79" s="5">
        <f t="shared" si="142"/>
        <v>21341.765456329736</v>
      </c>
      <c r="HU79" s="5">
        <f t="shared" si="143"/>
        <v>11171.961727183512</v>
      </c>
      <c r="HV79" s="5">
        <f t="shared" si="144"/>
        <v>16958.22276741904</v>
      </c>
      <c r="HW79" s="5" t="s">
        <v>174</v>
      </c>
      <c r="HX79" s="5">
        <f t="shared" si="145"/>
        <v>12699.85835786719</v>
      </c>
      <c r="HY79" s="5">
        <f t="shared" si="146"/>
        <v>52293.845600261695</v>
      </c>
    </row>
    <row r="80" spans="2:233">
      <c r="B80" s="31"/>
      <c r="C80" s="31"/>
      <c r="D80" s="31"/>
      <c r="E80" s="31"/>
      <c r="F80" s="31"/>
      <c r="N80" s="31"/>
      <c r="O80" s="31"/>
      <c r="P80" s="31"/>
      <c r="Q80" s="31"/>
      <c r="R80" s="31"/>
      <c r="AB80" s="5"/>
      <c r="AC80" s="5"/>
      <c r="AE80" s="5"/>
      <c r="AM80" s="5"/>
      <c r="AN80" s="5"/>
      <c r="AP80" s="5"/>
      <c r="AQ80" s="5"/>
      <c r="AW80" s="5"/>
      <c r="AX80" s="5"/>
      <c r="BJ80" s="11">
        <v>46023</v>
      </c>
      <c r="BM80" s="8">
        <f>BM57*'Shop Goals'!$K$5</f>
        <v>692992.6879574802</v>
      </c>
      <c r="BN80" s="8"/>
      <c r="BO80" s="8">
        <f t="shared" ref="BO80" si="149">SUM(BP80:BX80)</f>
        <v>488704.42355667613</v>
      </c>
      <c r="BP80" s="8">
        <f>BP57*'Shop Goals'!$K$65</f>
        <v>42119.779139830469</v>
      </c>
      <c r="BQ80" s="8">
        <f>BQ57*'Shop Goals'!$K$45</f>
        <v>150932.10478408929</v>
      </c>
      <c r="BR80" s="8">
        <f>BR57*'Shop Goals'!$K$85</f>
        <v>159709.59359874934</v>
      </c>
      <c r="BS80" s="8">
        <f>BS57*'Shop Goals'!$K$165</f>
        <v>35574.616925155264</v>
      </c>
      <c r="BT80" s="8">
        <f>BT57*'Shop Goals'!$K$105</f>
        <v>3884.0629594677293</v>
      </c>
      <c r="BU80" s="8">
        <f>BU57*'Shop Goals'!$K$185</f>
        <v>11088.955401694329</v>
      </c>
      <c r="BV80" s="8" t="s">
        <v>174</v>
      </c>
      <c r="BW80" s="8">
        <f>BW57*'Shop Goals'!$K$145</f>
        <v>4955.6594783786004</v>
      </c>
      <c r="BX80" s="8">
        <f>BX57*'Shop Goals'!$K$125</f>
        <v>80439.651269311071</v>
      </c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Y80" s="11">
        <v>46023</v>
      </c>
      <c r="CZ80" s="9">
        <f>CZ57*'Shop Goals'!$K$3</f>
        <v>20440.596661313182</v>
      </c>
      <c r="DA80" s="9">
        <f>DA57*'Shop Goals'!$K$63</f>
        <v>350.05258786704462</v>
      </c>
      <c r="DB80" s="9">
        <f>DB57*'Shop Goals'!$K$43</f>
        <v>1364.0725217068366</v>
      </c>
      <c r="DC80" s="9">
        <f>DC57*'Shop Goals'!$K$83</f>
        <v>1702.2059572212595</v>
      </c>
      <c r="DD80" s="9">
        <f>DD57*'Shop Goals'!$K$163</f>
        <v>182.37305376799716</v>
      </c>
      <c r="DE80" s="9">
        <f>DE57*'Shop Goals'!$K$103</f>
        <v>127.55835475548271</v>
      </c>
      <c r="DF80" s="9">
        <f>DF57*'Shop Goals'!$K$183</f>
        <v>162.47849946837681</v>
      </c>
      <c r="DG80" s="9" t="s">
        <v>174</v>
      </c>
      <c r="DH80" s="9">
        <f>DH57*'Shop Goals'!$K$143</f>
        <v>89.127621354594268</v>
      </c>
      <c r="DI80" s="9">
        <f>DI57*'Shop Goals'!$K$123</f>
        <v>610.92478801272068</v>
      </c>
      <c r="DK80" s="11">
        <v>46023</v>
      </c>
      <c r="DL80" s="9">
        <f>DL57*'Shop Goals'!$K$4</f>
        <v>21151.471069216164</v>
      </c>
      <c r="DM80" s="9">
        <f>DM57*'Shop Goals'!$K$64</f>
        <v>1363.1002988695657</v>
      </c>
      <c r="DN80" s="9">
        <f>DN57*'Shop Goals'!$K$44</f>
        <v>5344.9269786825862</v>
      </c>
      <c r="DO80" s="9">
        <f>DO57*'Shop Goals'!$K$84</f>
        <v>6461.7232208005762</v>
      </c>
      <c r="DP80" s="9">
        <f>DP57*'Shop Goals'!$K$164</f>
        <v>898.91460942822562</v>
      </c>
      <c r="DQ80" s="9">
        <f>DQ57*'Shop Goals'!$K$104</f>
        <v>584.12593694896498</v>
      </c>
      <c r="DR80" s="9">
        <f>DR57*'Shop Goals'!$K$184</f>
        <v>655.11612604618279</v>
      </c>
      <c r="DS80" s="2" t="s">
        <v>174</v>
      </c>
      <c r="DT80" s="9">
        <f>DT57*'Shop Goals'!$K$144</f>
        <v>418.80171989014104</v>
      </c>
      <c r="DU80" s="9">
        <f>DU57*'Shop Goals'!$K$124</f>
        <v>3353.3936417461441</v>
      </c>
      <c r="DW80" s="11">
        <v>46023</v>
      </c>
      <c r="DX80" s="9">
        <f>DX57*'Research Goals'!$K$3</f>
        <v>418005.15963362774</v>
      </c>
      <c r="DY80" s="9">
        <f>DY57*'Research Goals'!$K$60</f>
        <v>25707.314687602226</v>
      </c>
      <c r="DZ80" s="9">
        <f>DZ57*'Research Goals'!$K$41</f>
        <v>105233.70755642786</v>
      </c>
      <c r="EA80" s="9">
        <f>EA57*'Research Goals'!$K$79</f>
        <v>112613.11122015047</v>
      </c>
      <c r="EB80" s="9">
        <f>EB57*'Research Goals'!$K$155</f>
        <v>17186.549231272489</v>
      </c>
      <c r="EC80" s="9">
        <f>EC57*'Research Goals'!$K$98</f>
        <v>11517.309780830879</v>
      </c>
      <c r="ED80" s="9">
        <f>ED57*'Research Goals'!$K$174</f>
        <v>12418.978083087995</v>
      </c>
      <c r="EE80" s="2" t="s">
        <v>174</v>
      </c>
      <c r="EF80" s="9">
        <f>EF57*'Research Goals'!$K$136</f>
        <v>11285.881583251554</v>
      </c>
      <c r="EG80" s="9">
        <f>EG57*'Research Goals'!$K$117</f>
        <v>45511.707556427871</v>
      </c>
      <c r="FT80" s="5"/>
      <c r="FU80" s="5"/>
      <c r="FV80" s="14"/>
      <c r="GA80" s="15"/>
      <c r="GC80" s="15"/>
      <c r="GQ80" s="11">
        <v>46023</v>
      </c>
      <c r="GR80" s="55" t="s">
        <v>174</v>
      </c>
      <c r="GS80" s="55">
        <f>GS57*'Research Goals'!$K$99</f>
        <v>558.73265105846076</v>
      </c>
      <c r="GT80" s="55">
        <f>GT57*'Research Goals'!$K$118</f>
        <v>5073.5211925790927</v>
      </c>
      <c r="GU80" s="55">
        <f>GU57*'Research Goals'!$K$156</f>
        <v>3785.6516659656995</v>
      </c>
      <c r="GV80" s="55">
        <f>GV57*'Research Goals'!$K$175</f>
        <v>3861.9038272816488</v>
      </c>
      <c r="GW80" s="55">
        <f>GW57*'Research Goals'!$K$137</f>
        <v>860.9710734146455</v>
      </c>
      <c r="GX80" s="55">
        <f>GX57*'Research Goals'!$K$80</f>
        <v>8473.0108883592693</v>
      </c>
      <c r="GY80" s="55">
        <f>GY57*'Research Goals'!$K$42</f>
        <v>12121.394457684939</v>
      </c>
      <c r="GZ80" s="55">
        <f>GZ57*'Research Goals'!$K$61</f>
        <v>1950.734146455442</v>
      </c>
      <c r="HA80" s="55">
        <f>HA57*'Research Goals'!$K$4</f>
        <v>36733.120239263517</v>
      </c>
      <c r="HC80" s="11">
        <v>46023</v>
      </c>
      <c r="HD80" s="5">
        <f t="shared" si="121"/>
        <v>734584.75568800955</v>
      </c>
      <c r="HE80" s="5">
        <f t="shared" si="122"/>
        <v>43832.932026567076</v>
      </c>
      <c r="HF80" s="5">
        <f t="shared" si="123"/>
        <v>157641.1042844787</v>
      </c>
      <c r="HG80" s="5">
        <f t="shared" si="124"/>
        <v>167873.52277677119</v>
      </c>
      <c r="HH80" s="5">
        <f t="shared" si="125"/>
        <v>36655.904588351485</v>
      </c>
      <c r="HI80" s="5">
        <f t="shared" si="126"/>
        <v>4595.7472511721771</v>
      </c>
      <c r="HJ80" s="5">
        <f t="shared" si="127"/>
        <v>11906.550027208888</v>
      </c>
      <c r="HK80" s="5" t="s">
        <v>174</v>
      </c>
      <c r="HL80" s="5">
        <f t="shared" si="128"/>
        <v>5463.5888196233354</v>
      </c>
      <c r="HM80" s="5">
        <f t="shared" si="129"/>
        <v>84403.96969906993</v>
      </c>
      <c r="HO80" s="11">
        <v>46023</v>
      </c>
      <c r="HP80" s="5">
        <f t="shared" si="148"/>
        <v>454738.27987289126</v>
      </c>
      <c r="HQ80" s="5">
        <f t="shared" ref="HQ80:HQ81" si="150">DY80+GZ80</f>
        <v>27658.048834057667</v>
      </c>
      <c r="HR80" s="5">
        <f t="shared" ref="HR80:HR81" si="151">DZ80+GY80</f>
        <v>117355.10201411281</v>
      </c>
      <c r="HS80" s="5">
        <f t="shared" ref="HS80:HS81" si="152">EA80+GX80</f>
        <v>121086.12210850973</v>
      </c>
      <c r="HT80" s="5">
        <f t="shared" ref="HT80:HT81" si="153">EB80+GU80</f>
        <v>20972.200897238188</v>
      </c>
      <c r="HU80" s="5">
        <f t="shared" ref="HU80:HU81" si="154">EC80+GS80</f>
        <v>12076.04243188934</v>
      </c>
      <c r="HV80" s="5">
        <f t="shared" ref="HV80:HV81" si="155">ED80+GV80</f>
        <v>16280.881910369644</v>
      </c>
      <c r="HW80" s="5" t="s">
        <v>174</v>
      </c>
      <c r="HX80" s="5">
        <f t="shared" ref="HX80:HX81" si="156">EF80+GW80</f>
        <v>12146.852656666199</v>
      </c>
      <c r="HY80" s="5">
        <f t="shared" ref="HY80:HY81" si="157">EG80+GT80</f>
        <v>50585.228749006965</v>
      </c>
    </row>
    <row r="81" spans="3:234">
      <c r="AB81" s="5"/>
      <c r="AC81" s="5"/>
      <c r="AE81" s="5"/>
      <c r="AM81" s="5"/>
      <c r="AN81" s="5"/>
      <c r="AP81" s="5"/>
      <c r="AQ81" s="5"/>
      <c r="AW81" s="5"/>
      <c r="AX81" s="5"/>
      <c r="BJ81" s="11">
        <v>46054</v>
      </c>
      <c r="BM81" s="8">
        <f>BM58*'Shop Goals'!$K$5</f>
        <v>626119.67530709307</v>
      </c>
      <c r="BN81" s="8"/>
      <c r="BO81" s="8">
        <f>SUM(BP81:BX81)</f>
        <v>435795.53250246018</v>
      </c>
      <c r="BP81" s="8">
        <f>BP58*'Shop Goals'!$K$65</f>
        <v>34774.583078024792</v>
      </c>
      <c r="BQ81" s="8">
        <f>BQ58*'Shop Goals'!$K$45</f>
        <v>132270.43949042266</v>
      </c>
      <c r="BR81" s="8">
        <f>BR58*'Shop Goals'!$K$85</f>
        <v>148168.248704153</v>
      </c>
      <c r="BS81" s="8">
        <f>BS58*'Shop Goals'!$K$165</f>
        <v>31583.897468953332</v>
      </c>
      <c r="BT81" s="8">
        <f>BT58*'Shop Goals'!$K$105</f>
        <v>3284.3365895564448</v>
      </c>
      <c r="BU81" s="8">
        <f>BU58*'Shop Goals'!$K$185</f>
        <v>10714.486934612371</v>
      </c>
      <c r="BV81" s="8" t="s">
        <v>174</v>
      </c>
      <c r="BW81" s="8">
        <f>BW58*'Shop Goals'!$K$145</f>
        <v>5175.2044292997425</v>
      </c>
      <c r="BX81" s="8">
        <f>BX58*'Shop Goals'!$K$125</f>
        <v>69824.335807437848</v>
      </c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Y81" s="11">
        <v>46054</v>
      </c>
      <c r="CZ81" s="9">
        <f>CZ58*'Shop Goals'!$K$3</f>
        <v>19338.380904494814</v>
      </c>
      <c r="DA81" s="9">
        <f>DA58*'Shop Goals'!$K$63</f>
        <v>318.71454666751873</v>
      </c>
      <c r="DB81" s="9">
        <f>DB58*'Shop Goals'!$K$43</f>
        <v>1159.544114582716</v>
      </c>
      <c r="DC81" s="9">
        <f>DC58*'Shop Goals'!$K$83</f>
        <v>1420.6787151841049</v>
      </c>
      <c r="DD81" s="9">
        <f>DD58*'Shop Goals'!$K$163</f>
        <v>200.10841496011432</v>
      </c>
      <c r="DE81" s="9">
        <f>DE58*'Shop Goals'!$K$103</f>
        <v>123.40231813437676</v>
      </c>
      <c r="DF81" s="9">
        <f>DF58*'Shop Goals'!$K$183</f>
        <v>128.41042699920104</v>
      </c>
      <c r="DG81" s="9" t="s">
        <v>174</v>
      </c>
      <c r="DH81" s="9">
        <f>DH58*'Shop Goals'!$K$143</f>
        <v>90.504109715282979</v>
      </c>
      <c r="DI81" s="9">
        <f>DI58*'Shop Goals'!$K$123</f>
        <v>572.11537850423656</v>
      </c>
      <c r="DK81" s="11">
        <v>46054</v>
      </c>
      <c r="DL81" s="9">
        <f>DL58*'Shop Goals'!$K$4</f>
        <v>20878.492172359423</v>
      </c>
      <c r="DM81" s="9">
        <f>DM58*'Shop Goals'!$K$64</f>
        <v>1329.7818606555254</v>
      </c>
      <c r="DN81" s="9">
        <f>DN58*'Shop Goals'!$K$44</f>
        <v>5071.3394613436622</v>
      </c>
      <c r="DO81" s="9">
        <f>DO58*'Shop Goals'!$K$84</f>
        <v>6079.7064926732555</v>
      </c>
      <c r="DP81" s="9">
        <f>DP58*'Shop Goals'!$K$164</f>
        <v>875.18089036741446</v>
      </c>
      <c r="DQ81" s="9">
        <f>DQ58*'Shop Goals'!$K$104</f>
        <v>598.81282640908455</v>
      </c>
      <c r="DR81" s="9">
        <f>DR58*'Shop Goals'!$K$184</f>
        <v>730.80122389676274</v>
      </c>
      <c r="DS81" s="2" t="s">
        <v>174</v>
      </c>
      <c r="DT81" s="9">
        <f>DT58*'Shop Goals'!$K$144</f>
        <v>481.20594967509578</v>
      </c>
      <c r="DU81" s="9">
        <f>DU58*'Shop Goals'!$K$124</f>
        <v>3692.7732392240673</v>
      </c>
      <c r="DW81" s="11">
        <v>46054</v>
      </c>
      <c r="DX81" s="9">
        <f>DX58*'Research Goals'!$K$3</f>
        <v>380272.59535492311</v>
      </c>
      <c r="DY81" s="9">
        <f>DY58*'Research Goals'!$K$60</f>
        <v>23618.44978737324</v>
      </c>
      <c r="DZ81" s="9">
        <f>DZ58*'Research Goals'!$K$41</f>
        <v>95690.299967288185</v>
      </c>
      <c r="EA81" s="9">
        <f>EA58*'Research Goals'!$K$79</f>
        <v>104619.07033038927</v>
      </c>
      <c r="EB81" s="9">
        <f>EB58*'Research Goals'!$K$155</f>
        <v>15796.477265292771</v>
      </c>
      <c r="EC81" s="9">
        <f>EC58*'Research Goals'!$K$98</f>
        <v>11007.115799803729</v>
      </c>
      <c r="ED81" s="9">
        <f>ED58*'Research Goals'!$K$174</f>
        <v>11081.503434739941</v>
      </c>
      <c r="EE81" s="2" t="s">
        <v>174</v>
      </c>
      <c r="EF81" s="9">
        <f>EF58*'Research Goals'!$K$136</f>
        <v>10759.908406934903</v>
      </c>
      <c r="EG81" s="9">
        <f>EG58*'Research Goals'!$K$117</f>
        <v>39693.692836113834</v>
      </c>
      <c r="FT81" s="5"/>
      <c r="FU81" s="5"/>
      <c r="FW81" s="11"/>
      <c r="FX81" s="11"/>
      <c r="GA81" s="15"/>
      <c r="GC81" s="15"/>
      <c r="GQ81" s="11">
        <v>46054</v>
      </c>
      <c r="GR81" s="55" t="s">
        <v>174</v>
      </c>
      <c r="GS81" s="55">
        <f>GS58*'Research Goals'!$K$99</f>
        <v>373.12771624842287</v>
      </c>
      <c r="GT81" s="55">
        <f>GT58*'Research Goals'!$K$118</f>
        <v>4547.2853871676243</v>
      </c>
      <c r="GU81" s="55">
        <f>GU58*'Research Goals'!$K$156</f>
        <v>3835.1960371980003</v>
      </c>
      <c r="GV81" s="55">
        <f>GV58*'Research Goals'!$K$175</f>
        <v>3211.4341791672509</v>
      </c>
      <c r="GW81" s="55">
        <f>GW58*'Research Goals'!$K$137</f>
        <v>699.37473713724933</v>
      </c>
      <c r="GX81" s="55">
        <f>GX58*'Research Goals'!$K$80</f>
        <v>7648.0171970652837</v>
      </c>
      <c r="GY81" s="55">
        <f>GY58*'Research Goals'!$K$42</f>
        <v>10008.957427917192</v>
      </c>
      <c r="GZ81" s="55">
        <f>GZ58*'Research Goals'!$K$61</f>
        <v>1538.8588251787469</v>
      </c>
      <c r="HA81" s="55">
        <f>HA58*'Research Goals'!$K$4</f>
        <v>31904.479648581713</v>
      </c>
      <c r="HC81" s="11">
        <v>46054</v>
      </c>
      <c r="HD81" s="5">
        <f t="shared" si="121"/>
        <v>666336.54838394735</v>
      </c>
      <c r="HE81" s="5">
        <f t="shared" si="122"/>
        <v>36423.079485347836</v>
      </c>
      <c r="HF81" s="5">
        <f t="shared" si="123"/>
        <v>138501.32306634905</v>
      </c>
      <c r="HG81" s="5">
        <f t="shared" si="124"/>
        <v>155668.63391201035</v>
      </c>
      <c r="HH81" s="5">
        <f t="shared" si="125"/>
        <v>32659.186774280861</v>
      </c>
      <c r="HI81" s="5">
        <f t="shared" si="126"/>
        <v>4006.5517340999058</v>
      </c>
      <c r="HJ81" s="5">
        <f t="shared" si="127"/>
        <v>11573.698585508335</v>
      </c>
      <c r="HK81" s="5" t="s">
        <v>174</v>
      </c>
      <c r="HL81" s="5">
        <f t="shared" si="128"/>
        <v>5746.9144886901213</v>
      </c>
      <c r="HM81" s="5">
        <f t="shared" si="129"/>
        <v>74089.224425166147</v>
      </c>
      <c r="HO81" s="11">
        <v>46054</v>
      </c>
      <c r="HP81" s="5">
        <f t="shared" si="148"/>
        <v>412177.07500350481</v>
      </c>
      <c r="HQ81" s="5">
        <f t="shared" si="150"/>
        <v>25157.308612551988</v>
      </c>
      <c r="HR81" s="5">
        <f t="shared" si="151"/>
        <v>105699.25739520538</v>
      </c>
      <c r="HS81" s="5">
        <f t="shared" si="152"/>
        <v>112267.08752745455</v>
      </c>
      <c r="HT81" s="5">
        <f t="shared" si="153"/>
        <v>19631.673302490773</v>
      </c>
      <c r="HU81" s="5">
        <f t="shared" si="154"/>
        <v>11380.243516052151</v>
      </c>
      <c r="HV81" s="5">
        <f t="shared" si="155"/>
        <v>14292.937613907192</v>
      </c>
      <c r="HW81" s="5" t="s">
        <v>174</v>
      </c>
      <c r="HX81" s="5">
        <f t="shared" si="156"/>
        <v>11459.283144072153</v>
      </c>
      <c r="HY81" s="5">
        <f t="shared" si="157"/>
        <v>44240.978223281461</v>
      </c>
    </row>
    <row r="82" spans="3:234">
      <c r="AM82" s="5"/>
      <c r="AN82" s="5"/>
      <c r="AP82" s="5"/>
      <c r="AQ82" s="5"/>
      <c r="AW82" s="5"/>
      <c r="AX82" s="5"/>
      <c r="BJ82" s="11">
        <v>46082</v>
      </c>
      <c r="BM82" s="8">
        <f>BM59*'Shop Goals'!$K$5</f>
        <v>694345.82076728938</v>
      </c>
      <c r="BN82" s="8"/>
      <c r="BO82" s="8">
        <f t="shared" ref="BO82" si="158">SUM(BP82:BX82)</f>
        <v>473316.77991942712</v>
      </c>
      <c r="BP82" s="8">
        <f>BP59*'Shop Goals'!$K$65</f>
        <v>35879.605531225636</v>
      </c>
      <c r="BQ82" s="8">
        <f>BQ59*'Shop Goals'!$K$45</f>
        <v>140896.07826517103</v>
      </c>
      <c r="BR82" s="8">
        <f>BR59*'Shop Goals'!$K$85</f>
        <v>161856.68202000481</v>
      </c>
      <c r="BS82" s="8">
        <f>BS59*'Shop Goals'!$K$165</f>
        <v>33015.428600476094</v>
      </c>
      <c r="BT82" s="8">
        <f>BT59*'Shop Goals'!$K$105</f>
        <v>3152.8955035505182</v>
      </c>
      <c r="BU82" s="8">
        <f>BU59*'Shop Goals'!$K$185</f>
        <v>11405.553389373887</v>
      </c>
      <c r="BV82" s="8" t="s">
        <v>174</v>
      </c>
      <c r="BW82" s="8">
        <f>BW59*'Shop Goals'!$K$145</f>
        <v>7486.1043006334849</v>
      </c>
      <c r="BX82" s="8">
        <f>BX59*'Shop Goals'!$K$125</f>
        <v>79624.432308991672</v>
      </c>
      <c r="CY82" s="11">
        <v>46082</v>
      </c>
      <c r="CZ82" s="9">
        <f>CZ59*'Shop Goals'!$K$3</f>
        <v>22282.347223646022</v>
      </c>
      <c r="DA82" s="9">
        <f>DA59*'Shop Goals'!$K$63</f>
        <v>265.7065833619377</v>
      </c>
      <c r="DB82" s="9">
        <f>DB59*'Shop Goals'!$K$43</f>
        <v>1313.6001889810454</v>
      </c>
      <c r="DC82" s="9">
        <f>DC59*'Shop Goals'!$K$83</f>
        <v>1812.2719750120566</v>
      </c>
      <c r="DD82" s="9">
        <f>DD59*'Shop Goals'!$K$163</f>
        <v>205.12785680693992</v>
      </c>
      <c r="DE82" s="9">
        <f>DE59*'Shop Goals'!$K$103</f>
        <v>181.90652595456055</v>
      </c>
      <c r="DF82" s="9">
        <f>DF59*'Shop Goals'!$K$183</f>
        <v>163.35203978809926</v>
      </c>
      <c r="DG82" s="9" t="s">
        <v>174</v>
      </c>
      <c r="DH82" s="9">
        <f>DH59*'Shop Goals'!$K$143</f>
        <v>219.20577143967779</v>
      </c>
      <c r="DI82" s="9">
        <f>DI59*'Shop Goals'!$K$123</f>
        <v>657.81949116880571</v>
      </c>
      <c r="DK82" s="11">
        <v>46082</v>
      </c>
      <c r="DL82" s="9">
        <f>DL59*'Shop Goals'!$K$4</f>
        <v>24894.972443385683</v>
      </c>
      <c r="DM82" s="9">
        <f>DM59*'Shop Goals'!$K$64</f>
        <v>1389.7013100243234</v>
      </c>
      <c r="DN82" s="9">
        <f>DN59*'Shop Goals'!$K$44</f>
        <v>5500.1991945484087</v>
      </c>
      <c r="DO82" s="9">
        <f>DO59*'Shop Goals'!$K$84</f>
        <v>7331.3881481884091</v>
      </c>
      <c r="DP82" s="9">
        <f>DP59*'Shop Goals'!$K$164</f>
        <v>1064.5112401479769</v>
      </c>
      <c r="DQ82" s="9">
        <f>DQ59*'Shop Goals'!$K$104</f>
        <v>781.4971181147821</v>
      </c>
      <c r="DR82" s="9">
        <f>DR59*'Shop Goals'!$K$184</f>
        <v>874.77892166833101</v>
      </c>
      <c r="DS82" s="2" t="s">
        <v>174</v>
      </c>
      <c r="DT82" s="9">
        <f>DT59*'Shop Goals'!$K$144</f>
        <v>929.96169986201517</v>
      </c>
      <c r="DU82" s="9">
        <f>DU59*'Shop Goals'!$K$124</f>
        <v>4619.9416172801139</v>
      </c>
      <c r="DW82" s="11">
        <v>46082</v>
      </c>
      <c r="DX82" s="9">
        <f>DX59*'Research Goals'!$K$3</f>
        <v>430944.85116126924</v>
      </c>
      <c r="DY82" s="9">
        <f>DY59*'Research Goals'!$K$60</f>
        <v>22797.180242067385</v>
      </c>
      <c r="DZ82" s="9">
        <f>DZ59*'Research Goals'!$K$41</f>
        <v>103023.86882564606</v>
      </c>
      <c r="EA82" s="9">
        <f>EA59*'Research Goals'!$K$79</f>
        <v>125068.15603532875</v>
      </c>
      <c r="EB82" s="9">
        <f>EB59*'Research Goals'!$K$155</f>
        <v>16665.835786719006</v>
      </c>
      <c r="EC82" s="9">
        <f>EC59*'Research Goals'!$K$98</f>
        <v>12667.688256460582</v>
      </c>
      <c r="ED82" s="9">
        <f>ED59*'Research Goals'!$K$174</f>
        <v>11405.352633300621</v>
      </c>
      <c r="EE82" s="2" t="s">
        <v>174</v>
      </c>
      <c r="EF82" s="9">
        <f>EF59*'Research Goals'!$K$136</f>
        <v>12630.870134118417</v>
      </c>
      <c r="EG82" s="9">
        <f>EG59*'Research Goals'!$K$117</f>
        <v>48554.086686293755</v>
      </c>
      <c r="FT82" s="5"/>
      <c r="FU82" s="5"/>
      <c r="FW82" s="5"/>
      <c r="FX82" s="5"/>
      <c r="GQ82" s="11">
        <v>46082</v>
      </c>
      <c r="GS82" s="55">
        <f>GS59*'Research Goals'!$K$99</f>
        <v>459.67942427216229</v>
      </c>
      <c r="GT82" s="55">
        <f>GT59*'Research Goals'!$K$118</f>
        <v>5178.043833824011</v>
      </c>
      <c r="GU82" s="55">
        <f>GU59*'Research Goals'!$K$156</f>
        <v>3750.278050376186</v>
      </c>
      <c r="GV82" s="55">
        <f>GV59*'Research Goals'!$K$175</f>
        <v>3505.6460582270201</v>
      </c>
      <c r="GW82" s="55">
        <f>GW59*'Research Goals'!$K$137</f>
        <v>1055.3483807654563</v>
      </c>
      <c r="GX82" s="55">
        <f>GX59*'Research Goals'!$K$80</f>
        <v>8195.9175662414127</v>
      </c>
      <c r="GY82" s="55">
        <f>GY59*'Research Goals'!$K$42</f>
        <v>10193.745502126269</v>
      </c>
      <c r="GZ82" s="55">
        <f>GZ59*'Research Goals'!$K$61</f>
        <v>1885.9535492312725</v>
      </c>
      <c r="HA82" s="55">
        <f>HA59*'Research Goals'!$K$4</f>
        <v>34278.312070657506</v>
      </c>
      <c r="HC82" s="11">
        <v>46082</v>
      </c>
      <c r="HD82" s="5">
        <f t="shared" si="121"/>
        <v>741523.14043432113</v>
      </c>
      <c r="HE82" s="5">
        <f t="shared" si="122"/>
        <v>37535.013424611898</v>
      </c>
      <c r="HF82" s="5">
        <f t="shared" si="123"/>
        <v>147709.87764870049</v>
      </c>
      <c r="HG82" s="5">
        <f t="shared" si="124"/>
        <v>171000.34214320529</v>
      </c>
      <c r="HH82" s="5">
        <f t="shared" si="125"/>
        <v>34285.067697431012</v>
      </c>
      <c r="HI82" s="5">
        <f t="shared" si="126"/>
        <v>4116.2991476198604</v>
      </c>
      <c r="HJ82" s="5">
        <f t="shared" si="127"/>
        <v>12443.684350830317</v>
      </c>
      <c r="HK82" s="5" t="s">
        <v>174</v>
      </c>
      <c r="HL82" s="5">
        <f t="shared" si="128"/>
        <v>8635.2717719351785</v>
      </c>
      <c r="HM82" s="5">
        <f t="shared" si="129"/>
        <v>84902.193417440591</v>
      </c>
      <c r="HO82" s="11">
        <v>46082</v>
      </c>
      <c r="HP82" s="5">
        <f t="shared" si="148"/>
        <v>465223.16323192674</v>
      </c>
      <c r="HQ82" s="5">
        <f t="shared" ref="HQ82" si="159">DY82+GZ82</f>
        <v>24683.133791298656</v>
      </c>
      <c r="HR82" s="5">
        <f t="shared" ref="HR82" si="160">DZ82+GY82</f>
        <v>113217.61432777233</v>
      </c>
      <c r="HS82" s="5">
        <f t="shared" ref="HS82" si="161">EA82+GX82</f>
        <v>133264.07360157016</v>
      </c>
      <c r="HT82" s="5">
        <f t="shared" ref="HT82" si="162">EB82+GU82</f>
        <v>20416.113837095192</v>
      </c>
      <c r="HU82" s="5">
        <f t="shared" ref="HU82" si="163">EC82+GS82</f>
        <v>13127.367680732745</v>
      </c>
      <c r="HV82" s="5">
        <f t="shared" ref="HV82" si="164">ED82+GV82</f>
        <v>14910.998691527642</v>
      </c>
      <c r="HW82" s="5" t="s">
        <v>174</v>
      </c>
      <c r="HX82" s="5">
        <f t="shared" ref="HX82" si="165">EF82+GW82</f>
        <v>13686.218514883873</v>
      </c>
      <c r="HY82" s="5">
        <f t="shared" ref="HY82" si="166">EG82+GT82</f>
        <v>53732.130520117767</v>
      </c>
    </row>
    <row r="83" spans="3:234">
      <c r="AM83" s="5"/>
      <c r="AN83" s="5"/>
      <c r="AP83" s="5"/>
      <c r="AQ83" s="5"/>
      <c r="AW83" s="5"/>
      <c r="AX83" s="5"/>
      <c r="BJ83" s="11">
        <v>46113</v>
      </c>
      <c r="BM83" s="8">
        <f>BM60*'Shop Goals'!$K$5</f>
        <v>678089.3237464194</v>
      </c>
      <c r="BN83" s="8"/>
      <c r="BO83" s="8">
        <f t="shared" ref="BO83" si="167">SUM(BP83:BX83)</f>
        <v>449636.14646609523</v>
      </c>
      <c r="BP83" s="8">
        <f>BP60*'Shop Goals'!$K$65</f>
        <v>33617.83108974433</v>
      </c>
      <c r="BQ83" s="8">
        <f>BQ60*'Shop Goals'!$K$45</f>
        <v>128815.00972912596</v>
      </c>
      <c r="BR83" s="8">
        <f>BR60*'Shop Goals'!$K$85</f>
        <v>154567.81466841817</v>
      </c>
      <c r="BS83" s="8">
        <f>BS60*'Shop Goals'!$K$165</f>
        <v>31932.877695045943</v>
      </c>
      <c r="BT83" s="8">
        <f>BT60*'Shop Goals'!$K$105</f>
        <v>3108.0956478700418</v>
      </c>
      <c r="BU83" s="8">
        <f>BU60*'Shop Goals'!$K$185</f>
        <v>11396.049113559622</v>
      </c>
      <c r="BV83" s="8" t="s">
        <v>174</v>
      </c>
      <c r="BW83" s="8">
        <f>BW60*'Shop Goals'!$K$145</f>
        <v>9396.5238994248684</v>
      </c>
      <c r="BX83" s="8">
        <f>BX60*'Shop Goals'!$K$125</f>
        <v>76801.944622906274</v>
      </c>
      <c r="CY83" s="11">
        <v>46113</v>
      </c>
      <c r="CZ83" s="9">
        <f>CZ60*'Shop Goals'!$K$3</f>
        <v>16180.730818443108</v>
      </c>
      <c r="DA83" s="9">
        <f>DA60*'Shop Goals'!$K$63</f>
        <v>240.03606025168773</v>
      </c>
      <c r="DB83" s="9">
        <f>DB60*'Shop Goals'!$K$43</f>
        <v>1025.2811118415593</v>
      </c>
      <c r="DC83" s="9">
        <f>DC60*'Shop Goals'!$K$83</f>
        <v>1328.7449604397684</v>
      </c>
      <c r="DD83" s="9">
        <f>DD60*'Shop Goals'!$K$163</f>
        <v>199.1045265907492</v>
      </c>
      <c r="DE83" s="9">
        <f>DE60*'Shop Goals'!$K$103</f>
        <v>123.0826230096763</v>
      </c>
      <c r="DF83" s="9">
        <f>DF60*'Shop Goals'!$K$183</f>
        <v>117.49117300267032</v>
      </c>
      <c r="DG83" s="9" t="s">
        <v>174</v>
      </c>
      <c r="DH83" s="9">
        <f>DH60*'Shop Goals'!$K$143</f>
        <v>219.20577143967779</v>
      </c>
      <c r="DI83" s="9">
        <f>DI60*'Shop Goals'!$K$123</f>
        <v>540.09761565973724</v>
      </c>
      <c r="DK83" s="11">
        <v>46113</v>
      </c>
      <c r="DL83" s="9">
        <f>DL60*'Shop Goals'!$K$4</f>
        <v>20897.237504332417</v>
      </c>
      <c r="DM83" s="9">
        <f>DM60*'Shop Goals'!$K$64</f>
        <v>1285.7155391466333</v>
      </c>
      <c r="DN83" s="9">
        <f>DN60*'Shop Goals'!$K$44</f>
        <v>4636.0986781718275</v>
      </c>
      <c r="DO83" s="9">
        <f>DO60*'Shop Goals'!$K$84</f>
        <v>6104.3196509955524</v>
      </c>
      <c r="DP83" s="9">
        <f>DP60*'Shop Goals'!$K$164</f>
        <v>871.67477277888554</v>
      </c>
      <c r="DQ83" s="9">
        <f>DQ60*'Shop Goals'!$K$104</f>
        <v>694.92176971828792</v>
      </c>
      <c r="DR83" s="9">
        <f>DR60*'Shop Goals'!$K$184</f>
        <v>706.15956413145761</v>
      </c>
      <c r="DS83" s="2" t="s">
        <v>174</v>
      </c>
      <c r="DT83" s="9">
        <f>DT60*'Shop Goals'!$K$144</f>
        <v>875.04597765125493</v>
      </c>
      <c r="DU83" s="9">
        <f>DU60*'Shop Goals'!$K$124</f>
        <v>3708.1521917979517</v>
      </c>
      <c r="DW83" s="11">
        <v>46113</v>
      </c>
      <c r="DX83" s="9">
        <f>DX60*'Research Goals'!$K$3</f>
        <v>423964.43572129536</v>
      </c>
      <c r="DY83" s="9">
        <f>DY60*'Research Goals'!$K$60</f>
        <v>26888.500163559045</v>
      </c>
      <c r="DZ83" s="9">
        <f>DZ60*'Research Goals'!$K$41</f>
        <v>98782.270853778216</v>
      </c>
      <c r="EA83" s="9">
        <f>EA60*'Research Goals'!$K$79</f>
        <v>120060.14000654237</v>
      </c>
      <c r="EB83" s="9">
        <f>EB60*'Research Goals'!$K$155</f>
        <v>17296.252208047106</v>
      </c>
      <c r="EC83" s="9">
        <f>EC60*'Research Goals'!$K$98</f>
        <v>15283.277723258096</v>
      </c>
      <c r="ED83" s="9">
        <f>ED60*'Research Goals'!$K$174</f>
        <v>12760.109257441936</v>
      </c>
      <c r="EE83" s="2" t="s">
        <v>174</v>
      </c>
      <c r="EF83" s="9">
        <f>EF60*'Research Goals'!$K$136</f>
        <v>13751.944389924764</v>
      </c>
      <c r="EG83" s="9">
        <f>EG60*'Research Goals'!$K$117</f>
        <v>45275.019627085378</v>
      </c>
      <c r="EH83" s="8"/>
      <c r="EI83" s="8"/>
      <c r="EJ83" s="5"/>
      <c r="FT83" s="5"/>
      <c r="FU83" s="5"/>
      <c r="FW83" s="5"/>
      <c r="FX83" s="5"/>
      <c r="GQ83" s="11">
        <v>46113</v>
      </c>
      <c r="GS83" s="55">
        <f>GS60*'Research Goals'!$K$99</f>
        <v>423.31432933003106</v>
      </c>
      <c r="GT83" s="55">
        <f>GT60*'Research Goals'!$K$118</f>
        <v>5192.1009044769371</v>
      </c>
      <c r="GU83" s="55">
        <f>GU60*'Research Goals'!$K$156</f>
        <v>3417.0924149836578</v>
      </c>
      <c r="GV83" s="55">
        <f>GV60*'Research Goals'!$K$175</f>
        <v>4052.1738508946273</v>
      </c>
      <c r="GW83" s="55">
        <f>GW60*'Research Goals'!$K$137</f>
        <v>1573.9199376184888</v>
      </c>
      <c r="GX83" s="55">
        <f>GX60*'Research Goals'!$K$80</f>
        <v>6929.5799418884344</v>
      </c>
      <c r="GY83" s="55">
        <f>GY60*'Research Goals'!$K$42</f>
        <v>9672.5595386993537</v>
      </c>
      <c r="GZ83" s="55">
        <f>GZ60*'Research Goals'!$K$61</f>
        <v>2141.9683162764613</v>
      </c>
      <c r="HA83" s="55">
        <f>HA60*'Research Goals'!$K$4</f>
        <v>33532.696616755959</v>
      </c>
      <c r="HC83" s="11">
        <v>46113</v>
      </c>
      <c r="HD83" s="5">
        <f t="shared" si="121"/>
        <v>715167.29206919495</v>
      </c>
      <c r="HE83" s="5">
        <f t="shared" si="122"/>
        <v>35143.582689142648</v>
      </c>
      <c r="HF83" s="5">
        <f t="shared" si="123"/>
        <v>134476.38951913934</v>
      </c>
      <c r="HG83" s="5">
        <f t="shared" si="124"/>
        <v>162000.87927985349</v>
      </c>
      <c r="HH83" s="5">
        <f t="shared" si="125"/>
        <v>33003.656994415578</v>
      </c>
      <c r="HI83" s="5">
        <f t="shared" si="126"/>
        <v>3926.1000405980058</v>
      </c>
      <c r="HJ83" s="5">
        <f t="shared" si="127"/>
        <v>12219.699850693751</v>
      </c>
      <c r="HK83" s="5" t="s">
        <v>174</v>
      </c>
      <c r="HL83" s="5">
        <f t="shared" si="128"/>
        <v>10490.775648515801</v>
      </c>
      <c r="HM83" s="5">
        <f t="shared" si="129"/>
        <v>81050.194430363961</v>
      </c>
      <c r="HO83" s="11">
        <v>46113</v>
      </c>
      <c r="HP83" s="5">
        <f t="shared" si="148"/>
        <v>457497.13233805133</v>
      </c>
      <c r="HQ83" s="5">
        <f t="shared" ref="HQ83:HQ84" si="168">DY83+GZ83</f>
        <v>29030.468479835508</v>
      </c>
      <c r="HR83" s="5">
        <f t="shared" ref="HR83:HR84" si="169">DZ83+GY83</f>
        <v>108454.83039247757</v>
      </c>
      <c r="HS83" s="5">
        <f t="shared" ref="HS83:HS84" si="170">EA83+GX83</f>
        <v>126989.71994843081</v>
      </c>
      <c r="HT83" s="5">
        <f t="shared" ref="HT83:HT84" si="171">EB83+GU83</f>
        <v>20713.344623030764</v>
      </c>
      <c r="HU83" s="5">
        <f t="shared" ref="HU83:HU84" si="172">EC83+GS83</f>
        <v>15706.592052588127</v>
      </c>
      <c r="HV83" s="5">
        <f t="shared" ref="HV83:HV84" si="173">ED83+GV83</f>
        <v>16812.283108336564</v>
      </c>
      <c r="HW83" s="5" t="s">
        <v>174</v>
      </c>
      <c r="HX83" s="5">
        <f t="shared" ref="HX83:HX84" si="174">EF83+GW83</f>
        <v>15325.864327543251</v>
      </c>
      <c r="HY83" s="5">
        <f t="shared" ref="HY83:HY84" si="175">EG83+GT83</f>
        <v>50467.120531562316</v>
      </c>
    </row>
    <row r="84" spans="3:234">
      <c r="AP84" s="5"/>
      <c r="AQ84" s="5"/>
      <c r="AW84" s="5"/>
      <c r="AX84" s="5"/>
      <c r="BJ84" s="11">
        <v>46143</v>
      </c>
      <c r="BM84" s="8">
        <f>BM61*'Shop Goals'!$K$5</f>
        <v>680292.41780557029</v>
      </c>
      <c r="BN84" s="8"/>
      <c r="BO84" s="8">
        <f t="shared" ref="BO84:BO85" si="176">SUM(BP84:BX84)</f>
        <v>450929.14215558127</v>
      </c>
      <c r="BP84" s="8">
        <f>BP61*'Shop Goals'!$K$65</f>
        <v>33825.545069064043</v>
      </c>
      <c r="BQ84" s="8">
        <f>BQ61*'Shop Goals'!$K$45</f>
        <v>126519.74414833014</v>
      </c>
      <c r="BR84" s="8">
        <f>BR61*'Shop Goals'!$K$85</f>
        <v>163898.67118639499</v>
      </c>
      <c r="BS84" s="8">
        <f>BS61*'Shop Goals'!$K$165</f>
        <v>31118.194831639263</v>
      </c>
      <c r="BT84" s="8">
        <f>BT61*'Shop Goals'!$K$105</f>
        <v>2714.6176701481204</v>
      </c>
      <c r="BU84" s="8">
        <f>BU61*'Shop Goals'!$K$185</f>
        <v>10794.322851452178</v>
      </c>
      <c r="BV84" s="8" t="s">
        <v>174</v>
      </c>
      <c r="BW84" s="8">
        <f>BW61*'Shop Goals'!$K$145</f>
        <v>11764.959688931049</v>
      </c>
      <c r="BX84" s="8">
        <f>BX61*'Shop Goals'!$K$125</f>
        <v>70293.086709621493</v>
      </c>
      <c r="CY84" s="11">
        <v>46143</v>
      </c>
      <c r="CZ84" s="9">
        <f>CZ61*'Shop Goals'!$K$3</f>
        <v>16828.323458947671</v>
      </c>
      <c r="DA84" s="9">
        <f>DA61*'Shop Goals'!$K$63</f>
        <v>280.37545371065193</v>
      </c>
      <c r="DB84" s="9">
        <f>DB61*'Shop Goals'!$K$43</f>
        <v>937.86171202237881</v>
      </c>
      <c r="DC84" s="9">
        <f>DC61*'Shop Goals'!$K$83</f>
        <v>1392.6850459193934</v>
      </c>
      <c r="DD84" s="9">
        <f>DD61*'Shop Goals'!$K$163</f>
        <v>162.9645452936048</v>
      </c>
      <c r="DE84" s="9">
        <f>DE61*'Shop Goals'!$K$103</f>
        <v>134.27195237419232</v>
      </c>
      <c r="DF84" s="9">
        <f>DF61*'Shop Goals'!$K$183</f>
        <v>136.70906003656435</v>
      </c>
      <c r="DG84" s="9" t="s">
        <v>174</v>
      </c>
      <c r="DH84" s="9">
        <f>DH61*'Shop Goals'!$K$143</f>
        <v>276.33003840825944</v>
      </c>
      <c r="DI84" s="9">
        <f>DI61*'Shop Goals'!$K$123</f>
        <v>560.14914390578735</v>
      </c>
      <c r="DK84" s="11">
        <v>46143</v>
      </c>
      <c r="DL84" s="9">
        <f>DL61*'Shop Goals'!$K$4</f>
        <v>21418.884945643422</v>
      </c>
      <c r="DM84" s="9">
        <f>DM61*'Shop Goals'!$K$64</f>
        <v>1256.6962542505339</v>
      </c>
      <c r="DN84" s="9">
        <f>DN61*'Shop Goals'!$K$44</f>
        <v>4347.3561671610687</v>
      </c>
      <c r="DO84" s="9">
        <f>DO61*'Shop Goals'!$K$84</f>
        <v>6217.8991211703196</v>
      </c>
      <c r="DP84" s="9">
        <f>DP61*'Shop Goals'!$K$164</f>
        <v>955.28219219765231</v>
      </c>
      <c r="DQ84" s="9">
        <f>DQ61*'Shop Goals'!$K$104</f>
        <v>741.04375591761072</v>
      </c>
      <c r="DR84" s="9">
        <f>DR61*'Shop Goals'!$K$184</f>
        <v>858.58583096541622</v>
      </c>
      <c r="DS84" s="2" t="s">
        <v>174</v>
      </c>
      <c r="DT84" s="9">
        <f>DT61*'Shop Goals'!$K$144</f>
        <v>1071.4112873745794</v>
      </c>
      <c r="DU84" s="9">
        <f>DU61*'Shop Goals'!$K$124</f>
        <v>3943.267704029201</v>
      </c>
      <c r="DW84" s="11">
        <v>46143</v>
      </c>
      <c r="DX84" s="9">
        <f>DX61*'Research Goals'!$K$3</f>
        <v>399030.30160287861</v>
      </c>
      <c r="DY84" s="9">
        <f>DY61*'Research Goals'!$K$60</f>
        <v>23304.368662087014</v>
      </c>
      <c r="DZ84" s="9">
        <f>DZ61*'Research Goals'!$K$41</f>
        <v>85919.221131828584</v>
      </c>
      <c r="EA84" s="9">
        <f>EA61*'Research Goals'!$K$79</f>
        <v>117153.76251226693</v>
      </c>
      <c r="EB84" s="9">
        <f>EB61*'Research Goals'!$K$155</f>
        <v>17213.599280340204</v>
      </c>
      <c r="EC84" s="9">
        <f>EC61*'Research Goals'!$K$98</f>
        <v>14365.830225711481</v>
      </c>
      <c r="ED84" s="9">
        <f>ED61*'Research Goals'!$K$174</f>
        <v>11560.139025188093</v>
      </c>
      <c r="EE84" s="2" t="s">
        <v>174</v>
      </c>
      <c r="EF84" s="9">
        <f>EF61*'Research Goals'!$K$136</f>
        <v>14598.009813542689</v>
      </c>
      <c r="EG84" s="9">
        <f>EG61*'Research Goals'!$K$117</f>
        <v>44135.160614982007</v>
      </c>
      <c r="EH84" s="8"/>
      <c r="EI84" s="5"/>
      <c r="EJ84" s="5"/>
      <c r="EK84" s="8"/>
      <c r="EL84" s="5"/>
      <c r="EM84" s="8"/>
      <c r="EN84" s="5"/>
      <c r="FT84" s="5"/>
      <c r="FU84" s="5"/>
      <c r="FW84" s="5"/>
      <c r="FX84" s="5"/>
      <c r="GQ84" s="11">
        <v>46143</v>
      </c>
      <c r="GS84" s="55">
        <f>GS61*'Research Goals'!$K$99</f>
        <v>540.44207673255767</v>
      </c>
      <c r="GT84" s="55">
        <f>GT61*'Research Goals'!$K$118</f>
        <v>5506.031122949671</v>
      </c>
      <c r="GU84" s="55">
        <f>GU61*'Research Goals'!$K$156</f>
        <v>3651.5444646946121</v>
      </c>
      <c r="GV84" s="55">
        <f>GV61*'Research Goals'!$K$175</f>
        <v>3788.6704986214309</v>
      </c>
      <c r="GW84" s="55">
        <f>GW61*'Research Goals'!$K$137</f>
        <v>1822.6290948175149</v>
      </c>
      <c r="GX84" s="55">
        <f>GX61*'Research Goals'!$K$80</f>
        <v>8169.8135426889112</v>
      </c>
      <c r="GY84" s="55">
        <f>GY61*'Research Goals'!$K$42</f>
        <v>9458.1092574419363</v>
      </c>
      <c r="GZ84" s="55">
        <f>GZ61*'Research Goals'!$K$61</f>
        <v>1910.2462731903361</v>
      </c>
      <c r="HA84" s="55">
        <f>HA61*'Research Goals'!$K$4</f>
        <v>34894.260479461656</v>
      </c>
      <c r="HB84" s="5"/>
      <c r="HC84" s="11">
        <v>46143</v>
      </c>
      <c r="HD84" s="5">
        <f t="shared" si="121"/>
        <v>718539.62621016137</v>
      </c>
      <c r="HE84" s="5">
        <f t="shared" si="122"/>
        <v>35362.616777025229</v>
      </c>
      <c r="HF84" s="5">
        <f t="shared" si="123"/>
        <v>131804.9620275136</v>
      </c>
      <c r="HG84" s="5">
        <f t="shared" si="124"/>
        <v>171509.25535348471</v>
      </c>
      <c r="HH84" s="5">
        <f t="shared" si="125"/>
        <v>32236.441569130518</v>
      </c>
      <c r="HI84" s="5">
        <f t="shared" si="126"/>
        <v>3589.9333784399232</v>
      </c>
      <c r="HJ84" s="5">
        <f t="shared" si="127"/>
        <v>11789.617742454158</v>
      </c>
      <c r="HK84" s="5" t="s">
        <v>174</v>
      </c>
      <c r="HL84" s="5">
        <f t="shared" si="128"/>
        <v>13112.701014713888</v>
      </c>
      <c r="HM84" s="5">
        <f t="shared" si="129"/>
        <v>74796.503557556483</v>
      </c>
      <c r="HO84" s="11">
        <v>46143</v>
      </c>
      <c r="HP84" s="5">
        <f>DX84+HA84</f>
        <v>433924.56208234024</v>
      </c>
      <c r="HQ84" s="5">
        <f t="shared" si="168"/>
        <v>25214.61493527735</v>
      </c>
      <c r="HR84" s="5">
        <f t="shared" si="169"/>
        <v>95377.330389270515</v>
      </c>
      <c r="HS84" s="5">
        <f t="shared" si="170"/>
        <v>125323.57605495583</v>
      </c>
      <c r="HT84" s="5">
        <f t="shared" si="171"/>
        <v>20865.143745034817</v>
      </c>
      <c r="HU84" s="5">
        <f t="shared" si="172"/>
        <v>14906.272302444038</v>
      </c>
      <c r="HV84" s="5">
        <f t="shared" si="173"/>
        <v>15348.809523809523</v>
      </c>
      <c r="HW84" s="5" t="s">
        <v>174</v>
      </c>
      <c r="HX84" s="5">
        <f t="shared" si="174"/>
        <v>16420.638908360204</v>
      </c>
      <c r="HY84" s="5">
        <f t="shared" si="175"/>
        <v>49641.19173793168</v>
      </c>
    </row>
    <row r="85" spans="3:234">
      <c r="AM85" s="9"/>
      <c r="AN85" s="9"/>
      <c r="AP85" s="5"/>
      <c r="AQ85" s="5"/>
      <c r="AW85" s="5"/>
      <c r="AX85" s="5"/>
      <c r="BJ85" s="11">
        <v>46174</v>
      </c>
      <c r="BM85" s="8">
        <f>BM62*'Shop Goals'!$K$5</f>
        <v>669030.17347947741</v>
      </c>
      <c r="BN85" s="8"/>
      <c r="BO85" s="8">
        <f t="shared" si="176"/>
        <v>426104.34332567785</v>
      </c>
      <c r="BP85" s="8">
        <f>BP62*'Shop Goals'!$K$65</f>
        <v>31216.386903548042</v>
      </c>
      <c r="BQ85" s="8">
        <f>BQ62*'Shop Goals'!$K$45</f>
        <v>121346.30122775513</v>
      </c>
      <c r="BR85" s="8">
        <f>BR62*'Shop Goals'!$K$85</f>
        <v>152898.56617920194</v>
      </c>
      <c r="BS85" s="8">
        <f>BS62*'Shop Goals'!$K$165</f>
        <v>27592.782343560815</v>
      </c>
      <c r="BT85" s="8">
        <f>BT62*'Shop Goals'!$K$105</f>
        <v>1537.1422180178599</v>
      </c>
      <c r="BU85" s="8">
        <f>BU62*'Shop Goals'!$K$185</f>
        <v>10782.284102087446</v>
      </c>
      <c r="BV85" s="8" t="s">
        <v>174</v>
      </c>
      <c r="BW85" s="8">
        <f>BW62*'Shop Goals'!$K$145</f>
        <v>10632.032037022467</v>
      </c>
      <c r="BX85" s="8">
        <f>BX62*'Shop Goals'!$K$125</f>
        <v>70098.848314484174</v>
      </c>
      <c r="CY85" s="11">
        <v>46174</v>
      </c>
      <c r="CZ85" s="9">
        <f>CZ62*'Shop Goals'!$K$3</f>
        <v>15353.614741120782</v>
      </c>
      <c r="DA85" s="9">
        <f>DA62*'Shop Goals'!$K$63</f>
        <v>219.03290497966506</v>
      </c>
      <c r="DB85" s="9">
        <f>DB62*'Shop Goals'!$K$43</f>
        <v>1112.3706271331205</v>
      </c>
      <c r="DC85" s="9">
        <f>DC62*'Shop Goals'!$K$83</f>
        <v>1386.0047384812237</v>
      </c>
      <c r="DD85" s="9">
        <f>DD62*'Shop Goals'!$K$163</f>
        <v>155.93732670804894</v>
      </c>
      <c r="DE85" s="9">
        <f>DE62*'Shop Goals'!$K$103</f>
        <v>117.0084156403676</v>
      </c>
      <c r="DF85" s="9">
        <f>DF62*'Shop Goals'!$K$183</f>
        <v>172.08744298532383</v>
      </c>
      <c r="DG85" s="9" t="s">
        <v>174</v>
      </c>
      <c r="DH85" s="9">
        <f>DH62*'Shop Goals'!$K$143</f>
        <v>306.6127823434112</v>
      </c>
      <c r="DI85" s="9">
        <f>DI62*'Shop Goals'!$K$123</f>
        <v>570.82173152062046</v>
      </c>
      <c r="DK85" s="11">
        <v>46174</v>
      </c>
      <c r="DL85" s="9">
        <f>DL62*'Shop Goals'!$K$4</f>
        <v>23750.042713972598</v>
      </c>
      <c r="DM85" s="9">
        <f>DM62*'Shop Goals'!$K$64</f>
        <v>1351.0089301628575</v>
      </c>
      <c r="DN85" s="9">
        <f>DN62*'Shop Goals'!$K$44</f>
        <v>5369.1217931411302</v>
      </c>
      <c r="DO85" s="9">
        <f>DO62*'Shop Goals'!$K$84</f>
        <v>6714.2644806699791</v>
      </c>
      <c r="DP85" s="9">
        <f>DP62*'Shop Goals'!$K$164</f>
        <v>940.98802049057281</v>
      </c>
      <c r="DQ85" s="9">
        <f>DQ62*'Shop Goals'!$K$104</f>
        <v>750.83501555769044</v>
      </c>
      <c r="DR85" s="9">
        <f>DR62*'Shop Goals'!$K$184</f>
        <v>948.35187725331343</v>
      </c>
      <c r="DS85" s="2" t="s">
        <v>174</v>
      </c>
      <c r="DT85" s="9">
        <f>DT62*'Shop Goals'!$K$144</f>
        <v>1243.0922573162993</v>
      </c>
      <c r="DU85" s="9">
        <f>DU62*'Shop Goals'!$K$124</f>
        <v>4196.1081107523851</v>
      </c>
      <c r="DW85" s="11">
        <v>46174</v>
      </c>
      <c r="DX85" s="9">
        <f>DX62*'Research Goals'!$K$3</f>
        <v>393247.602224403</v>
      </c>
      <c r="DY85" s="9">
        <f>DY62*'Research Goals'!$K$60</f>
        <v>19261.889106967614</v>
      </c>
      <c r="DZ85" s="9">
        <f>DZ62*'Research Goals'!$K$41</f>
        <v>96758.776905462873</v>
      </c>
      <c r="EA85" s="9">
        <f>EA62*'Research Goals'!$K$79</f>
        <v>113696.61596336277</v>
      </c>
      <c r="EB85" s="9">
        <f>EB62*'Research Goals'!$K$155</f>
        <v>17519.415112855742</v>
      </c>
      <c r="EC85" s="9">
        <f>EC62*'Research Goals'!$K$98</f>
        <v>12985.526333006215</v>
      </c>
      <c r="ED85" s="9">
        <f>ED62*'Research Goals'!$K$174</f>
        <v>11054.453385672228</v>
      </c>
      <c r="EE85" s="2" t="s">
        <v>174</v>
      </c>
      <c r="EF85" s="9">
        <f>EF62*'Research Goals'!$K$136</f>
        <v>14538.649983644096</v>
      </c>
      <c r="EG85" s="9">
        <f>EG62*'Research Goals'!$K$117</f>
        <v>41799.088321884199</v>
      </c>
      <c r="EH85" s="8"/>
      <c r="EI85" s="8"/>
      <c r="EJ85" s="8"/>
      <c r="EK85" s="8"/>
      <c r="EL85" s="8"/>
      <c r="EM85" s="5"/>
      <c r="FT85" s="9"/>
      <c r="FU85" s="9"/>
      <c r="FW85" s="5"/>
      <c r="FX85" s="5"/>
      <c r="GQ85" s="11">
        <v>46174</v>
      </c>
      <c r="GS85" s="55">
        <f>GS62*'Research Goals'!$K$99</f>
        <v>381.26080657974677</v>
      </c>
      <c r="GT85" s="55">
        <f>GT62*'Research Goals'!$K$118</f>
        <v>5849.9649516332538</v>
      </c>
      <c r="GU85" s="55">
        <f>GU62*'Research Goals'!$K$156</f>
        <v>3196.0203747838686</v>
      </c>
      <c r="GV85" s="55">
        <f>GV62*'Research Goals'!$K$175</f>
        <v>3538.4625449787372</v>
      </c>
      <c r="GW85" s="55">
        <f>GW62*'Research Goals'!$K$137</f>
        <v>1774.6118977522315</v>
      </c>
      <c r="GX85" s="55">
        <f>GX62*'Research Goals'!$K$80</f>
        <v>7772.0379456983974</v>
      </c>
      <c r="GY85" s="55">
        <f>GY62*'Research Goals'!$K$42</f>
        <v>9612.1762699191549</v>
      </c>
      <c r="GZ85" s="55">
        <f>GZ62*'Research Goals'!$K$61</f>
        <v>1674.4576849385487</v>
      </c>
      <c r="HA85" s="55">
        <f>HA62*'Research Goals'!$K$4</f>
        <v>33811.813636151222</v>
      </c>
      <c r="HB85" s="5"/>
      <c r="HC85" s="11">
        <v>46174</v>
      </c>
      <c r="HD85" s="5">
        <f t="shared" si="121"/>
        <v>708133.83093457075</v>
      </c>
      <c r="HE85" s="5">
        <f t="shared" si="122"/>
        <v>32786.428738690563</v>
      </c>
      <c r="HF85" s="5">
        <f t="shared" si="123"/>
        <v>127827.79364802939</v>
      </c>
      <c r="HG85" s="5">
        <f t="shared" si="124"/>
        <v>160998.83539835314</v>
      </c>
      <c r="HH85" s="5">
        <f t="shared" si="125"/>
        <v>28689.707690759438</v>
      </c>
      <c r="HI85" s="5">
        <f t="shared" si="126"/>
        <v>2404.9856492159179</v>
      </c>
      <c r="HJ85" s="5">
        <f t="shared" si="127"/>
        <v>11902.723422326082</v>
      </c>
      <c r="HK85" s="5" t="s">
        <v>174</v>
      </c>
      <c r="HL85" s="5">
        <f t="shared" si="128"/>
        <v>12181.737076682177</v>
      </c>
      <c r="HM85" s="5">
        <f t="shared" si="129"/>
        <v>74865.77815675718</v>
      </c>
      <c r="HO85" s="11">
        <v>46174</v>
      </c>
      <c r="HP85" s="5">
        <f>DX85+HA85</f>
        <v>427059.4158605542</v>
      </c>
      <c r="HQ85" s="5">
        <f t="shared" ref="HQ85" si="177">DY85+GZ85</f>
        <v>20936.346791906162</v>
      </c>
      <c r="HR85" s="5">
        <f t="shared" ref="HR85" si="178">DZ85+GY85</f>
        <v>106370.95317538203</v>
      </c>
      <c r="HS85" s="5">
        <f t="shared" ref="HS85" si="179">EA85+GX85</f>
        <v>121468.65390906116</v>
      </c>
      <c r="HT85" s="5">
        <f t="shared" ref="HT85" si="180">EB85+GU85</f>
        <v>20715.43548763961</v>
      </c>
      <c r="HU85" s="5">
        <f t="shared" ref="HU85" si="181">EC85+GS85</f>
        <v>13366.787139585962</v>
      </c>
      <c r="HV85" s="5">
        <f t="shared" ref="HV85" si="182">ED85+GV85</f>
        <v>14592.915930650965</v>
      </c>
      <c r="HW85" s="5" t="s">
        <v>174</v>
      </c>
      <c r="HX85" s="5">
        <f t="shared" ref="HX85" si="183">EF85+GW85</f>
        <v>16313.261881396327</v>
      </c>
      <c r="HY85" s="5">
        <f t="shared" ref="HY85" si="184">EG85+GT85</f>
        <v>47649.053273517449</v>
      </c>
      <c r="HZ85" s="55"/>
    </row>
    <row r="86" spans="3:234">
      <c r="AM86" s="9"/>
      <c r="AN86" s="9"/>
      <c r="AO86" s="9"/>
      <c r="AW86" s="5"/>
      <c r="AX86" s="5"/>
      <c r="BJ86" s="11">
        <v>46204</v>
      </c>
      <c r="BM86" s="8">
        <f>BM63*'Shop Goals'!$K$5</f>
        <v>724821.03872841992</v>
      </c>
      <c r="BN86" s="8"/>
      <c r="BO86" s="8">
        <f t="shared" ref="BO86" si="185">SUM(BP86:BX86)</f>
        <v>460338.73661962111</v>
      </c>
      <c r="BP86" s="8">
        <f>BP63*'Shop Goals'!$K$65</f>
        <v>29407.444853763733</v>
      </c>
      <c r="BQ86" s="8">
        <f>BQ63*'Shop Goals'!$K$45</f>
        <v>133829.99120065695</v>
      </c>
      <c r="BR86" s="8">
        <f>BR63*'Shop Goals'!$K$85</f>
        <v>173090.3882050158</v>
      </c>
      <c r="BS86" s="8">
        <f>BS63*'Shop Goals'!$K$165</f>
        <v>27650.154376195089</v>
      </c>
      <c r="BT86" s="8">
        <f>BT63*'Shop Goals'!$K$105</f>
        <v>1113.234149645049</v>
      </c>
      <c r="BU86" s="8">
        <f>BU63*'Shop Goals'!$K$185</f>
        <v>11248.204823115533</v>
      </c>
      <c r="BV86" s="8" t="s">
        <v>174</v>
      </c>
      <c r="BW86" s="8">
        <f>BW63*'Shop Goals'!$K$145</f>
        <v>8884.3785225346874</v>
      </c>
      <c r="BX86" s="8">
        <f>BX63*'Shop Goals'!$K$125</f>
        <v>75114.940488694308</v>
      </c>
      <c r="BY86" s="5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5"/>
      <c r="CY86" s="11">
        <v>46204</v>
      </c>
      <c r="CZ86" s="9">
        <f>CZ63*'Shop Goals'!$K$3</f>
        <v>16693.13576968409</v>
      </c>
      <c r="DA86" s="9">
        <f>DA63*'Shop Goals'!$K$63</f>
        <v>327.04913209292454</v>
      </c>
      <c r="DB86" s="9">
        <f>DB63*'Shop Goals'!$K$43</f>
        <v>1391.1230529716395</v>
      </c>
      <c r="DC86" s="9">
        <f>DC63*'Shop Goals'!$K$83</f>
        <v>1662.1241125922409</v>
      </c>
      <c r="DD86" s="9">
        <f>DD63*'Shop Goals'!$K$163</f>
        <v>204.7932273504849</v>
      </c>
      <c r="DE86" s="9">
        <f>DE63*'Shop Goals'!$K$103</f>
        <v>124.04170838377767</v>
      </c>
      <c r="DF86" s="9">
        <f>DF63*'Shop Goals'!$K$183</f>
        <v>183.44346714171576</v>
      </c>
      <c r="DG86" s="9" t="s">
        <v>174</v>
      </c>
      <c r="DH86" s="9">
        <f>DH63*'Shop Goals'!$K$143</f>
        <v>274.60942795739857</v>
      </c>
      <c r="DI86" s="9">
        <f>DI63*'Shop Goals'!$K$123</f>
        <v>707.30148829212294</v>
      </c>
      <c r="DK86" s="11">
        <v>46204</v>
      </c>
      <c r="DL86" s="9">
        <f>DL63*'Shop Goals'!$K$4</f>
        <v>31270.142689076452</v>
      </c>
      <c r="DM86" s="9">
        <f>DM63*'Shop Goals'!$K$64</f>
        <v>1957.7269421572353</v>
      </c>
      <c r="DN86" s="9">
        <f>DN63*'Shop Goals'!$K$44</f>
        <v>7127.6328132379622</v>
      </c>
      <c r="DO86" s="9">
        <f>DO63*'Shop Goals'!$K$84</f>
        <v>9296.8513950501801</v>
      </c>
      <c r="DP86" s="9">
        <f>DP63*'Shop Goals'!$K$164</f>
        <v>1301.3090280501617</v>
      </c>
      <c r="DQ86" s="9">
        <f>DQ63*'Shop Goals'!$K$104</f>
        <v>749.28902719346729</v>
      </c>
      <c r="DR86" s="9">
        <f>DR63*'Shop Goals'!$K$184</f>
        <v>1064.1676781502474</v>
      </c>
      <c r="DS86" s="2" t="s">
        <v>174</v>
      </c>
      <c r="DT86" s="9">
        <f>DT63*'Shop Goals'!$K$144</f>
        <v>1449.9969480699717</v>
      </c>
      <c r="DU86" s="9">
        <f>DU63*'Shop Goals'!$K$124</f>
        <v>5323.2028722689283</v>
      </c>
      <c r="DW86" s="11">
        <v>46204</v>
      </c>
      <c r="DX86" s="9">
        <f>DX63*'Research Goals'!$K$3</f>
        <v>512010.09126594698</v>
      </c>
      <c r="DY86" s="9">
        <f>DY63*'Research Goals'!$K$60</f>
        <v>28177.134445534837</v>
      </c>
      <c r="DZ86" s="9">
        <f>DZ63*'Research Goals'!$K$41</f>
        <v>129261.66503107622</v>
      </c>
      <c r="EA86" s="9">
        <f>EA63*'Research Goals'!$K$79</f>
        <v>151833.42819757931</v>
      </c>
      <c r="EB86" s="9">
        <f>EB63*'Research Goals'!$K$155</f>
        <v>22115.669283611383</v>
      </c>
      <c r="EC86" s="9">
        <f>EC63*'Research Goals'!$K$98</f>
        <v>13671.545632973503</v>
      </c>
      <c r="ED86" s="9">
        <f>ED63*'Research Goals'!$K$174</f>
        <v>12972.75269872424</v>
      </c>
      <c r="EE86" s="2" t="s">
        <v>174</v>
      </c>
      <c r="EF86" s="9">
        <f>EF63*'Research Goals'!$K$136</f>
        <v>18537.548904154399</v>
      </c>
      <c r="EG86" s="9">
        <f>EG63*'Research Goals'!$K$117</f>
        <v>56015.391887471378</v>
      </c>
      <c r="EH86" s="8"/>
      <c r="EI86" s="8"/>
      <c r="EJ86" s="8"/>
      <c r="EK86" s="8"/>
      <c r="EL86" s="5"/>
      <c r="FT86" s="9"/>
      <c r="FU86" s="9"/>
      <c r="FW86" s="5"/>
      <c r="FX86" s="5"/>
      <c r="GQ86" s="11">
        <v>46204</v>
      </c>
      <c r="GS86" s="55">
        <f>GS63*'Research Goals'!$K$99</f>
        <v>345.60306556381141</v>
      </c>
      <c r="GT86" s="55">
        <f>GT63*'Research Goals'!$K$118</f>
        <v>5966.6694705360069</v>
      </c>
      <c r="GU86" s="55">
        <f>GU63*'Research Goals'!$K$156</f>
        <v>3540.1317818589655</v>
      </c>
      <c r="GV86" s="55">
        <f>GV63*'Research Goals'!$K$175</f>
        <v>3938.6887237721389</v>
      </c>
      <c r="GW86" s="55">
        <f>GW63*'Research Goals'!$K$137</f>
        <v>1822.8066732090285</v>
      </c>
      <c r="GX86" s="55">
        <f>GX63*'Research Goals'!$K$80</f>
        <v>8311.9117715781103</v>
      </c>
      <c r="GY86" s="55">
        <f>GY63*'Research Goals'!$K$42</f>
        <v>10940.888826580682</v>
      </c>
      <c r="GZ86" s="55">
        <f>GZ63*'Research Goals'!$K$61</f>
        <v>1816.0942100098137</v>
      </c>
      <c r="HA86" s="55">
        <f>HA63*'Research Goals'!$K$4</f>
        <v>36691.708958362542</v>
      </c>
      <c r="HB86" s="5"/>
      <c r="HC86" s="11">
        <v>46204</v>
      </c>
      <c r="HD86" s="5">
        <f t="shared" ref="HD86" si="186">CZ86+DL86+BM86</f>
        <v>772784.31718718051</v>
      </c>
      <c r="HE86" s="5">
        <f t="shared" ref="HE86" si="187">DA86+DM86+BP86</f>
        <v>31692.220928013892</v>
      </c>
      <c r="HF86" s="5">
        <f t="shared" ref="HF86" si="188">DB86+DN86+BQ86</f>
        <v>142348.74706686655</v>
      </c>
      <c r="HG86" s="5">
        <f t="shared" ref="HG86" si="189">DC86+DO86+BR86</f>
        <v>184049.36371265823</v>
      </c>
      <c r="HH86" s="5">
        <f t="shared" ref="HH86" si="190">DD86+DP86+BS86</f>
        <v>29156.256631595734</v>
      </c>
      <c r="HI86" s="5">
        <f t="shared" ref="HI86" si="191">DE86+DQ86+BT86</f>
        <v>1986.5648852222939</v>
      </c>
      <c r="HJ86" s="5">
        <f t="shared" ref="HJ86" si="192">DF86+DR86+BU86</f>
        <v>12495.815968407496</v>
      </c>
      <c r="HK86" s="5" t="s">
        <v>174</v>
      </c>
      <c r="HL86" s="5">
        <f t="shared" ref="HL86" si="193">DH86+DT86+BW86</f>
        <v>10608.984898562057</v>
      </c>
      <c r="HM86" s="5">
        <f t="shared" ref="HM86" si="194">DI86+DU86+BX86</f>
        <v>81145.444849255364</v>
      </c>
      <c r="HO86" s="11">
        <v>46204</v>
      </c>
      <c r="HP86" s="5">
        <f>DX86+HA86</f>
        <v>548701.80022430955</v>
      </c>
      <c r="HQ86" s="5">
        <f t="shared" ref="HQ86" si="195">DY86+GZ86</f>
        <v>29993.228655544652</v>
      </c>
      <c r="HR86" s="5">
        <f t="shared" ref="HR86" si="196">DZ86+GY86</f>
        <v>140202.55385765689</v>
      </c>
      <c r="HS86" s="5">
        <f t="shared" ref="HS86" si="197">EA86+GX86</f>
        <v>160145.33996915742</v>
      </c>
      <c r="HT86" s="5">
        <f t="shared" ref="HT86" si="198">EB86+GU86</f>
        <v>25655.80106547035</v>
      </c>
      <c r="HU86" s="5">
        <f t="shared" ref="HU86" si="199">EC86+GS86</f>
        <v>14017.148698537314</v>
      </c>
      <c r="HV86" s="5">
        <f t="shared" ref="HV86" si="200">ED86+GV86</f>
        <v>16911.44142249638</v>
      </c>
      <c r="HW86" s="5" t="s">
        <v>174</v>
      </c>
      <c r="HX86" s="5">
        <f t="shared" ref="HX86" si="201">EF86+GW86</f>
        <v>20360.355577363429</v>
      </c>
      <c r="HY86" s="5">
        <f t="shared" ref="HY86" si="202">EG86+GT86</f>
        <v>61982.061358007384</v>
      </c>
    </row>
    <row r="87" spans="3:234">
      <c r="AM87" s="9"/>
      <c r="AN87" s="9"/>
      <c r="AO87" s="9"/>
      <c r="AP87" s="9"/>
      <c r="AQ87" s="9"/>
      <c r="AW87" s="5"/>
      <c r="AX87" s="5"/>
      <c r="DB87" s="5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5"/>
      <c r="EB87" s="5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5"/>
      <c r="EN87" s="8"/>
      <c r="EO87" s="5"/>
      <c r="FW87" s="5"/>
      <c r="FX87" s="5"/>
      <c r="GQ87" s="11">
        <v>46235</v>
      </c>
      <c r="HC87" s="11">
        <v>46235</v>
      </c>
      <c r="HO87" s="11">
        <v>46235</v>
      </c>
    </row>
    <row r="88" spans="3:234">
      <c r="AP88" s="9"/>
      <c r="AQ88" s="9"/>
      <c r="AW88" s="5"/>
      <c r="AX88" s="5"/>
      <c r="FW88" s="5"/>
      <c r="FX88" s="5"/>
      <c r="GQ88" s="11">
        <v>46266</v>
      </c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11">
        <v>46266</v>
      </c>
      <c r="HO88" s="11">
        <v>46266</v>
      </c>
    </row>
    <row r="89" spans="3:234">
      <c r="AW89" s="5"/>
      <c r="AX89" s="5"/>
      <c r="FW89" s="5"/>
      <c r="FX89" s="5"/>
      <c r="HC89" s="11">
        <v>46296</v>
      </c>
      <c r="HO89" s="11">
        <v>46296</v>
      </c>
    </row>
    <row r="90" spans="3:234">
      <c r="AW90" s="5"/>
      <c r="AX90" s="5"/>
      <c r="CM90" s="5"/>
      <c r="CY90" s="5"/>
      <c r="DK90" s="5"/>
      <c r="DW90" s="5"/>
      <c r="EI90" s="5"/>
      <c r="EU90" s="5"/>
      <c r="FW90" s="5"/>
      <c r="FX90" s="5"/>
      <c r="HC90" s="11">
        <v>46327</v>
      </c>
      <c r="HO90" s="11">
        <v>46327</v>
      </c>
    </row>
    <row r="91" spans="3:234">
      <c r="AW91" s="5"/>
      <c r="AX91" s="5"/>
      <c r="CM91" s="5"/>
      <c r="CY91" s="5"/>
      <c r="DK91" s="5"/>
      <c r="DW91" s="5"/>
      <c r="EI91" s="5"/>
      <c r="EU91" s="5"/>
      <c r="FW91" s="5"/>
      <c r="FX91" s="5"/>
      <c r="HO91" s="11">
        <v>46357</v>
      </c>
    </row>
    <row r="92" spans="3:234">
      <c r="AW92" s="5"/>
      <c r="AX92" s="5"/>
      <c r="CM92" s="5"/>
      <c r="CY92" s="5"/>
      <c r="DK92" s="5"/>
      <c r="DW92" s="5"/>
    </row>
    <row r="93" spans="3:234">
      <c r="AW93" s="5"/>
      <c r="AX93" s="5"/>
    </row>
    <row r="94" spans="3:234">
      <c r="C94" s="9"/>
      <c r="O94" s="9"/>
      <c r="AF94" s="32"/>
      <c r="AG94" s="5"/>
      <c r="AH94" s="5"/>
      <c r="AI94" s="5"/>
      <c r="AW94" s="5"/>
      <c r="AX94" s="5"/>
    </row>
    <row r="95" spans="3:234">
      <c r="AF95" s="32"/>
      <c r="AG95" s="5"/>
      <c r="AH95" s="5"/>
      <c r="AI95" s="5"/>
      <c r="AJ95" s="32"/>
      <c r="AM95" s="14"/>
      <c r="AW95" s="5"/>
      <c r="AX95" s="5"/>
      <c r="HD95" s="5"/>
      <c r="HF95" s="5"/>
      <c r="HG95" s="5"/>
      <c r="HH95" s="5"/>
      <c r="HP95" s="55"/>
    </row>
    <row r="96" spans="3:234">
      <c r="AF96" s="32"/>
      <c r="AG96" s="5"/>
      <c r="AH96" s="5"/>
      <c r="AI96" s="5"/>
      <c r="AJ96" s="32"/>
      <c r="AM96" s="14"/>
      <c r="AW96" s="5"/>
      <c r="AX96" s="5"/>
      <c r="HD96" s="5"/>
      <c r="HE96" s="5"/>
      <c r="HH96" s="5"/>
    </row>
    <row r="97" spans="12:232">
      <c r="AF97" s="32"/>
      <c r="AG97" s="5"/>
      <c r="AH97" s="5"/>
      <c r="AI97" s="5"/>
      <c r="AJ97" s="32"/>
      <c r="AM97" s="14"/>
      <c r="AW97" s="5"/>
      <c r="AX97" s="5"/>
      <c r="AZ97" s="4"/>
    </row>
    <row r="98" spans="12:232">
      <c r="AF98" s="32"/>
      <c r="AG98" s="5"/>
      <c r="AH98" s="5"/>
      <c r="AI98" s="5"/>
      <c r="AJ98" s="32"/>
      <c r="AM98" s="14"/>
      <c r="AW98" s="5"/>
      <c r="AX98" s="5"/>
      <c r="HC98" s="5"/>
      <c r="HD98" s="5"/>
      <c r="HE98" s="5"/>
      <c r="HF98" s="5"/>
      <c r="HG98" s="5"/>
      <c r="HX98" s="55"/>
    </row>
    <row r="99" spans="12:232">
      <c r="AF99" s="32"/>
      <c r="AG99" s="5"/>
      <c r="AH99" s="5"/>
      <c r="AI99" s="5"/>
      <c r="AW99" s="5"/>
      <c r="AX99" s="5"/>
      <c r="BA99" s="26"/>
    </row>
    <row r="100" spans="12:232">
      <c r="AF100" s="32"/>
      <c r="AG100" s="5"/>
      <c r="AH100" s="5"/>
      <c r="AI100" s="5"/>
      <c r="AW100" s="5"/>
      <c r="AX100" s="5"/>
      <c r="HC100" s="5"/>
      <c r="HG100" s="5"/>
    </row>
    <row r="101" spans="12:232">
      <c r="AF101" s="32"/>
      <c r="AG101" s="5"/>
      <c r="AH101" s="5"/>
      <c r="AI101" s="5"/>
      <c r="AM101" s="14"/>
      <c r="HG101" s="5"/>
    </row>
    <row r="102" spans="12:232">
      <c r="AF102" s="32"/>
      <c r="AG102" s="5"/>
      <c r="AH102" s="5"/>
      <c r="AI102" s="5"/>
      <c r="AM102" s="14"/>
      <c r="HC102" s="55"/>
      <c r="HD102" s="55"/>
      <c r="HE102" s="55"/>
      <c r="HF102" s="55"/>
      <c r="HI102" s="55"/>
      <c r="HJ102" s="55"/>
      <c r="HK102" s="55"/>
      <c r="HL102" s="55"/>
    </row>
    <row r="103" spans="12:232">
      <c r="AF103" s="32"/>
      <c r="AG103" s="5"/>
      <c r="AH103" s="5"/>
      <c r="AI103" s="5"/>
      <c r="AM103" s="14"/>
      <c r="HC103" s="55"/>
      <c r="HD103" s="55"/>
      <c r="HE103" s="55"/>
      <c r="HF103" s="55"/>
      <c r="HI103" s="55"/>
      <c r="HJ103" s="55"/>
      <c r="HK103" s="55"/>
      <c r="HL103" s="55"/>
    </row>
    <row r="104" spans="12:232">
      <c r="AF104" s="32"/>
      <c r="AG104" s="5"/>
      <c r="AH104" s="5"/>
      <c r="AI104" s="5"/>
      <c r="AM104" s="14"/>
      <c r="HC104" s="55"/>
      <c r="HD104" s="55"/>
      <c r="HE104" s="55"/>
      <c r="HF104" s="55"/>
      <c r="HI104" s="55"/>
      <c r="HJ104" s="55"/>
      <c r="HK104" s="55"/>
      <c r="HL104" s="55"/>
    </row>
    <row r="105" spans="12:232">
      <c r="L105" s="15"/>
      <c r="X105" s="15"/>
      <c r="Y105" s="15"/>
      <c r="Z105" s="15"/>
      <c r="AA105" s="15"/>
      <c r="AF105" s="32"/>
      <c r="AG105" s="5"/>
      <c r="AH105" s="5"/>
      <c r="AI105" s="5"/>
      <c r="BJ105" s="15"/>
      <c r="BK105" s="15"/>
      <c r="BL105" s="36"/>
      <c r="HC105" s="55"/>
      <c r="HD105" s="55"/>
      <c r="HE105" s="55"/>
      <c r="HF105" s="55"/>
      <c r="HI105" s="55"/>
      <c r="HJ105" s="55"/>
      <c r="HK105" s="55"/>
      <c r="HL105" s="55"/>
    </row>
    <row r="106" spans="12:232">
      <c r="L106" s="15"/>
      <c r="X106" s="15"/>
      <c r="Y106" s="15"/>
      <c r="Z106" s="15"/>
      <c r="AA106" s="15"/>
      <c r="AF106" s="32"/>
      <c r="AG106" s="5"/>
      <c r="AH106" s="5"/>
      <c r="AI106" s="5"/>
      <c r="BJ106" s="15"/>
      <c r="BK106" s="15"/>
      <c r="BL106" s="36"/>
      <c r="HC106" s="55"/>
      <c r="HD106" s="55"/>
      <c r="HE106" s="55"/>
      <c r="HF106" s="55"/>
      <c r="HI106" s="55"/>
      <c r="HJ106" s="55"/>
      <c r="HK106" s="55"/>
      <c r="HL106" s="55"/>
    </row>
    <row r="107" spans="12:232">
      <c r="L107" s="15"/>
      <c r="X107" s="15"/>
      <c r="Y107" s="15"/>
      <c r="Z107" s="15"/>
      <c r="AA107" s="15"/>
      <c r="AF107" s="32"/>
      <c r="AG107" s="5"/>
      <c r="AH107" s="5"/>
      <c r="AI107" s="5"/>
      <c r="BA107" s="26"/>
      <c r="BJ107" s="15"/>
      <c r="BK107" s="15"/>
      <c r="BL107" s="36"/>
      <c r="HC107" s="55"/>
      <c r="HD107" s="55"/>
      <c r="HE107" s="55"/>
      <c r="HF107" s="55"/>
      <c r="HI107" s="55"/>
      <c r="HJ107" s="55"/>
      <c r="HK107" s="55"/>
      <c r="HL107" s="55"/>
    </row>
    <row r="108" spans="12:232">
      <c r="L108" s="15"/>
      <c r="X108" s="15"/>
      <c r="Y108" s="15"/>
      <c r="Z108" s="15"/>
      <c r="AA108" s="15"/>
      <c r="AF108" s="32"/>
      <c r="AG108" s="5"/>
      <c r="AH108" s="5"/>
      <c r="AI108" s="5"/>
      <c r="BJ108" s="15"/>
      <c r="BK108" s="15"/>
      <c r="BL108" s="36"/>
      <c r="HC108" s="55"/>
      <c r="HD108" s="55"/>
      <c r="HE108" s="55"/>
      <c r="HF108" s="55"/>
      <c r="HG108" s="55"/>
      <c r="HH108" s="55"/>
      <c r="HI108" s="55"/>
      <c r="HJ108" s="55"/>
      <c r="HK108" s="55"/>
    </row>
    <row r="109" spans="12:232">
      <c r="L109" s="15"/>
      <c r="X109" s="15"/>
      <c r="Y109" s="15"/>
      <c r="Z109" s="15"/>
      <c r="AA109" s="15"/>
      <c r="BJ109" s="15"/>
      <c r="BK109" s="15"/>
      <c r="BL109" s="36"/>
      <c r="HC109" s="55"/>
      <c r="HD109" s="55"/>
      <c r="HE109" s="55"/>
      <c r="HF109" s="55"/>
      <c r="HI109" s="55"/>
      <c r="HJ109" s="55"/>
      <c r="HK109" s="55"/>
      <c r="HL109" s="55"/>
    </row>
    <row r="110" spans="12:232">
      <c r="HP110" s="55"/>
    </row>
    <row r="111" spans="12:232">
      <c r="HJ111" s="5"/>
      <c r="HL111" s="5"/>
      <c r="HP111" s="55"/>
    </row>
    <row r="112" spans="12:232">
      <c r="HJ112" s="5"/>
      <c r="HP112" s="55"/>
    </row>
    <row r="113" spans="164:224"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HP113" s="55"/>
    </row>
    <row r="114" spans="164:224"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HL114" s="5"/>
      <c r="HN114" s="5"/>
      <c r="HO114" s="5"/>
    </row>
    <row r="115" spans="164:224"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HJ115" s="5"/>
    </row>
    <row r="116" spans="164:224">
      <c r="HP116" s="55"/>
    </row>
    <row r="117" spans="164:224">
      <c r="HP117" s="55"/>
    </row>
    <row r="118" spans="164:224">
      <c r="HI118" s="55"/>
      <c r="HP118" s="55"/>
    </row>
    <row r="119" spans="164:224">
      <c r="HI119" s="55"/>
      <c r="HP119" s="55"/>
    </row>
    <row r="120" spans="164:224">
      <c r="HI120" s="55"/>
    </row>
  </sheetData>
  <mergeCells count="53">
    <mergeCell ref="HB45:HB58"/>
    <mergeCell ref="N1:X1"/>
    <mergeCell ref="Z1:AJ1"/>
    <mergeCell ref="AL1:AV1"/>
    <mergeCell ref="AX1:BH1"/>
    <mergeCell ref="BJ1:BK1"/>
    <mergeCell ref="BO7:BX7"/>
    <mergeCell ref="BO1:BY1"/>
    <mergeCell ref="FG7:FQ7"/>
    <mergeCell ref="FS7:GC7"/>
    <mergeCell ref="GF7:GO7"/>
    <mergeCell ref="GQ7:HA7"/>
    <mergeCell ref="N7:X7"/>
    <mergeCell ref="Z7:AJ7"/>
    <mergeCell ref="AL7:AV7"/>
    <mergeCell ref="AX7:BH7"/>
    <mergeCell ref="HC1:HM1"/>
    <mergeCell ref="HO1:HY1"/>
    <mergeCell ref="CM1:CW1"/>
    <mergeCell ref="CY1:DI1"/>
    <mergeCell ref="DK1:DU1"/>
    <mergeCell ref="DW1:EG1"/>
    <mergeCell ref="EI1:ES1"/>
    <mergeCell ref="EU1:FE1"/>
    <mergeCell ref="FG1:FQ1"/>
    <mergeCell ref="FS1:GC1"/>
    <mergeCell ref="GF1:GO1"/>
    <mergeCell ref="GQ1:HA1"/>
    <mergeCell ref="HO7:HY7"/>
    <mergeCell ref="CM7:CW7"/>
    <mergeCell ref="BJ7:BK7"/>
    <mergeCell ref="HC7:HM7"/>
    <mergeCell ref="CY7:DI7"/>
    <mergeCell ref="DK7:DU7"/>
    <mergeCell ref="DW7:EG7"/>
    <mergeCell ref="EI7:ES7"/>
    <mergeCell ref="EU7:FE7"/>
    <mergeCell ref="CA1:CK1"/>
    <mergeCell ref="CA7:CK7"/>
    <mergeCell ref="B1:L1"/>
    <mergeCell ref="B7:L7"/>
    <mergeCell ref="HO66:HY66"/>
    <mergeCell ref="CY66:DU66"/>
    <mergeCell ref="BM66:BY66"/>
    <mergeCell ref="HC66:HM66"/>
    <mergeCell ref="GQ66:HA66"/>
    <mergeCell ref="DW66:EG66"/>
    <mergeCell ref="GD45:GD51"/>
    <mergeCell ref="AW46:AW49"/>
    <mergeCell ref="FF47:FF51"/>
    <mergeCell ref="FR47:FR51"/>
    <mergeCell ref="FF54:FF55"/>
    <mergeCell ref="FR54:FR55"/>
  </mergeCells>
  <phoneticPr fontId="2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6BC9-8935-AF4C-A8AC-75500585B154}">
  <sheetPr>
    <tabColor theme="0" tint="-0.34998626667073579"/>
  </sheetPr>
  <dimension ref="B1:HY134"/>
  <sheetViews>
    <sheetView zoomScale="81" zoomScaleNormal="90" workbookViewId="0">
      <pane ySplit="4" topLeftCell="A6" activePane="bottomLeft" state="frozen"/>
      <selection activeCell="X1" sqref="X1"/>
      <selection pane="bottomLeft" activeCell="H33" sqref="H33"/>
    </sheetView>
  </sheetViews>
  <sheetFormatPr baseColWidth="10" defaultColWidth="8.83203125" defaultRowHeight="14"/>
  <cols>
    <col min="1" max="1" width="3.1640625" style="2" customWidth="1"/>
    <col min="2" max="12" width="11.1640625" style="2" customWidth="1"/>
    <col min="13" max="13" width="2.6640625" style="2" customWidth="1"/>
    <col min="14" max="26" width="11.1640625" style="2" customWidth="1"/>
    <col min="27" max="29" width="11.5" style="2" customWidth="1"/>
    <col min="30" max="30" width="10.5" style="2" customWidth="1"/>
    <col min="31" max="31" width="13.5" style="2" customWidth="1"/>
    <col min="32" max="32" width="10.5" style="2" customWidth="1"/>
    <col min="33" max="33" width="12.5" style="2" customWidth="1"/>
    <col min="34" max="34" width="11.5" style="2" customWidth="1"/>
    <col min="35" max="35" width="11.6640625" style="2" customWidth="1"/>
    <col min="36" max="36" width="12.33203125" style="2" customWidth="1"/>
    <col min="37" max="38" width="11.1640625" style="2" customWidth="1"/>
    <col min="39" max="48" width="11.6640625" style="2" customWidth="1"/>
    <col min="49" max="50" width="11.1640625" style="2" customWidth="1"/>
    <col min="51" max="61" width="11.33203125" style="2" customWidth="1"/>
    <col min="62" max="63" width="11.1640625" style="2" customWidth="1"/>
    <col min="64" max="64" width="2.83203125" style="2" customWidth="1"/>
    <col min="65" max="65" width="11.5" style="2" customWidth="1"/>
    <col min="66" max="66" width="2.6640625" style="2" customWidth="1"/>
    <col min="67" max="69" width="11.5" style="2" customWidth="1"/>
    <col min="70" max="70" width="14.1640625" style="2" bestFit="1" customWidth="1"/>
    <col min="71" max="78" width="11.5" style="2" customWidth="1"/>
    <col min="79" max="150" width="11.33203125" style="2" customWidth="1"/>
    <col min="151" max="161" width="11.33203125" style="2" hidden="1" customWidth="1"/>
    <col min="162" max="162" width="11.1640625" style="2" hidden="1" customWidth="1"/>
    <col min="163" max="173" width="11.5" style="2" hidden="1" customWidth="1"/>
    <col min="174" max="174" width="11.1640625" style="2" hidden="1" customWidth="1"/>
    <col min="175" max="186" width="11.1640625" style="2" customWidth="1"/>
    <col min="187" max="198" width="11.1640625" style="2" hidden="1" customWidth="1"/>
    <col min="199" max="201" width="11.1640625" style="2" customWidth="1"/>
    <col min="202" max="208" width="8.83203125" style="2"/>
    <col min="209" max="209" width="9.6640625" style="2" bestFit="1" customWidth="1"/>
    <col min="210" max="211" width="8.83203125" style="2"/>
    <col min="212" max="212" width="9.5" style="2" bestFit="1" customWidth="1"/>
    <col min="213" max="213" width="8.83203125" style="2"/>
    <col min="214" max="214" width="9.6640625" style="2" bestFit="1" customWidth="1"/>
    <col min="215" max="16384" width="8.83203125" style="2"/>
  </cols>
  <sheetData>
    <row r="1" spans="2:233">
      <c r="I1" s="774" t="s">
        <v>375</v>
      </c>
      <c r="J1" s="774"/>
      <c r="K1" s="774"/>
      <c r="L1" s="774"/>
      <c r="U1" s="774" t="s">
        <v>375</v>
      </c>
      <c r="V1" s="774"/>
      <c r="W1" s="774"/>
      <c r="X1" s="774"/>
      <c r="AG1" s="775" t="s">
        <v>376</v>
      </c>
      <c r="AH1" s="775"/>
      <c r="AI1" s="775"/>
      <c r="AJ1" s="775"/>
      <c r="AS1" s="776" t="s">
        <v>375</v>
      </c>
      <c r="AT1" s="776"/>
      <c r="AU1" s="776"/>
      <c r="AV1" s="776"/>
      <c r="BE1" s="777" t="s">
        <v>377</v>
      </c>
      <c r="BF1" s="777"/>
      <c r="BG1" s="777"/>
      <c r="BH1" s="777"/>
      <c r="BV1" s="776" t="s">
        <v>375</v>
      </c>
      <c r="BW1" s="776"/>
      <c r="BX1" s="776"/>
      <c r="BY1" s="776"/>
      <c r="CH1" s="777" t="s">
        <v>378</v>
      </c>
      <c r="CI1" s="777"/>
      <c r="CJ1" s="777"/>
      <c r="CK1" s="777"/>
      <c r="CT1" s="777" t="s">
        <v>379</v>
      </c>
      <c r="CU1" s="777"/>
      <c r="CV1" s="777"/>
      <c r="CW1" s="777"/>
      <c r="DF1" s="777" t="s">
        <v>379</v>
      </c>
      <c r="DG1" s="777"/>
      <c r="DH1" s="777"/>
      <c r="DI1" s="777"/>
      <c r="DR1" s="777" t="s">
        <v>380</v>
      </c>
      <c r="DS1" s="777"/>
      <c r="DT1" s="777"/>
      <c r="DU1" s="777"/>
      <c r="ED1" s="777" t="s">
        <v>381</v>
      </c>
      <c r="EE1" s="777"/>
      <c r="EF1" s="777"/>
      <c r="EG1" s="777"/>
      <c r="EP1" s="777" t="s">
        <v>382</v>
      </c>
      <c r="EQ1" s="777"/>
      <c r="ER1" s="777"/>
      <c r="ES1" s="777"/>
      <c r="FZ1" s="777" t="s">
        <v>381</v>
      </c>
      <c r="GA1" s="777"/>
      <c r="GB1" s="777"/>
      <c r="GC1" s="777"/>
      <c r="GX1" s="777" t="s">
        <v>380</v>
      </c>
      <c r="GY1" s="777"/>
      <c r="GZ1" s="777"/>
      <c r="HA1" s="777"/>
      <c r="HJ1" s="777" t="s">
        <v>381</v>
      </c>
      <c r="HK1" s="777"/>
      <c r="HL1" s="777"/>
      <c r="HM1" s="777"/>
      <c r="HV1" s="777" t="s">
        <v>381</v>
      </c>
      <c r="HW1" s="777"/>
      <c r="HX1" s="777"/>
      <c r="HY1" s="777"/>
    </row>
    <row r="2" spans="2:233">
      <c r="I2" s="774"/>
      <c r="J2" s="774"/>
      <c r="K2" s="774"/>
      <c r="L2" s="774"/>
      <c r="U2" s="774"/>
      <c r="V2" s="774"/>
      <c r="W2" s="774"/>
      <c r="X2" s="774"/>
      <c r="AG2" s="775"/>
      <c r="AH2" s="775"/>
      <c r="AI2" s="775"/>
      <c r="AJ2" s="775"/>
      <c r="AS2" s="776"/>
      <c r="AT2" s="776"/>
      <c r="AU2" s="776"/>
      <c r="AV2" s="776"/>
      <c r="BE2" s="777"/>
      <c r="BF2" s="777"/>
      <c r="BG2" s="777"/>
      <c r="BH2" s="777"/>
      <c r="BV2" s="776"/>
      <c r="BW2" s="776"/>
      <c r="BX2" s="776"/>
      <c r="BY2" s="776"/>
      <c r="CH2" s="777"/>
      <c r="CI2" s="777"/>
      <c r="CJ2" s="777"/>
      <c r="CK2" s="777"/>
      <c r="CT2" s="777"/>
      <c r="CU2" s="777"/>
      <c r="CV2" s="777"/>
      <c r="CW2" s="777"/>
      <c r="DF2" s="777"/>
      <c r="DG2" s="777"/>
      <c r="DH2" s="777"/>
      <c r="DI2" s="777"/>
      <c r="DR2" s="777"/>
      <c r="DS2" s="777"/>
      <c r="DT2" s="777"/>
      <c r="DU2" s="777"/>
      <c r="ED2" s="777"/>
      <c r="EE2" s="777"/>
      <c r="EF2" s="777"/>
      <c r="EG2" s="777"/>
      <c r="EP2" s="777"/>
      <c r="EQ2" s="777"/>
      <c r="ER2" s="777"/>
      <c r="ES2" s="777"/>
      <c r="FZ2" s="777"/>
      <c r="GA2" s="777"/>
      <c r="GB2" s="777"/>
      <c r="GC2" s="777"/>
      <c r="GX2" s="777"/>
      <c r="GY2" s="777"/>
      <c r="GZ2" s="777"/>
      <c r="HA2" s="777"/>
      <c r="HJ2" s="777"/>
      <c r="HK2" s="777"/>
      <c r="HL2" s="777"/>
      <c r="HM2" s="777"/>
      <c r="HV2" s="777"/>
      <c r="HW2" s="777"/>
      <c r="HX2" s="777"/>
      <c r="HY2" s="777"/>
    </row>
    <row r="3" spans="2:233" ht="16" customHeight="1">
      <c r="B3" s="551" t="s">
        <v>0</v>
      </c>
      <c r="C3" s="551"/>
      <c r="D3" s="551"/>
      <c r="E3" s="551"/>
      <c r="F3" s="551"/>
      <c r="G3" s="551"/>
      <c r="H3" s="551"/>
      <c r="I3" s="551"/>
      <c r="J3" s="551"/>
      <c r="K3" s="551"/>
      <c r="L3" s="551"/>
      <c r="N3" s="551" t="s">
        <v>127</v>
      </c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3"/>
      <c r="Z3" s="555" t="s">
        <v>2</v>
      </c>
      <c r="AA3" s="555"/>
      <c r="AB3" s="555"/>
      <c r="AC3" s="555"/>
      <c r="AD3" s="555"/>
      <c r="AE3" s="555"/>
      <c r="AF3" s="555"/>
      <c r="AG3" s="555"/>
      <c r="AH3" s="555"/>
      <c r="AI3" s="555"/>
      <c r="AJ3" s="555"/>
      <c r="AL3" s="552" t="s">
        <v>3</v>
      </c>
      <c r="AM3" s="552"/>
      <c r="AN3" s="552"/>
      <c r="AO3" s="552"/>
      <c r="AP3" s="552"/>
      <c r="AQ3" s="552"/>
      <c r="AR3" s="552"/>
      <c r="AS3" s="552"/>
      <c r="AT3" s="552"/>
      <c r="AU3" s="552"/>
      <c r="AV3" s="552"/>
      <c r="AW3" s="3"/>
      <c r="AX3" s="555" t="s">
        <v>4</v>
      </c>
      <c r="AY3" s="555"/>
      <c r="AZ3" s="555"/>
      <c r="BA3" s="555"/>
      <c r="BB3" s="555"/>
      <c r="BC3" s="555"/>
      <c r="BD3" s="555"/>
      <c r="BE3" s="555"/>
      <c r="BF3" s="555"/>
      <c r="BG3" s="555"/>
      <c r="BH3" s="555"/>
      <c r="BI3" s="3"/>
      <c r="BJ3" s="554" t="s">
        <v>5</v>
      </c>
      <c r="BK3" s="554"/>
      <c r="BL3" s="4"/>
      <c r="BM3" s="59" t="s">
        <v>6</v>
      </c>
      <c r="BN3" s="4"/>
      <c r="BO3" s="554" t="s">
        <v>7</v>
      </c>
      <c r="BP3" s="554"/>
      <c r="BQ3" s="554"/>
      <c r="BR3" s="554"/>
      <c r="BS3" s="554"/>
      <c r="BT3" s="554"/>
      <c r="BU3" s="554"/>
      <c r="BV3" s="554"/>
      <c r="BW3" s="554"/>
      <c r="BX3" s="554"/>
      <c r="BY3" s="554"/>
      <c r="BZ3" s="4"/>
      <c r="CA3" s="555" t="s">
        <v>128</v>
      </c>
      <c r="CB3" s="555"/>
      <c r="CC3" s="555"/>
      <c r="CD3" s="555"/>
      <c r="CE3" s="555"/>
      <c r="CF3" s="555"/>
      <c r="CG3" s="555"/>
      <c r="CH3" s="555"/>
      <c r="CI3" s="555"/>
      <c r="CJ3" s="555"/>
      <c r="CK3" s="555"/>
      <c r="CL3" s="3"/>
      <c r="CM3" s="555" t="s">
        <v>178</v>
      </c>
      <c r="CN3" s="555"/>
      <c r="CO3" s="555"/>
      <c r="CP3" s="555"/>
      <c r="CQ3" s="555"/>
      <c r="CR3" s="555"/>
      <c r="CS3" s="555"/>
      <c r="CT3" s="555"/>
      <c r="CU3" s="555"/>
      <c r="CV3" s="555"/>
      <c r="CW3" s="555"/>
      <c r="CX3" s="3"/>
      <c r="CY3" s="557" t="s">
        <v>179</v>
      </c>
      <c r="CZ3" s="557"/>
      <c r="DA3" s="557"/>
      <c r="DB3" s="557"/>
      <c r="DC3" s="557"/>
      <c r="DD3" s="557"/>
      <c r="DE3" s="557"/>
      <c r="DF3" s="557"/>
      <c r="DG3" s="557"/>
      <c r="DH3" s="557"/>
      <c r="DI3" s="557"/>
      <c r="DJ3" s="3"/>
      <c r="DK3" s="558" t="s">
        <v>10</v>
      </c>
      <c r="DL3" s="558"/>
      <c r="DM3" s="558"/>
      <c r="DN3" s="558"/>
      <c r="DO3" s="558"/>
      <c r="DP3" s="558"/>
      <c r="DQ3" s="558"/>
      <c r="DR3" s="558"/>
      <c r="DS3" s="558"/>
      <c r="DT3" s="558"/>
      <c r="DU3" s="558"/>
      <c r="DV3" s="3"/>
      <c r="DW3" s="553" t="s">
        <v>11</v>
      </c>
      <c r="DX3" s="553"/>
      <c r="DY3" s="553"/>
      <c r="DZ3" s="553"/>
      <c r="EA3" s="553"/>
      <c r="EB3" s="553"/>
      <c r="EC3" s="553"/>
      <c r="ED3" s="553"/>
      <c r="EE3" s="553"/>
      <c r="EF3" s="553"/>
      <c r="EG3" s="553"/>
      <c r="EH3" s="3"/>
      <c r="EI3" s="553" t="s">
        <v>12</v>
      </c>
      <c r="EJ3" s="553"/>
      <c r="EK3" s="553"/>
      <c r="EL3" s="553"/>
      <c r="EM3" s="553"/>
      <c r="EN3" s="553"/>
      <c r="EO3" s="553"/>
      <c r="EP3" s="553"/>
      <c r="EQ3" s="553"/>
      <c r="ER3" s="553"/>
      <c r="ES3" s="553"/>
      <c r="ET3" s="3"/>
      <c r="EU3" s="556" t="s">
        <v>129</v>
      </c>
      <c r="EV3" s="556"/>
      <c r="EW3" s="556"/>
      <c r="EX3" s="556"/>
      <c r="EY3" s="556"/>
      <c r="EZ3" s="556"/>
      <c r="FA3" s="556"/>
      <c r="FB3" s="556"/>
      <c r="FC3" s="556"/>
      <c r="FD3" s="556"/>
      <c r="FE3" s="556"/>
      <c r="FF3" s="3"/>
      <c r="FG3" s="556" t="s">
        <v>130</v>
      </c>
      <c r="FH3" s="556"/>
      <c r="FI3" s="556"/>
      <c r="FJ3" s="556"/>
      <c r="FK3" s="556"/>
      <c r="FL3" s="556"/>
      <c r="FM3" s="556"/>
      <c r="FN3" s="556"/>
      <c r="FO3" s="556"/>
      <c r="FP3" s="556"/>
      <c r="FQ3" s="556"/>
      <c r="FR3" s="3"/>
      <c r="FS3" s="555" t="s">
        <v>13</v>
      </c>
      <c r="FT3" s="555"/>
      <c r="FU3" s="555"/>
      <c r="FV3" s="555"/>
      <c r="FW3" s="555"/>
      <c r="FX3" s="555"/>
      <c r="FY3" s="555"/>
      <c r="FZ3" s="555"/>
      <c r="GA3" s="555"/>
      <c r="GB3" s="555"/>
      <c r="GC3" s="555"/>
      <c r="GF3" s="552" t="s">
        <v>131</v>
      </c>
      <c r="GG3" s="552"/>
      <c r="GH3" s="552"/>
      <c r="GI3" s="552"/>
      <c r="GJ3" s="552"/>
      <c r="GK3" s="552"/>
      <c r="GL3" s="552"/>
      <c r="GM3" s="552"/>
      <c r="GN3" s="552"/>
      <c r="GO3" s="552"/>
      <c r="GP3" s="4"/>
      <c r="GQ3" s="557" t="s">
        <v>14</v>
      </c>
      <c r="GR3" s="557"/>
      <c r="GS3" s="557"/>
      <c r="GT3" s="557"/>
      <c r="GU3" s="557"/>
      <c r="GV3" s="557"/>
      <c r="GW3" s="557"/>
      <c r="GX3" s="557"/>
      <c r="GY3" s="557"/>
      <c r="GZ3" s="557"/>
      <c r="HA3" s="557"/>
      <c r="HC3" s="559" t="s">
        <v>15</v>
      </c>
      <c r="HD3" s="559"/>
      <c r="HE3" s="559"/>
      <c r="HF3" s="559"/>
      <c r="HG3" s="559"/>
      <c r="HH3" s="559"/>
      <c r="HI3" s="559"/>
      <c r="HJ3" s="559"/>
      <c r="HK3" s="559"/>
      <c r="HL3" s="559"/>
      <c r="HM3" s="559"/>
      <c r="HO3" s="559" t="s">
        <v>16</v>
      </c>
      <c r="HP3" s="559"/>
      <c r="HQ3" s="559"/>
      <c r="HR3" s="559"/>
      <c r="HS3" s="559"/>
      <c r="HT3" s="559"/>
      <c r="HU3" s="559"/>
      <c r="HV3" s="559"/>
      <c r="HW3" s="559"/>
      <c r="HX3" s="559"/>
      <c r="HY3" s="559"/>
    </row>
    <row r="4" spans="2:233">
      <c r="C4" s="2" t="s">
        <v>132</v>
      </c>
      <c r="D4" s="2" t="s">
        <v>133</v>
      </c>
      <c r="E4" s="2" t="s">
        <v>134</v>
      </c>
      <c r="F4" s="2" t="s">
        <v>135</v>
      </c>
      <c r="G4" s="2" t="s">
        <v>136</v>
      </c>
      <c r="H4" s="2" t="s">
        <v>137</v>
      </c>
      <c r="I4" s="2" t="s">
        <v>138</v>
      </c>
      <c r="J4" s="2" t="s">
        <v>139</v>
      </c>
      <c r="K4" s="2" t="s">
        <v>140</v>
      </c>
      <c r="L4" s="2" t="s">
        <v>141</v>
      </c>
      <c r="O4" s="2" t="s">
        <v>132</v>
      </c>
      <c r="P4" s="2" t="s">
        <v>133</v>
      </c>
      <c r="Q4" s="2" t="s">
        <v>134</v>
      </c>
      <c r="R4" s="2" t="s">
        <v>135</v>
      </c>
      <c r="S4" s="2" t="s">
        <v>136</v>
      </c>
      <c r="T4" s="2" t="s">
        <v>137</v>
      </c>
      <c r="U4" s="2" t="s">
        <v>138</v>
      </c>
      <c r="V4" s="2" t="s">
        <v>139</v>
      </c>
      <c r="W4" s="2" t="s">
        <v>140</v>
      </c>
      <c r="X4" s="2" t="s">
        <v>141</v>
      </c>
      <c r="AA4" s="2" t="s">
        <v>96</v>
      </c>
      <c r="AB4" s="2" t="s">
        <v>97</v>
      </c>
      <c r="AC4" s="2" t="s">
        <v>94</v>
      </c>
      <c r="AD4" s="2" t="s">
        <v>89</v>
      </c>
      <c r="AE4" s="2" t="s">
        <v>142</v>
      </c>
      <c r="AF4" s="2" t="s">
        <v>92</v>
      </c>
      <c r="AG4" s="2" t="s">
        <v>143</v>
      </c>
      <c r="AH4" s="2" t="s">
        <v>93</v>
      </c>
      <c r="AI4" s="2" t="s">
        <v>88</v>
      </c>
      <c r="AJ4" s="2" t="s">
        <v>24</v>
      </c>
      <c r="AM4" s="2" t="s">
        <v>144</v>
      </c>
      <c r="AN4" s="2" t="s">
        <v>145</v>
      </c>
      <c r="AO4" s="2" t="s">
        <v>146</v>
      </c>
      <c r="AP4" s="2" t="s">
        <v>147</v>
      </c>
      <c r="AQ4" s="2" t="s">
        <v>148</v>
      </c>
      <c r="AR4" s="2" t="s">
        <v>149</v>
      </c>
      <c r="AS4" s="2" t="s">
        <v>150</v>
      </c>
      <c r="AT4" s="2" t="s">
        <v>151</v>
      </c>
      <c r="AU4" s="2" t="s">
        <v>152</v>
      </c>
      <c r="AV4" s="2" t="s">
        <v>24</v>
      </c>
      <c r="AY4" s="2" t="s">
        <v>144</v>
      </c>
      <c r="AZ4" s="2" t="s">
        <v>145</v>
      </c>
      <c r="BA4" s="2" t="s">
        <v>146</v>
      </c>
      <c r="BB4" s="2" t="s">
        <v>147</v>
      </c>
      <c r="BC4" s="2" t="s">
        <v>148</v>
      </c>
      <c r="BD4" s="2" t="s">
        <v>149</v>
      </c>
      <c r="BE4" s="2" t="s">
        <v>150</v>
      </c>
      <c r="BF4" s="2" t="s">
        <v>151</v>
      </c>
      <c r="BG4" s="2" t="s">
        <v>152</v>
      </c>
      <c r="BH4" s="2" t="s">
        <v>24</v>
      </c>
      <c r="BK4" s="2" t="s">
        <v>25</v>
      </c>
      <c r="BM4" s="2" t="s">
        <v>27</v>
      </c>
      <c r="BO4" s="2" t="s">
        <v>7</v>
      </c>
      <c r="BP4" s="2" t="s">
        <v>96</v>
      </c>
      <c r="BQ4" s="2" t="s">
        <v>97</v>
      </c>
      <c r="BR4" s="2" t="s">
        <v>94</v>
      </c>
      <c r="BS4" s="2" t="s">
        <v>89</v>
      </c>
      <c r="BT4" s="2" t="s">
        <v>142</v>
      </c>
      <c r="BU4" s="2" t="s">
        <v>92</v>
      </c>
      <c r="BV4" s="2" t="s">
        <v>143</v>
      </c>
      <c r="BW4" s="2" t="s">
        <v>93</v>
      </c>
      <c r="BX4" s="2" t="s">
        <v>88</v>
      </c>
      <c r="BY4" s="2" t="s">
        <v>153</v>
      </c>
      <c r="CB4" s="2" t="s">
        <v>24</v>
      </c>
      <c r="CC4" s="2" t="s">
        <v>96</v>
      </c>
      <c r="CD4" s="2" t="s">
        <v>97</v>
      </c>
      <c r="CE4" s="2" t="s">
        <v>94</v>
      </c>
      <c r="CF4" s="2" t="s">
        <v>89</v>
      </c>
      <c r="CG4" s="2" t="s">
        <v>142</v>
      </c>
      <c r="CH4" s="2" t="s">
        <v>92</v>
      </c>
      <c r="CI4" s="2" t="s">
        <v>143</v>
      </c>
      <c r="CJ4" s="2" t="s">
        <v>93</v>
      </c>
      <c r="CK4" s="2" t="s">
        <v>88</v>
      </c>
      <c r="CN4" s="2" t="s">
        <v>24</v>
      </c>
      <c r="CO4" s="2" t="s">
        <v>96</v>
      </c>
      <c r="CP4" s="2" t="s">
        <v>97</v>
      </c>
      <c r="CQ4" s="2" t="s">
        <v>94</v>
      </c>
      <c r="CR4" s="2" t="s">
        <v>89</v>
      </c>
      <c r="CS4" s="2" t="s">
        <v>142</v>
      </c>
      <c r="CT4" s="2" t="s">
        <v>92</v>
      </c>
      <c r="CU4" s="2" t="s">
        <v>143</v>
      </c>
      <c r="CV4" s="2" t="s">
        <v>93</v>
      </c>
      <c r="CW4" s="2" t="s">
        <v>88</v>
      </c>
      <c r="CZ4" s="2" t="s">
        <v>24</v>
      </c>
      <c r="DA4" s="2" t="s">
        <v>96</v>
      </c>
      <c r="DB4" s="2" t="s">
        <v>97</v>
      </c>
      <c r="DC4" s="2" t="s">
        <v>94</v>
      </c>
      <c r="DD4" s="2" t="s">
        <v>89</v>
      </c>
      <c r="DE4" s="2" t="s">
        <v>142</v>
      </c>
      <c r="DF4" s="2" t="s">
        <v>92</v>
      </c>
      <c r="DG4" s="2" t="s">
        <v>143</v>
      </c>
      <c r="DH4" s="2" t="s">
        <v>93</v>
      </c>
      <c r="DI4" s="2" t="s">
        <v>88</v>
      </c>
      <c r="DL4" s="2" t="s">
        <v>154</v>
      </c>
      <c r="DM4" s="2" t="s">
        <v>96</v>
      </c>
      <c r="DN4" s="2" t="s">
        <v>97</v>
      </c>
      <c r="DO4" s="2" t="s">
        <v>94</v>
      </c>
      <c r="DP4" s="2" t="s">
        <v>89</v>
      </c>
      <c r="DQ4" s="2" t="s">
        <v>142</v>
      </c>
      <c r="DR4" s="2" t="s">
        <v>92</v>
      </c>
      <c r="DS4" s="2" t="s">
        <v>143</v>
      </c>
      <c r="DT4" s="2" t="s">
        <v>93</v>
      </c>
      <c r="DU4" s="2" t="s">
        <v>88</v>
      </c>
      <c r="DX4" s="2" t="s">
        <v>24</v>
      </c>
      <c r="DY4" s="2" t="s">
        <v>96</v>
      </c>
      <c r="DZ4" s="2" t="s">
        <v>97</v>
      </c>
      <c r="EA4" s="2" t="s">
        <v>94</v>
      </c>
      <c r="EB4" s="2" t="s">
        <v>89</v>
      </c>
      <c r="EC4" s="2" t="s">
        <v>142</v>
      </c>
      <c r="ED4" s="2" t="s">
        <v>92</v>
      </c>
      <c r="EE4" s="2" t="s">
        <v>143</v>
      </c>
      <c r="EF4" s="2" t="s">
        <v>93</v>
      </c>
      <c r="EG4" s="2" t="s">
        <v>88</v>
      </c>
      <c r="EJ4" s="2" t="s">
        <v>24</v>
      </c>
      <c r="EK4" s="2" t="s">
        <v>96</v>
      </c>
      <c r="EL4" s="2" t="s">
        <v>97</v>
      </c>
      <c r="EM4" s="2" t="s">
        <v>94</v>
      </c>
      <c r="EN4" s="2" t="s">
        <v>89</v>
      </c>
      <c r="EO4" s="2" t="s">
        <v>142</v>
      </c>
      <c r="EP4" s="2" t="s">
        <v>92</v>
      </c>
      <c r="EQ4" s="2" t="s">
        <v>143</v>
      </c>
      <c r="ER4" s="2" t="s">
        <v>93</v>
      </c>
      <c r="ES4" s="2" t="s">
        <v>88</v>
      </c>
      <c r="EV4" s="2" t="s">
        <v>24</v>
      </c>
      <c r="EW4" s="2" t="s">
        <v>96</v>
      </c>
      <c r="EX4" s="2" t="s">
        <v>97</v>
      </c>
      <c r="EY4" s="2" t="s">
        <v>94</v>
      </c>
      <c r="EZ4" s="2" t="s">
        <v>89</v>
      </c>
      <c r="FA4" s="2" t="s">
        <v>142</v>
      </c>
      <c r="FB4" s="2" t="s">
        <v>92</v>
      </c>
      <c r="FC4" s="2" t="s">
        <v>143</v>
      </c>
      <c r="FD4" s="2" t="s">
        <v>93</v>
      </c>
      <c r="FE4" s="2" t="s">
        <v>88</v>
      </c>
      <c r="FH4" s="2" t="s">
        <v>24</v>
      </c>
      <c r="FI4" s="2" t="s">
        <v>96</v>
      </c>
      <c r="FJ4" s="2" t="s">
        <v>97</v>
      </c>
      <c r="FK4" s="2" t="s">
        <v>94</v>
      </c>
      <c r="FL4" s="2" t="s">
        <v>89</v>
      </c>
      <c r="FM4" s="2" t="s">
        <v>142</v>
      </c>
      <c r="FN4" s="2" t="s">
        <v>92</v>
      </c>
      <c r="FO4" s="2" t="s">
        <v>143</v>
      </c>
      <c r="FP4" s="2" t="s">
        <v>93</v>
      </c>
      <c r="FQ4" s="2" t="s">
        <v>88</v>
      </c>
      <c r="FT4" s="2" t="s">
        <v>88</v>
      </c>
      <c r="FU4" s="2" t="s">
        <v>89</v>
      </c>
      <c r="FV4" s="2" t="s">
        <v>155</v>
      </c>
      <c r="FW4" s="2" t="s">
        <v>92</v>
      </c>
      <c r="FX4" s="2" t="s">
        <v>93</v>
      </c>
      <c r="FY4" s="2" t="s">
        <v>94</v>
      </c>
      <c r="FZ4" s="2" t="s">
        <v>156</v>
      </c>
      <c r="GA4" s="2" t="s">
        <v>97</v>
      </c>
      <c r="GB4" s="2" t="s">
        <v>96</v>
      </c>
      <c r="GC4" s="2" t="s">
        <v>24</v>
      </c>
      <c r="GF4" s="2" t="s">
        <v>88</v>
      </c>
      <c r="GG4" s="2" t="s">
        <v>89</v>
      </c>
      <c r="GH4" s="2" t="s">
        <v>157</v>
      </c>
      <c r="GI4" s="2" t="s">
        <v>92</v>
      </c>
      <c r="GJ4" s="2" t="s">
        <v>93</v>
      </c>
      <c r="GK4" s="2" t="s">
        <v>94</v>
      </c>
      <c r="GL4" s="2" t="s">
        <v>158</v>
      </c>
      <c r="GM4" s="2" t="s">
        <v>97</v>
      </c>
      <c r="GN4" s="2" t="s">
        <v>96</v>
      </c>
      <c r="GO4" s="2" t="s">
        <v>24</v>
      </c>
      <c r="GR4" s="2" t="s">
        <v>159</v>
      </c>
      <c r="GS4" s="2" t="s">
        <v>160</v>
      </c>
      <c r="GT4" s="2" t="s">
        <v>161</v>
      </c>
      <c r="GU4" s="2" t="s">
        <v>162</v>
      </c>
      <c r="GV4" s="2" t="s">
        <v>163</v>
      </c>
      <c r="GW4" s="2" t="s">
        <v>164</v>
      </c>
      <c r="GX4" s="2" t="s">
        <v>165</v>
      </c>
      <c r="GY4" s="2" t="s">
        <v>166</v>
      </c>
      <c r="GZ4" s="2" t="s">
        <v>167</v>
      </c>
      <c r="HA4" s="2" t="s">
        <v>24</v>
      </c>
      <c r="HD4" s="2" t="s">
        <v>24</v>
      </c>
      <c r="HE4" s="2" t="s">
        <v>96</v>
      </c>
      <c r="HF4" s="2" t="s">
        <v>97</v>
      </c>
      <c r="HG4" s="2" t="s">
        <v>94</v>
      </c>
      <c r="HH4" s="2" t="s">
        <v>89</v>
      </c>
      <c r="HI4" s="2" t="s">
        <v>142</v>
      </c>
      <c r="HJ4" s="2" t="s">
        <v>92</v>
      </c>
      <c r="HK4" s="2" t="s">
        <v>143</v>
      </c>
      <c r="HL4" s="2" t="s">
        <v>93</v>
      </c>
      <c r="HM4" s="2" t="s">
        <v>88</v>
      </c>
      <c r="HP4" s="2" t="s">
        <v>24</v>
      </c>
      <c r="HQ4" s="2" t="s">
        <v>96</v>
      </c>
      <c r="HR4" s="2" t="s">
        <v>97</v>
      </c>
      <c r="HS4" s="2" t="s">
        <v>94</v>
      </c>
      <c r="HT4" s="2" t="s">
        <v>89</v>
      </c>
      <c r="HU4" s="2" t="s">
        <v>142</v>
      </c>
      <c r="HV4" s="2" t="s">
        <v>92</v>
      </c>
      <c r="HW4" s="2" t="s">
        <v>143</v>
      </c>
      <c r="HX4" s="2" t="s">
        <v>93</v>
      </c>
      <c r="HY4" s="2" t="s">
        <v>88</v>
      </c>
    </row>
    <row r="5" spans="2:233">
      <c r="B5" s="53" t="s">
        <v>28</v>
      </c>
      <c r="C5" s="5">
        <f>SUM(C47:C58)</f>
        <v>92</v>
      </c>
      <c r="D5" s="5">
        <f t="shared" ref="D5:K5" si="0">SUM(D47:D58)</f>
        <v>1917</v>
      </c>
      <c r="E5" s="5">
        <f t="shared" si="0"/>
        <v>8293</v>
      </c>
      <c r="F5" s="5">
        <f t="shared" si="0"/>
        <v>3653</v>
      </c>
      <c r="G5" s="5">
        <f t="shared" si="0"/>
        <v>1604</v>
      </c>
      <c r="H5" s="5">
        <f t="shared" si="0"/>
        <v>1873</v>
      </c>
      <c r="I5" s="5">
        <f t="shared" si="0"/>
        <v>30557</v>
      </c>
      <c r="J5" s="5">
        <f t="shared" si="0"/>
        <v>22221</v>
      </c>
      <c r="K5" s="5">
        <f t="shared" si="0"/>
        <v>3874</v>
      </c>
      <c r="L5" s="5">
        <f>SUM(L47:L58)</f>
        <v>74084</v>
      </c>
      <c r="N5" s="53" t="s">
        <v>28</v>
      </c>
      <c r="O5" s="5">
        <f>SUM(O47:O58)</f>
        <v>92</v>
      </c>
      <c r="P5" s="5">
        <f t="shared" ref="P5:W5" si="1">SUM(P47:P58)</f>
        <v>1917</v>
      </c>
      <c r="Q5" s="5">
        <f t="shared" si="1"/>
        <v>8293</v>
      </c>
      <c r="R5" s="5">
        <f t="shared" si="1"/>
        <v>3653</v>
      </c>
      <c r="S5" s="5">
        <f t="shared" si="1"/>
        <v>1604</v>
      </c>
      <c r="T5" s="5">
        <f t="shared" si="1"/>
        <v>1873</v>
      </c>
      <c r="U5" s="5">
        <f t="shared" si="1"/>
        <v>30557</v>
      </c>
      <c r="V5" s="5">
        <f t="shared" si="1"/>
        <v>22221</v>
      </c>
      <c r="W5" s="5">
        <f t="shared" si="1"/>
        <v>3874</v>
      </c>
      <c r="X5" s="5">
        <f>SUM(X47:X58)</f>
        <v>74084</v>
      </c>
      <c r="Y5" s="5"/>
      <c r="Z5" s="53" t="s">
        <v>28</v>
      </c>
      <c r="AA5" s="5">
        <f>SUM(AA47:AA58)</f>
        <v>1604791</v>
      </c>
      <c r="AB5" s="5">
        <f t="shared" ref="AB5:AI5" si="2">SUM(AB47:AB58)</f>
        <v>8362467</v>
      </c>
      <c r="AC5" s="5">
        <f t="shared" si="2"/>
        <v>11743934</v>
      </c>
      <c r="AD5" s="5">
        <f t="shared" si="2"/>
        <v>519042</v>
      </c>
      <c r="AE5" s="5">
        <f t="shared" si="2"/>
        <v>1177847</v>
      </c>
      <c r="AF5" s="5">
        <f t="shared" si="2"/>
        <v>457844</v>
      </c>
      <c r="AG5" s="5">
        <f t="shared" si="2"/>
        <v>110630</v>
      </c>
      <c r="AH5" s="5">
        <f t="shared" si="2"/>
        <v>723936</v>
      </c>
      <c r="AI5" s="5">
        <f t="shared" si="2"/>
        <v>3506941</v>
      </c>
      <c r="AJ5" s="5">
        <f>SUM(AJ47:AJ58)</f>
        <v>36706663</v>
      </c>
      <c r="AK5" s="7"/>
      <c r="AL5" s="53" t="s">
        <v>28</v>
      </c>
      <c r="AM5" s="5">
        <f>SUM(AM47:AM58)</f>
        <v>1564211</v>
      </c>
      <c r="AN5" s="5">
        <f t="shared" ref="AN5:AU5" si="3">SUM(AN47:AN58)</f>
        <v>8215788</v>
      </c>
      <c r="AO5" s="5">
        <f t="shared" si="3"/>
        <v>11550078</v>
      </c>
      <c r="AP5" s="5">
        <f t="shared" si="3"/>
        <v>519030</v>
      </c>
      <c r="AQ5" s="5">
        <f t="shared" si="3"/>
        <v>1138599</v>
      </c>
      <c r="AR5" s="5">
        <f t="shared" si="3"/>
        <v>457856</v>
      </c>
      <c r="AS5" s="5">
        <f t="shared" si="3"/>
        <v>110603</v>
      </c>
      <c r="AT5" s="5">
        <f t="shared" si="3"/>
        <v>723958</v>
      </c>
      <c r="AU5" s="5">
        <f t="shared" si="3"/>
        <v>3441061</v>
      </c>
      <c r="AV5" s="5">
        <f>SUM(AV47:AV58)</f>
        <v>27721184</v>
      </c>
      <c r="AW5" s="5"/>
      <c r="AX5" s="53" t="s">
        <v>28</v>
      </c>
      <c r="AY5" s="5">
        <f>SUM(AY47:AY58)</f>
        <v>1256446</v>
      </c>
      <c r="AZ5" s="5">
        <f t="shared" ref="AZ5:BG5" si="4">SUM(AZ47:AZ58)</f>
        <v>6686231</v>
      </c>
      <c r="BA5" s="5">
        <f t="shared" si="4"/>
        <v>9716999</v>
      </c>
      <c r="BB5" s="5">
        <f t="shared" si="4"/>
        <v>256308</v>
      </c>
      <c r="BC5" s="5">
        <f t="shared" si="4"/>
        <v>831890</v>
      </c>
      <c r="BD5" s="5">
        <f t="shared" si="4"/>
        <v>212155</v>
      </c>
      <c r="BE5" s="5">
        <f t="shared" si="4"/>
        <v>57405</v>
      </c>
      <c r="BF5" s="5">
        <f t="shared" si="4"/>
        <v>463433</v>
      </c>
      <c r="BG5" s="5">
        <f t="shared" si="4"/>
        <v>2529774</v>
      </c>
      <c r="BH5" s="5">
        <f>SUM(BH47:BH58)</f>
        <v>22010641</v>
      </c>
      <c r="BI5" s="8"/>
      <c r="BJ5" s="53" t="s">
        <v>28</v>
      </c>
      <c r="BK5" s="5">
        <f>SUM(BK47:BK58)</f>
        <v>33935546</v>
      </c>
      <c r="BL5" s="8"/>
      <c r="BM5" s="5">
        <f>SUM(BM47:BM58)</f>
        <v>20758263</v>
      </c>
      <c r="BN5" s="8"/>
      <c r="BO5" s="5">
        <f>SUM(BO47:BO58)</f>
        <v>13177283</v>
      </c>
      <c r="BP5" s="5">
        <f t="shared" ref="BP5:BY5" si="5">SUM(BP47:BP58)</f>
        <v>859850</v>
      </c>
      <c r="BQ5" s="5">
        <f t="shared" si="5"/>
        <v>3842395</v>
      </c>
      <c r="BR5" s="5">
        <f t="shared" si="5"/>
        <v>4195232</v>
      </c>
      <c r="BS5" s="5">
        <f t="shared" si="5"/>
        <v>855282</v>
      </c>
      <c r="BT5" s="5">
        <f t="shared" si="5"/>
        <v>364689</v>
      </c>
      <c r="BU5" s="5">
        <f t="shared" si="5"/>
        <v>497915</v>
      </c>
      <c r="BV5" s="5">
        <f t="shared" si="5"/>
        <v>34283</v>
      </c>
      <c r="BW5" s="5">
        <f t="shared" si="5"/>
        <v>423001</v>
      </c>
      <c r="BX5" s="5">
        <f t="shared" si="5"/>
        <v>2104636</v>
      </c>
      <c r="BY5" s="5">
        <f t="shared" si="5"/>
        <v>28344</v>
      </c>
      <c r="BZ5" s="8"/>
      <c r="CA5" s="53" t="s">
        <v>28</v>
      </c>
      <c r="CB5" s="5">
        <f>SUM(CB47:CB58)</f>
        <v>1284340</v>
      </c>
      <c r="CC5" s="5">
        <f t="shared" ref="CC5:CK5" si="6">SUM(CC47:CC58)</f>
        <v>41567</v>
      </c>
      <c r="CD5" s="5">
        <f t="shared" si="6"/>
        <v>185411</v>
      </c>
      <c r="CE5" s="5">
        <f t="shared" si="6"/>
        <v>245901</v>
      </c>
      <c r="CF5" s="5">
        <f t="shared" si="6"/>
        <v>45950</v>
      </c>
      <c r="CG5" s="5">
        <f t="shared" si="6"/>
        <v>28896</v>
      </c>
      <c r="CH5" s="5">
        <f t="shared" si="6"/>
        <v>18523</v>
      </c>
      <c r="CI5" s="5">
        <f t="shared" si="6"/>
        <v>3278</v>
      </c>
      <c r="CJ5" s="5">
        <f t="shared" si="6"/>
        <v>27799</v>
      </c>
      <c r="CK5" s="5">
        <f t="shared" si="6"/>
        <v>165290</v>
      </c>
      <c r="CL5" s="8"/>
      <c r="CM5" s="53" t="s">
        <v>28</v>
      </c>
      <c r="CN5" s="5">
        <f>SUM(CN47:CN58)</f>
        <v>1728761</v>
      </c>
      <c r="CO5" s="5">
        <f t="shared" ref="CO5:CW5" si="7">SUM(CO47:CO58)</f>
        <v>66085</v>
      </c>
      <c r="CP5" s="5">
        <f t="shared" si="7"/>
        <v>274681</v>
      </c>
      <c r="CQ5" s="5">
        <f t="shared" si="7"/>
        <v>363033</v>
      </c>
      <c r="CR5" s="5">
        <f t="shared" si="7"/>
        <v>67283</v>
      </c>
      <c r="CS5" s="5">
        <f t="shared" si="7"/>
        <v>49404</v>
      </c>
      <c r="CT5" s="5">
        <f t="shared" si="7"/>
        <v>30312</v>
      </c>
      <c r="CU5" s="5">
        <f t="shared" si="7"/>
        <v>5101</v>
      </c>
      <c r="CV5" s="5">
        <f t="shared" si="7"/>
        <v>47737</v>
      </c>
      <c r="CW5" s="5">
        <f t="shared" si="7"/>
        <v>226654</v>
      </c>
      <c r="CX5" s="8"/>
      <c r="CY5" s="53" t="s">
        <v>28</v>
      </c>
      <c r="CZ5" s="5">
        <f>SUM(CZ47:CZ58)</f>
        <v>768740</v>
      </c>
      <c r="DA5" s="5">
        <f t="shared" ref="DA5:DI5" si="8">SUM(DA47:DA58)</f>
        <v>10587</v>
      </c>
      <c r="DB5" s="5">
        <f t="shared" si="8"/>
        <v>42825</v>
      </c>
      <c r="DC5" s="5">
        <f t="shared" si="8"/>
        <v>62094</v>
      </c>
      <c r="DD5" s="5">
        <f t="shared" si="8"/>
        <v>8651</v>
      </c>
      <c r="DE5" s="5">
        <f t="shared" si="8"/>
        <v>8810</v>
      </c>
      <c r="DF5" s="5">
        <f t="shared" si="8"/>
        <v>4016</v>
      </c>
      <c r="DG5" s="5">
        <f t="shared" si="8"/>
        <v>724</v>
      </c>
      <c r="DH5" s="5">
        <f t="shared" si="8"/>
        <v>7530</v>
      </c>
      <c r="DI5" s="5">
        <f t="shared" si="8"/>
        <v>25032</v>
      </c>
      <c r="DJ5" s="8"/>
      <c r="DK5" s="53" t="s">
        <v>28</v>
      </c>
      <c r="DL5" s="5">
        <f>SUM(DL47:DL58)</f>
        <v>960021</v>
      </c>
      <c r="DM5" s="5">
        <f t="shared" ref="DM5:DU5" si="9">SUM(DM47:DM58)</f>
        <v>55498</v>
      </c>
      <c r="DN5" s="5">
        <f t="shared" si="9"/>
        <v>231856</v>
      </c>
      <c r="DO5" s="5">
        <f t="shared" si="9"/>
        <v>300939</v>
      </c>
      <c r="DP5" s="5">
        <f t="shared" si="9"/>
        <v>58632</v>
      </c>
      <c r="DQ5" s="5">
        <f t="shared" si="9"/>
        <v>40594</v>
      </c>
      <c r="DR5" s="5">
        <f t="shared" si="9"/>
        <v>26296</v>
      </c>
      <c r="DS5" s="5">
        <f t="shared" si="9"/>
        <v>4377</v>
      </c>
      <c r="DT5" s="5">
        <f t="shared" si="9"/>
        <v>40207</v>
      </c>
      <c r="DU5" s="5">
        <f t="shared" si="9"/>
        <v>201622</v>
      </c>
      <c r="DV5" s="8"/>
      <c r="DW5" s="53" t="s">
        <v>28</v>
      </c>
      <c r="DX5" s="5">
        <f>SUM(DX47:DX58)</f>
        <v>6374314</v>
      </c>
      <c r="DY5" s="5">
        <f t="shared" ref="DY5:EG5" si="10">SUM(DY47:DY58)</f>
        <v>375085</v>
      </c>
      <c r="DZ5" s="5">
        <f t="shared" si="10"/>
        <v>1524606</v>
      </c>
      <c r="EA5" s="5">
        <f t="shared" si="10"/>
        <v>1744010</v>
      </c>
      <c r="EB5" s="5">
        <f t="shared" si="10"/>
        <v>257257</v>
      </c>
      <c r="EC5" s="5">
        <f t="shared" si="10"/>
        <v>229326</v>
      </c>
      <c r="ED5" s="5">
        <f t="shared" si="10"/>
        <v>179668</v>
      </c>
      <c r="EE5" s="5">
        <f t="shared" si="10"/>
        <v>19965</v>
      </c>
      <c r="EF5" s="5">
        <f t="shared" si="10"/>
        <v>242578</v>
      </c>
      <c r="EG5" s="5">
        <f t="shared" si="10"/>
        <v>662441</v>
      </c>
      <c r="EH5" s="8"/>
      <c r="EI5" s="53" t="s">
        <v>28</v>
      </c>
      <c r="EJ5" s="5">
        <f>SUM(EJ47:EJ58)</f>
        <v>4323524</v>
      </c>
      <c r="EK5" s="5">
        <f t="shared" ref="EK5:ES5" si="11">SUM(EK47:EK58)</f>
        <v>250525</v>
      </c>
      <c r="EL5" s="5">
        <f t="shared" si="11"/>
        <v>1103312</v>
      </c>
      <c r="EM5" s="5">
        <f t="shared" si="11"/>
        <v>1264803</v>
      </c>
      <c r="EN5" s="5">
        <f t="shared" si="11"/>
        <v>142254</v>
      </c>
      <c r="EO5" s="5">
        <f t="shared" si="11"/>
        <v>139480</v>
      </c>
      <c r="EP5" s="5">
        <f t="shared" si="11"/>
        <v>91085</v>
      </c>
      <c r="EQ5" s="5">
        <f t="shared" si="11"/>
        <v>10243</v>
      </c>
      <c r="ER5" s="5">
        <f t="shared" si="11"/>
        <v>140254</v>
      </c>
      <c r="ES5" s="5">
        <f t="shared" si="11"/>
        <v>453697</v>
      </c>
      <c r="ET5" s="8"/>
      <c r="EU5" s="53" t="s">
        <v>28</v>
      </c>
      <c r="EV5" s="5">
        <f>SUM(EV47:EV58)</f>
        <v>11127344.522352941</v>
      </c>
      <c r="EW5" s="5">
        <f t="shared" ref="EW5:FE5" si="12">SUM(EW47:EW58)</f>
        <v>473393.22621635254</v>
      </c>
      <c r="EX5" s="5">
        <f t="shared" si="12"/>
        <v>2034621.7173014604</v>
      </c>
      <c r="EY5" s="5">
        <f t="shared" si="12"/>
        <v>2419249.9424708672</v>
      </c>
      <c r="EZ5" s="5">
        <f t="shared" si="12"/>
        <v>383760.24574872904</v>
      </c>
      <c r="FA5" s="5">
        <f t="shared" si="12"/>
        <v>270081.88550149242</v>
      </c>
      <c r="FB5" s="5">
        <f t="shared" si="12"/>
        <v>234984.29048058571</v>
      </c>
      <c r="FC5" s="5">
        <f t="shared" si="12"/>
        <v>24144.147928200513</v>
      </c>
      <c r="FD5" s="5">
        <f t="shared" si="12"/>
        <v>297741.16094383341</v>
      </c>
      <c r="FE5" s="5">
        <f t="shared" si="12"/>
        <v>910213.69323015912</v>
      </c>
      <c r="FF5" s="5"/>
      <c r="FG5" s="53" t="s">
        <v>28</v>
      </c>
      <c r="FH5" s="5">
        <f>SUM(FH47:FH58)</f>
        <v>7045012.5223529413</v>
      </c>
      <c r="FI5" s="5">
        <f t="shared" ref="FI5:FQ5" si="13">SUM(FI47:FI58)</f>
        <v>299287.22621635249</v>
      </c>
      <c r="FJ5" s="5">
        <f t="shared" si="13"/>
        <v>1422756.7173014604</v>
      </c>
      <c r="FK5" s="5">
        <f t="shared" si="13"/>
        <v>1725849.9424708672</v>
      </c>
      <c r="FL5" s="5">
        <f t="shared" si="13"/>
        <v>225218.24574872904</v>
      </c>
      <c r="FM5" s="5">
        <f t="shared" si="13"/>
        <v>152046.88550149242</v>
      </c>
      <c r="FN5" s="5">
        <f t="shared" si="13"/>
        <v>114960.2904805857</v>
      </c>
      <c r="FO5" s="5">
        <f t="shared" si="13"/>
        <v>11547.147928200517</v>
      </c>
      <c r="FP5" s="5">
        <f t="shared" si="13"/>
        <v>157541.06290461772</v>
      </c>
      <c r="FQ5" s="5">
        <f t="shared" si="13"/>
        <v>608029.69323015912</v>
      </c>
      <c r="FR5" s="5"/>
      <c r="FS5" s="53" t="s">
        <v>28</v>
      </c>
      <c r="FT5" s="5">
        <f>SUM(FT47:FT58)</f>
        <v>3456</v>
      </c>
      <c r="FU5" s="5">
        <f t="shared" ref="FU5:GC5" si="14">SUM(FU47:FU58)</f>
        <v>1124</v>
      </c>
      <c r="FV5" s="5">
        <f t="shared" si="14"/>
        <v>580</v>
      </c>
      <c r="FW5" s="5">
        <f t="shared" si="14"/>
        <v>605</v>
      </c>
      <c r="FX5" s="5">
        <f t="shared" si="14"/>
        <v>2526</v>
      </c>
      <c r="FY5" s="5">
        <f t="shared" si="14"/>
        <v>10320</v>
      </c>
      <c r="FZ5" s="5">
        <f t="shared" si="14"/>
        <v>2616</v>
      </c>
      <c r="GA5" s="5">
        <f t="shared" si="14"/>
        <v>8963</v>
      </c>
      <c r="GB5" s="5">
        <f t="shared" si="14"/>
        <v>2083</v>
      </c>
      <c r="GC5" s="5">
        <f t="shared" si="14"/>
        <v>30954</v>
      </c>
      <c r="GE5" s="53" t="s">
        <v>28</v>
      </c>
      <c r="GF5" s="5">
        <f>SUM(GF47:GF58)</f>
        <v>6400</v>
      </c>
      <c r="GG5" s="5">
        <f t="shared" ref="GG5:GO5" si="15">SUM(GG47:GG58)</f>
        <v>2136</v>
      </c>
      <c r="GH5" s="5">
        <f t="shared" si="15"/>
        <v>104</v>
      </c>
      <c r="GI5" s="5">
        <f t="shared" si="15"/>
        <v>814</v>
      </c>
      <c r="GJ5" s="5">
        <f t="shared" si="15"/>
        <v>1820</v>
      </c>
      <c r="GK5" s="5">
        <f t="shared" si="15"/>
        <v>20924</v>
      </c>
      <c r="GL5" s="5">
        <f t="shared" si="15"/>
        <v>1770</v>
      </c>
      <c r="GM5" s="5">
        <f t="shared" si="15"/>
        <v>17219</v>
      </c>
      <c r="GN5" s="5">
        <f t="shared" si="15"/>
        <v>2420</v>
      </c>
      <c r="GO5" s="5">
        <f t="shared" si="15"/>
        <v>53607</v>
      </c>
      <c r="GQ5" s="53" t="s">
        <v>28</v>
      </c>
      <c r="GR5" s="5">
        <f>SUM(GR47:GR58)</f>
        <v>6482</v>
      </c>
      <c r="GS5" s="5">
        <f t="shared" ref="GS5:HA5" si="16">SUM(GS47:GS58)</f>
        <v>37117</v>
      </c>
      <c r="GT5" s="5">
        <f t="shared" si="16"/>
        <v>269901</v>
      </c>
      <c r="GU5" s="5">
        <f t="shared" si="16"/>
        <v>185260</v>
      </c>
      <c r="GV5" s="5">
        <f t="shared" si="16"/>
        <v>175390</v>
      </c>
      <c r="GW5" s="5">
        <f t="shared" si="16"/>
        <v>62211</v>
      </c>
      <c r="GX5" s="5">
        <f t="shared" si="16"/>
        <v>468221</v>
      </c>
      <c r="GY5" s="5">
        <f t="shared" si="16"/>
        <v>596235</v>
      </c>
      <c r="GZ5" s="5">
        <f t="shared" si="16"/>
        <v>51860</v>
      </c>
      <c r="HA5" s="5">
        <f t="shared" si="16"/>
        <v>1852677</v>
      </c>
      <c r="HC5" s="53" t="s">
        <v>28</v>
      </c>
      <c r="HD5" s="5">
        <f>SUM(HD47:HD58)</f>
        <v>22487024</v>
      </c>
      <c r="HE5" s="5">
        <f t="shared" ref="HE5:HM5" si="17">SUM(HE47:HE58)</f>
        <v>925935</v>
      </c>
      <c r="HF5" s="5">
        <f t="shared" si="17"/>
        <v>4117076</v>
      </c>
      <c r="HG5" s="5">
        <f t="shared" si="17"/>
        <v>4558265</v>
      </c>
      <c r="HH5" s="5">
        <f t="shared" si="17"/>
        <v>922565</v>
      </c>
      <c r="HI5" s="5">
        <f t="shared" si="17"/>
        <v>414093</v>
      </c>
      <c r="HJ5" s="5">
        <f t="shared" si="17"/>
        <v>528227</v>
      </c>
      <c r="HK5" s="5">
        <f t="shared" si="17"/>
        <v>39384</v>
      </c>
      <c r="HL5" s="5">
        <f t="shared" si="17"/>
        <v>470738</v>
      </c>
      <c r="HM5" s="5">
        <f t="shared" si="17"/>
        <v>2331290</v>
      </c>
      <c r="HO5" s="53" t="s">
        <v>28</v>
      </c>
      <c r="HP5" s="5">
        <f>SUM(HP47:HP58)</f>
        <v>8226991</v>
      </c>
      <c r="HQ5" s="5">
        <f t="shared" ref="HQ5:HY5" si="18">SUM(HQ47:HQ58)</f>
        <v>426945</v>
      </c>
      <c r="HR5" s="5">
        <f t="shared" si="18"/>
        <v>2120841</v>
      </c>
      <c r="HS5" s="5">
        <f t="shared" si="18"/>
        <v>2212231</v>
      </c>
      <c r="HT5" s="5">
        <f t="shared" si="18"/>
        <v>442517</v>
      </c>
      <c r="HU5" s="5">
        <f t="shared" si="18"/>
        <v>266443</v>
      </c>
      <c r="HV5" s="5">
        <f t="shared" si="18"/>
        <v>355058</v>
      </c>
      <c r="HW5" s="5">
        <f t="shared" si="18"/>
        <v>26447</v>
      </c>
      <c r="HX5" s="5">
        <f t="shared" si="18"/>
        <v>304789</v>
      </c>
      <c r="HY5" s="5">
        <f t="shared" si="18"/>
        <v>932342</v>
      </c>
    </row>
    <row r="6" spans="2:233">
      <c r="B6" s="163" t="s">
        <v>29</v>
      </c>
      <c r="C6" s="20">
        <f>SUM(C49,C53,C54,C57:C58)</f>
        <v>34</v>
      </c>
      <c r="D6" s="20">
        <f t="shared" ref="D6:L6" si="19">SUM(D49,D53,D54,D57:D58)</f>
        <v>812</v>
      </c>
      <c r="E6" s="20">
        <f t="shared" si="19"/>
        <v>4014</v>
      </c>
      <c r="F6" s="20">
        <f t="shared" si="19"/>
        <v>1567</v>
      </c>
      <c r="G6" s="20">
        <f t="shared" si="19"/>
        <v>715</v>
      </c>
      <c r="H6" s="20">
        <f t="shared" si="19"/>
        <v>644</v>
      </c>
      <c r="I6" s="20">
        <f t="shared" si="19"/>
        <v>14548</v>
      </c>
      <c r="J6" s="20">
        <f t="shared" si="19"/>
        <v>10717</v>
      </c>
      <c r="K6" s="20">
        <f t="shared" si="19"/>
        <v>1866</v>
      </c>
      <c r="L6" s="20">
        <f t="shared" si="19"/>
        <v>34917</v>
      </c>
      <c r="N6" s="163" t="s">
        <v>29</v>
      </c>
      <c r="O6" s="5">
        <f>SUM(O49,O54,O57:O58)</f>
        <v>24</v>
      </c>
      <c r="P6" s="5">
        <f t="shared" ref="P6:V6" si="20">SUM(P49,P54,P57:P58)</f>
        <v>636</v>
      </c>
      <c r="Q6" s="5">
        <f t="shared" si="20"/>
        <v>3137</v>
      </c>
      <c r="R6" s="5">
        <f t="shared" si="20"/>
        <v>1316</v>
      </c>
      <c r="S6" s="5">
        <f t="shared" si="20"/>
        <v>563</v>
      </c>
      <c r="T6" s="5">
        <f t="shared" si="20"/>
        <v>547</v>
      </c>
      <c r="U6" s="5">
        <f t="shared" si="20"/>
        <v>12004</v>
      </c>
      <c r="V6" s="5">
        <f t="shared" si="20"/>
        <v>9024</v>
      </c>
      <c r="W6" s="5">
        <f>SUM(W49,W54,W57:W58)</f>
        <v>1566</v>
      </c>
      <c r="X6" s="5">
        <f>SUM(X49,X54,X57:X58)</f>
        <v>28817</v>
      </c>
      <c r="Y6" s="5"/>
      <c r="Z6" s="163" t="s">
        <v>29</v>
      </c>
      <c r="AA6" s="5">
        <f>SUM(AA49,AA54,AA57:AA58)</f>
        <v>585355</v>
      </c>
      <c r="AB6" s="5">
        <f t="shared" ref="AB6:AI6" si="21">SUM(AB49,AB54,AB57:AB58)</f>
        <v>2873029</v>
      </c>
      <c r="AC6" s="5">
        <f t="shared" si="21"/>
        <v>4641692</v>
      </c>
      <c r="AD6" s="5">
        <f t="shared" si="21"/>
        <v>180663</v>
      </c>
      <c r="AE6" s="5">
        <f t="shared" si="21"/>
        <v>342763</v>
      </c>
      <c r="AF6" s="5">
        <f t="shared" si="21"/>
        <v>162715</v>
      </c>
      <c r="AG6" s="5">
        <f t="shared" si="21"/>
        <v>20627</v>
      </c>
      <c r="AH6" s="5">
        <f t="shared" si="21"/>
        <v>227775</v>
      </c>
      <c r="AI6" s="5">
        <f t="shared" si="21"/>
        <v>1256680</v>
      </c>
      <c r="AJ6" s="5">
        <f>SUM(AJ49,AJ54,AJ57:AJ58)</f>
        <v>13126705</v>
      </c>
      <c r="AK6" s="7"/>
      <c r="AL6" s="163" t="s">
        <v>29</v>
      </c>
      <c r="AM6" s="5">
        <f>SUM(AM49,AM54,AM57:AM58)</f>
        <v>585355</v>
      </c>
      <c r="AN6" s="5">
        <f t="shared" ref="AN6:AU6" si="22">SUM(AN49,AN54,AN57:AN58)</f>
        <v>2873029</v>
      </c>
      <c r="AO6" s="5">
        <f t="shared" si="22"/>
        <v>4641692</v>
      </c>
      <c r="AP6" s="5">
        <f t="shared" si="22"/>
        <v>180663</v>
      </c>
      <c r="AQ6" s="5">
        <f t="shared" si="22"/>
        <v>342763</v>
      </c>
      <c r="AR6" s="5">
        <f t="shared" si="22"/>
        <v>162715</v>
      </c>
      <c r="AS6" s="5">
        <f t="shared" si="22"/>
        <v>20627</v>
      </c>
      <c r="AT6" s="5">
        <f t="shared" si="22"/>
        <v>227775</v>
      </c>
      <c r="AU6" s="5">
        <f t="shared" si="22"/>
        <v>1256680</v>
      </c>
      <c r="AV6" s="5">
        <f>SUM(AV49,AV54,AV57:AV58)</f>
        <v>10291299</v>
      </c>
      <c r="AW6" s="5"/>
      <c r="AX6" s="163" t="s">
        <v>29</v>
      </c>
      <c r="AY6" s="5">
        <f>SUM(AY49,AY54,AY57:AY58)</f>
        <v>443879</v>
      </c>
      <c r="AZ6" s="5">
        <f t="shared" ref="AZ6:BG6" si="23">SUM(AZ49,AZ54,AZ57:AZ58)</f>
        <v>2269453</v>
      </c>
      <c r="BA6" s="5">
        <f t="shared" si="23"/>
        <v>3978207</v>
      </c>
      <c r="BB6" s="5">
        <f t="shared" si="23"/>
        <v>93907</v>
      </c>
      <c r="BC6" s="5">
        <f t="shared" si="23"/>
        <v>249856</v>
      </c>
      <c r="BD6" s="5">
        <f t="shared" si="23"/>
        <v>73716</v>
      </c>
      <c r="BE6" s="5">
        <f t="shared" si="23"/>
        <v>11277</v>
      </c>
      <c r="BF6" s="5">
        <f t="shared" si="23"/>
        <v>141418</v>
      </c>
      <c r="BG6" s="5">
        <f t="shared" si="23"/>
        <v>946515</v>
      </c>
      <c r="BH6" s="5">
        <f>SUM(BH49,BH54,BH57:BH58)</f>
        <v>8208228</v>
      </c>
      <c r="BI6" s="8"/>
      <c r="BJ6" s="254" t="s">
        <v>29</v>
      </c>
      <c r="BK6" s="20">
        <f>SUM(BK49,BK53,BK54,BK57:BK58)</f>
        <v>14867606</v>
      </c>
      <c r="BL6" s="255"/>
      <c r="BM6" s="20">
        <f>SUM(BM49,BM53,BM54,BM57:BM58)</f>
        <v>9082638</v>
      </c>
      <c r="BN6" s="255"/>
      <c r="BO6" s="20">
        <f>SUM(BO49,BO53,BO54,BO57:BO58)</f>
        <v>5784968</v>
      </c>
      <c r="BP6" s="20">
        <f t="shared" ref="BP6:BY6" si="24">SUM(BP49,BP53,BP54,BP57:BP58)</f>
        <v>394941</v>
      </c>
      <c r="BQ6" s="20">
        <f t="shared" si="24"/>
        <v>1712642</v>
      </c>
      <c r="BR6" s="20">
        <f t="shared" si="24"/>
        <v>1832354</v>
      </c>
      <c r="BS6" s="20">
        <f t="shared" si="24"/>
        <v>368181</v>
      </c>
      <c r="BT6" s="20">
        <f t="shared" si="24"/>
        <v>146237</v>
      </c>
      <c r="BU6" s="20">
        <f t="shared" si="24"/>
        <v>231404</v>
      </c>
      <c r="BV6" s="20">
        <f t="shared" si="24"/>
        <v>10469</v>
      </c>
      <c r="BW6" s="20">
        <f t="shared" si="24"/>
        <v>158401</v>
      </c>
      <c r="BX6" s="20">
        <f>SUM(BX49,BX53,BX54,BX57:BX58)</f>
        <v>930339</v>
      </c>
      <c r="BY6" s="20">
        <f t="shared" si="24"/>
        <v>9281</v>
      </c>
      <c r="BZ6" s="8"/>
      <c r="CA6" s="163" t="s">
        <v>29</v>
      </c>
      <c r="CB6" s="5">
        <f>SUM(CB49,CB54,CB57:CB58)</f>
        <v>446375</v>
      </c>
      <c r="CC6" s="5">
        <f t="shared" ref="CC6:CK6" si="25">SUM(CC49,CC54,CC57:CC58)</f>
        <v>15272</v>
      </c>
      <c r="CD6" s="5">
        <f t="shared" si="25"/>
        <v>73586</v>
      </c>
      <c r="CE6" s="5">
        <f t="shared" si="25"/>
        <v>101689</v>
      </c>
      <c r="CF6" s="5">
        <f t="shared" si="25"/>
        <v>13573</v>
      </c>
      <c r="CG6" s="5">
        <f t="shared" si="25"/>
        <v>9938</v>
      </c>
      <c r="CH6" s="5">
        <f t="shared" si="25"/>
        <v>6390</v>
      </c>
      <c r="CI6" s="5">
        <f t="shared" si="25"/>
        <v>578</v>
      </c>
      <c r="CJ6" s="5">
        <f t="shared" si="25"/>
        <v>8392</v>
      </c>
      <c r="CK6" s="5">
        <f t="shared" si="25"/>
        <v>53896</v>
      </c>
      <c r="CL6" s="8"/>
      <c r="CM6" s="163" t="s">
        <v>29</v>
      </c>
      <c r="CN6" s="5">
        <f>SUM(CN49,CN54,CN57:CN58)</f>
        <v>622333</v>
      </c>
      <c r="CO6" s="5">
        <f t="shared" ref="CO6:CW6" si="26">SUM(CO49,CO54,CO57:CO58)</f>
        <v>24490</v>
      </c>
      <c r="CP6" s="5">
        <f t="shared" si="26"/>
        <v>108959</v>
      </c>
      <c r="CQ6" s="5">
        <f t="shared" si="26"/>
        <v>146265</v>
      </c>
      <c r="CR6" s="5">
        <f t="shared" si="26"/>
        <v>20862</v>
      </c>
      <c r="CS6" s="5">
        <f t="shared" si="26"/>
        <v>16761</v>
      </c>
      <c r="CT6" s="5">
        <f t="shared" si="26"/>
        <v>10690</v>
      </c>
      <c r="CU6" s="5">
        <f t="shared" si="26"/>
        <v>899</v>
      </c>
      <c r="CV6" s="5">
        <f t="shared" si="26"/>
        <v>14462</v>
      </c>
      <c r="CW6" s="5">
        <f t="shared" si="26"/>
        <v>76732</v>
      </c>
      <c r="CX6" s="8"/>
      <c r="CY6" s="163" t="s">
        <v>29</v>
      </c>
      <c r="CZ6" s="5">
        <f>SUM(CZ49,CZ54,CZ57:CZ58)</f>
        <v>267840</v>
      </c>
      <c r="DA6" s="5">
        <f t="shared" ref="DA6:DI6" si="27">SUM(DA49,DA54,DA57:DA58)</f>
        <v>3951</v>
      </c>
      <c r="DB6" s="5">
        <f t="shared" si="27"/>
        <v>17913</v>
      </c>
      <c r="DC6" s="5">
        <f t="shared" si="27"/>
        <v>24476</v>
      </c>
      <c r="DD6" s="5">
        <f t="shared" si="27"/>
        <v>2811</v>
      </c>
      <c r="DE6" s="5">
        <f t="shared" si="27"/>
        <v>3219</v>
      </c>
      <c r="DF6" s="5">
        <f t="shared" si="27"/>
        <v>1444</v>
      </c>
      <c r="DG6" s="5">
        <f t="shared" si="27"/>
        <v>142</v>
      </c>
      <c r="DH6" s="5">
        <f t="shared" si="27"/>
        <v>2307</v>
      </c>
      <c r="DI6" s="5">
        <f t="shared" si="27"/>
        <v>9364</v>
      </c>
      <c r="DJ6" s="8"/>
      <c r="DK6" s="163" t="s">
        <v>29</v>
      </c>
      <c r="DL6" s="5">
        <f>SUM(DL49,DL54,DL57:DL58)</f>
        <v>354493</v>
      </c>
      <c r="DM6" s="5">
        <f t="shared" ref="DM6:DU6" si="28">SUM(DM49,DM54,DM57:DM58)</f>
        <v>20539</v>
      </c>
      <c r="DN6" s="5">
        <f>SUM(DN49,DN54,DN57:DN58)</f>
        <v>91046</v>
      </c>
      <c r="DO6" s="5">
        <f t="shared" si="28"/>
        <v>121789</v>
      </c>
      <c r="DP6" s="5">
        <f t="shared" si="28"/>
        <v>18051</v>
      </c>
      <c r="DQ6" s="5">
        <f t="shared" si="28"/>
        <v>13542</v>
      </c>
      <c r="DR6" s="5">
        <f t="shared" si="28"/>
        <v>9246</v>
      </c>
      <c r="DS6" s="5">
        <f t="shared" si="28"/>
        <v>757</v>
      </c>
      <c r="DT6" s="5">
        <f t="shared" si="28"/>
        <v>12155</v>
      </c>
      <c r="DU6" s="5">
        <f t="shared" si="28"/>
        <v>67368</v>
      </c>
      <c r="DV6" s="8"/>
      <c r="DW6" s="163" t="s">
        <v>29</v>
      </c>
      <c r="DX6" s="5">
        <f>SUM(DX49,DX54,DX57:DX58)</f>
        <v>2395842</v>
      </c>
      <c r="DY6" s="5">
        <f t="shared" ref="DY6:EG6" si="29">SUM(DY49,DY54,DY57:DY58)</f>
        <v>134190</v>
      </c>
      <c r="DZ6" s="5">
        <f t="shared" si="29"/>
        <v>560197</v>
      </c>
      <c r="EA6" s="5">
        <f t="shared" si="29"/>
        <v>665409</v>
      </c>
      <c r="EB6" s="5">
        <f t="shared" si="29"/>
        <v>90011</v>
      </c>
      <c r="EC6" s="5">
        <f t="shared" si="29"/>
        <v>76023</v>
      </c>
      <c r="ED6" s="5">
        <f t="shared" si="29"/>
        <v>65547</v>
      </c>
      <c r="EE6" s="5">
        <f t="shared" si="29"/>
        <v>3610</v>
      </c>
      <c r="EF6" s="5">
        <f t="shared" si="29"/>
        <v>79750</v>
      </c>
      <c r="EG6" s="5">
        <f t="shared" si="29"/>
        <v>250497</v>
      </c>
      <c r="EH6" s="8"/>
      <c r="EI6" s="163" t="s">
        <v>29</v>
      </c>
      <c r="EJ6" s="5">
        <f>SUM(EJ49,EJ54,EJ57:EJ58)</f>
        <v>1687907</v>
      </c>
      <c r="EK6" s="5">
        <f t="shared" ref="EK6:ES6" si="30">SUM(EK49,EK54,EK57:EK58)</f>
        <v>89363</v>
      </c>
      <c r="EL6" s="5">
        <f t="shared" si="30"/>
        <v>411590</v>
      </c>
      <c r="EM6" s="5">
        <f t="shared" si="30"/>
        <v>505598</v>
      </c>
      <c r="EN6" s="5">
        <f t="shared" si="30"/>
        <v>51339</v>
      </c>
      <c r="EO6" s="5">
        <f t="shared" si="30"/>
        <v>47673</v>
      </c>
      <c r="EP6" s="5">
        <f t="shared" si="30"/>
        <v>33479</v>
      </c>
      <c r="EQ6" s="5">
        <f t="shared" si="30"/>
        <v>1925</v>
      </c>
      <c r="ER6" s="5">
        <f t="shared" si="30"/>
        <v>45413</v>
      </c>
      <c r="ES6" s="5">
        <f t="shared" si="30"/>
        <v>182743</v>
      </c>
      <c r="ET6" s="8"/>
      <c r="EU6" s="163" t="s">
        <v>29</v>
      </c>
      <c r="EV6" s="5">
        <f>SUM(EV49,EV54,EV57:EV58)</f>
        <v>3974866</v>
      </c>
      <c r="EW6" s="5">
        <f t="shared" ref="EW6:FE6" si="31">SUM(EW49,EW54,EW57:EW58)</f>
        <v>174736</v>
      </c>
      <c r="EX6" s="5">
        <f t="shared" si="31"/>
        <v>738166</v>
      </c>
      <c r="EY6" s="5">
        <f t="shared" si="31"/>
        <v>907204</v>
      </c>
      <c r="EZ6" s="5">
        <f t="shared" si="31"/>
        <v>134771</v>
      </c>
      <c r="FA6" s="5">
        <f t="shared" si="31"/>
        <v>88923</v>
      </c>
      <c r="FB6" s="5">
        <f t="shared" si="31"/>
        <v>85773</v>
      </c>
      <c r="FC6" s="5">
        <f t="shared" si="31"/>
        <v>4210</v>
      </c>
      <c r="FD6" s="5">
        <f t="shared" si="31"/>
        <v>95871</v>
      </c>
      <c r="FE6" s="5">
        <f t="shared" si="31"/>
        <v>329290</v>
      </c>
      <c r="FF6" s="5"/>
      <c r="FG6" s="163" t="s">
        <v>29</v>
      </c>
      <c r="FH6" s="5">
        <f>SUM(FH49,FH54,FH57:FH58)</f>
        <v>2724662</v>
      </c>
      <c r="FI6" s="5">
        <f t="shared" ref="FI6:FQ6" si="32">SUM(FI49,FI54,FI57:FI58)</f>
        <v>112025</v>
      </c>
      <c r="FJ6" s="5">
        <f t="shared" si="32"/>
        <v>521491</v>
      </c>
      <c r="FK6" s="5">
        <f t="shared" si="32"/>
        <v>681519</v>
      </c>
      <c r="FL6" s="5">
        <f t="shared" si="32"/>
        <v>80902</v>
      </c>
      <c r="FM6" s="5">
        <f t="shared" si="32"/>
        <v>50624</v>
      </c>
      <c r="FN6" s="5">
        <f t="shared" si="32"/>
        <v>41882</v>
      </c>
      <c r="FO6" s="5">
        <f t="shared" si="32"/>
        <v>2077</v>
      </c>
      <c r="FP6" s="5">
        <f t="shared" si="32"/>
        <v>49567</v>
      </c>
      <c r="FQ6" s="5">
        <f t="shared" si="32"/>
        <v>228847</v>
      </c>
      <c r="FR6" s="5"/>
      <c r="FS6" s="163" t="s">
        <v>29</v>
      </c>
      <c r="FT6" s="5">
        <f>SUM(FT49,FT54,FT57:FT58)</f>
        <v>1481</v>
      </c>
      <c r="FU6" s="5">
        <f t="shared" ref="FU6:GC6" si="33">SUM(FU49,FU54,FU57:FU58)</f>
        <v>375</v>
      </c>
      <c r="FV6" s="5">
        <f t="shared" si="33"/>
        <v>73</v>
      </c>
      <c r="FW6" s="5">
        <f t="shared" si="33"/>
        <v>212</v>
      </c>
      <c r="FX6" s="5">
        <f t="shared" si="33"/>
        <v>723</v>
      </c>
      <c r="FY6" s="5">
        <f t="shared" si="33"/>
        <v>4085</v>
      </c>
      <c r="FZ6" s="5">
        <f t="shared" si="33"/>
        <v>868</v>
      </c>
      <c r="GA6" s="5">
        <f t="shared" si="33"/>
        <v>3770</v>
      </c>
      <c r="GB6" s="5">
        <f t="shared" si="33"/>
        <v>811</v>
      </c>
      <c r="GC6" s="5">
        <f t="shared" si="33"/>
        <v>11933</v>
      </c>
      <c r="GE6" s="163" t="s">
        <v>29</v>
      </c>
      <c r="GF6" s="5">
        <f>SUM(GF49,GF54,GF57:GF58)</f>
        <v>2147</v>
      </c>
      <c r="GG6" s="5">
        <f t="shared" ref="GG6:GO6" si="34">SUM(GG49,GG54,GG57:GG58)</f>
        <v>651</v>
      </c>
      <c r="GH6" s="5">
        <f t="shared" si="34"/>
        <v>10</v>
      </c>
      <c r="GI6" s="5">
        <f t="shared" si="34"/>
        <v>279</v>
      </c>
      <c r="GJ6" s="5">
        <f t="shared" si="34"/>
        <v>480</v>
      </c>
      <c r="GK6" s="5">
        <f t="shared" si="34"/>
        <v>7834</v>
      </c>
      <c r="GL6" s="5">
        <f t="shared" si="34"/>
        <v>553</v>
      </c>
      <c r="GM6" s="5">
        <f t="shared" si="34"/>
        <v>6279</v>
      </c>
      <c r="GN6" s="5">
        <f t="shared" si="34"/>
        <v>888</v>
      </c>
      <c r="GO6" s="5">
        <f t="shared" si="34"/>
        <v>19121</v>
      </c>
      <c r="GQ6" s="163" t="s">
        <v>29</v>
      </c>
      <c r="GR6" s="5">
        <f>SUM(GR49,GR54,GR57:GR58)</f>
        <v>1623</v>
      </c>
      <c r="GS6" s="5">
        <f t="shared" ref="GS6:GZ6" si="35">SUM(GS49,GS54,GS57:GS58)</f>
        <v>12261</v>
      </c>
      <c r="GT6" s="5">
        <f t="shared" si="35"/>
        <v>90910</v>
      </c>
      <c r="GU6" s="5">
        <f t="shared" si="35"/>
        <v>63205</v>
      </c>
      <c r="GV6" s="5">
        <f t="shared" si="35"/>
        <v>65360</v>
      </c>
      <c r="GW6" s="5">
        <f t="shared" si="35"/>
        <v>20115</v>
      </c>
      <c r="GX6" s="5">
        <f t="shared" si="35"/>
        <v>156770</v>
      </c>
      <c r="GY6" s="5">
        <f t="shared" si="35"/>
        <v>210651</v>
      </c>
      <c r="GZ6" s="5">
        <f t="shared" si="35"/>
        <v>29521</v>
      </c>
      <c r="HA6" s="5">
        <f>SUM(HA49,HA54,HA57:HA58)</f>
        <v>650416</v>
      </c>
      <c r="HC6" s="163" t="s">
        <v>29</v>
      </c>
      <c r="HD6" s="5">
        <f>SUM(HD49,HD54,HD57:HD58)</f>
        <v>7930909</v>
      </c>
      <c r="HE6" s="5">
        <f t="shared" ref="HE6:HM6" si="36">SUM(HE49,HE54,HE57:HE58)</f>
        <v>349003</v>
      </c>
      <c r="HF6" s="5">
        <f t="shared" si="36"/>
        <v>1505398</v>
      </c>
      <c r="HG6" s="5">
        <f t="shared" si="36"/>
        <v>1598949</v>
      </c>
      <c r="HH6" s="5">
        <f t="shared" si="36"/>
        <v>320946</v>
      </c>
      <c r="HI6" s="5">
        <f t="shared" si="36"/>
        <v>121647</v>
      </c>
      <c r="HJ6" s="5">
        <f t="shared" si="36"/>
        <v>206518</v>
      </c>
      <c r="HK6" s="5">
        <f t="shared" si="36"/>
        <v>9296</v>
      </c>
      <c r="HL6" s="5">
        <f t="shared" si="36"/>
        <v>132438</v>
      </c>
      <c r="HM6" s="5">
        <f t="shared" si="36"/>
        <v>802532</v>
      </c>
      <c r="HO6" s="163" t="s">
        <v>29</v>
      </c>
      <c r="HP6" s="5">
        <f>SUM(HP49,HP54,HP57:HP58)</f>
        <v>3046258</v>
      </c>
      <c r="HQ6" s="5">
        <f t="shared" ref="HQ6:HY6" si="37">SUM(HQ49,HQ54,HQ57:HQ58)</f>
        <v>163711</v>
      </c>
      <c r="HR6" s="5">
        <f t="shared" si="37"/>
        <v>770848</v>
      </c>
      <c r="HS6" s="5">
        <f t="shared" si="37"/>
        <v>822179</v>
      </c>
      <c r="HT6" s="5">
        <f t="shared" si="37"/>
        <v>153216</v>
      </c>
      <c r="HU6" s="5">
        <f t="shared" si="37"/>
        <v>88284</v>
      </c>
      <c r="HV6" s="5">
        <f t="shared" si="37"/>
        <v>130907</v>
      </c>
      <c r="HW6" s="5">
        <f t="shared" si="37"/>
        <v>5233</v>
      </c>
      <c r="HX6" s="5">
        <f t="shared" si="37"/>
        <v>99865</v>
      </c>
      <c r="HY6" s="5">
        <f t="shared" si="37"/>
        <v>341407</v>
      </c>
    </row>
    <row r="7" spans="2:233">
      <c r="B7" s="163" t="s">
        <v>30</v>
      </c>
      <c r="C7" s="20">
        <f>SUM(C47,C48,C50,C51,C52,C55,C56)</f>
        <v>58</v>
      </c>
      <c r="D7" s="20">
        <f t="shared" ref="D7:K7" si="38">SUM(D47,D48,D50,D51,D52,D55,D56)</f>
        <v>1105</v>
      </c>
      <c r="E7" s="20">
        <f t="shared" si="38"/>
        <v>4279</v>
      </c>
      <c r="F7" s="20">
        <f t="shared" si="38"/>
        <v>2086</v>
      </c>
      <c r="G7" s="20">
        <f t="shared" si="38"/>
        <v>889</v>
      </c>
      <c r="H7" s="20">
        <f t="shared" si="38"/>
        <v>1229</v>
      </c>
      <c r="I7" s="20">
        <f t="shared" si="38"/>
        <v>16009</v>
      </c>
      <c r="J7" s="20">
        <f t="shared" si="38"/>
        <v>11504</v>
      </c>
      <c r="K7" s="20">
        <f t="shared" si="38"/>
        <v>2008</v>
      </c>
      <c r="L7" s="20">
        <f>SUM(L47,L48,L50,L51,L52,L55,L56)</f>
        <v>39167</v>
      </c>
      <c r="N7" s="163" t="s">
        <v>30</v>
      </c>
      <c r="O7" s="5">
        <f>SUM(O47,O48,O50,O51,O52,O53,O55,O56)</f>
        <v>68</v>
      </c>
      <c r="P7" s="5">
        <f t="shared" ref="P7:V7" si="39">SUM(P47,P48,P50,P51,P52,P53,P55,P56)</f>
        <v>1281</v>
      </c>
      <c r="Q7" s="5">
        <f t="shared" si="39"/>
        <v>5156</v>
      </c>
      <c r="R7" s="5">
        <f t="shared" si="39"/>
        <v>2337</v>
      </c>
      <c r="S7" s="5">
        <f t="shared" si="39"/>
        <v>1041</v>
      </c>
      <c r="T7" s="5">
        <f t="shared" si="39"/>
        <v>1326</v>
      </c>
      <c r="U7" s="5">
        <f>SUM(U47,U48,U50,U51,U52,U53,U55,U56)</f>
        <v>18553</v>
      </c>
      <c r="V7" s="5">
        <f t="shared" si="39"/>
        <v>13197</v>
      </c>
      <c r="W7" s="5">
        <f>SUM(W47,W48,W50,W51,W52,W53,W55,W56)</f>
        <v>2308</v>
      </c>
      <c r="X7" s="5">
        <f>SUM(X47,X48,X50,X51,X52,X53,X55,X56)</f>
        <v>45267</v>
      </c>
      <c r="Y7" s="5"/>
      <c r="Z7" s="163" t="s">
        <v>30</v>
      </c>
      <c r="AA7" s="5">
        <f>SUM(AA47,AA48,AA50,AA51,AA52,AA53,AA55,AA56)</f>
        <v>1019436</v>
      </c>
      <c r="AB7" s="5">
        <f t="shared" ref="AB7:AI7" si="40">SUM(AB47,AB48,AB50,AB51,AB52,AB53,AB55,AB56)</f>
        <v>5489438</v>
      </c>
      <c r="AC7" s="5">
        <f t="shared" si="40"/>
        <v>7102242</v>
      </c>
      <c r="AD7" s="5">
        <f t="shared" si="40"/>
        <v>338379</v>
      </c>
      <c r="AE7" s="5">
        <f t="shared" si="40"/>
        <v>835084</v>
      </c>
      <c r="AF7" s="5">
        <f t="shared" si="40"/>
        <v>295129</v>
      </c>
      <c r="AG7" s="5">
        <f t="shared" si="40"/>
        <v>90003</v>
      </c>
      <c r="AH7" s="5">
        <f t="shared" si="40"/>
        <v>496161</v>
      </c>
      <c r="AI7" s="5">
        <f t="shared" si="40"/>
        <v>2250261</v>
      </c>
      <c r="AJ7" s="5">
        <f>SUM(AJ47,AJ48,AJ50,AJ51,AJ52,AJ53,AJ55,AJ56)</f>
        <v>23579958</v>
      </c>
      <c r="AK7" s="7"/>
      <c r="AL7" s="163" t="s">
        <v>30</v>
      </c>
      <c r="AM7" s="5">
        <f>SUM(AM47,AM48,AM50,AM51,AM52,AM53,AM55,AM56)</f>
        <v>978856</v>
      </c>
      <c r="AN7" s="5">
        <f t="shared" ref="AN7:AU7" si="41">SUM(AN47,AN48,AN50,AN51,AN52,AN53,AN55,AN56)</f>
        <v>5342759</v>
      </c>
      <c r="AO7" s="5">
        <f>SUM(AO47,AO48,AO50,AO51,AO52,AO53,AO55,AO56)</f>
        <v>6908386</v>
      </c>
      <c r="AP7" s="5">
        <f t="shared" si="41"/>
        <v>338367</v>
      </c>
      <c r="AQ7" s="5">
        <f t="shared" si="41"/>
        <v>795836</v>
      </c>
      <c r="AR7" s="5">
        <f t="shared" si="41"/>
        <v>295141</v>
      </c>
      <c r="AS7" s="5">
        <f t="shared" si="41"/>
        <v>89976</v>
      </c>
      <c r="AT7" s="5">
        <f t="shared" si="41"/>
        <v>496183</v>
      </c>
      <c r="AU7" s="5">
        <f t="shared" si="41"/>
        <v>2184381</v>
      </c>
      <c r="AV7" s="5">
        <f>SUM(AV47,AV48,AV50,AV51,AV52,AV53,AV55,AV56)</f>
        <v>17429885</v>
      </c>
      <c r="AW7" s="5"/>
      <c r="AX7" s="163" t="s">
        <v>30</v>
      </c>
      <c r="AY7" s="5">
        <f>SUM(AY47,AY48,AY50,AY51,AY52,AY53,AY55,AY56)</f>
        <v>812567</v>
      </c>
      <c r="AZ7" s="5">
        <f t="shared" ref="AZ7:BG7" si="42">SUM(AZ47,AZ48,AZ50,AZ51,AZ52,AZ53,AZ55,AZ56)</f>
        <v>4416778</v>
      </c>
      <c r="BA7" s="5">
        <f t="shared" si="42"/>
        <v>5738792</v>
      </c>
      <c r="BB7" s="5">
        <f t="shared" si="42"/>
        <v>162401</v>
      </c>
      <c r="BC7" s="5">
        <f t="shared" si="42"/>
        <v>582034</v>
      </c>
      <c r="BD7" s="5">
        <f t="shared" si="42"/>
        <v>138439</v>
      </c>
      <c r="BE7" s="5">
        <f t="shared" si="42"/>
        <v>46128</v>
      </c>
      <c r="BF7" s="5">
        <f t="shared" si="42"/>
        <v>322015</v>
      </c>
      <c r="BG7" s="5">
        <f t="shared" si="42"/>
        <v>1583259</v>
      </c>
      <c r="BH7" s="5">
        <f>SUM(BH47,BH48,BH50,BH51,BH52,BH53,BH55,BH56)</f>
        <v>13802413</v>
      </c>
      <c r="BI7" s="8"/>
      <c r="BJ7" s="254" t="s">
        <v>30</v>
      </c>
      <c r="BK7" s="20">
        <f>SUM(BK47,BK48,BK50,BK51,BK52,BK55,BK56)</f>
        <v>19067940</v>
      </c>
      <c r="BL7" s="255"/>
      <c r="BM7" s="20">
        <f>SUM(BM47,BM48,BM50,BM51,BM52,BM55,BM56)</f>
        <v>11675625</v>
      </c>
      <c r="BN7" s="255"/>
      <c r="BO7" s="20">
        <f>SUM(BO47,BO48,BO50,BO51,BO52,BO55,BO56)</f>
        <v>7392315</v>
      </c>
      <c r="BP7" s="20">
        <f t="shared" ref="BP7:BY7" si="43">SUM(BP47,BP48,BP50,BP51,BP52,BP55,BP56)</f>
        <v>464909</v>
      </c>
      <c r="BQ7" s="20">
        <f t="shared" si="43"/>
        <v>2129753</v>
      </c>
      <c r="BR7" s="20">
        <f t="shared" si="43"/>
        <v>2362878</v>
      </c>
      <c r="BS7" s="20">
        <f t="shared" si="43"/>
        <v>487101</v>
      </c>
      <c r="BT7" s="20">
        <f t="shared" si="43"/>
        <v>218452</v>
      </c>
      <c r="BU7" s="20">
        <f t="shared" si="43"/>
        <v>266511</v>
      </c>
      <c r="BV7" s="20">
        <f t="shared" si="43"/>
        <v>23814</v>
      </c>
      <c r="BW7" s="20">
        <f t="shared" si="43"/>
        <v>264600</v>
      </c>
      <c r="BX7" s="20">
        <f t="shared" si="43"/>
        <v>1174297</v>
      </c>
      <c r="BY7" s="20">
        <f t="shared" si="43"/>
        <v>19063</v>
      </c>
      <c r="BZ7" s="8"/>
      <c r="CA7" s="163" t="s">
        <v>30</v>
      </c>
      <c r="CB7" s="5">
        <f>SUM(CB47,CB48,CB50,CB51,CB52,CB53,CB55,CB56)</f>
        <v>837965</v>
      </c>
      <c r="CC7" s="5">
        <f t="shared" ref="CC7:CK7" si="44">SUM(CC47,CC48,CC50,CC51,CC52,CC53,CC55,CC56)</f>
        <v>26295</v>
      </c>
      <c r="CD7" s="5">
        <f t="shared" si="44"/>
        <v>111825</v>
      </c>
      <c r="CE7" s="5">
        <f t="shared" si="44"/>
        <v>144212</v>
      </c>
      <c r="CF7" s="5">
        <f t="shared" si="44"/>
        <v>32377</v>
      </c>
      <c r="CG7" s="5">
        <f t="shared" si="44"/>
        <v>18958</v>
      </c>
      <c r="CH7" s="5">
        <f t="shared" si="44"/>
        <v>12133</v>
      </c>
      <c r="CI7" s="5">
        <f t="shared" si="44"/>
        <v>2700</v>
      </c>
      <c r="CJ7" s="5">
        <f t="shared" si="44"/>
        <v>19407</v>
      </c>
      <c r="CK7" s="5">
        <f t="shared" si="44"/>
        <v>111394</v>
      </c>
      <c r="CL7" s="8"/>
      <c r="CM7" s="163" t="s">
        <v>30</v>
      </c>
      <c r="CN7" s="5">
        <f>SUM(CN47,CN48,CN50,CN51,CN52,CN53,CN55,CN56)</f>
        <v>1106428</v>
      </c>
      <c r="CO7" s="5">
        <f t="shared" ref="CO7:CW7" si="45">SUM(CO47,CO48,CO50,CO51,CO52,CO53,CO55,CO56)</f>
        <v>41595</v>
      </c>
      <c r="CP7" s="5">
        <f t="shared" si="45"/>
        <v>165722</v>
      </c>
      <c r="CQ7" s="5">
        <f t="shared" si="45"/>
        <v>216768</v>
      </c>
      <c r="CR7" s="5">
        <f t="shared" si="45"/>
        <v>46421</v>
      </c>
      <c r="CS7" s="5">
        <f t="shared" si="45"/>
        <v>32643</v>
      </c>
      <c r="CT7" s="5">
        <f t="shared" si="45"/>
        <v>19622</v>
      </c>
      <c r="CU7" s="5">
        <f t="shared" si="45"/>
        <v>4202</v>
      </c>
      <c r="CV7" s="5">
        <f t="shared" si="45"/>
        <v>33275</v>
      </c>
      <c r="CW7" s="5">
        <f t="shared" si="45"/>
        <v>149922</v>
      </c>
      <c r="CX7" s="8"/>
      <c r="CY7" s="163" t="s">
        <v>30</v>
      </c>
      <c r="CZ7" s="5">
        <f>SUM(CZ47,CZ48,CZ50,CZ51,CZ52,CZ53,CZ55,CZ56)</f>
        <v>500900</v>
      </c>
      <c r="DA7" s="5">
        <f t="shared" ref="DA7:DI7" si="46">SUM(DA47,DA48,DA50,DA51,DA52,DA53,DA55,DA56)</f>
        <v>6636</v>
      </c>
      <c r="DB7" s="5">
        <f>SUM(DB47,DB48,DB50,DB51,DB52,DB53,DB55,DB56)</f>
        <v>24912</v>
      </c>
      <c r="DC7" s="5">
        <f t="shared" si="46"/>
        <v>37618</v>
      </c>
      <c r="DD7" s="5">
        <f t="shared" si="46"/>
        <v>5840</v>
      </c>
      <c r="DE7" s="5">
        <f t="shared" si="46"/>
        <v>5591</v>
      </c>
      <c r="DF7" s="5">
        <f t="shared" si="46"/>
        <v>2572</v>
      </c>
      <c r="DG7" s="5">
        <f t="shared" si="46"/>
        <v>582</v>
      </c>
      <c r="DH7" s="5">
        <f t="shared" si="46"/>
        <v>5223</v>
      </c>
      <c r="DI7" s="5">
        <f t="shared" si="46"/>
        <v>15668</v>
      </c>
      <c r="DJ7" s="8"/>
      <c r="DK7" s="163" t="s">
        <v>30</v>
      </c>
      <c r="DL7" s="5">
        <f>SUM(DL47,DL48,DL50,DL51,DL52,DL53,DL55,DL56)</f>
        <v>605528</v>
      </c>
      <c r="DM7" s="5">
        <f t="shared" ref="DM7:DT7" si="47">SUM(DM47,DM48,DM50,DM51,DM52,DM53,DM55,DM56)</f>
        <v>34959</v>
      </c>
      <c r="DN7" s="5">
        <f>SUM(DN47,DN48,DN50,DN51,DN52,DN53,DN55,DN56)</f>
        <v>140810</v>
      </c>
      <c r="DO7" s="5">
        <f>SUM(DO47,DO48,DO50,DO51,DO52,DO53,DO55,DO56)</f>
        <v>179150</v>
      </c>
      <c r="DP7" s="5">
        <f t="shared" si="47"/>
        <v>40581</v>
      </c>
      <c r="DQ7" s="5">
        <f t="shared" si="47"/>
        <v>27052</v>
      </c>
      <c r="DR7" s="5">
        <f t="shared" si="47"/>
        <v>17050</v>
      </c>
      <c r="DS7" s="5">
        <f t="shared" si="47"/>
        <v>3620</v>
      </c>
      <c r="DT7" s="5">
        <f t="shared" si="47"/>
        <v>28052</v>
      </c>
      <c r="DU7" s="5">
        <f>SUM(DU47,DU48,DU50,DU51,DU52,DU53,DU55,DU56)</f>
        <v>134254</v>
      </c>
      <c r="DV7" s="8"/>
      <c r="DW7" s="163" t="s">
        <v>30</v>
      </c>
      <c r="DX7" s="5">
        <f>SUM(DX47,DX48,DX50,DX51,DX52,DX53,DX55,DX56)</f>
        <v>3978472</v>
      </c>
      <c r="DY7" s="5">
        <f t="shared" ref="DY7:EG7" si="48">SUM(DY47,DY48,DY50,DY51,DY52,DY53,DY55,DY56)</f>
        <v>240895</v>
      </c>
      <c r="DZ7" s="5">
        <f t="shared" si="48"/>
        <v>964409</v>
      </c>
      <c r="EA7" s="5">
        <f t="shared" si="48"/>
        <v>1078601</v>
      </c>
      <c r="EB7" s="5">
        <f t="shared" si="48"/>
        <v>167246</v>
      </c>
      <c r="EC7" s="5">
        <f t="shared" si="48"/>
        <v>153303</v>
      </c>
      <c r="ED7" s="5">
        <f t="shared" si="48"/>
        <v>114121</v>
      </c>
      <c r="EE7" s="5">
        <f t="shared" si="48"/>
        <v>16355</v>
      </c>
      <c r="EF7" s="5">
        <f t="shared" si="48"/>
        <v>162828</v>
      </c>
      <c r="EG7" s="5">
        <f t="shared" si="48"/>
        <v>411944</v>
      </c>
      <c r="EH7" s="8"/>
      <c r="EI7" s="163" t="s">
        <v>30</v>
      </c>
      <c r="EJ7" s="5">
        <f>SUM(EJ47,EJ48,EJ50,EJ51,EJ52,EJ53,EJ55,EJ56)</f>
        <v>2635617</v>
      </c>
      <c r="EK7" s="5">
        <f t="shared" ref="EK7:ES7" si="49">SUM(EK47,EK48,EK50,EK51,EK52,EK53,EK55,EK56)</f>
        <v>161162</v>
      </c>
      <c r="EL7" s="5">
        <f t="shared" si="49"/>
        <v>691722</v>
      </c>
      <c r="EM7" s="5">
        <f t="shared" si="49"/>
        <v>759205</v>
      </c>
      <c r="EN7" s="5">
        <f t="shared" si="49"/>
        <v>90915</v>
      </c>
      <c r="EO7" s="5">
        <f t="shared" si="49"/>
        <v>91807</v>
      </c>
      <c r="EP7" s="5">
        <f t="shared" si="49"/>
        <v>57606</v>
      </c>
      <c r="EQ7" s="5">
        <f t="shared" si="49"/>
        <v>8318</v>
      </c>
      <c r="ER7" s="5">
        <f t="shared" si="49"/>
        <v>94841</v>
      </c>
      <c r="ES7" s="5">
        <f t="shared" si="49"/>
        <v>270954</v>
      </c>
      <c r="ET7" s="8"/>
      <c r="EU7" s="163" t="s">
        <v>30</v>
      </c>
      <c r="EV7" s="5">
        <f>SUM(EV47,EV48,EV50,EV51,EV52,EV53,EV55,EV56)</f>
        <v>7152478.5223529404</v>
      </c>
      <c r="EW7" s="5">
        <f t="shared" ref="EW7:FE7" si="50">SUM(EW47,EW48,EW50,EW51,EW52,EW53,EW55,EW56)</f>
        <v>298657.22621635254</v>
      </c>
      <c r="EX7" s="5">
        <f t="shared" si="50"/>
        <v>1296455.7173014604</v>
      </c>
      <c r="EY7" s="5">
        <f t="shared" si="50"/>
        <v>1512045.9424708672</v>
      </c>
      <c r="EZ7" s="5">
        <f t="shared" si="50"/>
        <v>248989.24574872904</v>
      </c>
      <c r="FA7" s="5">
        <f t="shared" si="50"/>
        <v>181158.88550149242</v>
      </c>
      <c r="FB7" s="5">
        <f t="shared" si="50"/>
        <v>149211.29048058571</v>
      </c>
      <c r="FC7" s="5">
        <f t="shared" si="50"/>
        <v>19934.147928200513</v>
      </c>
      <c r="FD7" s="5">
        <f t="shared" si="50"/>
        <v>201870.16094383341</v>
      </c>
      <c r="FE7" s="5">
        <f t="shared" si="50"/>
        <v>580923.69323015912</v>
      </c>
      <c r="FF7" s="5"/>
      <c r="FG7" s="163" t="s">
        <v>30</v>
      </c>
      <c r="FH7" s="5">
        <f>SUM(FH47,FH48,FH50,FH51,FH52,FH53,FH55,FH56)</f>
        <v>4320350.5223529413</v>
      </c>
      <c r="FI7" s="5">
        <f t="shared" ref="FI7:FQ7" si="51">SUM(FI47,FI48,FI50,FI51,FI52,FI53,FI55,FI56)</f>
        <v>187262.22621635249</v>
      </c>
      <c r="FJ7" s="5">
        <f t="shared" si="51"/>
        <v>901265.71730146045</v>
      </c>
      <c r="FK7" s="5">
        <f t="shared" si="51"/>
        <v>1044330.9424708672</v>
      </c>
      <c r="FL7" s="5">
        <f t="shared" si="51"/>
        <v>144316.24574872907</v>
      </c>
      <c r="FM7" s="5">
        <f t="shared" si="51"/>
        <v>101422.88550149242</v>
      </c>
      <c r="FN7" s="5">
        <f t="shared" si="51"/>
        <v>73078.290480585696</v>
      </c>
      <c r="FO7" s="5">
        <f t="shared" si="51"/>
        <v>9470.1479282005166</v>
      </c>
      <c r="FP7" s="5">
        <f t="shared" si="51"/>
        <v>107974.06290461772</v>
      </c>
      <c r="FQ7" s="5">
        <f t="shared" si="51"/>
        <v>379182.69323015912</v>
      </c>
      <c r="FR7" s="5"/>
      <c r="FS7" s="163" t="s">
        <v>30</v>
      </c>
      <c r="FT7" s="5">
        <f>SUM(FT47,FT48,FT50,FT51,FT52,FT53,FT55,FT56)</f>
        <v>1975</v>
      </c>
      <c r="FU7" s="5">
        <f t="shared" ref="FU7:GC7" si="52">SUM(FU47,FU48,FU50,FU51,FU52,FU53,FU55,FU56)</f>
        <v>749</v>
      </c>
      <c r="FV7" s="5">
        <f t="shared" si="52"/>
        <v>507</v>
      </c>
      <c r="FW7" s="5">
        <f t="shared" si="52"/>
        <v>393</v>
      </c>
      <c r="FX7" s="5">
        <f t="shared" si="52"/>
        <v>1803</v>
      </c>
      <c r="FY7" s="5">
        <f t="shared" si="52"/>
        <v>6235</v>
      </c>
      <c r="FZ7" s="5">
        <f t="shared" si="52"/>
        <v>1748</v>
      </c>
      <c r="GA7" s="5">
        <f t="shared" si="52"/>
        <v>5193</v>
      </c>
      <c r="GB7" s="5">
        <f t="shared" si="52"/>
        <v>1272</v>
      </c>
      <c r="GC7" s="5">
        <f t="shared" si="52"/>
        <v>19021</v>
      </c>
      <c r="GE7" s="163" t="s">
        <v>30</v>
      </c>
      <c r="GF7" s="5">
        <f>SUM(GF47,GF48,GF50,GF51,GF52,GF53,GF55,GF56)</f>
        <v>4253</v>
      </c>
      <c r="GG7" s="5">
        <f t="shared" ref="GG7:GO7" si="53">SUM(GG47,GG48,GG50,GG51,GG52,GG53,GG55,GG56)</f>
        <v>1485</v>
      </c>
      <c r="GH7" s="5">
        <f t="shared" si="53"/>
        <v>94</v>
      </c>
      <c r="GI7" s="5">
        <f t="shared" si="53"/>
        <v>535</v>
      </c>
      <c r="GJ7" s="5">
        <f t="shared" si="53"/>
        <v>1340</v>
      </c>
      <c r="GK7" s="5">
        <f t="shared" si="53"/>
        <v>13090</v>
      </c>
      <c r="GL7" s="5">
        <f t="shared" si="53"/>
        <v>1217</v>
      </c>
      <c r="GM7" s="5">
        <f t="shared" si="53"/>
        <v>10940</v>
      </c>
      <c r="GN7" s="5">
        <f t="shared" si="53"/>
        <v>1532</v>
      </c>
      <c r="GO7" s="5">
        <f t="shared" si="53"/>
        <v>34486</v>
      </c>
      <c r="GQ7" s="163" t="s">
        <v>30</v>
      </c>
      <c r="GR7" s="5">
        <f>SUM(GR47,GR48,GR50,GR51,GR52,GR53,GR55,GR56)</f>
        <v>4859</v>
      </c>
      <c r="GS7" s="5">
        <f t="shared" ref="GS7:GZ7" si="54">SUM(GS47,GS48,GS50,GS51,GS52,GS53,GS55,GS56)</f>
        <v>24856</v>
      </c>
      <c r="GT7" s="5">
        <f t="shared" si="54"/>
        <v>178991</v>
      </c>
      <c r="GU7" s="5">
        <f t="shared" si="54"/>
        <v>122055</v>
      </c>
      <c r="GV7" s="5">
        <f t="shared" si="54"/>
        <v>110030</v>
      </c>
      <c r="GW7" s="5">
        <f t="shared" si="54"/>
        <v>42096</v>
      </c>
      <c r="GX7" s="5">
        <f t="shared" si="54"/>
        <v>311451</v>
      </c>
      <c r="GY7" s="5">
        <f t="shared" si="54"/>
        <v>385584</v>
      </c>
      <c r="GZ7" s="5">
        <f t="shared" si="54"/>
        <v>22339</v>
      </c>
      <c r="HA7" s="5">
        <f>SUM(HA47,HA48,HA50,HA51,HA52,HA53,HA55,HA56)</f>
        <v>1202261</v>
      </c>
      <c r="HC7" s="163" t="s">
        <v>30</v>
      </c>
      <c r="HD7" s="5">
        <f>SUM(HD47,HD48,HD50,HD51,HD52,HD53,HD55,HD56)</f>
        <v>14556115</v>
      </c>
      <c r="HE7" s="5">
        <f t="shared" ref="HE7:HM7" si="55">SUM(HE47,HE48,HE50,HE51,HE52,HE53,HE55,HE56)</f>
        <v>576932</v>
      </c>
      <c r="HF7" s="5">
        <f t="shared" si="55"/>
        <v>2611678</v>
      </c>
      <c r="HG7" s="5">
        <f t="shared" si="55"/>
        <v>2959316</v>
      </c>
      <c r="HH7" s="5">
        <f t="shared" si="55"/>
        <v>601619</v>
      </c>
      <c r="HI7" s="5">
        <f t="shared" si="55"/>
        <v>292446</v>
      </c>
      <c r="HJ7" s="5">
        <f t="shared" si="55"/>
        <v>321709</v>
      </c>
      <c r="HK7" s="5">
        <f t="shared" si="55"/>
        <v>30088</v>
      </c>
      <c r="HL7" s="5">
        <f t="shared" si="55"/>
        <v>338300</v>
      </c>
      <c r="HM7" s="5">
        <f t="shared" si="55"/>
        <v>1528758</v>
      </c>
      <c r="HO7" s="163" t="s">
        <v>30</v>
      </c>
      <c r="HP7" s="5">
        <f>SUM(HP47,HP48,HP50,HP51,HP52,HP53,HP55,HP56)</f>
        <v>5180733</v>
      </c>
      <c r="HQ7" s="5">
        <f t="shared" ref="HQ7:HY7" si="56">SUM(HQ47,HQ48,HQ50,HQ51,HQ52,HQ53,HQ55,HQ56)</f>
        <v>263234</v>
      </c>
      <c r="HR7" s="5">
        <f t="shared" si="56"/>
        <v>1349993</v>
      </c>
      <c r="HS7" s="5">
        <f t="shared" si="56"/>
        <v>1390052</v>
      </c>
      <c r="HT7" s="5">
        <f t="shared" si="56"/>
        <v>289301</v>
      </c>
      <c r="HU7" s="5">
        <f t="shared" si="56"/>
        <v>178159</v>
      </c>
      <c r="HV7" s="5">
        <f t="shared" si="56"/>
        <v>224151</v>
      </c>
      <c r="HW7" s="5">
        <f t="shared" si="56"/>
        <v>21214</v>
      </c>
      <c r="HX7" s="5">
        <f t="shared" si="56"/>
        <v>204924</v>
      </c>
      <c r="HY7" s="5">
        <f t="shared" si="56"/>
        <v>590935</v>
      </c>
    </row>
    <row r="8" spans="2:233">
      <c r="B8" s="53"/>
      <c r="C8" s="5"/>
      <c r="D8" s="5"/>
      <c r="E8" s="5"/>
      <c r="F8" s="5"/>
      <c r="G8" s="5"/>
      <c r="H8" s="5"/>
      <c r="I8" s="5"/>
      <c r="J8" s="5"/>
      <c r="K8" s="5"/>
      <c r="L8" s="5"/>
      <c r="N8" s="5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3"/>
      <c r="AA8" s="5"/>
      <c r="AB8" s="5"/>
      <c r="AC8" s="5"/>
      <c r="AD8" s="5"/>
      <c r="AE8" s="5"/>
      <c r="AF8" s="5"/>
      <c r="AG8" s="5"/>
      <c r="AH8" s="5"/>
      <c r="AI8" s="5"/>
      <c r="AJ8" s="5"/>
      <c r="AK8" s="7"/>
      <c r="AL8" s="53"/>
      <c r="AM8" s="128"/>
      <c r="AN8" s="5"/>
      <c r="AO8" s="5"/>
      <c r="AP8" s="5"/>
      <c r="AQ8" s="5"/>
      <c r="AR8" s="5"/>
      <c r="AS8" s="5"/>
      <c r="AT8" s="5"/>
      <c r="AU8" s="5"/>
      <c r="AV8" s="5"/>
      <c r="AW8" s="5"/>
      <c r="AX8" s="53"/>
      <c r="AY8" s="5"/>
      <c r="AZ8" s="5"/>
      <c r="BA8" s="5"/>
      <c r="BB8" s="5"/>
      <c r="BC8" s="5"/>
      <c r="BD8" s="5"/>
      <c r="BE8" s="5"/>
      <c r="BF8" s="5"/>
      <c r="BG8" s="5"/>
      <c r="BH8" s="5"/>
      <c r="BI8" s="8"/>
      <c r="BJ8" s="53"/>
      <c r="BK8" s="53"/>
      <c r="BL8" s="53"/>
      <c r="BM8" s="5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53"/>
      <c r="CB8" s="5"/>
      <c r="CC8" s="5"/>
      <c r="CD8" s="5"/>
      <c r="CE8" s="5"/>
      <c r="CF8" s="5"/>
      <c r="CG8" s="5"/>
      <c r="CH8" s="5"/>
      <c r="CI8" s="5"/>
      <c r="CJ8" s="5"/>
      <c r="CK8" s="5"/>
      <c r="CL8" s="8"/>
      <c r="CM8" s="53"/>
      <c r="CN8" s="5"/>
      <c r="CO8" s="5"/>
      <c r="CP8" s="5"/>
      <c r="CQ8" s="5"/>
      <c r="CR8" s="5"/>
      <c r="CS8" s="5"/>
      <c r="CT8" s="5"/>
      <c r="CU8" s="5"/>
      <c r="CV8" s="5"/>
      <c r="CW8" s="5"/>
      <c r="CX8" s="8"/>
      <c r="CY8" s="53"/>
      <c r="CZ8" s="5"/>
      <c r="DA8" s="5"/>
      <c r="DB8" s="5"/>
      <c r="DC8" s="5"/>
      <c r="DD8" s="5"/>
      <c r="DE8" s="5"/>
      <c r="DF8" s="5"/>
      <c r="DG8" s="5"/>
      <c r="DH8" s="5"/>
      <c r="DI8" s="5"/>
      <c r="DJ8" s="8"/>
      <c r="DK8" s="53"/>
      <c r="DL8" s="5"/>
      <c r="DM8" s="5"/>
      <c r="DN8" s="5"/>
      <c r="DO8" s="5"/>
      <c r="DP8" s="5"/>
      <c r="DQ8" s="5"/>
      <c r="DR8" s="5"/>
      <c r="DS8" s="5"/>
      <c r="DT8" s="5"/>
      <c r="DU8" s="5"/>
      <c r="DV8" s="8"/>
      <c r="DW8" s="53"/>
      <c r="DX8" s="5"/>
      <c r="DY8" s="5"/>
      <c r="DZ8" s="5"/>
      <c r="EA8" s="5"/>
      <c r="EB8" s="5"/>
      <c r="EC8" s="5"/>
      <c r="ED8" s="5"/>
      <c r="EE8" s="5"/>
      <c r="EF8" s="5"/>
      <c r="EG8" s="5"/>
      <c r="EH8" s="8"/>
      <c r="EI8" s="53"/>
      <c r="EJ8" s="5"/>
      <c r="EK8" s="5"/>
      <c r="EL8" s="5"/>
      <c r="EM8" s="5"/>
      <c r="EN8" s="5"/>
      <c r="EO8" s="5"/>
      <c r="EP8" s="5"/>
      <c r="EQ8" s="5"/>
      <c r="ER8" s="5"/>
      <c r="ES8" s="5"/>
      <c r="ET8" s="8"/>
      <c r="EU8" s="53"/>
      <c r="EV8" s="5"/>
      <c r="EW8" s="128"/>
      <c r="EX8" s="5"/>
      <c r="EY8" s="5"/>
      <c r="EZ8" s="5"/>
      <c r="FA8" s="5"/>
      <c r="FB8" s="5"/>
      <c r="FC8" s="5"/>
      <c r="FD8" s="5"/>
      <c r="FE8" s="5"/>
      <c r="FF8" s="5"/>
      <c r="FG8" s="53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3"/>
      <c r="FT8" s="5"/>
      <c r="FU8" s="5"/>
      <c r="FV8" s="5"/>
      <c r="FW8" s="5"/>
      <c r="FX8" s="5"/>
      <c r="FY8" s="5"/>
      <c r="FZ8" s="5"/>
      <c r="GA8" s="5"/>
      <c r="GB8" s="5"/>
      <c r="GC8" s="5"/>
      <c r="GE8" s="53"/>
      <c r="GF8" s="128"/>
      <c r="GG8" s="5"/>
      <c r="GH8" s="5"/>
      <c r="GI8" s="5"/>
      <c r="GJ8" s="5"/>
      <c r="GK8" s="5"/>
      <c r="GL8" s="5"/>
      <c r="GM8" s="5"/>
      <c r="GN8" s="5"/>
      <c r="GO8" s="128"/>
      <c r="HC8" s="53"/>
      <c r="HD8" s="5"/>
      <c r="HE8" s="5"/>
      <c r="HF8" s="5"/>
      <c r="HG8" s="5"/>
      <c r="HH8" s="5"/>
      <c r="HI8" s="5"/>
      <c r="HJ8" s="5"/>
      <c r="HK8" s="5"/>
      <c r="HL8" s="5"/>
      <c r="HM8" s="5"/>
      <c r="HO8" s="53"/>
      <c r="HP8" s="5"/>
      <c r="HQ8" s="5"/>
      <c r="HR8" s="5"/>
      <c r="HS8" s="5"/>
      <c r="HT8" s="5"/>
      <c r="HU8" s="5"/>
      <c r="HV8" s="5"/>
      <c r="HW8" s="5"/>
      <c r="HX8" s="5"/>
      <c r="HY8" s="5"/>
    </row>
    <row r="9" spans="2:233">
      <c r="B9" s="551" t="s">
        <v>0</v>
      </c>
      <c r="C9" s="551"/>
      <c r="D9" s="551"/>
      <c r="E9" s="551"/>
      <c r="F9" s="551"/>
      <c r="G9" s="551"/>
      <c r="H9" s="551"/>
      <c r="I9" s="551"/>
      <c r="J9" s="551"/>
      <c r="K9" s="551"/>
      <c r="L9" s="551"/>
      <c r="N9" s="551" t="s">
        <v>127</v>
      </c>
      <c r="O9" s="551"/>
      <c r="P9" s="551"/>
      <c r="Q9" s="551"/>
      <c r="R9" s="551"/>
      <c r="S9" s="551"/>
      <c r="T9" s="551"/>
      <c r="U9" s="551"/>
      <c r="V9" s="551"/>
      <c r="W9" s="551"/>
      <c r="X9" s="551"/>
      <c r="Y9" s="3"/>
      <c r="Z9" s="555" t="s">
        <v>2</v>
      </c>
      <c r="AA9" s="555"/>
      <c r="AB9" s="555"/>
      <c r="AC9" s="555"/>
      <c r="AD9" s="555"/>
      <c r="AE9" s="555"/>
      <c r="AF9" s="555"/>
      <c r="AG9" s="555"/>
      <c r="AH9" s="555"/>
      <c r="AI9" s="555"/>
      <c r="AJ9" s="555"/>
      <c r="AL9" s="552" t="s">
        <v>3</v>
      </c>
      <c r="AM9" s="552"/>
      <c r="AN9" s="552"/>
      <c r="AO9" s="552"/>
      <c r="AP9" s="552"/>
      <c r="AQ9" s="552"/>
      <c r="AR9" s="552"/>
      <c r="AS9" s="552"/>
      <c r="AT9" s="552"/>
      <c r="AU9" s="552"/>
      <c r="AV9" s="552"/>
      <c r="AW9" s="3"/>
      <c r="AX9" s="555" t="s">
        <v>4</v>
      </c>
      <c r="AY9" s="555"/>
      <c r="AZ9" s="555"/>
      <c r="BA9" s="555"/>
      <c r="BB9" s="555"/>
      <c r="BC9" s="555"/>
      <c r="BD9" s="555"/>
      <c r="BE9" s="555"/>
      <c r="BF9" s="555"/>
      <c r="BG9" s="555"/>
      <c r="BH9" s="555"/>
      <c r="BI9" s="3"/>
      <c r="BJ9" s="554" t="s">
        <v>5</v>
      </c>
      <c r="BK9" s="554"/>
      <c r="BL9" s="4"/>
      <c r="BM9" s="59" t="s">
        <v>6</v>
      </c>
      <c r="BN9" s="4"/>
      <c r="BO9" s="554" t="s">
        <v>7</v>
      </c>
      <c r="BP9" s="554"/>
      <c r="BQ9" s="554"/>
      <c r="BR9" s="554"/>
      <c r="BS9" s="554"/>
      <c r="BT9" s="554"/>
      <c r="BU9" s="554"/>
      <c r="BV9" s="554"/>
      <c r="BW9" s="554"/>
      <c r="BX9" s="554"/>
      <c r="BY9" s="58"/>
      <c r="BZ9" s="4"/>
      <c r="CA9" s="555" t="s">
        <v>128</v>
      </c>
      <c r="CB9" s="555"/>
      <c r="CC9" s="555"/>
      <c r="CD9" s="555"/>
      <c r="CE9" s="555"/>
      <c r="CF9" s="555"/>
      <c r="CG9" s="555"/>
      <c r="CH9" s="555"/>
      <c r="CI9" s="555"/>
      <c r="CJ9" s="555"/>
      <c r="CK9" s="555"/>
      <c r="CL9" s="3"/>
      <c r="CM9" s="555" t="s">
        <v>178</v>
      </c>
      <c r="CN9" s="555"/>
      <c r="CO9" s="555"/>
      <c r="CP9" s="555"/>
      <c r="CQ9" s="555"/>
      <c r="CR9" s="555"/>
      <c r="CS9" s="555"/>
      <c r="CT9" s="555"/>
      <c r="CU9" s="555"/>
      <c r="CV9" s="555"/>
      <c r="CW9" s="555"/>
      <c r="CX9" s="3"/>
      <c r="CY9" s="557" t="s">
        <v>9</v>
      </c>
      <c r="CZ9" s="557"/>
      <c r="DA9" s="557"/>
      <c r="DB9" s="557"/>
      <c r="DC9" s="557"/>
      <c r="DD9" s="557"/>
      <c r="DE9" s="557"/>
      <c r="DF9" s="557"/>
      <c r="DG9" s="557"/>
      <c r="DH9" s="557"/>
      <c r="DI9" s="557"/>
      <c r="DJ9" s="3"/>
      <c r="DK9" s="558" t="s">
        <v>35</v>
      </c>
      <c r="DL9" s="558"/>
      <c r="DM9" s="558"/>
      <c r="DN9" s="558"/>
      <c r="DO9" s="558"/>
      <c r="DP9" s="558"/>
      <c r="DQ9" s="558"/>
      <c r="DR9" s="558"/>
      <c r="DS9" s="558"/>
      <c r="DT9" s="558"/>
      <c r="DU9" s="558"/>
      <c r="DV9" s="3"/>
      <c r="DW9" s="553" t="s">
        <v>36</v>
      </c>
      <c r="DX9" s="553"/>
      <c r="DY9" s="553"/>
      <c r="DZ9" s="553"/>
      <c r="EA9" s="553"/>
      <c r="EB9" s="553"/>
      <c r="EC9" s="553"/>
      <c r="ED9" s="553"/>
      <c r="EE9" s="553"/>
      <c r="EF9" s="553"/>
      <c r="EG9" s="553"/>
      <c r="EH9" s="3"/>
      <c r="EI9" s="553" t="s">
        <v>12</v>
      </c>
      <c r="EJ9" s="553"/>
      <c r="EK9" s="553"/>
      <c r="EL9" s="553"/>
      <c r="EM9" s="553"/>
      <c r="EN9" s="553"/>
      <c r="EO9" s="553"/>
      <c r="EP9" s="553"/>
      <c r="EQ9" s="553"/>
      <c r="ER9" s="553"/>
      <c r="ES9" s="553"/>
      <c r="ET9" s="3"/>
      <c r="EU9" s="556" t="s">
        <v>129</v>
      </c>
      <c r="EV9" s="556"/>
      <c r="EW9" s="556"/>
      <c r="EX9" s="556"/>
      <c r="EY9" s="556"/>
      <c r="EZ9" s="556"/>
      <c r="FA9" s="556"/>
      <c r="FB9" s="556"/>
      <c r="FC9" s="556"/>
      <c r="FD9" s="556"/>
      <c r="FE9" s="556"/>
      <c r="FF9" s="3"/>
      <c r="FG9" s="556" t="s">
        <v>130</v>
      </c>
      <c r="FH9" s="556"/>
      <c r="FI9" s="556"/>
      <c r="FJ9" s="556"/>
      <c r="FK9" s="556"/>
      <c r="FL9" s="556"/>
      <c r="FM9" s="556"/>
      <c r="FN9" s="556"/>
      <c r="FO9" s="556"/>
      <c r="FP9" s="556"/>
      <c r="FQ9" s="556"/>
      <c r="FR9" s="3"/>
      <c r="FS9" s="555" t="s">
        <v>13</v>
      </c>
      <c r="FT9" s="555"/>
      <c r="FU9" s="555"/>
      <c r="FV9" s="555"/>
      <c r="FW9" s="555"/>
      <c r="FX9" s="555"/>
      <c r="FY9" s="555"/>
      <c r="FZ9" s="555"/>
      <c r="GA9" s="555"/>
      <c r="GB9" s="555"/>
      <c r="GC9" s="555"/>
      <c r="GF9" s="552" t="s">
        <v>131</v>
      </c>
      <c r="GG9" s="552"/>
      <c r="GH9" s="552"/>
      <c r="GI9" s="552"/>
      <c r="GJ9" s="552"/>
      <c r="GK9" s="552"/>
      <c r="GL9" s="552"/>
      <c r="GM9" s="552"/>
      <c r="GN9" s="552"/>
      <c r="GO9" s="552"/>
      <c r="GP9" s="4"/>
      <c r="GQ9" s="557" t="s">
        <v>14</v>
      </c>
      <c r="GR9" s="557"/>
      <c r="GS9" s="557"/>
      <c r="GT9" s="557"/>
      <c r="GU9" s="557"/>
      <c r="GV9" s="557"/>
      <c r="GW9" s="557"/>
      <c r="GX9" s="557"/>
      <c r="GY9" s="557"/>
      <c r="GZ9" s="557"/>
      <c r="HA9" s="557"/>
      <c r="HC9" s="559" t="s">
        <v>37</v>
      </c>
      <c r="HD9" s="559"/>
      <c r="HE9" s="559"/>
      <c r="HF9" s="559"/>
      <c r="HG9" s="559"/>
      <c r="HH9" s="559"/>
      <c r="HI9" s="559"/>
      <c r="HJ9" s="559"/>
      <c r="HK9" s="559"/>
      <c r="HL9" s="559"/>
      <c r="HM9" s="559"/>
      <c r="HO9" s="559" t="s">
        <v>38</v>
      </c>
      <c r="HP9" s="559"/>
      <c r="HQ9" s="559"/>
      <c r="HR9" s="559"/>
      <c r="HS9" s="559"/>
      <c r="HT9" s="559"/>
      <c r="HU9" s="559"/>
      <c r="HV9" s="559"/>
      <c r="HW9" s="559"/>
      <c r="HX9" s="559"/>
      <c r="HY9" s="559"/>
    </row>
    <row r="10" spans="2:233">
      <c r="C10" s="2" t="s">
        <v>168</v>
      </c>
      <c r="D10" s="2" t="s">
        <v>169</v>
      </c>
      <c r="E10" s="2" t="s">
        <v>134</v>
      </c>
      <c r="F10" s="2" t="s">
        <v>135</v>
      </c>
      <c r="G10" s="2" t="s">
        <v>136</v>
      </c>
      <c r="H10" s="2" t="s">
        <v>137</v>
      </c>
      <c r="I10" s="2" t="s">
        <v>138</v>
      </c>
      <c r="J10" s="2" t="s">
        <v>139</v>
      </c>
      <c r="K10" s="2" t="s">
        <v>140</v>
      </c>
      <c r="L10" s="2" t="s">
        <v>141</v>
      </c>
      <c r="O10" s="2" t="s">
        <v>168</v>
      </c>
      <c r="P10" s="2" t="s">
        <v>169</v>
      </c>
      <c r="Q10" s="2" t="s">
        <v>134</v>
      </c>
      <c r="R10" s="2" t="s">
        <v>135</v>
      </c>
      <c r="S10" s="2" t="s">
        <v>136</v>
      </c>
      <c r="T10" s="2" t="s">
        <v>137</v>
      </c>
      <c r="U10" s="2" t="s">
        <v>138</v>
      </c>
      <c r="V10" s="2" t="s">
        <v>139</v>
      </c>
      <c r="W10" s="2" t="s">
        <v>140</v>
      </c>
      <c r="X10" s="2" t="s">
        <v>141</v>
      </c>
      <c r="AA10" s="2" t="s">
        <v>96</v>
      </c>
      <c r="AB10" s="2" t="s">
        <v>97</v>
      </c>
      <c r="AC10" s="2" t="s">
        <v>94</v>
      </c>
      <c r="AD10" s="2" t="s">
        <v>89</v>
      </c>
      <c r="AE10" s="2" t="s">
        <v>142</v>
      </c>
      <c r="AF10" s="2" t="s">
        <v>92</v>
      </c>
      <c r="AG10" s="2" t="s">
        <v>143</v>
      </c>
      <c r="AH10" s="2" t="s">
        <v>93</v>
      </c>
      <c r="AI10" s="2" t="s">
        <v>88</v>
      </c>
      <c r="AJ10" s="2" t="s">
        <v>24</v>
      </c>
      <c r="AM10" s="2" t="s">
        <v>144</v>
      </c>
      <c r="AN10" s="2" t="s">
        <v>145</v>
      </c>
      <c r="AO10" s="2" t="s">
        <v>146</v>
      </c>
      <c r="AP10" s="2" t="s">
        <v>147</v>
      </c>
      <c r="AQ10" s="2" t="s">
        <v>148</v>
      </c>
      <c r="AR10" s="2" t="s">
        <v>149</v>
      </c>
      <c r="AS10" s="2" t="s">
        <v>150</v>
      </c>
      <c r="AT10" s="2" t="s">
        <v>151</v>
      </c>
      <c r="AU10" s="2" t="s">
        <v>152</v>
      </c>
      <c r="AV10" s="2" t="s">
        <v>24</v>
      </c>
      <c r="AY10" s="2" t="s">
        <v>144</v>
      </c>
      <c r="AZ10" s="2" t="s">
        <v>145</v>
      </c>
      <c r="BA10" s="2" t="s">
        <v>146</v>
      </c>
      <c r="BB10" s="2" t="s">
        <v>147</v>
      </c>
      <c r="BC10" s="2" t="s">
        <v>148</v>
      </c>
      <c r="BD10" s="2" t="s">
        <v>149</v>
      </c>
      <c r="BE10" s="2" t="s">
        <v>150</v>
      </c>
      <c r="BF10" s="2" t="s">
        <v>151</v>
      </c>
      <c r="BG10" s="2" t="s">
        <v>152</v>
      </c>
      <c r="BH10" s="2" t="s">
        <v>24</v>
      </c>
      <c r="BK10" s="2" t="s">
        <v>25</v>
      </c>
      <c r="BM10" s="2" t="s">
        <v>6</v>
      </c>
      <c r="BO10" s="2" t="s">
        <v>7</v>
      </c>
      <c r="BP10" s="2" t="s">
        <v>96</v>
      </c>
      <c r="BQ10" s="2" t="s">
        <v>97</v>
      </c>
      <c r="BR10" s="2" t="s">
        <v>94</v>
      </c>
      <c r="BS10" s="2" t="s">
        <v>89</v>
      </c>
      <c r="BT10" s="2" t="s">
        <v>142</v>
      </c>
      <c r="BU10" s="2" t="s">
        <v>92</v>
      </c>
      <c r="BV10" s="2" t="s">
        <v>143</v>
      </c>
      <c r="BW10" s="2" t="s">
        <v>93</v>
      </c>
      <c r="BX10" s="2" t="s">
        <v>88</v>
      </c>
      <c r="CB10" s="2" t="s">
        <v>24</v>
      </c>
      <c r="CC10" s="2" t="s">
        <v>96</v>
      </c>
      <c r="CD10" s="2" t="s">
        <v>97</v>
      </c>
      <c r="CE10" s="2" t="s">
        <v>94</v>
      </c>
      <c r="CF10" s="2" t="s">
        <v>89</v>
      </c>
      <c r="CG10" s="2" t="s">
        <v>142</v>
      </c>
      <c r="CH10" s="2" t="s">
        <v>92</v>
      </c>
      <c r="CI10" s="2" t="s">
        <v>143</v>
      </c>
      <c r="CJ10" s="2" t="s">
        <v>93</v>
      </c>
      <c r="CK10" s="2" t="s">
        <v>88</v>
      </c>
      <c r="CN10" s="2" t="s">
        <v>24</v>
      </c>
      <c r="CO10" s="2" t="s">
        <v>96</v>
      </c>
      <c r="CP10" s="2" t="s">
        <v>97</v>
      </c>
      <c r="CQ10" s="2" t="s">
        <v>94</v>
      </c>
      <c r="CR10" s="2" t="s">
        <v>89</v>
      </c>
      <c r="CS10" s="2" t="s">
        <v>142</v>
      </c>
      <c r="CT10" s="2" t="s">
        <v>92</v>
      </c>
      <c r="CU10" s="2" t="s">
        <v>143</v>
      </c>
      <c r="CV10" s="2" t="s">
        <v>93</v>
      </c>
      <c r="CW10" s="2" t="s">
        <v>88</v>
      </c>
      <c r="CZ10" s="2" t="s">
        <v>24</v>
      </c>
      <c r="DA10" s="2" t="s">
        <v>96</v>
      </c>
      <c r="DB10" s="2" t="s">
        <v>97</v>
      </c>
      <c r="DC10" s="2" t="s">
        <v>94</v>
      </c>
      <c r="DD10" s="2" t="s">
        <v>89</v>
      </c>
      <c r="DE10" s="2" t="s">
        <v>142</v>
      </c>
      <c r="DF10" s="2" t="s">
        <v>92</v>
      </c>
      <c r="DG10" s="2" t="s">
        <v>143</v>
      </c>
      <c r="DH10" s="2" t="s">
        <v>93</v>
      </c>
      <c r="DI10" s="2" t="s">
        <v>88</v>
      </c>
      <c r="DL10" s="2" t="s">
        <v>154</v>
      </c>
      <c r="DM10" s="2" t="s">
        <v>96</v>
      </c>
      <c r="DN10" s="2" t="s">
        <v>97</v>
      </c>
      <c r="DO10" s="2" t="s">
        <v>94</v>
      </c>
      <c r="DP10" s="2" t="s">
        <v>89</v>
      </c>
      <c r="DQ10" s="2" t="s">
        <v>142</v>
      </c>
      <c r="DR10" s="2" t="s">
        <v>92</v>
      </c>
      <c r="DS10" s="2" t="s">
        <v>143</v>
      </c>
      <c r="DT10" s="2" t="s">
        <v>93</v>
      </c>
      <c r="DU10" s="2" t="s">
        <v>88</v>
      </c>
      <c r="DX10" s="2" t="s">
        <v>24</v>
      </c>
      <c r="DY10" s="2" t="s">
        <v>96</v>
      </c>
      <c r="DZ10" s="2" t="s">
        <v>97</v>
      </c>
      <c r="EA10" s="2" t="s">
        <v>94</v>
      </c>
      <c r="EB10" s="2" t="s">
        <v>89</v>
      </c>
      <c r="EC10" s="2" t="s">
        <v>142</v>
      </c>
      <c r="ED10" s="2" t="s">
        <v>92</v>
      </c>
      <c r="EE10" s="2" t="s">
        <v>143</v>
      </c>
      <c r="EF10" s="2" t="s">
        <v>93</v>
      </c>
      <c r="EG10" s="2" t="s">
        <v>88</v>
      </c>
      <c r="EJ10" s="2" t="s">
        <v>24</v>
      </c>
      <c r="EK10" s="2" t="s">
        <v>96</v>
      </c>
      <c r="EL10" s="2" t="s">
        <v>97</v>
      </c>
      <c r="EM10" s="2" t="s">
        <v>94</v>
      </c>
      <c r="EN10" s="2" t="s">
        <v>89</v>
      </c>
      <c r="EO10" s="2" t="s">
        <v>142</v>
      </c>
      <c r="EP10" s="2" t="s">
        <v>92</v>
      </c>
      <c r="EQ10" s="2" t="s">
        <v>143</v>
      </c>
      <c r="ER10" s="2" t="s">
        <v>93</v>
      </c>
      <c r="ES10" s="2" t="s">
        <v>88</v>
      </c>
      <c r="EV10" s="2" t="s">
        <v>24</v>
      </c>
      <c r="EW10" s="2" t="s">
        <v>96</v>
      </c>
      <c r="EX10" s="2" t="s">
        <v>97</v>
      </c>
      <c r="EY10" s="2" t="s">
        <v>94</v>
      </c>
      <c r="EZ10" s="2" t="s">
        <v>89</v>
      </c>
      <c r="FA10" s="2" t="s">
        <v>142</v>
      </c>
      <c r="FB10" s="2" t="s">
        <v>92</v>
      </c>
      <c r="FC10" s="2" t="s">
        <v>143</v>
      </c>
      <c r="FD10" s="2" t="s">
        <v>93</v>
      </c>
      <c r="FE10" s="2" t="s">
        <v>88</v>
      </c>
      <c r="FH10" s="2" t="s">
        <v>24</v>
      </c>
      <c r="FI10" s="2" t="s">
        <v>96</v>
      </c>
      <c r="FJ10" s="2" t="s">
        <v>97</v>
      </c>
      <c r="FK10" s="2" t="s">
        <v>94</v>
      </c>
      <c r="FL10" s="2" t="s">
        <v>89</v>
      </c>
      <c r="FM10" s="2" t="s">
        <v>142</v>
      </c>
      <c r="FN10" s="2" t="s">
        <v>92</v>
      </c>
      <c r="FO10" s="2" t="s">
        <v>143</v>
      </c>
      <c r="FP10" s="2" t="s">
        <v>93</v>
      </c>
      <c r="FQ10" s="2" t="s">
        <v>88</v>
      </c>
      <c r="FT10" s="2" t="s">
        <v>88</v>
      </c>
      <c r="FU10" s="2" t="s">
        <v>89</v>
      </c>
      <c r="FV10" s="2" t="s">
        <v>155</v>
      </c>
      <c r="FW10" s="2" t="s">
        <v>92</v>
      </c>
      <c r="FX10" s="2" t="s">
        <v>93</v>
      </c>
      <c r="FY10" s="2" t="s">
        <v>94</v>
      </c>
      <c r="FZ10" s="2" t="s">
        <v>156</v>
      </c>
      <c r="GA10" s="2" t="s">
        <v>97</v>
      </c>
      <c r="GB10" s="2" t="s">
        <v>96</v>
      </c>
      <c r="GC10" s="2" t="s">
        <v>24</v>
      </c>
      <c r="GF10" s="2" t="s">
        <v>88</v>
      </c>
      <c r="GG10" s="2" t="s">
        <v>89</v>
      </c>
      <c r="GH10" s="2" t="s">
        <v>157</v>
      </c>
      <c r="GI10" s="2" t="s">
        <v>92</v>
      </c>
      <c r="GJ10" s="2" t="s">
        <v>93</v>
      </c>
      <c r="GK10" s="2" t="s">
        <v>94</v>
      </c>
      <c r="GL10" s="2" t="s">
        <v>158</v>
      </c>
      <c r="GM10" s="2" t="s">
        <v>97</v>
      </c>
      <c r="GN10" s="2" t="s">
        <v>96</v>
      </c>
      <c r="GO10" s="2" t="s">
        <v>24</v>
      </c>
      <c r="GR10" s="2" t="s">
        <v>159</v>
      </c>
      <c r="GS10" s="2" t="s">
        <v>160</v>
      </c>
      <c r="GT10" s="2" t="s">
        <v>161</v>
      </c>
      <c r="GU10" s="2" t="s">
        <v>162</v>
      </c>
      <c r="GV10" s="2" t="s">
        <v>163</v>
      </c>
      <c r="GW10" s="2" t="s">
        <v>164</v>
      </c>
      <c r="GX10" s="2" t="s">
        <v>165</v>
      </c>
      <c r="GY10" s="2" t="s">
        <v>166</v>
      </c>
      <c r="GZ10" s="2" t="s">
        <v>167</v>
      </c>
      <c r="HA10" s="2" t="s">
        <v>24</v>
      </c>
      <c r="HD10" s="2" t="s">
        <v>24</v>
      </c>
      <c r="HE10" s="2" t="s">
        <v>96</v>
      </c>
      <c r="HF10" s="2" t="s">
        <v>97</v>
      </c>
      <c r="HG10" s="2" t="s">
        <v>94</v>
      </c>
      <c r="HH10" s="2" t="s">
        <v>89</v>
      </c>
      <c r="HI10" s="2" t="s">
        <v>142</v>
      </c>
      <c r="HJ10" s="2" t="s">
        <v>92</v>
      </c>
      <c r="HK10" s="2" t="s">
        <v>143</v>
      </c>
      <c r="HL10" s="2" t="s">
        <v>93</v>
      </c>
      <c r="HM10" s="2" t="s">
        <v>88</v>
      </c>
      <c r="HP10" s="2" t="s">
        <v>24</v>
      </c>
      <c r="HQ10" s="2" t="s">
        <v>96</v>
      </c>
      <c r="HR10" s="2" t="s">
        <v>97</v>
      </c>
      <c r="HS10" s="2" t="s">
        <v>94</v>
      </c>
      <c r="HT10" s="2" t="s">
        <v>89</v>
      </c>
      <c r="HU10" s="2" t="s">
        <v>142</v>
      </c>
      <c r="HV10" s="2" t="s">
        <v>92</v>
      </c>
      <c r="HW10" s="2" t="s">
        <v>143</v>
      </c>
      <c r="HX10" s="2" t="s">
        <v>93</v>
      </c>
      <c r="HY10" s="2" t="s">
        <v>88</v>
      </c>
    </row>
    <row r="11" spans="2:233">
      <c r="B11" s="11">
        <v>44562</v>
      </c>
      <c r="C11" s="5">
        <v>0</v>
      </c>
      <c r="D11" s="5">
        <v>0</v>
      </c>
      <c r="E11" s="5">
        <v>679</v>
      </c>
      <c r="F11" s="5">
        <v>405</v>
      </c>
      <c r="G11" s="5">
        <v>187</v>
      </c>
      <c r="H11" s="5">
        <v>0</v>
      </c>
      <c r="I11" s="5">
        <v>1165</v>
      </c>
      <c r="J11" s="5">
        <v>1200</v>
      </c>
      <c r="K11" s="5">
        <v>0</v>
      </c>
      <c r="L11" s="5">
        <f t="shared" ref="L11:L53" si="57">SUM(C11:K11)</f>
        <v>3636</v>
      </c>
      <c r="N11" s="11">
        <v>44562</v>
      </c>
      <c r="O11" s="5">
        <v>0</v>
      </c>
      <c r="P11" s="5">
        <v>0</v>
      </c>
      <c r="Q11" s="5">
        <v>679</v>
      </c>
      <c r="R11" s="5">
        <v>405</v>
      </c>
      <c r="S11" s="5">
        <v>187</v>
      </c>
      <c r="T11" s="5">
        <v>0</v>
      </c>
      <c r="U11" s="5">
        <v>1165</v>
      </c>
      <c r="V11" s="5">
        <v>1200</v>
      </c>
      <c r="W11" s="5">
        <v>0</v>
      </c>
      <c r="X11" s="5">
        <f t="shared" ref="X11:X53" si="58">SUM(O11:W11)</f>
        <v>3636</v>
      </c>
      <c r="Y11" s="5"/>
      <c r="Z11" s="11">
        <v>44562</v>
      </c>
      <c r="AB11" s="12"/>
      <c r="AC11" s="12"/>
      <c r="AD11" s="12"/>
      <c r="AF11" s="12"/>
      <c r="AH11" s="12"/>
      <c r="AI11" s="12"/>
      <c r="AJ11" s="206"/>
      <c r="AL11" s="11">
        <v>44562</v>
      </c>
      <c r="AM11" s="5">
        <v>0</v>
      </c>
      <c r="AN11" s="5">
        <v>348846</v>
      </c>
      <c r="AO11" s="5">
        <v>474722</v>
      </c>
      <c r="AP11" s="5">
        <v>162305</v>
      </c>
      <c r="AQ11" s="5">
        <v>0</v>
      </c>
      <c r="AR11" s="5">
        <v>114093</v>
      </c>
      <c r="AS11" s="5">
        <v>0</v>
      </c>
      <c r="AT11" s="5">
        <v>19234</v>
      </c>
      <c r="AU11" s="5">
        <v>233420</v>
      </c>
      <c r="AV11" s="5">
        <f t="shared" ref="AV11:AV48" si="59">SUM(AM11:AU11)</f>
        <v>1352620</v>
      </c>
      <c r="AW11" s="5"/>
      <c r="AX11" s="11">
        <v>44562</v>
      </c>
      <c r="AY11" s="5">
        <v>0</v>
      </c>
      <c r="AZ11" s="5">
        <v>159924</v>
      </c>
      <c r="BA11" s="5">
        <v>181909</v>
      </c>
      <c r="BB11" s="5">
        <v>71101</v>
      </c>
      <c r="BC11" s="5">
        <v>0</v>
      </c>
      <c r="BD11" s="5">
        <v>51904</v>
      </c>
      <c r="BE11" s="5">
        <v>0</v>
      </c>
      <c r="BF11" s="5">
        <v>11436</v>
      </c>
      <c r="BG11" s="5">
        <v>105808</v>
      </c>
      <c r="BH11" s="5">
        <f>SUM(AY11:BG11)</f>
        <v>582082</v>
      </c>
      <c r="BI11" s="8"/>
      <c r="BJ11" s="11">
        <v>44562</v>
      </c>
      <c r="BK11" s="11"/>
      <c r="BL11" s="11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1">
        <v>44562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8"/>
      <c r="CM11" s="11">
        <v>44562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8"/>
      <c r="CY11" s="11">
        <v>44562</v>
      </c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8"/>
      <c r="DK11" s="11">
        <v>44562</v>
      </c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8"/>
      <c r="DW11" s="11">
        <v>44562</v>
      </c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8"/>
      <c r="EI11" s="11">
        <v>44562</v>
      </c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8"/>
      <c r="EU11" s="11">
        <v>44562</v>
      </c>
      <c r="EV11" s="5">
        <v>479142</v>
      </c>
      <c r="EW11" s="5">
        <v>0</v>
      </c>
      <c r="EX11" s="5">
        <v>128224</v>
      </c>
      <c r="EY11" s="5">
        <v>177080</v>
      </c>
      <c r="EZ11" s="5">
        <v>31073</v>
      </c>
      <c r="FA11" s="5">
        <v>0</v>
      </c>
      <c r="FB11" s="5">
        <v>16651</v>
      </c>
      <c r="FC11" s="5">
        <v>0</v>
      </c>
      <c r="FD11" s="5">
        <v>2281</v>
      </c>
      <c r="FE11" s="5">
        <v>70464</v>
      </c>
      <c r="FF11" s="13"/>
      <c r="FG11" s="11">
        <v>44562</v>
      </c>
      <c r="FH11" s="5">
        <v>226976</v>
      </c>
      <c r="FI11" s="5">
        <v>0</v>
      </c>
      <c r="FJ11" s="5">
        <v>61290</v>
      </c>
      <c r="FK11" s="5">
        <v>84333</v>
      </c>
      <c r="FL11" s="5">
        <v>14573</v>
      </c>
      <c r="FM11" s="5">
        <v>0</v>
      </c>
      <c r="FN11" s="5">
        <v>7832</v>
      </c>
      <c r="FO11" s="5">
        <v>0</v>
      </c>
      <c r="FP11" s="5">
        <v>1479</v>
      </c>
      <c r="FQ11" s="5">
        <v>33301</v>
      </c>
      <c r="FR11" s="5"/>
      <c r="FS11" s="11">
        <v>44562</v>
      </c>
      <c r="FT11" s="5">
        <v>384</v>
      </c>
      <c r="FU11" s="5">
        <v>165</v>
      </c>
      <c r="FV11" s="5"/>
      <c r="FW11" s="5">
        <v>51</v>
      </c>
      <c r="FX11" s="5"/>
      <c r="FY11" s="5">
        <v>1238</v>
      </c>
      <c r="FZ11" s="5"/>
      <c r="GA11" s="5">
        <v>772</v>
      </c>
      <c r="GB11" s="5"/>
      <c r="GC11" s="5">
        <v>2562</v>
      </c>
      <c r="GE11" s="11">
        <v>44562</v>
      </c>
      <c r="GQ11" s="11">
        <v>44562</v>
      </c>
      <c r="HC11" s="11">
        <v>44562</v>
      </c>
      <c r="HD11" s="5">
        <f t="shared" ref="HD11:HD42" si="60">CZ11+DL11+BM11</f>
        <v>0</v>
      </c>
      <c r="HE11" s="5">
        <f t="shared" ref="HE11:HE42" si="61">DA11+DM11+BP11</f>
        <v>0</v>
      </c>
      <c r="HF11" s="5">
        <f t="shared" ref="HF11:HF42" si="62">DB11+DN11+BQ11</f>
        <v>0</v>
      </c>
      <c r="HG11" s="5">
        <f t="shared" ref="HG11:HG42" si="63">DC11+DO11+BR11</f>
        <v>0</v>
      </c>
      <c r="HH11" s="5">
        <f t="shared" ref="HH11:HH42" si="64">DD11+DP11+BS11</f>
        <v>0</v>
      </c>
      <c r="HI11" s="5">
        <f t="shared" ref="HI11:HI42" si="65">DE11+DQ11+BT11</f>
        <v>0</v>
      </c>
      <c r="HJ11" s="5">
        <f t="shared" ref="HJ11:HJ42" si="66">DF11+DR11+BU11</f>
        <v>0</v>
      </c>
      <c r="HK11" s="5">
        <f t="shared" ref="HK11:HK42" si="67">DG11+DS11+BV11</f>
        <v>0</v>
      </c>
      <c r="HL11" s="5">
        <f t="shared" ref="HL11:HL42" si="68">DH11+DT11+BW11</f>
        <v>0</v>
      </c>
      <c r="HM11" s="5">
        <f t="shared" ref="HM11:HM42" si="69">DI11+DU11+BX11</f>
        <v>0</v>
      </c>
      <c r="HO11" s="11">
        <v>44562</v>
      </c>
      <c r="HP11" s="5">
        <f>DX11+HA11</f>
        <v>0</v>
      </c>
      <c r="HQ11" s="5">
        <f>DY11+GZ11</f>
        <v>0</v>
      </c>
      <c r="HR11" s="5">
        <f>DZ11+GY11</f>
        <v>0</v>
      </c>
      <c r="HS11" s="5">
        <f>EA11+GX11</f>
        <v>0</v>
      </c>
      <c r="HT11" s="5">
        <f>EB11+GU11</f>
        <v>0</v>
      </c>
      <c r="HU11" s="5">
        <f>EC11+GS11</f>
        <v>0</v>
      </c>
      <c r="HV11" s="5">
        <f>ED11+GV11</f>
        <v>0</v>
      </c>
      <c r="HW11" s="5">
        <f>EE11+GR11</f>
        <v>0</v>
      </c>
      <c r="HX11" s="5">
        <f>EF11+GW11</f>
        <v>0</v>
      </c>
      <c r="HY11" s="5">
        <f>EG11+GT11</f>
        <v>0</v>
      </c>
    </row>
    <row r="12" spans="2:233">
      <c r="B12" s="11">
        <v>44593</v>
      </c>
      <c r="C12" s="5">
        <v>0</v>
      </c>
      <c r="D12" s="5">
        <v>0</v>
      </c>
      <c r="E12" s="5">
        <v>895</v>
      </c>
      <c r="F12" s="5">
        <v>263</v>
      </c>
      <c r="G12" s="5">
        <v>145</v>
      </c>
      <c r="H12" s="5">
        <v>0</v>
      </c>
      <c r="I12" s="5">
        <v>1357</v>
      </c>
      <c r="J12" s="5">
        <v>822</v>
      </c>
      <c r="K12" s="5">
        <v>0</v>
      </c>
      <c r="L12" s="5">
        <f t="shared" si="57"/>
        <v>3482</v>
      </c>
      <c r="N12" s="11">
        <v>44593</v>
      </c>
      <c r="O12" s="5">
        <v>0</v>
      </c>
      <c r="P12" s="5">
        <v>0</v>
      </c>
      <c r="Q12" s="5">
        <v>895</v>
      </c>
      <c r="R12" s="5">
        <v>263</v>
      </c>
      <c r="S12" s="5">
        <v>145</v>
      </c>
      <c r="T12" s="5">
        <v>0</v>
      </c>
      <c r="U12" s="5">
        <v>1357</v>
      </c>
      <c r="V12" s="5">
        <v>822</v>
      </c>
      <c r="W12" s="5">
        <v>0</v>
      </c>
      <c r="X12" s="5">
        <f t="shared" si="58"/>
        <v>3482</v>
      </c>
      <c r="Y12" s="5"/>
      <c r="Z12" s="11">
        <v>44593</v>
      </c>
      <c r="AB12" s="12"/>
      <c r="AC12" s="12"/>
      <c r="AD12" s="12"/>
      <c r="AF12" s="12"/>
      <c r="AH12" s="12"/>
      <c r="AI12" s="12"/>
      <c r="AJ12" s="206"/>
      <c r="AL12" s="11">
        <v>44593</v>
      </c>
      <c r="AM12" s="5">
        <v>0</v>
      </c>
      <c r="AN12" s="5">
        <v>626707</v>
      </c>
      <c r="AO12" s="5">
        <v>555508</v>
      </c>
      <c r="AP12" s="5">
        <v>169796</v>
      </c>
      <c r="AQ12" s="5">
        <v>0</v>
      </c>
      <c r="AR12" s="5">
        <v>132092</v>
      </c>
      <c r="AS12" s="5">
        <v>0</v>
      </c>
      <c r="AT12" s="5">
        <v>31660</v>
      </c>
      <c r="AU12" s="5">
        <v>241242</v>
      </c>
      <c r="AV12" s="5">
        <f t="shared" si="59"/>
        <v>1757005</v>
      </c>
      <c r="AW12" s="5"/>
      <c r="AX12" s="11">
        <v>44593</v>
      </c>
      <c r="AY12" s="5">
        <v>0</v>
      </c>
      <c r="AZ12" s="5">
        <v>436980</v>
      </c>
      <c r="BA12" s="5">
        <v>274682</v>
      </c>
      <c r="BB12" s="5">
        <v>93183</v>
      </c>
      <c r="BC12" s="5">
        <v>0</v>
      </c>
      <c r="BD12" s="5">
        <v>70287</v>
      </c>
      <c r="BE12" s="5">
        <v>0</v>
      </c>
      <c r="BF12" s="5">
        <v>17924</v>
      </c>
      <c r="BG12" s="5">
        <v>127757</v>
      </c>
      <c r="BH12" s="5">
        <f t="shared" ref="BH12:BH45" si="70">SUM(AY12:BG12)</f>
        <v>1020813</v>
      </c>
      <c r="BI12" s="8"/>
      <c r="BJ12" s="11">
        <v>44593</v>
      </c>
      <c r="BK12" s="11"/>
      <c r="BL12" s="11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1">
        <v>44593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8"/>
      <c r="CM12" s="11">
        <v>44593</v>
      </c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8"/>
      <c r="CY12" s="11">
        <v>44593</v>
      </c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8"/>
      <c r="DK12" s="11">
        <v>44593</v>
      </c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8"/>
      <c r="DW12" s="11">
        <v>44593</v>
      </c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8"/>
      <c r="EI12" s="11">
        <v>44593</v>
      </c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8"/>
      <c r="EU12" s="11">
        <v>44593</v>
      </c>
      <c r="EV12" s="5">
        <v>515894</v>
      </c>
      <c r="EW12" s="5">
        <v>0</v>
      </c>
      <c r="EX12" s="5">
        <v>143357</v>
      </c>
      <c r="EY12" s="5">
        <v>182043</v>
      </c>
      <c r="EZ12" s="5">
        <v>34387</v>
      </c>
      <c r="FA12" s="5">
        <v>0</v>
      </c>
      <c r="FB12" s="5">
        <v>19079</v>
      </c>
      <c r="FC12" s="5">
        <v>0</v>
      </c>
      <c r="FD12" s="5">
        <v>4052</v>
      </c>
      <c r="FE12" s="5">
        <v>72795</v>
      </c>
      <c r="FF12" s="13"/>
      <c r="FG12" s="11">
        <v>44593</v>
      </c>
      <c r="FH12" s="5">
        <v>283505</v>
      </c>
      <c r="FI12" s="5">
        <v>0</v>
      </c>
      <c r="FJ12" s="5">
        <v>82068</v>
      </c>
      <c r="FK12" s="5">
        <v>95231</v>
      </c>
      <c r="FL12" s="5">
        <v>18427</v>
      </c>
      <c r="FM12" s="5">
        <v>0</v>
      </c>
      <c r="FN12" s="5">
        <v>10872</v>
      </c>
      <c r="FO12" s="5">
        <v>0</v>
      </c>
      <c r="FP12" s="5">
        <v>2135</v>
      </c>
      <c r="FQ12" s="5">
        <v>38464</v>
      </c>
      <c r="FR12" s="5"/>
      <c r="FS12" s="11">
        <v>44593</v>
      </c>
      <c r="FT12" s="5">
        <v>420</v>
      </c>
      <c r="FU12" s="5">
        <v>155</v>
      </c>
      <c r="FV12" s="5"/>
      <c r="FW12" s="5">
        <v>64</v>
      </c>
      <c r="FX12" s="5"/>
      <c r="FY12" s="5">
        <v>1346</v>
      </c>
      <c r="FZ12" s="5"/>
      <c r="GA12" s="5">
        <v>833</v>
      </c>
      <c r="GB12" s="5"/>
      <c r="GC12" s="5">
        <v>2791</v>
      </c>
      <c r="GE12" s="11">
        <v>44593</v>
      </c>
      <c r="GQ12" s="11">
        <v>44593</v>
      </c>
      <c r="HC12" s="11">
        <v>44593</v>
      </c>
      <c r="HD12" s="5">
        <f t="shared" si="60"/>
        <v>0</v>
      </c>
      <c r="HE12" s="5">
        <f t="shared" si="61"/>
        <v>0</v>
      </c>
      <c r="HF12" s="5">
        <f t="shared" si="62"/>
        <v>0</v>
      </c>
      <c r="HG12" s="5">
        <f t="shared" si="63"/>
        <v>0</v>
      </c>
      <c r="HH12" s="5">
        <f t="shared" si="64"/>
        <v>0</v>
      </c>
      <c r="HI12" s="5">
        <f t="shared" si="65"/>
        <v>0</v>
      </c>
      <c r="HJ12" s="5">
        <f t="shared" si="66"/>
        <v>0</v>
      </c>
      <c r="HK12" s="5">
        <f t="shared" si="67"/>
        <v>0</v>
      </c>
      <c r="HL12" s="5">
        <f t="shared" si="68"/>
        <v>0</v>
      </c>
      <c r="HM12" s="5">
        <f t="shared" si="69"/>
        <v>0</v>
      </c>
      <c r="HO12" s="11">
        <v>44593</v>
      </c>
      <c r="HP12" s="5">
        <f t="shared" ref="HP12:HP57" si="71">DX12+HA12</f>
        <v>0</v>
      </c>
      <c r="HQ12" s="5">
        <f t="shared" ref="HQ12:HQ57" si="72">DY12+GZ12</f>
        <v>0</v>
      </c>
      <c r="HR12" s="5">
        <f t="shared" ref="HR12:HR57" si="73">DZ12+GY12</f>
        <v>0</v>
      </c>
      <c r="HS12" s="5">
        <f t="shared" ref="HS12:HS57" si="74">EA12+GX12</f>
        <v>0</v>
      </c>
      <c r="HT12" s="5">
        <f t="shared" ref="HT12:HT57" si="75">EB12+GU12</f>
        <v>0</v>
      </c>
      <c r="HU12" s="5">
        <f t="shared" ref="HU12:HU57" si="76">EC12+GS12</f>
        <v>0</v>
      </c>
      <c r="HV12" s="5">
        <f t="shared" ref="HV12:HV57" si="77">ED12+GV12</f>
        <v>0</v>
      </c>
      <c r="HW12" s="5">
        <f t="shared" ref="HW12:HW57" si="78">EE12+GR12</f>
        <v>0</v>
      </c>
      <c r="HX12" s="5">
        <f t="shared" ref="HX12:HX57" si="79">EF12+GW12</f>
        <v>0</v>
      </c>
      <c r="HY12" s="5">
        <f t="shared" ref="HY12:HY57" si="80">EG12+GT12</f>
        <v>0</v>
      </c>
    </row>
    <row r="13" spans="2:233">
      <c r="B13" s="11">
        <v>44621</v>
      </c>
      <c r="C13" s="5">
        <v>0</v>
      </c>
      <c r="D13" s="5">
        <v>0</v>
      </c>
      <c r="E13" s="5">
        <v>1143</v>
      </c>
      <c r="F13" s="5">
        <v>381</v>
      </c>
      <c r="G13" s="5">
        <v>97</v>
      </c>
      <c r="H13" s="5">
        <v>0</v>
      </c>
      <c r="I13" s="5">
        <v>1592</v>
      </c>
      <c r="J13" s="5">
        <v>1237</v>
      </c>
      <c r="K13" s="5">
        <v>0</v>
      </c>
      <c r="L13" s="5">
        <f t="shared" si="57"/>
        <v>4450</v>
      </c>
      <c r="N13" s="11">
        <v>44621</v>
      </c>
      <c r="O13" s="5">
        <v>0</v>
      </c>
      <c r="P13" s="5">
        <v>0</v>
      </c>
      <c r="Q13" s="5">
        <v>1143</v>
      </c>
      <c r="R13" s="5">
        <v>381</v>
      </c>
      <c r="S13" s="5">
        <v>97</v>
      </c>
      <c r="T13" s="5">
        <v>0</v>
      </c>
      <c r="U13" s="5">
        <v>1592</v>
      </c>
      <c r="V13" s="5">
        <v>1237</v>
      </c>
      <c r="W13" s="5">
        <v>0</v>
      </c>
      <c r="X13" s="5">
        <f t="shared" si="58"/>
        <v>4450</v>
      </c>
      <c r="Y13" s="5"/>
      <c r="Z13" s="11">
        <v>44621</v>
      </c>
      <c r="AB13" s="12"/>
      <c r="AC13" s="12"/>
      <c r="AD13" s="12"/>
      <c r="AF13" s="12"/>
      <c r="AH13" s="12"/>
      <c r="AI13" s="12"/>
      <c r="AJ13" s="206"/>
      <c r="AL13" s="11">
        <v>44621</v>
      </c>
      <c r="AM13" s="5">
        <v>0</v>
      </c>
      <c r="AN13" s="5">
        <v>357643</v>
      </c>
      <c r="AO13" s="5">
        <v>413400</v>
      </c>
      <c r="AP13" s="5">
        <v>151596</v>
      </c>
      <c r="AQ13" s="5">
        <v>0</v>
      </c>
      <c r="AR13" s="5">
        <v>112517</v>
      </c>
      <c r="AS13" s="5">
        <v>0</v>
      </c>
      <c r="AT13" s="5">
        <v>50224</v>
      </c>
      <c r="AU13" s="5">
        <v>209257</v>
      </c>
      <c r="AV13" s="5">
        <f t="shared" si="59"/>
        <v>1294637</v>
      </c>
      <c r="AW13" s="5"/>
      <c r="AX13" s="11">
        <v>44621</v>
      </c>
      <c r="AY13" s="5">
        <v>0</v>
      </c>
      <c r="AZ13" s="5">
        <v>186788</v>
      </c>
      <c r="BA13" s="5">
        <v>174288</v>
      </c>
      <c r="BB13" s="5">
        <v>78061</v>
      </c>
      <c r="BC13" s="5">
        <v>0</v>
      </c>
      <c r="BD13" s="5">
        <v>57863</v>
      </c>
      <c r="BE13" s="5">
        <v>0</v>
      </c>
      <c r="BF13" s="5">
        <v>26481</v>
      </c>
      <c r="BG13" s="5">
        <v>101498</v>
      </c>
      <c r="BH13" s="5">
        <f t="shared" si="70"/>
        <v>624979</v>
      </c>
      <c r="BI13" s="8"/>
      <c r="BJ13" s="11">
        <v>44621</v>
      </c>
      <c r="BK13" s="11"/>
      <c r="BL13" s="11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1">
        <v>44621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11">
        <v>44621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8"/>
      <c r="CY13" s="11">
        <v>44621</v>
      </c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8"/>
      <c r="DK13" s="11">
        <v>44621</v>
      </c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8"/>
      <c r="DW13" s="11">
        <v>44621</v>
      </c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8"/>
      <c r="EI13" s="11">
        <v>44621</v>
      </c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8"/>
      <c r="EU13" s="11">
        <v>44621</v>
      </c>
      <c r="EV13" s="5">
        <v>476243</v>
      </c>
      <c r="EW13" s="5">
        <v>0</v>
      </c>
      <c r="EX13" s="5">
        <v>117861</v>
      </c>
      <c r="EY13" s="5">
        <v>165965</v>
      </c>
      <c r="EZ13" s="5">
        <v>30669</v>
      </c>
      <c r="FA13" s="5">
        <v>0</v>
      </c>
      <c r="FB13" s="5">
        <v>16142</v>
      </c>
      <c r="FC13" s="5">
        <v>0</v>
      </c>
      <c r="FD13" s="5">
        <v>5237</v>
      </c>
      <c r="FE13" s="5">
        <v>65946</v>
      </c>
      <c r="FF13" s="13"/>
      <c r="FG13" s="11">
        <v>44621</v>
      </c>
      <c r="FH13" s="5">
        <v>234043</v>
      </c>
      <c r="FI13" s="5">
        <v>0</v>
      </c>
      <c r="FJ13" s="5">
        <v>61407</v>
      </c>
      <c r="FK13" s="5">
        <v>83816</v>
      </c>
      <c r="FL13" s="5">
        <v>16348</v>
      </c>
      <c r="FM13" s="5">
        <v>0</v>
      </c>
      <c r="FN13" s="5">
        <v>9411</v>
      </c>
      <c r="FO13" s="5">
        <v>0</v>
      </c>
      <c r="FP13" s="5">
        <v>3097</v>
      </c>
      <c r="FQ13" s="5">
        <v>33308</v>
      </c>
      <c r="FR13" s="5"/>
      <c r="FS13" s="11">
        <v>44621</v>
      </c>
      <c r="FT13" s="5">
        <v>428</v>
      </c>
      <c r="FU13" s="5">
        <v>179</v>
      </c>
      <c r="FV13" s="5"/>
      <c r="FW13" s="5">
        <v>57</v>
      </c>
      <c r="FX13" s="5"/>
      <c r="FY13" s="5">
        <v>1469</v>
      </c>
      <c r="FZ13" s="5"/>
      <c r="GA13" s="5">
        <v>822</v>
      </c>
      <c r="GB13" s="5"/>
      <c r="GC13" s="5">
        <v>2922</v>
      </c>
      <c r="GE13" s="11">
        <v>44621</v>
      </c>
      <c r="GQ13" s="11">
        <v>44621</v>
      </c>
      <c r="HC13" s="11">
        <v>44621</v>
      </c>
      <c r="HD13" s="5">
        <f t="shared" si="60"/>
        <v>0</v>
      </c>
      <c r="HE13" s="5">
        <f t="shared" si="61"/>
        <v>0</v>
      </c>
      <c r="HF13" s="5">
        <f t="shared" si="62"/>
        <v>0</v>
      </c>
      <c r="HG13" s="5">
        <f t="shared" si="63"/>
        <v>0</v>
      </c>
      <c r="HH13" s="5">
        <f t="shared" si="64"/>
        <v>0</v>
      </c>
      <c r="HI13" s="5">
        <f t="shared" si="65"/>
        <v>0</v>
      </c>
      <c r="HJ13" s="5">
        <f t="shared" si="66"/>
        <v>0</v>
      </c>
      <c r="HK13" s="5">
        <f t="shared" si="67"/>
        <v>0</v>
      </c>
      <c r="HL13" s="5">
        <f t="shared" si="68"/>
        <v>0</v>
      </c>
      <c r="HM13" s="5">
        <f t="shared" si="69"/>
        <v>0</v>
      </c>
      <c r="HO13" s="11">
        <v>44621</v>
      </c>
      <c r="HP13" s="5">
        <f t="shared" si="71"/>
        <v>0</v>
      </c>
      <c r="HQ13" s="5">
        <f t="shared" si="72"/>
        <v>0</v>
      </c>
      <c r="HR13" s="5">
        <f t="shared" si="73"/>
        <v>0</v>
      </c>
      <c r="HS13" s="5">
        <f t="shared" si="74"/>
        <v>0</v>
      </c>
      <c r="HT13" s="5">
        <f t="shared" si="75"/>
        <v>0</v>
      </c>
      <c r="HU13" s="5">
        <f t="shared" si="76"/>
        <v>0</v>
      </c>
      <c r="HV13" s="5">
        <f t="shared" si="77"/>
        <v>0</v>
      </c>
      <c r="HW13" s="5">
        <f t="shared" si="78"/>
        <v>0</v>
      </c>
      <c r="HX13" s="5">
        <f t="shared" si="79"/>
        <v>0</v>
      </c>
      <c r="HY13" s="5">
        <f t="shared" si="80"/>
        <v>0</v>
      </c>
    </row>
    <row r="14" spans="2:233">
      <c r="B14" s="11">
        <v>44652</v>
      </c>
      <c r="C14" s="5">
        <v>0</v>
      </c>
      <c r="D14" s="5">
        <v>0</v>
      </c>
      <c r="E14" s="5">
        <v>1263</v>
      </c>
      <c r="F14" s="5">
        <v>445</v>
      </c>
      <c r="G14" s="5">
        <v>82</v>
      </c>
      <c r="H14" s="5">
        <v>0</v>
      </c>
      <c r="I14" s="5">
        <v>1797</v>
      </c>
      <c r="J14" s="5">
        <v>1451</v>
      </c>
      <c r="K14" s="5">
        <v>0</v>
      </c>
      <c r="L14" s="5">
        <f t="shared" si="57"/>
        <v>5038</v>
      </c>
      <c r="N14" s="11">
        <v>44652</v>
      </c>
      <c r="O14" s="5">
        <v>0</v>
      </c>
      <c r="P14" s="5">
        <v>0</v>
      </c>
      <c r="Q14" s="5">
        <v>1263</v>
      </c>
      <c r="R14" s="5">
        <v>445</v>
      </c>
      <c r="S14" s="5">
        <v>82</v>
      </c>
      <c r="T14" s="5">
        <v>0</v>
      </c>
      <c r="U14" s="5">
        <v>1797</v>
      </c>
      <c r="V14" s="5">
        <v>1451</v>
      </c>
      <c r="W14" s="5">
        <v>0</v>
      </c>
      <c r="X14" s="5">
        <f t="shared" si="58"/>
        <v>5038</v>
      </c>
      <c r="Y14" s="5"/>
      <c r="Z14" s="11">
        <v>44652</v>
      </c>
      <c r="AB14" s="12"/>
      <c r="AC14" s="12"/>
      <c r="AD14" s="12"/>
      <c r="AF14" s="12"/>
      <c r="AH14" s="12"/>
      <c r="AI14" s="12"/>
      <c r="AJ14" s="206"/>
      <c r="AL14" s="11">
        <v>44652</v>
      </c>
      <c r="AM14" s="5">
        <v>0</v>
      </c>
      <c r="AN14" s="5">
        <v>340149</v>
      </c>
      <c r="AO14" s="5">
        <v>404742</v>
      </c>
      <c r="AP14" s="5">
        <v>143798</v>
      </c>
      <c r="AQ14" s="5">
        <v>0</v>
      </c>
      <c r="AR14" s="5">
        <v>112766</v>
      </c>
      <c r="AS14" s="5">
        <v>0</v>
      </c>
      <c r="AT14" s="5">
        <v>115711</v>
      </c>
      <c r="AU14" s="5">
        <v>210720</v>
      </c>
      <c r="AV14" s="5">
        <f t="shared" si="59"/>
        <v>1327886</v>
      </c>
      <c r="AW14" s="5"/>
      <c r="AX14" s="11">
        <v>44652</v>
      </c>
      <c r="AY14" s="5">
        <v>0</v>
      </c>
      <c r="AZ14" s="5">
        <v>184151</v>
      </c>
      <c r="BA14" s="5">
        <v>197616</v>
      </c>
      <c r="BB14" s="5">
        <v>78421</v>
      </c>
      <c r="BC14" s="5">
        <v>0</v>
      </c>
      <c r="BD14" s="5">
        <v>62840</v>
      </c>
      <c r="BE14" s="5">
        <v>0</v>
      </c>
      <c r="BF14" s="5">
        <v>62365</v>
      </c>
      <c r="BG14" s="5">
        <v>114338</v>
      </c>
      <c r="BH14" s="5">
        <f t="shared" si="70"/>
        <v>699731</v>
      </c>
      <c r="BI14" s="8"/>
      <c r="BJ14" s="11">
        <v>44652</v>
      </c>
      <c r="BK14" s="11"/>
      <c r="BL14" s="11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1">
        <v>44652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11">
        <v>44652</v>
      </c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8"/>
      <c r="CY14" s="11">
        <v>44652</v>
      </c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8"/>
      <c r="DK14" s="11">
        <v>44652</v>
      </c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8"/>
      <c r="DW14" s="11">
        <v>44652</v>
      </c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8"/>
      <c r="EI14" s="11">
        <v>44652</v>
      </c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8"/>
      <c r="EU14" s="11">
        <v>44652</v>
      </c>
      <c r="EV14" s="5">
        <v>446662</v>
      </c>
      <c r="EW14" s="5">
        <v>0</v>
      </c>
      <c r="EX14" s="5">
        <v>106075</v>
      </c>
      <c r="EY14" s="5">
        <v>162206</v>
      </c>
      <c r="EZ14" s="5">
        <v>29489</v>
      </c>
      <c r="FA14" s="5">
        <v>0</v>
      </c>
      <c r="FB14" s="5">
        <v>16990</v>
      </c>
      <c r="FC14" s="5">
        <v>0</v>
      </c>
      <c r="FD14" s="5">
        <v>9006</v>
      </c>
      <c r="FE14" s="5">
        <v>67283</v>
      </c>
      <c r="FF14" s="13"/>
      <c r="FG14" s="11">
        <v>44652</v>
      </c>
      <c r="FH14" s="5">
        <v>264903</v>
      </c>
      <c r="FI14" s="5">
        <v>0</v>
      </c>
      <c r="FJ14" s="5">
        <v>62004</v>
      </c>
      <c r="FK14" s="5">
        <v>94965</v>
      </c>
      <c r="FL14" s="5">
        <v>17311</v>
      </c>
      <c r="FM14" s="5">
        <v>0</v>
      </c>
      <c r="FN14" s="5">
        <v>10844</v>
      </c>
      <c r="FO14" s="5">
        <v>0</v>
      </c>
      <c r="FP14" s="5">
        <v>4625</v>
      </c>
      <c r="FQ14" s="5">
        <v>39570</v>
      </c>
      <c r="FR14" s="5"/>
      <c r="FS14" s="11">
        <v>44652</v>
      </c>
      <c r="FT14" s="5">
        <v>429</v>
      </c>
      <c r="FU14" s="5">
        <v>182</v>
      </c>
      <c r="FV14" s="5"/>
      <c r="FW14" s="5">
        <v>78</v>
      </c>
      <c r="FX14" s="5"/>
      <c r="FY14" s="5">
        <v>1425</v>
      </c>
      <c r="FZ14" s="5"/>
      <c r="GA14" s="5">
        <v>758</v>
      </c>
      <c r="GB14" s="5"/>
      <c r="GC14" s="5">
        <v>2840</v>
      </c>
      <c r="GE14" s="11">
        <v>44652</v>
      </c>
      <c r="GQ14" s="11">
        <v>44652</v>
      </c>
      <c r="HC14" s="11">
        <v>44652</v>
      </c>
      <c r="HD14" s="5">
        <f t="shared" si="60"/>
        <v>0</v>
      </c>
      <c r="HE14" s="5">
        <f t="shared" si="61"/>
        <v>0</v>
      </c>
      <c r="HF14" s="5">
        <f t="shared" si="62"/>
        <v>0</v>
      </c>
      <c r="HG14" s="5">
        <f t="shared" si="63"/>
        <v>0</v>
      </c>
      <c r="HH14" s="5">
        <f t="shared" si="64"/>
        <v>0</v>
      </c>
      <c r="HI14" s="5">
        <f t="shared" si="65"/>
        <v>0</v>
      </c>
      <c r="HJ14" s="5">
        <f t="shared" si="66"/>
        <v>0</v>
      </c>
      <c r="HK14" s="5">
        <f t="shared" si="67"/>
        <v>0</v>
      </c>
      <c r="HL14" s="5">
        <f t="shared" si="68"/>
        <v>0</v>
      </c>
      <c r="HM14" s="5">
        <f t="shared" si="69"/>
        <v>0</v>
      </c>
      <c r="HO14" s="11">
        <v>44652</v>
      </c>
      <c r="HP14" s="5">
        <f t="shared" si="71"/>
        <v>0</v>
      </c>
      <c r="HQ14" s="5">
        <f t="shared" si="72"/>
        <v>0</v>
      </c>
      <c r="HR14" s="5">
        <f t="shared" si="73"/>
        <v>0</v>
      </c>
      <c r="HS14" s="5">
        <f t="shared" si="74"/>
        <v>0</v>
      </c>
      <c r="HT14" s="5">
        <f t="shared" si="75"/>
        <v>0</v>
      </c>
      <c r="HU14" s="5">
        <f t="shared" si="76"/>
        <v>0</v>
      </c>
      <c r="HV14" s="5">
        <f t="shared" si="77"/>
        <v>0</v>
      </c>
      <c r="HW14" s="5">
        <f t="shared" si="78"/>
        <v>0</v>
      </c>
      <c r="HX14" s="5">
        <f t="shared" si="79"/>
        <v>0</v>
      </c>
      <c r="HY14" s="5">
        <f t="shared" si="80"/>
        <v>0</v>
      </c>
    </row>
    <row r="15" spans="2:233">
      <c r="B15" s="11">
        <v>44682</v>
      </c>
      <c r="C15" s="5">
        <v>0</v>
      </c>
      <c r="D15" s="5">
        <v>0</v>
      </c>
      <c r="E15" s="5">
        <v>1137</v>
      </c>
      <c r="F15" s="5">
        <v>423</v>
      </c>
      <c r="G15" s="5">
        <v>48</v>
      </c>
      <c r="H15" s="5">
        <v>2</v>
      </c>
      <c r="I15" s="5">
        <v>1182</v>
      </c>
      <c r="J15" s="5">
        <v>1261</v>
      </c>
      <c r="K15" s="5">
        <v>0</v>
      </c>
      <c r="L15" s="5">
        <f t="shared" si="57"/>
        <v>4053</v>
      </c>
      <c r="N15" s="11">
        <v>44682</v>
      </c>
      <c r="O15" s="5">
        <v>0</v>
      </c>
      <c r="P15" s="5">
        <v>0</v>
      </c>
      <c r="Q15" s="5">
        <v>1137</v>
      </c>
      <c r="R15" s="5">
        <v>423</v>
      </c>
      <c r="S15" s="5">
        <v>48</v>
      </c>
      <c r="T15" s="5">
        <v>2</v>
      </c>
      <c r="U15" s="5">
        <v>1182</v>
      </c>
      <c r="V15" s="5">
        <v>1261</v>
      </c>
      <c r="W15" s="5">
        <v>0</v>
      </c>
      <c r="X15" s="5">
        <f t="shared" si="58"/>
        <v>4053</v>
      </c>
      <c r="Y15" s="5"/>
      <c r="Z15" s="11">
        <v>44682</v>
      </c>
      <c r="AB15" s="12"/>
      <c r="AC15" s="12"/>
      <c r="AD15" s="12"/>
      <c r="AF15" s="12"/>
      <c r="AH15" s="12"/>
      <c r="AI15" s="12"/>
      <c r="AJ15" s="206"/>
      <c r="AL15" s="11">
        <v>44682</v>
      </c>
      <c r="AM15" s="5">
        <v>0</v>
      </c>
      <c r="AN15" s="5">
        <v>297046</v>
      </c>
      <c r="AO15" s="5">
        <v>393840</v>
      </c>
      <c r="AP15" s="5">
        <v>158156</v>
      </c>
      <c r="AQ15" s="5">
        <v>0</v>
      </c>
      <c r="AR15" s="5">
        <v>116761</v>
      </c>
      <c r="AS15" s="5">
        <v>0</v>
      </c>
      <c r="AT15" s="5">
        <v>217918</v>
      </c>
      <c r="AU15" s="5">
        <v>212933</v>
      </c>
      <c r="AV15" s="5">
        <f t="shared" si="59"/>
        <v>1396654</v>
      </c>
      <c r="AW15" s="5"/>
      <c r="AX15" s="11">
        <v>44682</v>
      </c>
      <c r="AY15" s="5">
        <v>0</v>
      </c>
      <c r="AZ15" s="5">
        <v>163569</v>
      </c>
      <c r="BA15" s="5">
        <v>196598</v>
      </c>
      <c r="BB15" s="5">
        <v>96328</v>
      </c>
      <c r="BC15" s="5">
        <v>0</v>
      </c>
      <c r="BD15" s="5">
        <v>71397</v>
      </c>
      <c r="BE15" s="5">
        <v>0</v>
      </c>
      <c r="BF15" s="5">
        <v>142217</v>
      </c>
      <c r="BG15" s="5">
        <v>115188</v>
      </c>
      <c r="BH15" s="5">
        <f t="shared" si="70"/>
        <v>785297</v>
      </c>
      <c r="BI15" s="8"/>
      <c r="BJ15" s="11">
        <v>44682</v>
      </c>
      <c r="BK15" s="11"/>
      <c r="BL15" s="11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1">
        <v>44682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11">
        <v>44682</v>
      </c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8"/>
      <c r="CY15" s="11">
        <v>44682</v>
      </c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8"/>
      <c r="DK15" s="11">
        <v>44682</v>
      </c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8"/>
      <c r="DW15" s="11">
        <v>44682</v>
      </c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8"/>
      <c r="EI15" s="11">
        <v>44682</v>
      </c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8"/>
      <c r="EU15" s="11">
        <v>44682</v>
      </c>
      <c r="EV15" s="5">
        <v>432294</v>
      </c>
      <c r="EW15" s="5">
        <v>0</v>
      </c>
      <c r="EX15" s="5">
        <v>87669</v>
      </c>
      <c r="EY15" s="5">
        <v>135846</v>
      </c>
      <c r="EZ15" s="5">
        <v>28008</v>
      </c>
      <c r="FA15" s="5">
        <v>0</v>
      </c>
      <c r="FB15" s="5">
        <v>14670</v>
      </c>
      <c r="FC15" s="5">
        <v>0</v>
      </c>
      <c r="FD15" s="5">
        <v>47371</v>
      </c>
      <c r="FE15" s="5">
        <v>64999</v>
      </c>
      <c r="FF15" s="13"/>
      <c r="FG15" s="11">
        <v>44682</v>
      </c>
      <c r="FH15" s="5">
        <v>263169</v>
      </c>
      <c r="FI15" s="5">
        <v>0</v>
      </c>
      <c r="FJ15" s="5">
        <v>52278</v>
      </c>
      <c r="FK15" s="5">
        <v>80050</v>
      </c>
      <c r="FL15" s="5">
        <v>17110</v>
      </c>
      <c r="FM15" s="5">
        <v>0</v>
      </c>
      <c r="FN15" s="5">
        <v>9425</v>
      </c>
      <c r="FO15" s="5">
        <v>0</v>
      </c>
      <c r="FP15" s="5">
        <v>31668</v>
      </c>
      <c r="FQ15" s="5">
        <v>38415</v>
      </c>
      <c r="FR15" s="5"/>
      <c r="FS15" s="11">
        <v>44682</v>
      </c>
      <c r="FT15" s="5">
        <v>430</v>
      </c>
      <c r="FU15" s="5">
        <v>189</v>
      </c>
      <c r="FV15" s="5"/>
      <c r="FW15" s="5">
        <v>75</v>
      </c>
      <c r="FX15" s="5">
        <v>67</v>
      </c>
      <c r="FY15" s="5">
        <v>1444</v>
      </c>
      <c r="FZ15" s="5"/>
      <c r="GA15" s="5">
        <v>681</v>
      </c>
      <c r="GB15" s="5"/>
      <c r="GC15" s="5">
        <v>2861</v>
      </c>
      <c r="GE15" s="11">
        <v>44682</v>
      </c>
      <c r="GQ15" s="11">
        <v>44682</v>
      </c>
      <c r="HC15" s="11">
        <v>44682</v>
      </c>
      <c r="HD15" s="5">
        <f t="shared" si="60"/>
        <v>0</v>
      </c>
      <c r="HE15" s="5">
        <f t="shared" si="61"/>
        <v>0</v>
      </c>
      <c r="HF15" s="5">
        <f t="shared" si="62"/>
        <v>0</v>
      </c>
      <c r="HG15" s="5">
        <f t="shared" si="63"/>
        <v>0</v>
      </c>
      <c r="HH15" s="5">
        <f t="shared" si="64"/>
        <v>0</v>
      </c>
      <c r="HI15" s="5">
        <f t="shared" si="65"/>
        <v>0</v>
      </c>
      <c r="HJ15" s="5">
        <f t="shared" si="66"/>
        <v>0</v>
      </c>
      <c r="HK15" s="5">
        <f t="shared" si="67"/>
        <v>0</v>
      </c>
      <c r="HL15" s="5">
        <f t="shared" si="68"/>
        <v>0</v>
      </c>
      <c r="HM15" s="5">
        <f t="shared" si="69"/>
        <v>0</v>
      </c>
      <c r="HO15" s="11">
        <v>44682</v>
      </c>
      <c r="HP15" s="5">
        <f t="shared" si="71"/>
        <v>0</v>
      </c>
      <c r="HQ15" s="5">
        <f t="shared" si="72"/>
        <v>0</v>
      </c>
      <c r="HR15" s="5">
        <f t="shared" si="73"/>
        <v>0</v>
      </c>
      <c r="HS15" s="5">
        <f t="shared" si="74"/>
        <v>0</v>
      </c>
      <c r="HT15" s="5">
        <f t="shared" si="75"/>
        <v>0</v>
      </c>
      <c r="HU15" s="5">
        <f t="shared" si="76"/>
        <v>0</v>
      </c>
      <c r="HV15" s="5">
        <f t="shared" si="77"/>
        <v>0</v>
      </c>
      <c r="HW15" s="5">
        <f t="shared" si="78"/>
        <v>0</v>
      </c>
      <c r="HX15" s="5">
        <f t="shared" si="79"/>
        <v>0</v>
      </c>
      <c r="HY15" s="5">
        <f t="shared" si="80"/>
        <v>0</v>
      </c>
    </row>
    <row r="16" spans="2:233">
      <c r="B16" s="11">
        <v>44713</v>
      </c>
      <c r="C16" s="5">
        <v>0</v>
      </c>
      <c r="D16" s="5">
        <v>0</v>
      </c>
      <c r="E16" s="5">
        <v>862</v>
      </c>
      <c r="F16" s="5">
        <v>260</v>
      </c>
      <c r="G16" s="5">
        <v>22</v>
      </c>
      <c r="H16" s="5">
        <v>231</v>
      </c>
      <c r="I16" s="5">
        <v>1220</v>
      </c>
      <c r="J16" s="5">
        <v>1634</v>
      </c>
      <c r="K16" s="5">
        <v>0</v>
      </c>
      <c r="L16" s="5">
        <f t="shared" si="57"/>
        <v>4229</v>
      </c>
      <c r="N16" s="11">
        <v>44713</v>
      </c>
      <c r="O16" s="5">
        <v>0</v>
      </c>
      <c r="P16" s="5">
        <v>0</v>
      </c>
      <c r="Q16" s="5">
        <v>862</v>
      </c>
      <c r="R16" s="5">
        <v>260</v>
      </c>
      <c r="S16" s="5">
        <v>22</v>
      </c>
      <c r="T16" s="5">
        <v>231</v>
      </c>
      <c r="U16" s="5">
        <v>1220</v>
      </c>
      <c r="V16" s="5">
        <v>1634</v>
      </c>
      <c r="W16" s="5">
        <v>0</v>
      </c>
      <c r="X16" s="5">
        <f t="shared" si="58"/>
        <v>4229</v>
      </c>
      <c r="Y16" s="5"/>
      <c r="Z16" s="11">
        <v>44713</v>
      </c>
      <c r="AB16" s="12"/>
      <c r="AC16" s="12"/>
      <c r="AD16" s="12"/>
      <c r="AF16" s="12"/>
      <c r="AH16" s="12"/>
      <c r="AI16" s="12"/>
      <c r="AJ16" s="206"/>
      <c r="AL16" s="11">
        <v>44713</v>
      </c>
      <c r="AM16" s="5">
        <v>0</v>
      </c>
      <c r="AN16" s="5">
        <v>285251</v>
      </c>
      <c r="AO16" s="5">
        <v>367558</v>
      </c>
      <c r="AP16" s="5">
        <v>157559</v>
      </c>
      <c r="AQ16" s="5">
        <v>0</v>
      </c>
      <c r="AR16" s="5">
        <v>97027</v>
      </c>
      <c r="AS16" s="5">
        <v>0</v>
      </c>
      <c r="AT16" s="5">
        <v>194764</v>
      </c>
      <c r="AU16" s="5">
        <v>188604</v>
      </c>
      <c r="AV16" s="5">
        <f t="shared" si="59"/>
        <v>1290763</v>
      </c>
      <c r="AW16" s="5"/>
      <c r="AX16" s="11">
        <v>44713</v>
      </c>
      <c r="AY16" s="5">
        <v>0</v>
      </c>
      <c r="AZ16" s="5">
        <v>153177</v>
      </c>
      <c r="BA16" s="5">
        <v>178355</v>
      </c>
      <c r="BB16" s="5">
        <v>94919</v>
      </c>
      <c r="BC16" s="5">
        <v>0</v>
      </c>
      <c r="BD16" s="5">
        <v>55362</v>
      </c>
      <c r="BE16" s="5">
        <v>0</v>
      </c>
      <c r="BF16" s="5">
        <v>125815</v>
      </c>
      <c r="BG16" s="5">
        <v>100020</v>
      </c>
      <c r="BH16" s="5">
        <f t="shared" si="70"/>
        <v>707648</v>
      </c>
      <c r="BI16" s="8"/>
      <c r="BJ16" s="11">
        <v>44713</v>
      </c>
      <c r="BK16" s="11"/>
      <c r="BL16" s="11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1">
        <v>44713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11">
        <v>44713</v>
      </c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8"/>
      <c r="CY16" s="11">
        <v>44713</v>
      </c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8"/>
      <c r="DK16" s="11">
        <v>44713</v>
      </c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8"/>
      <c r="DW16" s="11">
        <v>44713</v>
      </c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8"/>
      <c r="EI16" s="11">
        <v>44713</v>
      </c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8"/>
      <c r="EU16" s="11">
        <v>44713</v>
      </c>
      <c r="EV16" s="5">
        <v>392220</v>
      </c>
      <c r="EW16" s="5">
        <v>0</v>
      </c>
      <c r="EX16" s="5">
        <v>87773</v>
      </c>
      <c r="EY16" s="5">
        <v>106167</v>
      </c>
      <c r="EZ16" s="5">
        <v>26275</v>
      </c>
      <c r="FA16" s="5">
        <v>0</v>
      </c>
      <c r="FB16" s="5">
        <v>12319</v>
      </c>
      <c r="FC16" s="5">
        <v>0</v>
      </c>
      <c r="FD16" s="5">
        <v>52197</v>
      </c>
      <c r="FE16" s="5">
        <v>58417</v>
      </c>
      <c r="FF16" s="13"/>
      <c r="FG16" s="11">
        <v>44713</v>
      </c>
      <c r="FH16" s="5">
        <v>232301</v>
      </c>
      <c r="FI16" s="5">
        <v>0</v>
      </c>
      <c r="FJ16" s="5">
        <v>49547</v>
      </c>
      <c r="FK16" s="5">
        <v>61480</v>
      </c>
      <c r="FL16" s="5">
        <v>16464</v>
      </c>
      <c r="FM16" s="5">
        <v>0</v>
      </c>
      <c r="FN16" s="5">
        <v>7616</v>
      </c>
      <c r="FO16" s="5">
        <v>0</v>
      </c>
      <c r="FP16" s="5">
        <v>34358</v>
      </c>
      <c r="FQ16" s="5">
        <v>32423</v>
      </c>
      <c r="FR16" s="5"/>
      <c r="FS16" s="11">
        <v>44713</v>
      </c>
      <c r="FT16" s="5">
        <v>382</v>
      </c>
      <c r="FU16" s="5">
        <v>173</v>
      </c>
      <c r="FV16" s="5"/>
      <c r="FW16" s="5">
        <v>70</v>
      </c>
      <c r="FX16" s="5">
        <v>840</v>
      </c>
      <c r="FY16" s="5">
        <v>1111</v>
      </c>
      <c r="FZ16" s="5"/>
      <c r="GA16" s="5">
        <v>481</v>
      </c>
      <c r="GB16" s="5"/>
      <c r="GC16" s="5">
        <v>3024</v>
      </c>
      <c r="GE16" s="11">
        <v>44713</v>
      </c>
      <c r="GQ16" s="11">
        <v>44713</v>
      </c>
      <c r="HC16" s="11">
        <v>44713</v>
      </c>
      <c r="HD16" s="5">
        <f t="shared" si="60"/>
        <v>0</v>
      </c>
      <c r="HE16" s="5">
        <f t="shared" si="61"/>
        <v>0</v>
      </c>
      <c r="HF16" s="5">
        <f t="shared" si="62"/>
        <v>0</v>
      </c>
      <c r="HG16" s="5">
        <f t="shared" si="63"/>
        <v>0</v>
      </c>
      <c r="HH16" s="5">
        <f t="shared" si="64"/>
        <v>0</v>
      </c>
      <c r="HI16" s="5">
        <f t="shared" si="65"/>
        <v>0</v>
      </c>
      <c r="HJ16" s="5">
        <f t="shared" si="66"/>
        <v>0</v>
      </c>
      <c r="HK16" s="5">
        <f t="shared" si="67"/>
        <v>0</v>
      </c>
      <c r="HL16" s="5">
        <f t="shared" si="68"/>
        <v>0</v>
      </c>
      <c r="HM16" s="5">
        <f t="shared" si="69"/>
        <v>0</v>
      </c>
      <c r="HO16" s="11">
        <v>44713</v>
      </c>
      <c r="HP16" s="5">
        <f t="shared" si="71"/>
        <v>0</v>
      </c>
      <c r="HQ16" s="5">
        <f t="shared" si="72"/>
        <v>0</v>
      </c>
      <c r="HR16" s="5">
        <f t="shared" si="73"/>
        <v>0</v>
      </c>
      <c r="HS16" s="5">
        <f t="shared" si="74"/>
        <v>0</v>
      </c>
      <c r="HT16" s="5">
        <f t="shared" si="75"/>
        <v>0</v>
      </c>
      <c r="HU16" s="5">
        <f t="shared" si="76"/>
        <v>0</v>
      </c>
      <c r="HV16" s="5">
        <f t="shared" si="77"/>
        <v>0</v>
      </c>
      <c r="HW16" s="5">
        <f t="shared" si="78"/>
        <v>0</v>
      </c>
      <c r="HX16" s="5">
        <f t="shared" si="79"/>
        <v>0</v>
      </c>
      <c r="HY16" s="5">
        <f t="shared" si="80"/>
        <v>0</v>
      </c>
    </row>
    <row r="17" spans="2:233">
      <c r="B17" s="11">
        <v>44743</v>
      </c>
      <c r="C17" s="5">
        <v>0</v>
      </c>
      <c r="D17" s="5">
        <v>0</v>
      </c>
      <c r="E17" s="5">
        <v>1008</v>
      </c>
      <c r="F17" s="5">
        <v>283</v>
      </c>
      <c r="G17" s="5">
        <v>22</v>
      </c>
      <c r="H17" s="5">
        <v>284</v>
      </c>
      <c r="I17" s="5">
        <v>1698</v>
      </c>
      <c r="J17" s="5">
        <v>1774</v>
      </c>
      <c r="K17" s="5">
        <v>0</v>
      </c>
      <c r="L17" s="5">
        <f t="shared" si="57"/>
        <v>5069</v>
      </c>
      <c r="N17" s="11">
        <v>44743</v>
      </c>
      <c r="O17" s="5">
        <v>0</v>
      </c>
      <c r="P17" s="5">
        <v>0</v>
      </c>
      <c r="Q17" s="5">
        <v>1008</v>
      </c>
      <c r="R17" s="5">
        <v>283</v>
      </c>
      <c r="S17" s="5">
        <v>22</v>
      </c>
      <c r="T17" s="5">
        <v>284</v>
      </c>
      <c r="U17" s="5">
        <v>1698</v>
      </c>
      <c r="V17" s="5">
        <v>1774</v>
      </c>
      <c r="W17" s="5">
        <v>0</v>
      </c>
      <c r="X17" s="5">
        <f t="shared" si="58"/>
        <v>5069</v>
      </c>
      <c r="Y17" s="5"/>
      <c r="Z17" s="11">
        <v>44743</v>
      </c>
      <c r="AB17" s="12"/>
      <c r="AC17" s="12"/>
      <c r="AD17" s="12"/>
      <c r="AF17" s="12"/>
      <c r="AG17" s="12"/>
      <c r="AH17" s="12"/>
      <c r="AI17" s="12"/>
      <c r="AJ17" s="206"/>
      <c r="AK17" s="16"/>
      <c r="AL17" s="11">
        <v>44743</v>
      </c>
      <c r="AM17" s="5">
        <v>0</v>
      </c>
      <c r="AN17" s="5">
        <v>372736</v>
      </c>
      <c r="AO17" s="5">
        <v>462684</v>
      </c>
      <c r="AP17" s="5">
        <v>176457</v>
      </c>
      <c r="AQ17" s="5">
        <v>0</v>
      </c>
      <c r="AR17" s="5">
        <v>128095</v>
      </c>
      <c r="AS17" s="5">
        <v>0</v>
      </c>
      <c r="AT17" s="5">
        <v>193016</v>
      </c>
      <c r="AU17" s="5">
        <v>198353</v>
      </c>
      <c r="AV17" s="5">
        <f t="shared" si="59"/>
        <v>1531341</v>
      </c>
      <c r="AW17" s="5"/>
      <c r="AX17" s="11">
        <v>44743</v>
      </c>
      <c r="AY17" s="5">
        <v>0</v>
      </c>
      <c r="AZ17" s="5">
        <v>102966</v>
      </c>
      <c r="BA17" s="5">
        <v>172577</v>
      </c>
      <c r="BB17" s="5">
        <v>99265</v>
      </c>
      <c r="BC17" s="5">
        <v>0</v>
      </c>
      <c r="BD17" s="5">
        <v>63548</v>
      </c>
      <c r="BE17" s="5">
        <v>0</v>
      </c>
      <c r="BF17" s="5">
        <v>117578</v>
      </c>
      <c r="BG17" s="5">
        <v>84979</v>
      </c>
      <c r="BH17" s="5">
        <f t="shared" si="70"/>
        <v>640913</v>
      </c>
      <c r="BI17" s="8"/>
      <c r="BJ17" s="11">
        <v>44743</v>
      </c>
      <c r="BK17" s="11"/>
      <c r="BL17" s="11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1">
        <v>44743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11">
        <v>44743</v>
      </c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8"/>
      <c r="CY17" s="11">
        <v>44743</v>
      </c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8"/>
      <c r="DK17" s="11">
        <v>44743</v>
      </c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8"/>
      <c r="DW17" s="11">
        <v>44743</v>
      </c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8"/>
      <c r="EI17" s="11">
        <v>44743</v>
      </c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8"/>
      <c r="EU17" s="11">
        <v>44743</v>
      </c>
      <c r="EV17" s="5">
        <v>456870</v>
      </c>
      <c r="EW17" s="5">
        <v>0</v>
      </c>
      <c r="EX17" s="5">
        <v>104704</v>
      </c>
      <c r="EY17" s="5">
        <v>123301</v>
      </c>
      <c r="EZ17" s="5">
        <v>30948</v>
      </c>
      <c r="FA17" s="5">
        <v>0</v>
      </c>
      <c r="FB17" s="5">
        <v>16422</v>
      </c>
      <c r="FC17" s="5">
        <v>0</v>
      </c>
      <c r="FD17" s="5">
        <v>54352</v>
      </c>
      <c r="FE17" s="5">
        <v>67310</v>
      </c>
      <c r="FF17" s="13"/>
      <c r="FG17" s="11">
        <v>44743</v>
      </c>
      <c r="FH17" s="5">
        <v>241466</v>
      </c>
      <c r="FI17" s="5">
        <v>0</v>
      </c>
      <c r="FJ17" s="5">
        <v>44017</v>
      </c>
      <c r="FK17" s="5">
        <v>66012</v>
      </c>
      <c r="FL17" s="5">
        <v>18249</v>
      </c>
      <c r="FM17" s="5">
        <v>0</v>
      </c>
      <c r="FN17" s="5">
        <v>8824</v>
      </c>
      <c r="FO17" s="5">
        <v>0</v>
      </c>
      <c r="FP17" s="5">
        <v>34377</v>
      </c>
      <c r="FQ17" s="5">
        <v>32772</v>
      </c>
      <c r="FR17" s="5"/>
      <c r="FS17" s="11">
        <v>44743</v>
      </c>
      <c r="FT17" s="5">
        <v>312</v>
      </c>
      <c r="FU17" s="5">
        <v>147</v>
      </c>
      <c r="FV17" s="5"/>
      <c r="FW17" s="5">
        <v>62</v>
      </c>
      <c r="FX17" s="5">
        <v>581</v>
      </c>
      <c r="FY17" s="5">
        <v>981</v>
      </c>
      <c r="FZ17" s="5"/>
      <c r="GA17" s="5">
        <v>417</v>
      </c>
      <c r="GB17" s="5"/>
      <c r="GC17" s="5">
        <v>2459</v>
      </c>
      <c r="GE17" s="11">
        <v>44743</v>
      </c>
      <c r="GQ17" s="11">
        <v>44743</v>
      </c>
      <c r="HC17" s="11">
        <v>44743</v>
      </c>
      <c r="HD17" s="5">
        <f t="shared" si="60"/>
        <v>0</v>
      </c>
      <c r="HE17" s="5">
        <f t="shared" si="61"/>
        <v>0</v>
      </c>
      <c r="HF17" s="5">
        <f t="shared" si="62"/>
        <v>0</v>
      </c>
      <c r="HG17" s="5">
        <f t="shared" si="63"/>
        <v>0</v>
      </c>
      <c r="HH17" s="5">
        <f t="shared" si="64"/>
        <v>0</v>
      </c>
      <c r="HI17" s="5">
        <f t="shared" si="65"/>
        <v>0</v>
      </c>
      <c r="HJ17" s="5">
        <f t="shared" si="66"/>
        <v>0</v>
      </c>
      <c r="HK17" s="5">
        <f t="shared" si="67"/>
        <v>0</v>
      </c>
      <c r="HL17" s="5">
        <f t="shared" si="68"/>
        <v>0</v>
      </c>
      <c r="HM17" s="5">
        <f t="shared" si="69"/>
        <v>0</v>
      </c>
      <c r="HO17" s="11">
        <v>44743</v>
      </c>
      <c r="HP17" s="5">
        <f t="shared" si="71"/>
        <v>0</v>
      </c>
      <c r="HQ17" s="5">
        <f t="shared" si="72"/>
        <v>0</v>
      </c>
      <c r="HR17" s="5">
        <f t="shared" si="73"/>
        <v>0</v>
      </c>
      <c r="HS17" s="5">
        <f t="shared" si="74"/>
        <v>0</v>
      </c>
      <c r="HT17" s="5">
        <f t="shared" si="75"/>
        <v>0</v>
      </c>
      <c r="HU17" s="5">
        <f t="shared" si="76"/>
        <v>0</v>
      </c>
      <c r="HV17" s="5">
        <f t="shared" si="77"/>
        <v>0</v>
      </c>
      <c r="HW17" s="5">
        <f t="shared" si="78"/>
        <v>0</v>
      </c>
      <c r="HX17" s="5">
        <f t="shared" si="79"/>
        <v>0</v>
      </c>
      <c r="HY17" s="5">
        <f t="shared" si="80"/>
        <v>0</v>
      </c>
    </row>
    <row r="18" spans="2:233">
      <c r="B18" s="11">
        <v>44774</v>
      </c>
      <c r="C18" s="5">
        <v>12</v>
      </c>
      <c r="D18" s="5">
        <v>0</v>
      </c>
      <c r="E18" s="5">
        <v>913</v>
      </c>
      <c r="F18" s="5">
        <v>302</v>
      </c>
      <c r="G18" s="5">
        <v>80</v>
      </c>
      <c r="H18" s="5">
        <v>324</v>
      </c>
      <c r="I18" s="5">
        <v>1657</v>
      </c>
      <c r="J18" s="5">
        <v>1624</v>
      </c>
      <c r="K18" s="5">
        <v>0</v>
      </c>
      <c r="L18" s="5">
        <f t="shared" si="57"/>
        <v>4912</v>
      </c>
      <c r="N18" s="11">
        <v>44774</v>
      </c>
      <c r="O18" s="5">
        <v>12</v>
      </c>
      <c r="P18" s="5">
        <v>0</v>
      </c>
      <c r="Q18" s="5">
        <v>913</v>
      </c>
      <c r="R18" s="5">
        <v>302</v>
      </c>
      <c r="S18" s="5">
        <v>80</v>
      </c>
      <c r="T18" s="5">
        <v>324</v>
      </c>
      <c r="U18" s="5">
        <v>1657</v>
      </c>
      <c r="V18" s="5">
        <v>1624</v>
      </c>
      <c r="W18" s="5">
        <v>0</v>
      </c>
      <c r="X18" s="5">
        <f t="shared" si="58"/>
        <v>4912</v>
      </c>
      <c r="Y18" s="5"/>
      <c r="Z18" s="11">
        <v>44774</v>
      </c>
      <c r="AB18" s="12"/>
      <c r="AC18" s="12"/>
      <c r="AD18" s="12"/>
      <c r="AF18" s="12"/>
      <c r="AG18" s="12"/>
      <c r="AH18" s="12"/>
      <c r="AI18" s="12"/>
      <c r="AJ18" s="206"/>
      <c r="AL18" s="11">
        <v>44774</v>
      </c>
      <c r="AM18" s="5">
        <v>0</v>
      </c>
      <c r="AN18" s="5">
        <v>384849</v>
      </c>
      <c r="AO18" s="5">
        <v>413261</v>
      </c>
      <c r="AP18" s="5">
        <v>197734</v>
      </c>
      <c r="AQ18" s="5">
        <v>0</v>
      </c>
      <c r="AR18" s="5">
        <v>276036</v>
      </c>
      <c r="AS18" s="5">
        <v>0</v>
      </c>
      <c r="AT18" s="5">
        <v>164597</v>
      </c>
      <c r="AU18" s="5">
        <v>200467</v>
      </c>
      <c r="AV18" s="5">
        <f t="shared" si="59"/>
        <v>1636944</v>
      </c>
      <c r="AW18" s="5"/>
      <c r="AX18" s="11">
        <v>44774</v>
      </c>
      <c r="AY18" s="5">
        <v>0</v>
      </c>
      <c r="AZ18" s="5">
        <v>126072</v>
      </c>
      <c r="BA18" s="5">
        <v>163753</v>
      </c>
      <c r="BB18" s="5">
        <v>124303</v>
      </c>
      <c r="BC18" s="5">
        <v>0</v>
      </c>
      <c r="BD18" s="5">
        <v>161831</v>
      </c>
      <c r="BE18" s="5">
        <v>0</v>
      </c>
      <c r="BF18" s="5">
        <v>100809</v>
      </c>
      <c r="BG18" s="5">
        <v>105575</v>
      </c>
      <c r="BH18" s="5">
        <f t="shared" si="70"/>
        <v>782343</v>
      </c>
      <c r="BI18" s="8"/>
      <c r="BJ18" s="11">
        <v>44774</v>
      </c>
      <c r="BK18" s="11"/>
      <c r="BL18" s="11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1">
        <v>44774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11">
        <v>44774</v>
      </c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8"/>
      <c r="CY18" s="11">
        <v>44774</v>
      </c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8"/>
      <c r="DK18" s="11">
        <v>44774</v>
      </c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8"/>
      <c r="DW18" s="11">
        <v>44774</v>
      </c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8"/>
      <c r="EI18" s="11">
        <v>44774</v>
      </c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8"/>
      <c r="EU18" s="11">
        <v>44774</v>
      </c>
      <c r="EV18" s="5">
        <v>477466</v>
      </c>
      <c r="EW18" s="5">
        <v>0</v>
      </c>
      <c r="EX18" s="5">
        <v>101980</v>
      </c>
      <c r="EY18" s="5">
        <v>120655</v>
      </c>
      <c r="EZ18" s="5">
        <v>38726</v>
      </c>
      <c r="FA18" s="5">
        <v>0</v>
      </c>
      <c r="FB18" s="5">
        <v>48461</v>
      </c>
      <c r="FC18" s="5">
        <v>1</v>
      </c>
      <c r="FD18" s="5">
        <v>42793</v>
      </c>
      <c r="FE18" s="5">
        <v>66690</v>
      </c>
      <c r="FF18" s="13"/>
      <c r="FG18" s="11">
        <v>44774</v>
      </c>
      <c r="FH18" s="5">
        <v>272511</v>
      </c>
      <c r="FI18" s="5">
        <v>0</v>
      </c>
      <c r="FJ18" s="5">
        <v>52439</v>
      </c>
      <c r="FK18" s="5">
        <v>65396</v>
      </c>
      <c r="FL18" s="5">
        <v>23408</v>
      </c>
      <c r="FM18" s="5">
        <v>0</v>
      </c>
      <c r="FN18" s="5">
        <v>30277</v>
      </c>
      <c r="FO18" s="5">
        <v>1</v>
      </c>
      <c r="FP18" s="5">
        <v>26810</v>
      </c>
      <c r="FQ18" s="5">
        <v>37566</v>
      </c>
      <c r="FR18" s="5"/>
      <c r="FS18" s="11">
        <v>44774</v>
      </c>
      <c r="FT18" s="5">
        <v>329</v>
      </c>
      <c r="FU18" s="5">
        <v>169</v>
      </c>
      <c r="FV18" s="5"/>
      <c r="FW18" s="5">
        <v>176</v>
      </c>
      <c r="FX18" s="5">
        <v>479</v>
      </c>
      <c r="FY18" s="5">
        <v>1032</v>
      </c>
      <c r="FZ18" s="5"/>
      <c r="GA18" s="5">
        <v>498</v>
      </c>
      <c r="GB18" s="5"/>
      <c r="GC18" s="5">
        <v>2645</v>
      </c>
      <c r="GE18" s="11">
        <v>44774</v>
      </c>
      <c r="GQ18" s="11">
        <v>44774</v>
      </c>
      <c r="HC18" s="11">
        <v>44774</v>
      </c>
      <c r="HD18" s="5">
        <f t="shared" si="60"/>
        <v>0</v>
      </c>
      <c r="HE18" s="5">
        <f t="shared" si="61"/>
        <v>0</v>
      </c>
      <c r="HF18" s="5">
        <f t="shared" si="62"/>
        <v>0</v>
      </c>
      <c r="HG18" s="5">
        <f t="shared" si="63"/>
        <v>0</v>
      </c>
      <c r="HH18" s="5">
        <f t="shared" si="64"/>
        <v>0</v>
      </c>
      <c r="HI18" s="5">
        <f t="shared" si="65"/>
        <v>0</v>
      </c>
      <c r="HJ18" s="5">
        <f t="shared" si="66"/>
        <v>0</v>
      </c>
      <c r="HK18" s="5">
        <f t="shared" si="67"/>
        <v>0</v>
      </c>
      <c r="HL18" s="5">
        <f t="shared" si="68"/>
        <v>0</v>
      </c>
      <c r="HM18" s="5">
        <f t="shared" si="69"/>
        <v>0</v>
      </c>
      <c r="HO18" s="11">
        <v>44774</v>
      </c>
      <c r="HP18" s="5">
        <f t="shared" si="71"/>
        <v>0</v>
      </c>
      <c r="HQ18" s="5">
        <f t="shared" si="72"/>
        <v>0</v>
      </c>
      <c r="HR18" s="5">
        <f t="shared" si="73"/>
        <v>0</v>
      </c>
      <c r="HS18" s="5">
        <f t="shared" si="74"/>
        <v>0</v>
      </c>
      <c r="HT18" s="5">
        <f t="shared" si="75"/>
        <v>0</v>
      </c>
      <c r="HU18" s="5">
        <f t="shared" si="76"/>
        <v>0</v>
      </c>
      <c r="HV18" s="5">
        <f t="shared" si="77"/>
        <v>0</v>
      </c>
      <c r="HW18" s="5">
        <f t="shared" si="78"/>
        <v>0</v>
      </c>
      <c r="HX18" s="5">
        <f t="shared" si="79"/>
        <v>0</v>
      </c>
      <c r="HY18" s="5">
        <f t="shared" si="80"/>
        <v>0</v>
      </c>
    </row>
    <row r="19" spans="2:233">
      <c r="B19" s="11">
        <v>44805</v>
      </c>
      <c r="C19" s="5">
        <v>69</v>
      </c>
      <c r="D19" s="5">
        <v>0</v>
      </c>
      <c r="E19" s="5">
        <v>817</v>
      </c>
      <c r="F19" s="5">
        <v>335</v>
      </c>
      <c r="G19" s="5">
        <v>104</v>
      </c>
      <c r="H19" s="5">
        <v>199</v>
      </c>
      <c r="I19" s="5">
        <v>1639</v>
      </c>
      <c r="J19" s="5">
        <v>1616</v>
      </c>
      <c r="K19" s="5">
        <v>0</v>
      </c>
      <c r="L19" s="5">
        <f t="shared" si="57"/>
        <v>4779</v>
      </c>
      <c r="N19" s="11">
        <v>44805</v>
      </c>
      <c r="O19" s="5">
        <v>69</v>
      </c>
      <c r="P19" s="5">
        <v>0</v>
      </c>
      <c r="Q19" s="5">
        <v>817</v>
      </c>
      <c r="R19" s="5">
        <v>335</v>
      </c>
      <c r="S19" s="5">
        <v>104</v>
      </c>
      <c r="T19" s="5">
        <v>199</v>
      </c>
      <c r="U19" s="5">
        <v>1639</v>
      </c>
      <c r="V19" s="5">
        <v>1616</v>
      </c>
      <c r="W19" s="5">
        <v>0</v>
      </c>
      <c r="X19" s="5">
        <f t="shared" si="58"/>
        <v>4779</v>
      </c>
      <c r="Y19" s="5"/>
      <c r="Z19" s="11">
        <v>44805</v>
      </c>
      <c r="AB19" s="12"/>
      <c r="AC19" s="12"/>
      <c r="AD19" s="12"/>
      <c r="AF19" s="12"/>
      <c r="AG19" s="12"/>
      <c r="AH19" s="12"/>
      <c r="AI19" s="12"/>
      <c r="AJ19" s="206"/>
      <c r="AL19" s="11">
        <v>44805</v>
      </c>
      <c r="AM19" s="5">
        <v>0</v>
      </c>
      <c r="AN19" s="5">
        <v>404380</v>
      </c>
      <c r="AO19" s="5">
        <v>244929</v>
      </c>
      <c r="AP19" s="5">
        <v>127596</v>
      </c>
      <c r="AQ19" s="5">
        <v>0</v>
      </c>
      <c r="AR19" s="5">
        <v>266242</v>
      </c>
      <c r="AS19" s="5">
        <v>108476</v>
      </c>
      <c r="AT19" s="5">
        <v>139477</v>
      </c>
      <c r="AU19" s="5">
        <v>173292</v>
      </c>
      <c r="AV19" s="5">
        <f t="shared" si="59"/>
        <v>1464392</v>
      </c>
      <c r="AW19" s="5"/>
      <c r="AX19" s="11">
        <v>44805</v>
      </c>
      <c r="AY19" s="5">
        <v>0</v>
      </c>
      <c r="AZ19" s="5">
        <v>137115</v>
      </c>
      <c r="BA19" s="5">
        <v>97140</v>
      </c>
      <c r="BB19" s="5">
        <v>67013</v>
      </c>
      <c r="BC19" s="5">
        <v>0</v>
      </c>
      <c r="BD19" s="5">
        <v>122505</v>
      </c>
      <c r="BE19" s="5">
        <v>69057</v>
      </c>
      <c r="BF19" s="5">
        <v>82732</v>
      </c>
      <c r="BG19" s="5">
        <v>89758</v>
      </c>
      <c r="BH19" s="5">
        <f t="shared" si="70"/>
        <v>665320</v>
      </c>
      <c r="BI19" s="8"/>
      <c r="BJ19" s="11">
        <v>44805</v>
      </c>
      <c r="BK19" s="11"/>
      <c r="BL19" s="11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1">
        <v>44805</v>
      </c>
      <c r="CB19" s="5"/>
      <c r="CC19" s="5"/>
      <c r="CD19" s="128"/>
      <c r="CE19" s="5"/>
      <c r="CF19" s="5"/>
      <c r="CG19" s="5"/>
      <c r="CH19" s="5"/>
      <c r="CI19" s="5"/>
      <c r="CJ19" s="5"/>
      <c r="CK19" s="5"/>
      <c r="CL19" s="5"/>
      <c r="CM19" s="11">
        <v>44805</v>
      </c>
      <c r="CN19" s="5"/>
      <c r="CO19" s="5"/>
      <c r="CP19" s="128"/>
      <c r="CQ19" s="5"/>
      <c r="CR19" s="5"/>
      <c r="CS19" s="5"/>
      <c r="CT19" s="5"/>
      <c r="CU19" s="5"/>
      <c r="CV19" s="5"/>
      <c r="CW19" s="5"/>
      <c r="CX19" s="8"/>
      <c r="CY19" s="11">
        <v>44805</v>
      </c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8"/>
      <c r="DK19" s="11">
        <v>44805</v>
      </c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8"/>
      <c r="DW19" s="11">
        <v>44805</v>
      </c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8"/>
      <c r="EI19" s="11">
        <v>44805</v>
      </c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8"/>
      <c r="EU19" s="11">
        <v>44805</v>
      </c>
      <c r="EV19" s="5">
        <v>416555</v>
      </c>
      <c r="EW19" s="5">
        <v>0</v>
      </c>
      <c r="EX19" s="5">
        <v>87848</v>
      </c>
      <c r="EY19" s="5">
        <v>103876</v>
      </c>
      <c r="EZ19" s="5">
        <v>29514</v>
      </c>
      <c r="FA19" s="5">
        <v>0</v>
      </c>
      <c r="FB19" s="5">
        <v>34404</v>
      </c>
      <c r="FC19" s="5">
        <v>2619</v>
      </c>
      <c r="FD19" s="5">
        <v>30007</v>
      </c>
      <c r="FE19" s="5">
        <v>56409</v>
      </c>
      <c r="FF19" s="13"/>
      <c r="FG19" s="11">
        <v>44805</v>
      </c>
      <c r="FH19" s="5">
        <v>223907</v>
      </c>
      <c r="FI19" s="5">
        <v>0</v>
      </c>
      <c r="FJ19" s="5">
        <v>46156</v>
      </c>
      <c r="FK19" s="5">
        <v>42437</v>
      </c>
      <c r="FL19" s="5">
        <v>16778</v>
      </c>
      <c r="FM19" s="5">
        <v>0</v>
      </c>
      <c r="FN19" s="5">
        <v>20507</v>
      </c>
      <c r="FO19" s="5">
        <v>1648</v>
      </c>
      <c r="FP19" s="5">
        <v>18464</v>
      </c>
      <c r="FQ19" s="5">
        <v>30958</v>
      </c>
      <c r="FR19" s="5"/>
      <c r="FS19" s="11">
        <v>44805</v>
      </c>
      <c r="FT19" s="5">
        <v>379</v>
      </c>
      <c r="FU19" s="5">
        <v>150</v>
      </c>
      <c r="FV19" s="5">
        <v>85</v>
      </c>
      <c r="FW19" s="5">
        <v>164</v>
      </c>
      <c r="FX19" s="5">
        <v>381</v>
      </c>
      <c r="FY19" s="5">
        <v>919</v>
      </c>
      <c r="FZ19" s="5"/>
      <c r="GA19" s="5">
        <v>464</v>
      </c>
      <c r="GB19" s="5"/>
      <c r="GC19" s="5">
        <v>2495</v>
      </c>
      <c r="GE19" s="11">
        <v>44805</v>
      </c>
      <c r="GQ19" s="11">
        <v>44805</v>
      </c>
      <c r="HC19" s="11">
        <v>44805</v>
      </c>
      <c r="HD19" s="5">
        <f t="shared" si="60"/>
        <v>0</v>
      </c>
      <c r="HE19" s="5">
        <f t="shared" si="61"/>
        <v>0</v>
      </c>
      <c r="HF19" s="5">
        <f t="shared" si="62"/>
        <v>0</v>
      </c>
      <c r="HG19" s="5">
        <f t="shared" si="63"/>
        <v>0</v>
      </c>
      <c r="HH19" s="5">
        <f t="shared" si="64"/>
        <v>0</v>
      </c>
      <c r="HI19" s="5">
        <f t="shared" si="65"/>
        <v>0</v>
      </c>
      <c r="HJ19" s="5">
        <f t="shared" si="66"/>
        <v>0</v>
      </c>
      <c r="HK19" s="5">
        <f t="shared" si="67"/>
        <v>0</v>
      </c>
      <c r="HL19" s="5">
        <f t="shared" si="68"/>
        <v>0</v>
      </c>
      <c r="HM19" s="5">
        <f t="shared" si="69"/>
        <v>0</v>
      </c>
      <c r="HO19" s="11">
        <v>44805</v>
      </c>
      <c r="HP19" s="5">
        <f t="shared" si="71"/>
        <v>0</v>
      </c>
      <c r="HQ19" s="5">
        <f t="shared" si="72"/>
        <v>0</v>
      </c>
      <c r="HR19" s="5">
        <f t="shared" si="73"/>
        <v>0</v>
      </c>
      <c r="HS19" s="5">
        <f t="shared" si="74"/>
        <v>0</v>
      </c>
      <c r="HT19" s="5">
        <f t="shared" si="75"/>
        <v>0</v>
      </c>
      <c r="HU19" s="5">
        <f t="shared" si="76"/>
        <v>0</v>
      </c>
      <c r="HV19" s="5">
        <f t="shared" si="77"/>
        <v>0</v>
      </c>
      <c r="HW19" s="5">
        <f t="shared" si="78"/>
        <v>0</v>
      </c>
      <c r="HX19" s="5">
        <f t="shared" si="79"/>
        <v>0</v>
      </c>
      <c r="HY19" s="5">
        <f t="shared" si="80"/>
        <v>0</v>
      </c>
    </row>
    <row r="20" spans="2:233">
      <c r="B20" s="11">
        <v>44835</v>
      </c>
      <c r="C20" s="5">
        <v>47</v>
      </c>
      <c r="D20" s="5">
        <v>0</v>
      </c>
      <c r="E20" s="5">
        <v>687</v>
      </c>
      <c r="F20" s="5">
        <v>336</v>
      </c>
      <c r="G20" s="5">
        <v>103</v>
      </c>
      <c r="H20" s="5">
        <v>201</v>
      </c>
      <c r="I20" s="5">
        <v>1544</v>
      </c>
      <c r="J20" s="5">
        <v>1435</v>
      </c>
      <c r="K20" s="5">
        <v>0</v>
      </c>
      <c r="L20" s="5">
        <f t="shared" si="57"/>
        <v>4353</v>
      </c>
      <c r="N20" s="11">
        <v>44835</v>
      </c>
      <c r="O20" s="5">
        <v>47</v>
      </c>
      <c r="P20" s="5">
        <v>0</v>
      </c>
      <c r="Q20" s="5">
        <v>687</v>
      </c>
      <c r="R20" s="5">
        <v>336</v>
      </c>
      <c r="S20" s="5">
        <v>103</v>
      </c>
      <c r="T20" s="5">
        <v>201</v>
      </c>
      <c r="U20" s="5">
        <v>1544</v>
      </c>
      <c r="V20" s="5">
        <v>1435</v>
      </c>
      <c r="W20" s="5">
        <v>0</v>
      </c>
      <c r="X20" s="5">
        <f t="shared" si="58"/>
        <v>4353</v>
      </c>
      <c r="Y20" s="5"/>
      <c r="Z20" s="11">
        <v>44835</v>
      </c>
      <c r="AB20" s="12"/>
      <c r="AC20" s="12"/>
      <c r="AD20" s="12"/>
      <c r="AF20" s="12"/>
      <c r="AG20" s="12"/>
      <c r="AH20" s="12"/>
      <c r="AI20" s="12"/>
      <c r="AJ20" s="206"/>
      <c r="AK20" s="16"/>
      <c r="AL20" s="11">
        <v>44835</v>
      </c>
      <c r="AM20" s="5">
        <v>0</v>
      </c>
      <c r="AN20" s="5">
        <v>505363</v>
      </c>
      <c r="AO20" s="5">
        <v>230335</v>
      </c>
      <c r="AP20" s="5">
        <v>121630</v>
      </c>
      <c r="AQ20" s="5">
        <v>0</v>
      </c>
      <c r="AR20" s="5">
        <v>489699</v>
      </c>
      <c r="AS20" s="5">
        <v>77824</v>
      </c>
      <c r="AT20" s="5">
        <v>132171</v>
      </c>
      <c r="AU20" s="5">
        <v>167211</v>
      </c>
      <c r="AV20" s="5">
        <f t="shared" si="59"/>
        <v>1724233</v>
      </c>
      <c r="AW20" s="5"/>
      <c r="AX20" s="11">
        <v>44835</v>
      </c>
      <c r="AY20" s="5">
        <v>0</v>
      </c>
      <c r="AZ20" s="5">
        <v>174062</v>
      </c>
      <c r="BA20" s="5">
        <v>116501</v>
      </c>
      <c r="BB20" s="5">
        <v>68222</v>
      </c>
      <c r="BC20" s="5">
        <v>0</v>
      </c>
      <c r="BD20" s="5">
        <v>104077</v>
      </c>
      <c r="BE20" s="5">
        <v>41119</v>
      </c>
      <c r="BF20" s="5">
        <v>81559</v>
      </c>
      <c r="BG20" s="5">
        <v>93937</v>
      </c>
      <c r="BH20" s="5">
        <f t="shared" si="70"/>
        <v>679477</v>
      </c>
      <c r="BI20" s="8"/>
      <c r="BJ20" s="11">
        <v>44835</v>
      </c>
      <c r="BK20" s="11"/>
      <c r="BL20" s="11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1">
        <v>44835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11">
        <v>44835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8"/>
      <c r="CY20" s="11">
        <v>44835</v>
      </c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8"/>
      <c r="DK20" s="11">
        <v>44835</v>
      </c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8"/>
      <c r="DW20" s="11">
        <v>44835</v>
      </c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8"/>
      <c r="EI20" s="11">
        <v>44835</v>
      </c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8"/>
      <c r="EU20" s="11">
        <v>44835</v>
      </c>
      <c r="EV20" s="5">
        <v>413185</v>
      </c>
      <c r="EW20" s="5">
        <v>0</v>
      </c>
      <c r="EX20" s="5">
        <v>92960</v>
      </c>
      <c r="EY20" s="5">
        <v>100399</v>
      </c>
      <c r="EZ20" s="5">
        <v>28658</v>
      </c>
      <c r="FA20" s="5">
        <v>0</v>
      </c>
      <c r="FB20" s="5">
        <v>36563</v>
      </c>
      <c r="FC20" s="5">
        <v>11489</v>
      </c>
      <c r="FD20" s="5">
        <v>26557</v>
      </c>
      <c r="FE20" s="5">
        <v>54040</v>
      </c>
      <c r="FF20" s="13"/>
      <c r="FG20" s="11">
        <v>44835</v>
      </c>
      <c r="FH20" s="5">
        <v>234607</v>
      </c>
      <c r="FI20" s="5">
        <v>0</v>
      </c>
      <c r="FJ20" s="5">
        <v>51484</v>
      </c>
      <c r="FK20" s="5">
        <v>49708</v>
      </c>
      <c r="FL20" s="5">
        <v>17283</v>
      </c>
      <c r="FM20" s="5">
        <v>0</v>
      </c>
      <c r="FN20" s="5">
        <v>17713</v>
      </c>
      <c r="FO20" s="5">
        <v>6406</v>
      </c>
      <c r="FP20" s="5">
        <v>16985</v>
      </c>
      <c r="FQ20" s="5">
        <v>31754</v>
      </c>
      <c r="FR20" s="5"/>
      <c r="FS20" s="11">
        <v>44835</v>
      </c>
      <c r="FT20" s="5">
        <v>265</v>
      </c>
      <c r="FU20" s="5">
        <v>118</v>
      </c>
      <c r="FV20" s="5">
        <v>46</v>
      </c>
      <c r="FW20" s="5">
        <v>125</v>
      </c>
      <c r="FX20" s="5">
        <v>259</v>
      </c>
      <c r="FY20" s="5">
        <v>719</v>
      </c>
      <c r="FZ20" s="5"/>
      <c r="GA20" s="5">
        <v>400</v>
      </c>
      <c r="GB20" s="5"/>
      <c r="GC20" s="5">
        <v>1896</v>
      </c>
      <c r="GE20" s="11">
        <v>44835</v>
      </c>
      <c r="GQ20" s="11">
        <v>44835</v>
      </c>
      <c r="HC20" s="11">
        <v>44835</v>
      </c>
      <c r="HD20" s="5">
        <f t="shared" si="60"/>
        <v>0</v>
      </c>
      <c r="HE20" s="5">
        <f t="shared" si="61"/>
        <v>0</v>
      </c>
      <c r="HF20" s="5">
        <f t="shared" si="62"/>
        <v>0</v>
      </c>
      <c r="HG20" s="5">
        <f t="shared" si="63"/>
        <v>0</v>
      </c>
      <c r="HH20" s="5">
        <f t="shared" si="64"/>
        <v>0</v>
      </c>
      <c r="HI20" s="5">
        <f t="shared" si="65"/>
        <v>0</v>
      </c>
      <c r="HJ20" s="5">
        <f t="shared" si="66"/>
        <v>0</v>
      </c>
      <c r="HK20" s="5">
        <f t="shared" si="67"/>
        <v>0</v>
      </c>
      <c r="HL20" s="5">
        <f t="shared" si="68"/>
        <v>0</v>
      </c>
      <c r="HM20" s="5">
        <f t="shared" si="69"/>
        <v>0</v>
      </c>
      <c r="HO20" s="11">
        <v>44835</v>
      </c>
      <c r="HP20" s="5">
        <f t="shared" si="71"/>
        <v>0</v>
      </c>
      <c r="HQ20" s="5">
        <f t="shared" si="72"/>
        <v>0</v>
      </c>
      <c r="HR20" s="5">
        <f t="shared" si="73"/>
        <v>0</v>
      </c>
      <c r="HS20" s="5">
        <f t="shared" si="74"/>
        <v>0</v>
      </c>
      <c r="HT20" s="5">
        <f t="shared" si="75"/>
        <v>0</v>
      </c>
      <c r="HU20" s="5">
        <f t="shared" si="76"/>
        <v>0</v>
      </c>
      <c r="HV20" s="5">
        <f t="shared" si="77"/>
        <v>0</v>
      </c>
      <c r="HW20" s="5">
        <f t="shared" si="78"/>
        <v>0</v>
      </c>
      <c r="HX20" s="5">
        <f t="shared" si="79"/>
        <v>0</v>
      </c>
      <c r="HY20" s="5">
        <f t="shared" si="80"/>
        <v>0</v>
      </c>
    </row>
    <row r="21" spans="2:233">
      <c r="B21" s="11">
        <v>44866</v>
      </c>
      <c r="C21" s="5">
        <v>61</v>
      </c>
      <c r="D21" s="5">
        <v>0</v>
      </c>
      <c r="E21" s="5">
        <v>956</v>
      </c>
      <c r="F21" s="5">
        <v>349</v>
      </c>
      <c r="G21" s="5">
        <v>150</v>
      </c>
      <c r="H21" s="5">
        <v>172</v>
      </c>
      <c r="I21" s="5">
        <v>1813</v>
      </c>
      <c r="J21" s="5">
        <v>1504</v>
      </c>
      <c r="K21" s="5">
        <v>0</v>
      </c>
      <c r="L21" s="5">
        <f t="shared" si="57"/>
        <v>5005</v>
      </c>
      <c r="N21" s="11">
        <v>44866</v>
      </c>
      <c r="O21" s="5">
        <v>61</v>
      </c>
      <c r="P21" s="5">
        <v>0</v>
      </c>
      <c r="Q21" s="5">
        <v>956</v>
      </c>
      <c r="R21" s="5">
        <v>349</v>
      </c>
      <c r="S21" s="5">
        <v>150</v>
      </c>
      <c r="T21" s="5">
        <v>172</v>
      </c>
      <c r="U21" s="5">
        <v>1813</v>
      </c>
      <c r="V21" s="5">
        <v>1504</v>
      </c>
      <c r="W21" s="5">
        <v>0</v>
      </c>
      <c r="X21" s="5">
        <f t="shared" si="58"/>
        <v>5005</v>
      </c>
      <c r="Y21" s="5"/>
      <c r="Z21" s="11">
        <v>44866</v>
      </c>
      <c r="AB21" s="12"/>
      <c r="AC21" s="12"/>
      <c r="AD21" s="12"/>
      <c r="AE21" s="12"/>
      <c r="AF21" s="12"/>
      <c r="AG21" s="12"/>
      <c r="AH21" s="12"/>
      <c r="AI21" s="12"/>
      <c r="AJ21" s="206"/>
      <c r="AL21" s="11">
        <v>44866</v>
      </c>
      <c r="AM21" s="5">
        <v>0</v>
      </c>
      <c r="AN21" s="5">
        <v>542495</v>
      </c>
      <c r="AO21" s="5">
        <v>234913</v>
      </c>
      <c r="AP21" s="5">
        <v>123804</v>
      </c>
      <c r="AQ21" s="5">
        <v>58047</v>
      </c>
      <c r="AR21" s="5">
        <v>155736</v>
      </c>
      <c r="AS21" s="5">
        <v>78300</v>
      </c>
      <c r="AT21" s="5">
        <v>125220</v>
      </c>
      <c r="AU21" s="5">
        <v>171654</v>
      </c>
      <c r="AV21" s="5">
        <f t="shared" si="59"/>
        <v>1490169</v>
      </c>
      <c r="AW21" s="5"/>
      <c r="AX21" s="11">
        <v>44866</v>
      </c>
      <c r="AY21" s="5">
        <v>0</v>
      </c>
      <c r="AZ21" s="5">
        <v>224394</v>
      </c>
      <c r="BA21" s="5">
        <v>137039</v>
      </c>
      <c r="BB21" s="5">
        <v>72902</v>
      </c>
      <c r="BC21" s="5">
        <v>16484</v>
      </c>
      <c r="BD21" s="5">
        <v>92771</v>
      </c>
      <c r="BE21" s="5">
        <v>43933</v>
      </c>
      <c r="BF21" s="5">
        <v>74164</v>
      </c>
      <c r="BG21" s="5">
        <v>99944</v>
      </c>
      <c r="BH21" s="5">
        <f t="shared" si="70"/>
        <v>761631</v>
      </c>
      <c r="BI21" s="8"/>
      <c r="BJ21" s="11">
        <v>44866</v>
      </c>
      <c r="BK21" s="11"/>
      <c r="BL21" s="11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1">
        <v>44866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11">
        <v>44866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8"/>
      <c r="CY21" s="11">
        <v>44866</v>
      </c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8"/>
      <c r="DK21" s="11">
        <v>44866</v>
      </c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8"/>
      <c r="DW21" s="11">
        <v>44866</v>
      </c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8"/>
      <c r="EI21" s="11">
        <v>44866</v>
      </c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8"/>
      <c r="EU21" s="11">
        <v>44866</v>
      </c>
      <c r="EV21" s="5">
        <v>451240</v>
      </c>
      <c r="EW21" s="5">
        <v>0</v>
      </c>
      <c r="EX21" s="5">
        <v>105441</v>
      </c>
      <c r="EY21" s="5">
        <v>113273</v>
      </c>
      <c r="EZ21" s="5">
        <v>29251</v>
      </c>
      <c r="FA21" s="5">
        <v>5075</v>
      </c>
      <c r="FB21" s="5">
        <v>30473</v>
      </c>
      <c r="FC21" s="5">
        <v>11108</v>
      </c>
      <c r="FD21" s="5">
        <v>24687</v>
      </c>
      <c r="FE21" s="5">
        <v>57252</v>
      </c>
      <c r="FF21" s="13"/>
      <c r="FG21" s="11">
        <v>44866</v>
      </c>
      <c r="FH21" s="5">
        <v>270436</v>
      </c>
      <c r="FI21" s="5">
        <v>0</v>
      </c>
      <c r="FJ21" s="5">
        <v>60989</v>
      </c>
      <c r="FK21" s="5">
        <v>65130</v>
      </c>
      <c r="FL21" s="5">
        <v>17496</v>
      </c>
      <c r="FM21" s="5">
        <v>1407</v>
      </c>
      <c r="FN21" s="5">
        <v>18245</v>
      </c>
      <c r="FO21" s="5">
        <v>6192</v>
      </c>
      <c r="FP21" s="5">
        <v>15309</v>
      </c>
      <c r="FQ21" s="5">
        <v>33557</v>
      </c>
      <c r="FR21" s="5"/>
      <c r="FS21" s="11">
        <v>44866</v>
      </c>
      <c r="FT21" s="5">
        <v>197</v>
      </c>
      <c r="FU21" s="5">
        <v>101</v>
      </c>
      <c r="FV21" s="5">
        <v>30</v>
      </c>
      <c r="FW21" s="5">
        <v>81</v>
      </c>
      <c r="FX21" s="5">
        <v>203</v>
      </c>
      <c r="FY21" s="5">
        <v>642</v>
      </c>
      <c r="FZ21" s="5"/>
      <c r="GA21" s="5">
        <v>352</v>
      </c>
      <c r="GB21" s="5"/>
      <c r="GC21" s="5">
        <v>1580</v>
      </c>
      <c r="GE21" s="11">
        <v>44866</v>
      </c>
      <c r="GQ21" s="11">
        <v>44866</v>
      </c>
      <c r="HC21" s="11">
        <v>44866</v>
      </c>
      <c r="HD21" s="5">
        <f t="shared" si="60"/>
        <v>0</v>
      </c>
      <c r="HE21" s="5">
        <f t="shared" si="61"/>
        <v>0</v>
      </c>
      <c r="HF21" s="5">
        <f t="shared" si="62"/>
        <v>0</v>
      </c>
      <c r="HG21" s="5">
        <f t="shared" si="63"/>
        <v>0</v>
      </c>
      <c r="HH21" s="5">
        <f t="shared" si="64"/>
        <v>0</v>
      </c>
      <c r="HI21" s="5">
        <f t="shared" si="65"/>
        <v>0</v>
      </c>
      <c r="HJ21" s="5">
        <f t="shared" si="66"/>
        <v>0</v>
      </c>
      <c r="HK21" s="5">
        <f t="shared" si="67"/>
        <v>0</v>
      </c>
      <c r="HL21" s="5">
        <f t="shared" si="68"/>
        <v>0</v>
      </c>
      <c r="HM21" s="5">
        <f t="shared" si="69"/>
        <v>0</v>
      </c>
      <c r="HO21" s="11">
        <v>44866</v>
      </c>
      <c r="HP21" s="5">
        <f t="shared" si="71"/>
        <v>0</v>
      </c>
      <c r="HQ21" s="5">
        <f t="shared" si="72"/>
        <v>0</v>
      </c>
      <c r="HR21" s="5">
        <f t="shared" si="73"/>
        <v>0</v>
      </c>
      <c r="HS21" s="5">
        <f t="shared" si="74"/>
        <v>0</v>
      </c>
      <c r="HT21" s="5">
        <f t="shared" si="75"/>
        <v>0</v>
      </c>
      <c r="HU21" s="5">
        <f t="shared" si="76"/>
        <v>0</v>
      </c>
      <c r="HV21" s="5">
        <f t="shared" si="77"/>
        <v>0</v>
      </c>
      <c r="HW21" s="5">
        <f t="shared" si="78"/>
        <v>0</v>
      </c>
      <c r="HX21" s="5">
        <f t="shared" si="79"/>
        <v>0</v>
      </c>
      <c r="HY21" s="5">
        <f t="shared" si="80"/>
        <v>0</v>
      </c>
    </row>
    <row r="22" spans="2:233">
      <c r="B22" s="11">
        <v>44896</v>
      </c>
      <c r="C22" s="5">
        <v>23</v>
      </c>
      <c r="D22" s="5">
        <v>0</v>
      </c>
      <c r="E22" s="5">
        <v>1054</v>
      </c>
      <c r="F22" s="5">
        <v>346</v>
      </c>
      <c r="G22" s="5">
        <v>133</v>
      </c>
      <c r="H22" s="5">
        <v>177</v>
      </c>
      <c r="I22" s="5">
        <v>2477</v>
      </c>
      <c r="J22" s="5">
        <v>1963</v>
      </c>
      <c r="K22" s="5">
        <v>0</v>
      </c>
      <c r="L22" s="5">
        <f t="shared" si="57"/>
        <v>6173</v>
      </c>
      <c r="N22" s="11">
        <v>44896</v>
      </c>
      <c r="O22" s="5">
        <v>23</v>
      </c>
      <c r="P22" s="5">
        <v>0</v>
      </c>
      <c r="Q22" s="5">
        <v>1054</v>
      </c>
      <c r="R22" s="5">
        <v>346</v>
      </c>
      <c r="S22" s="5">
        <v>133</v>
      </c>
      <c r="T22" s="5">
        <v>177</v>
      </c>
      <c r="U22" s="5">
        <v>2477</v>
      </c>
      <c r="V22" s="5">
        <v>1963</v>
      </c>
      <c r="W22" s="5">
        <v>0</v>
      </c>
      <c r="X22" s="5">
        <f t="shared" si="58"/>
        <v>6173</v>
      </c>
      <c r="Y22" s="5"/>
      <c r="Z22" s="11">
        <v>44896</v>
      </c>
      <c r="AB22" s="12"/>
      <c r="AC22" s="12"/>
      <c r="AD22" s="12"/>
      <c r="AE22" s="12"/>
      <c r="AF22" s="12"/>
      <c r="AG22" s="12"/>
      <c r="AH22" s="12"/>
      <c r="AI22" s="12"/>
      <c r="AJ22" s="206"/>
      <c r="AL22" s="11">
        <v>44896</v>
      </c>
      <c r="AM22" s="5">
        <v>0</v>
      </c>
      <c r="AN22" s="5">
        <v>752395</v>
      </c>
      <c r="AO22" s="5">
        <v>274206</v>
      </c>
      <c r="AP22" s="5">
        <v>108891</v>
      </c>
      <c r="AQ22" s="5">
        <v>66112</v>
      </c>
      <c r="AR22" s="5">
        <v>78087</v>
      </c>
      <c r="AS22" s="5">
        <v>40529</v>
      </c>
      <c r="AT22" s="5">
        <v>83146</v>
      </c>
      <c r="AU22" s="5">
        <v>137882</v>
      </c>
      <c r="AV22" s="5">
        <f t="shared" si="59"/>
        <v>1541248</v>
      </c>
      <c r="AW22" s="5"/>
      <c r="AX22" s="11">
        <v>44896</v>
      </c>
      <c r="AY22" s="5">
        <v>0</v>
      </c>
      <c r="AZ22" s="5">
        <v>297043</v>
      </c>
      <c r="BA22" s="5">
        <v>179806</v>
      </c>
      <c r="BB22" s="5">
        <v>77159</v>
      </c>
      <c r="BC22" s="5">
        <v>28728</v>
      </c>
      <c r="BD22" s="5">
        <v>39277</v>
      </c>
      <c r="BE22" s="5">
        <v>22809</v>
      </c>
      <c r="BF22" s="5">
        <v>46958</v>
      </c>
      <c r="BG22" s="5">
        <v>83661</v>
      </c>
      <c r="BH22" s="5">
        <f t="shared" si="70"/>
        <v>775441</v>
      </c>
      <c r="BI22" s="8"/>
      <c r="BJ22" s="11">
        <v>44896</v>
      </c>
      <c r="BK22" s="11"/>
      <c r="BL22" s="11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1">
        <v>44896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11">
        <v>44896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8"/>
      <c r="CY22" s="11">
        <v>44896</v>
      </c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8"/>
      <c r="DK22" s="11">
        <v>44896</v>
      </c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8"/>
      <c r="DW22" s="11">
        <v>44896</v>
      </c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8"/>
      <c r="EI22" s="11">
        <v>44896</v>
      </c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8"/>
      <c r="EU22" s="11">
        <v>44896</v>
      </c>
      <c r="EV22" s="5">
        <v>481639</v>
      </c>
      <c r="EW22" s="5">
        <v>0</v>
      </c>
      <c r="EX22" s="5">
        <v>99560</v>
      </c>
      <c r="EY22" s="5">
        <v>125937</v>
      </c>
      <c r="EZ22" s="5">
        <v>26506</v>
      </c>
      <c r="FA22" s="5">
        <v>4645</v>
      </c>
      <c r="FB22" s="5">
        <v>21963</v>
      </c>
      <c r="FC22" s="5">
        <v>8290</v>
      </c>
      <c r="FD22" s="5">
        <v>22061</v>
      </c>
      <c r="FE22" s="5">
        <v>54689</v>
      </c>
      <c r="FF22" s="13"/>
      <c r="FG22" s="11">
        <v>44896</v>
      </c>
      <c r="FH22" s="5">
        <v>293255</v>
      </c>
      <c r="FI22" s="5">
        <v>0</v>
      </c>
      <c r="FJ22" s="5">
        <v>55045</v>
      </c>
      <c r="FK22" s="5">
        <v>76810</v>
      </c>
      <c r="FL22" s="5">
        <v>16291</v>
      </c>
      <c r="FM22" s="5">
        <v>2224</v>
      </c>
      <c r="FN22" s="5">
        <v>12515</v>
      </c>
      <c r="FO22" s="5">
        <v>4569</v>
      </c>
      <c r="FP22" s="5">
        <v>13179</v>
      </c>
      <c r="FQ22" s="5">
        <v>32154</v>
      </c>
      <c r="FR22" s="5"/>
      <c r="FS22" s="11">
        <v>44896</v>
      </c>
      <c r="FT22" s="5">
        <v>198</v>
      </c>
      <c r="FU22" s="5">
        <v>119</v>
      </c>
      <c r="FV22" s="5">
        <v>21</v>
      </c>
      <c r="FW22" s="5">
        <v>64</v>
      </c>
      <c r="FX22" s="5">
        <v>132</v>
      </c>
      <c r="FY22" s="5">
        <v>779</v>
      </c>
      <c r="FZ22" s="5"/>
      <c r="GA22" s="5">
        <v>383</v>
      </c>
      <c r="GB22" s="5"/>
      <c r="GC22" s="5">
        <v>1683</v>
      </c>
      <c r="GE22" s="11">
        <v>44896</v>
      </c>
      <c r="GQ22" s="11">
        <v>44896</v>
      </c>
      <c r="HC22" s="11">
        <v>44896</v>
      </c>
      <c r="HD22" s="5">
        <f t="shared" si="60"/>
        <v>0</v>
      </c>
      <c r="HE22" s="5">
        <f t="shared" si="61"/>
        <v>0</v>
      </c>
      <c r="HF22" s="5">
        <f t="shared" si="62"/>
        <v>0</v>
      </c>
      <c r="HG22" s="5">
        <f t="shared" si="63"/>
        <v>0</v>
      </c>
      <c r="HH22" s="5">
        <f t="shared" si="64"/>
        <v>0</v>
      </c>
      <c r="HI22" s="5">
        <f t="shared" si="65"/>
        <v>0</v>
      </c>
      <c r="HJ22" s="5">
        <f t="shared" si="66"/>
        <v>0</v>
      </c>
      <c r="HK22" s="5">
        <f t="shared" si="67"/>
        <v>0</v>
      </c>
      <c r="HL22" s="5">
        <f t="shared" si="68"/>
        <v>0</v>
      </c>
      <c r="HM22" s="5">
        <f t="shared" si="69"/>
        <v>0</v>
      </c>
      <c r="HO22" s="11">
        <v>44896</v>
      </c>
      <c r="HP22" s="5">
        <f t="shared" si="71"/>
        <v>0</v>
      </c>
      <c r="HQ22" s="5">
        <f t="shared" si="72"/>
        <v>0</v>
      </c>
      <c r="HR22" s="5">
        <f t="shared" si="73"/>
        <v>0</v>
      </c>
      <c r="HS22" s="5">
        <f t="shared" si="74"/>
        <v>0</v>
      </c>
      <c r="HT22" s="5">
        <f t="shared" si="75"/>
        <v>0</v>
      </c>
      <c r="HU22" s="5">
        <f t="shared" si="76"/>
        <v>0</v>
      </c>
      <c r="HV22" s="5">
        <f t="shared" si="77"/>
        <v>0</v>
      </c>
      <c r="HW22" s="5">
        <f t="shared" si="78"/>
        <v>0</v>
      </c>
      <c r="HX22" s="5">
        <f t="shared" si="79"/>
        <v>0</v>
      </c>
      <c r="HY22" s="5">
        <f t="shared" si="80"/>
        <v>0</v>
      </c>
    </row>
    <row r="23" spans="2:233">
      <c r="B23" s="11">
        <v>44927</v>
      </c>
      <c r="C23" s="5">
        <v>33</v>
      </c>
      <c r="D23" s="5">
        <v>0</v>
      </c>
      <c r="E23" s="5">
        <v>804</v>
      </c>
      <c r="F23" s="5">
        <v>228</v>
      </c>
      <c r="G23" s="5">
        <v>105</v>
      </c>
      <c r="H23" s="5">
        <v>129</v>
      </c>
      <c r="I23" s="5">
        <v>1401</v>
      </c>
      <c r="J23" s="5">
        <v>1207</v>
      </c>
      <c r="K23" s="5">
        <v>0</v>
      </c>
      <c r="L23" s="5">
        <f t="shared" si="57"/>
        <v>3907</v>
      </c>
      <c r="N23" s="11">
        <v>44927</v>
      </c>
      <c r="O23" s="5">
        <v>33</v>
      </c>
      <c r="P23" s="5">
        <v>0</v>
      </c>
      <c r="Q23" s="5">
        <v>804</v>
      </c>
      <c r="R23" s="5">
        <v>228</v>
      </c>
      <c r="S23" s="5">
        <v>105</v>
      </c>
      <c r="T23" s="5">
        <v>129</v>
      </c>
      <c r="U23" s="5">
        <v>1401</v>
      </c>
      <c r="V23" s="5">
        <v>1207</v>
      </c>
      <c r="W23" s="5">
        <v>0</v>
      </c>
      <c r="X23" s="5">
        <f t="shared" si="58"/>
        <v>3907</v>
      </c>
      <c r="Y23" s="5"/>
      <c r="Z23" s="11">
        <v>44927</v>
      </c>
      <c r="AB23" s="12"/>
      <c r="AC23" s="12"/>
      <c r="AD23" s="12"/>
      <c r="AE23" s="12"/>
      <c r="AF23" s="12"/>
      <c r="AG23" s="12"/>
      <c r="AH23" s="12"/>
      <c r="AI23" s="12"/>
      <c r="AJ23" s="206"/>
      <c r="AL23" s="11">
        <v>44927</v>
      </c>
      <c r="AM23" s="5">
        <v>0</v>
      </c>
      <c r="AN23" s="5">
        <v>581662</v>
      </c>
      <c r="AO23" s="5">
        <v>302400</v>
      </c>
      <c r="AP23" s="5">
        <v>78929</v>
      </c>
      <c r="AQ23" s="5">
        <v>56869</v>
      </c>
      <c r="AR23" s="5">
        <v>141416</v>
      </c>
      <c r="AS23" s="5">
        <v>35648</v>
      </c>
      <c r="AT23" s="5">
        <v>65905</v>
      </c>
      <c r="AU23" s="5">
        <v>140127</v>
      </c>
      <c r="AV23" s="5">
        <f t="shared" si="59"/>
        <v>1402956</v>
      </c>
      <c r="AW23" s="5"/>
      <c r="AX23" s="11">
        <v>44927</v>
      </c>
      <c r="AY23" s="5">
        <v>0</v>
      </c>
      <c r="AZ23" s="5">
        <v>182114</v>
      </c>
      <c r="BA23" s="5">
        <v>225037</v>
      </c>
      <c r="BB23" s="5">
        <v>60601</v>
      </c>
      <c r="BC23" s="5">
        <v>26218</v>
      </c>
      <c r="BD23" s="5">
        <v>113473</v>
      </c>
      <c r="BE23" s="5">
        <v>24578</v>
      </c>
      <c r="BF23" s="5">
        <v>44578</v>
      </c>
      <c r="BG23" s="5">
        <v>88502</v>
      </c>
      <c r="BH23" s="5">
        <f t="shared" si="70"/>
        <v>765101</v>
      </c>
      <c r="BI23" s="8"/>
      <c r="BJ23" s="11">
        <v>44927</v>
      </c>
      <c r="BK23" s="5">
        <f t="shared" ref="BK23:BK59" si="81">BM23+BO23</f>
        <v>494070</v>
      </c>
      <c r="BL23" s="8"/>
      <c r="BM23" s="12"/>
      <c r="BN23" s="12"/>
      <c r="BO23" s="5">
        <v>494070</v>
      </c>
      <c r="BP23" s="5"/>
      <c r="BQ23" s="5">
        <v>141982</v>
      </c>
      <c r="BR23" s="5">
        <v>164133</v>
      </c>
      <c r="BS23" s="5">
        <v>30710</v>
      </c>
      <c r="BT23" s="5"/>
      <c r="BU23" s="5">
        <v>20056</v>
      </c>
      <c r="BV23" s="5">
        <v>7900</v>
      </c>
      <c r="BW23" s="5">
        <v>19973</v>
      </c>
      <c r="BX23" s="5">
        <v>108499</v>
      </c>
      <c r="BY23" s="5">
        <v>817</v>
      </c>
      <c r="BZ23" s="12"/>
      <c r="CA23" s="11">
        <v>44927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11">
        <v>44927</v>
      </c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8"/>
      <c r="CY23" s="11">
        <v>44927</v>
      </c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8"/>
      <c r="DK23" s="11">
        <v>44927</v>
      </c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8"/>
      <c r="DW23" s="11">
        <v>44927</v>
      </c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8"/>
      <c r="EI23" s="11">
        <v>44927</v>
      </c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8"/>
      <c r="EU23" s="11">
        <v>44927</v>
      </c>
      <c r="EV23" s="5">
        <v>528285</v>
      </c>
      <c r="EW23" s="5">
        <v>0</v>
      </c>
      <c r="EX23" s="5">
        <v>81612</v>
      </c>
      <c r="EY23" s="5">
        <v>122341</v>
      </c>
      <c r="EZ23" s="5">
        <v>23781</v>
      </c>
      <c r="FA23" s="5">
        <v>4138</v>
      </c>
      <c r="FB23" s="5">
        <v>22720</v>
      </c>
      <c r="FC23" s="5">
        <v>7199</v>
      </c>
      <c r="FD23" s="5">
        <v>21136</v>
      </c>
      <c r="FE23" s="5">
        <v>52781</v>
      </c>
      <c r="FF23" s="13"/>
      <c r="FG23" s="11">
        <v>44927</v>
      </c>
      <c r="FH23" s="5">
        <v>324362</v>
      </c>
      <c r="FI23" s="5">
        <v>0</v>
      </c>
      <c r="FJ23" s="5">
        <v>46376</v>
      </c>
      <c r="FK23" s="5">
        <v>78413</v>
      </c>
      <c r="FL23" s="5">
        <v>15004</v>
      </c>
      <c r="FM23" s="5">
        <v>1887</v>
      </c>
      <c r="FN23" s="5">
        <v>14818</v>
      </c>
      <c r="FO23" s="5">
        <v>4319</v>
      </c>
      <c r="FP23" s="5">
        <v>13490</v>
      </c>
      <c r="FQ23" s="5">
        <v>32291</v>
      </c>
      <c r="FR23" s="5"/>
      <c r="FS23" s="11">
        <v>44927</v>
      </c>
      <c r="FT23" s="5">
        <v>208</v>
      </c>
      <c r="FU23" s="5">
        <v>120</v>
      </c>
      <c r="FV23" s="5">
        <v>26</v>
      </c>
      <c r="FW23" s="5">
        <v>69</v>
      </c>
      <c r="FX23" s="5">
        <v>128</v>
      </c>
      <c r="FY23" s="5">
        <v>741</v>
      </c>
      <c r="FZ23" s="5"/>
      <c r="GA23" s="5">
        <v>319</v>
      </c>
      <c r="GB23" s="5"/>
      <c r="GC23" s="5">
        <v>1596</v>
      </c>
      <c r="GE23" s="11">
        <v>44927</v>
      </c>
      <c r="GF23" s="5"/>
      <c r="GG23" s="5"/>
      <c r="GH23" s="5"/>
      <c r="GI23" s="5"/>
      <c r="GJ23" s="5"/>
      <c r="GK23" s="5"/>
      <c r="GL23" s="5"/>
      <c r="GM23" s="5"/>
      <c r="GN23" s="5"/>
      <c r="GO23" s="5"/>
      <c r="GQ23" s="11">
        <v>44927</v>
      </c>
      <c r="HC23" s="11">
        <v>44927</v>
      </c>
      <c r="HD23" s="5">
        <f t="shared" si="60"/>
        <v>0</v>
      </c>
      <c r="HE23" s="5">
        <f t="shared" si="61"/>
        <v>0</v>
      </c>
      <c r="HF23" s="5">
        <f t="shared" si="62"/>
        <v>141982</v>
      </c>
      <c r="HG23" s="5">
        <f t="shared" si="63"/>
        <v>164133</v>
      </c>
      <c r="HH23" s="5">
        <f t="shared" si="64"/>
        <v>30710</v>
      </c>
      <c r="HI23" s="5">
        <f t="shared" si="65"/>
        <v>0</v>
      </c>
      <c r="HJ23" s="5">
        <f t="shared" si="66"/>
        <v>20056</v>
      </c>
      <c r="HK23" s="5">
        <f t="shared" si="67"/>
        <v>7900</v>
      </c>
      <c r="HL23" s="5">
        <f t="shared" si="68"/>
        <v>19973</v>
      </c>
      <c r="HM23" s="5">
        <f t="shared" si="69"/>
        <v>108499</v>
      </c>
      <c r="HO23" s="11">
        <v>44927</v>
      </c>
      <c r="HP23" s="5">
        <f t="shared" si="71"/>
        <v>0</v>
      </c>
      <c r="HQ23" s="5">
        <f t="shared" si="72"/>
        <v>0</v>
      </c>
      <c r="HR23" s="5">
        <f t="shared" si="73"/>
        <v>0</v>
      </c>
      <c r="HS23" s="5">
        <f t="shared" si="74"/>
        <v>0</v>
      </c>
      <c r="HT23" s="5">
        <f t="shared" si="75"/>
        <v>0</v>
      </c>
      <c r="HU23" s="5">
        <f t="shared" si="76"/>
        <v>0</v>
      </c>
      <c r="HV23" s="5">
        <f t="shared" si="77"/>
        <v>0</v>
      </c>
      <c r="HW23" s="5">
        <f t="shared" si="78"/>
        <v>0</v>
      </c>
      <c r="HX23" s="5">
        <f t="shared" si="79"/>
        <v>0</v>
      </c>
      <c r="HY23" s="5">
        <f t="shared" si="80"/>
        <v>0</v>
      </c>
    </row>
    <row r="24" spans="2:233">
      <c r="B24" s="11">
        <v>44958</v>
      </c>
      <c r="C24" s="5">
        <v>32</v>
      </c>
      <c r="D24" s="5">
        <v>0</v>
      </c>
      <c r="E24" s="5">
        <v>719</v>
      </c>
      <c r="F24" s="5">
        <v>173</v>
      </c>
      <c r="G24" s="5">
        <v>111</v>
      </c>
      <c r="H24" s="5">
        <v>171</v>
      </c>
      <c r="I24" s="5">
        <v>1762</v>
      </c>
      <c r="J24" s="5">
        <v>1241</v>
      </c>
      <c r="K24" s="5">
        <v>0</v>
      </c>
      <c r="L24" s="5">
        <f t="shared" si="57"/>
        <v>4209</v>
      </c>
      <c r="N24" s="11">
        <v>44958</v>
      </c>
      <c r="O24" s="5">
        <v>32</v>
      </c>
      <c r="P24" s="5">
        <v>0</v>
      </c>
      <c r="Q24" s="5">
        <v>719</v>
      </c>
      <c r="R24" s="5">
        <v>173</v>
      </c>
      <c r="S24" s="5">
        <v>111</v>
      </c>
      <c r="T24" s="5">
        <v>171</v>
      </c>
      <c r="U24" s="5">
        <v>1762</v>
      </c>
      <c r="V24" s="5">
        <v>1241</v>
      </c>
      <c r="W24" s="5">
        <v>0</v>
      </c>
      <c r="X24" s="5">
        <f t="shared" si="58"/>
        <v>4209</v>
      </c>
      <c r="Y24" s="5"/>
      <c r="Z24" s="11">
        <v>44958</v>
      </c>
      <c r="AB24" s="12"/>
      <c r="AC24" s="12"/>
      <c r="AD24" s="12"/>
      <c r="AE24" s="12"/>
      <c r="AF24" s="12"/>
      <c r="AG24" s="12"/>
      <c r="AH24" s="12"/>
      <c r="AI24" s="12"/>
      <c r="AJ24" s="206"/>
      <c r="AL24" s="11">
        <v>44958</v>
      </c>
      <c r="AM24" s="5">
        <v>0</v>
      </c>
      <c r="AN24" s="5">
        <v>760762</v>
      </c>
      <c r="AO24" s="5">
        <v>262049</v>
      </c>
      <c r="AP24" s="5">
        <v>85909</v>
      </c>
      <c r="AQ24" s="5">
        <v>73305</v>
      </c>
      <c r="AR24" s="5">
        <v>141056</v>
      </c>
      <c r="AS24" s="5">
        <v>34535</v>
      </c>
      <c r="AT24" s="5">
        <v>53571</v>
      </c>
      <c r="AU24" s="5">
        <v>127644</v>
      </c>
      <c r="AV24" s="5">
        <f t="shared" si="59"/>
        <v>1538831</v>
      </c>
      <c r="AW24" s="5"/>
      <c r="AX24" s="11">
        <v>44958</v>
      </c>
      <c r="AY24" s="5">
        <v>0</v>
      </c>
      <c r="AZ24" s="5">
        <v>222295</v>
      </c>
      <c r="BA24" s="5">
        <v>181674</v>
      </c>
      <c r="BB24" s="5">
        <v>68912</v>
      </c>
      <c r="BC24" s="5">
        <v>45384</v>
      </c>
      <c r="BD24" s="5">
        <v>114568</v>
      </c>
      <c r="BE24" s="5">
        <v>20301</v>
      </c>
      <c r="BF24" s="5">
        <v>35089</v>
      </c>
      <c r="BG24" s="5">
        <v>69110</v>
      </c>
      <c r="BH24" s="5">
        <f t="shared" si="70"/>
        <v>757333</v>
      </c>
      <c r="BI24" s="8"/>
      <c r="BJ24" s="11">
        <v>44958</v>
      </c>
      <c r="BK24" s="5">
        <f t="shared" si="81"/>
        <v>519687</v>
      </c>
      <c r="BL24" s="8"/>
      <c r="BM24" s="12"/>
      <c r="BN24" s="12"/>
      <c r="BO24" s="5">
        <v>519687</v>
      </c>
      <c r="BP24" s="5"/>
      <c r="BQ24" s="5">
        <v>152367</v>
      </c>
      <c r="BR24" s="5">
        <v>172851</v>
      </c>
      <c r="BS24" s="5">
        <v>29173</v>
      </c>
      <c r="BT24" s="5"/>
      <c r="BU24" s="5">
        <v>24884</v>
      </c>
      <c r="BV24" s="5">
        <v>8838</v>
      </c>
      <c r="BW24" s="5">
        <v>20589</v>
      </c>
      <c r="BX24" s="5">
        <v>110627</v>
      </c>
      <c r="BY24" s="5">
        <v>358</v>
      </c>
      <c r="BZ24" s="12"/>
      <c r="CA24" s="11">
        <v>44958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11">
        <v>44958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8"/>
      <c r="CY24" s="11">
        <v>44958</v>
      </c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8"/>
      <c r="DK24" s="11">
        <v>44958</v>
      </c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8"/>
      <c r="DW24" s="11">
        <v>44958</v>
      </c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8"/>
      <c r="EI24" s="11">
        <v>44958</v>
      </c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8"/>
      <c r="EU24" s="11">
        <v>44958</v>
      </c>
      <c r="EV24" s="5">
        <v>567578</v>
      </c>
      <c r="EW24" s="5">
        <v>0</v>
      </c>
      <c r="EX24" s="5">
        <v>98007</v>
      </c>
      <c r="EY24" s="5">
        <v>124620</v>
      </c>
      <c r="EZ24" s="5">
        <v>25869</v>
      </c>
      <c r="FA24" s="5">
        <v>11240</v>
      </c>
      <c r="FB24" s="5">
        <v>22023</v>
      </c>
      <c r="FC24" s="5">
        <v>7401</v>
      </c>
      <c r="FD24" s="5">
        <v>17985</v>
      </c>
      <c r="FE24" s="5">
        <v>55236</v>
      </c>
      <c r="FF24" s="13"/>
      <c r="FG24" s="11">
        <v>44958</v>
      </c>
      <c r="FH24" s="5">
        <v>344990</v>
      </c>
      <c r="FI24" s="5">
        <v>0</v>
      </c>
      <c r="FJ24" s="5">
        <v>56655</v>
      </c>
      <c r="FK24" s="5">
        <v>74919</v>
      </c>
      <c r="FL24" s="5">
        <v>16335</v>
      </c>
      <c r="FM24" s="5">
        <v>5776</v>
      </c>
      <c r="FN24" s="5">
        <v>14494</v>
      </c>
      <c r="FO24" s="5">
        <v>4133</v>
      </c>
      <c r="FP24" s="5">
        <v>10644</v>
      </c>
      <c r="FQ24" s="5">
        <v>31692</v>
      </c>
      <c r="FR24" s="5"/>
      <c r="FS24" s="11">
        <v>44958</v>
      </c>
      <c r="FT24" s="5">
        <v>504</v>
      </c>
      <c r="FU24" s="5">
        <v>234</v>
      </c>
      <c r="FV24" s="5">
        <v>43</v>
      </c>
      <c r="FW24" s="5">
        <v>173</v>
      </c>
      <c r="FX24" s="5">
        <v>170</v>
      </c>
      <c r="FY24" s="5">
        <v>1368</v>
      </c>
      <c r="FZ24" s="5">
        <v>162</v>
      </c>
      <c r="GA24" s="5">
        <v>780</v>
      </c>
      <c r="GB24" s="5"/>
      <c r="GC24" s="5">
        <v>3374</v>
      </c>
      <c r="GE24" s="11">
        <v>44958</v>
      </c>
      <c r="GF24" s="5"/>
      <c r="GG24" s="5"/>
      <c r="GH24" s="5"/>
      <c r="GI24" s="5"/>
      <c r="GJ24" s="5"/>
      <c r="GK24" s="5"/>
      <c r="GL24" s="5"/>
      <c r="GM24" s="5"/>
      <c r="GN24" s="5"/>
      <c r="GO24" s="5"/>
      <c r="GQ24" s="11">
        <v>44958</v>
      </c>
      <c r="HC24" s="11">
        <v>44958</v>
      </c>
      <c r="HD24" s="5">
        <f t="shared" si="60"/>
        <v>0</v>
      </c>
      <c r="HE24" s="5">
        <f t="shared" si="61"/>
        <v>0</v>
      </c>
      <c r="HF24" s="5">
        <f t="shared" si="62"/>
        <v>152367</v>
      </c>
      <c r="HG24" s="5">
        <f t="shared" si="63"/>
        <v>172851</v>
      </c>
      <c r="HH24" s="5">
        <f t="shared" si="64"/>
        <v>29173</v>
      </c>
      <c r="HI24" s="5">
        <f t="shared" si="65"/>
        <v>0</v>
      </c>
      <c r="HJ24" s="5">
        <f t="shared" si="66"/>
        <v>24884</v>
      </c>
      <c r="HK24" s="5">
        <f t="shared" si="67"/>
        <v>8838</v>
      </c>
      <c r="HL24" s="5">
        <f t="shared" si="68"/>
        <v>20589</v>
      </c>
      <c r="HM24" s="5">
        <f t="shared" si="69"/>
        <v>110627</v>
      </c>
      <c r="HO24" s="11">
        <v>44958</v>
      </c>
      <c r="HP24" s="5">
        <f t="shared" si="71"/>
        <v>0</v>
      </c>
      <c r="HQ24" s="5">
        <f t="shared" si="72"/>
        <v>0</v>
      </c>
      <c r="HR24" s="5">
        <f t="shared" si="73"/>
        <v>0</v>
      </c>
      <c r="HS24" s="5">
        <f t="shared" si="74"/>
        <v>0</v>
      </c>
      <c r="HT24" s="5">
        <f t="shared" si="75"/>
        <v>0</v>
      </c>
      <c r="HU24" s="5">
        <f t="shared" si="76"/>
        <v>0</v>
      </c>
      <c r="HV24" s="5">
        <f t="shared" si="77"/>
        <v>0</v>
      </c>
      <c r="HW24" s="5">
        <f t="shared" si="78"/>
        <v>0</v>
      </c>
      <c r="HX24" s="5">
        <f t="shared" si="79"/>
        <v>0</v>
      </c>
      <c r="HY24" s="5">
        <f t="shared" si="80"/>
        <v>0</v>
      </c>
    </row>
    <row r="25" spans="2:233">
      <c r="B25" s="11">
        <v>44986</v>
      </c>
      <c r="C25" s="5">
        <v>24</v>
      </c>
      <c r="D25" s="5">
        <v>45</v>
      </c>
      <c r="E25" s="5">
        <v>934</v>
      </c>
      <c r="F25" s="5">
        <v>245</v>
      </c>
      <c r="G25" s="5">
        <v>140</v>
      </c>
      <c r="H25" s="5">
        <v>212</v>
      </c>
      <c r="I25" s="5">
        <v>2100</v>
      </c>
      <c r="J25" s="5">
        <v>1491</v>
      </c>
      <c r="K25" s="5">
        <v>0</v>
      </c>
      <c r="L25" s="5">
        <f t="shared" si="57"/>
        <v>5191</v>
      </c>
      <c r="N25" s="11">
        <v>44986</v>
      </c>
      <c r="O25" s="5">
        <v>24</v>
      </c>
      <c r="P25" s="5">
        <v>45</v>
      </c>
      <c r="Q25" s="5">
        <v>934</v>
      </c>
      <c r="R25" s="5">
        <v>245</v>
      </c>
      <c r="S25" s="5">
        <v>140</v>
      </c>
      <c r="T25" s="5">
        <v>212</v>
      </c>
      <c r="U25" s="5">
        <v>2100</v>
      </c>
      <c r="V25" s="5">
        <v>1491</v>
      </c>
      <c r="W25" s="5">
        <v>0</v>
      </c>
      <c r="X25" s="5">
        <f t="shared" si="58"/>
        <v>5191</v>
      </c>
      <c r="Y25" s="5"/>
      <c r="Z25" s="11">
        <v>44986</v>
      </c>
      <c r="AB25" s="12"/>
      <c r="AC25" s="12"/>
      <c r="AD25" s="12"/>
      <c r="AE25" s="12"/>
      <c r="AF25" s="12"/>
      <c r="AG25" s="12"/>
      <c r="AH25" s="12"/>
      <c r="AI25" s="12"/>
      <c r="AJ25" s="206"/>
      <c r="AL25" s="11">
        <v>44986</v>
      </c>
      <c r="AM25" s="5">
        <v>0</v>
      </c>
      <c r="AN25" s="5">
        <v>521350</v>
      </c>
      <c r="AO25" s="5">
        <v>445659</v>
      </c>
      <c r="AP25" s="5">
        <v>121942</v>
      </c>
      <c r="AQ25" s="5">
        <v>87078</v>
      </c>
      <c r="AR25" s="5">
        <v>100421</v>
      </c>
      <c r="AS25" s="5">
        <v>34843</v>
      </c>
      <c r="AT25" s="5">
        <v>51831</v>
      </c>
      <c r="AU25" s="5">
        <v>170136</v>
      </c>
      <c r="AV25" s="5">
        <f t="shared" si="59"/>
        <v>1533260</v>
      </c>
      <c r="AW25" s="5"/>
      <c r="AX25" s="11">
        <v>44986</v>
      </c>
      <c r="AY25" s="5">
        <v>0</v>
      </c>
      <c r="AZ25" s="5">
        <v>161626</v>
      </c>
      <c r="BA25" s="5">
        <v>179707</v>
      </c>
      <c r="BB25" s="5">
        <v>101877</v>
      </c>
      <c r="BC25" s="5">
        <v>52677</v>
      </c>
      <c r="BD25" s="5">
        <v>70989</v>
      </c>
      <c r="BE25" s="5">
        <v>21615</v>
      </c>
      <c r="BF25" s="5">
        <v>32521</v>
      </c>
      <c r="BG25" s="5">
        <v>97979</v>
      </c>
      <c r="BH25" s="5">
        <f t="shared" si="70"/>
        <v>718991</v>
      </c>
      <c r="BI25" s="8"/>
      <c r="BJ25" s="11">
        <v>44986</v>
      </c>
      <c r="BK25" s="5">
        <f t="shared" si="81"/>
        <v>590849</v>
      </c>
      <c r="BL25" s="8"/>
      <c r="BM25" s="12"/>
      <c r="BN25" s="12"/>
      <c r="BO25" s="5">
        <v>590849</v>
      </c>
      <c r="BP25" s="5"/>
      <c r="BQ25" s="5">
        <v>164150</v>
      </c>
      <c r="BR25" s="5">
        <v>197427</v>
      </c>
      <c r="BS25" s="5">
        <v>32418</v>
      </c>
      <c r="BT25" s="5">
        <v>3475</v>
      </c>
      <c r="BU25" s="5">
        <v>30504</v>
      </c>
      <c r="BV25" s="5">
        <v>8777</v>
      </c>
      <c r="BW25" s="5">
        <v>29715</v>
      </c>
      <c r="BX25" s="5">
        <v>124035</v>
      </c>
      <c r="BY25" s="5">
        <v>2376</v>
      </c>
      <c r="BZ25" s="12"/>
      <c r="CA25" s="11">
        <v>44986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11">
        <v>44986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8"/>
      <c r="CY25" s="11">
        <v>44986</v>
      </c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8"/>
      <c r="DK25" s="11">
        <v>44986</v>
      </c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8"/>
      <c r="DW25" s="11">
        <v>44986</v>
      </c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8"/>
      <c r="EI25" s="11">
        <v>44986</v>
      </c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8"/>
      <c r="EU25" s="11">
        <v>44986</v>
      </c>
      <c r="EV25" s="5">
        <v>565958</v>
      </c>
      <c r="EW25" s="5">
        <v>0</v>
      </c>
      <c r="EX25" s="5">
        <v>89288</v>
      </c>
      <c r="EY25" s="5">
        <v>130811</v>
      </c>
      <c r="EZ25" s="5">
        <v>29461</v>
      </c>
      <c r="FA25" s="5">
        <v>24846</v>
      </c>
      <c r="FB25" s="5">
        <v>18507</v>
      </c>
      <c r="FC25" s="5">
        <v>6403</v>
      </c>
      <c r="FD25" s="5">
        <v>16531</v>
      </c>
      <c r="FE25" s="5">
        <v>58710</v>
      </c>
      <c r="FF25" s="13"/>
      <c r="FG25" s="11">
        <v>44986</v>
      </c>
      <c r="FH25" s="5">
        <v>298377</v>
      </c>
      <c r="FI25" s="5">
        <v>0</v>
      </c>
      <c r="FJ25" s="5">
        <v>42412</v>
      </c>
      <c r="FK25" s="5">
        <v>67312</v>
      </c>
      <c r="FL25" s="5">
        <v>17982</v>
      </c>
      <c r="FM25" s="5">
        <v>12320</v>
      </c>
      <c r="FN25" s="5">
        <v>10117</v>
      </c>
      <c r="FO25" s="5">
        <v>3369</v>
      </c>
      <c r="FP25" s="5">
        <v>8614</v>
      </c>
      <c r="FQ25" s="5">
        <v>30235</v>
      </c>
      <c r="FR25" s="5"/>
      <c r="FS25" s="11">
        <v>44986</v>
      </c>
      <c r="FT25" s="5">
        <v>637</v>
      </c>
      <c r="FU25" s="5">
        <v>312</v>
      </c>
      <c r="FV25" s="5">
        <v>52</v>
      </c>
      <c r="FW25" s="5">
        <v>142</v>
      </c>
      <c r="FX25" s="5">
        <v>190</v>
      </c>
      <c r="FY25" s="5">
        <v>1781</v>
      </c>
      <c r="FZ25" s="5">
        <v>373</v>
      </c>
      <c r="GA25" s="5">
        <v>814</v>
      </c>
      <c r="GB25" s="5"/>
      <c r="GC25" s="5">
        <v>4214</v>
      </c>
      <c r="GE25" s="11">
        <v>44986</v>
      </c>
      <c r="GF25" s="5"/>
      <c r="GG25" s="5"/>
      <c r="GH25" s="5"/>
      <c r="GI25" s="5"/>
      <c r="GJ25" s="5"/>
      <c r="GK25" s="5"/>
      <c r="GL25" s="5"/>
      <c r="GM25" s="5"/>
      <c r="GN25" s="5"/>
      <c r="GO25" s="5"/>
      <c r="GQ25" s="11">
        <v>44986</v>
      </c>
      <c r="HC25" s="11">
        <v>44986</v>
      </c>
      <c r="HD25" s="5">
        <f t="shared" si="60"/>
        <v>0</v>
      </c>
      <c r="HE25" s="5">
        <f t="shared" si="61"/>
        <v>0</v>
      </c>
      <c r="HF25" s="5">
        <f t="shared" si="62"/>
        <v>164150</v>
      </c>
      <c r="HG25" s="5">
        <f t="shared" si="63"/>
        <v>197427</v>
      </c>
      <c r="HH25" s="5">
        <f t="shared" si="64"/>
        <v>32418</v>
      </c>
      <c r="HI25" s="5">
        <f t="shared" si="65"/>
        <v>3475</v>
      </c>
      <c r="HJ25" s="5">
        <f t="shared" si="66"/>
        <v>30504</v>
      </c>
      <c r="HK25" s="5">
        <f t="shared" si="67"/>
        <v>8777</v>
      </c>
      <c r="HL25" s="5">
        <f t="shared" si="68"/>
        <v>29715</v>
      </c>
      <c r="HM25" s="5">
        <f t="shared" si="69"/>
        <v>124035</v>
      </c>
      <c r="HO25" s="11">
        <v>44986</v>
      </c>
      <c r="HP25" s="5">
        <f t="shared" si="71"/>
        <v>0</v>
      </c>
      <c r="HQ25" s="5">
        <f t="shared" si="72"/>
        <v>0</v>
      </c>
      <c r="HR25" s="5">
        <f t="shared" si="73"/>
        <v>0</v>
      </c>
      <c r="HS25" s="5">
        <f t="shared" si="74"/>
        <v>0</v>
      </c>
      <c r="HT25" s="5">
        <f t="shared" si="75"/>
        <v>0</v>
      </c>
      <c r="HU25" s="5">
        <f t="shared" si="76"/>
        <v>0</v>
      </c>
      <c r="HV25" s="5">
        <f t="shared" si="77"/>
        <v>0</v>
      </c>
      <c r="HW25" s="5">
        <f t="shared" si="78"/>
        <v>0</v>
      </c>
      <c r="HX25" s="5">
        <f t="shared" si="79"/>
        <v>0</v>
      </c>
      <c r="HY25" s="5">
        <f t="shared" si="80"/>
        <v>0</v>
      </c>
    </row>
    <row r="26" spans="2:233">
      <c r="B26" s="11">
        <v>45017</v>
      </c>
      <c r="C26" s="5">
        <v>39</v>
      </c>
      <c r="D26" s="5">
        <v>161</v>
      </c>
      <c r="E26" s="5">
        <v>956</v>
      </c>
      <c r="F26" s="5">
        <v>321</v>
      </c>
      <c r="G26" s="5">
        <v>120</v>
      </c>
      <c r="H26" s="5">
        <v>267</v>
      </c>
      <c r="I26" s="5">
        <v>2219</v>
      </c>
      <c r="J26" s="5">
        <v>1474</v>
      </c>
      <c r="K26" s="5">
        <v>0</v>
      </c>
      <c r="L26" s="5">
        <f t="shared" si="57"/>
        <v>5557</v>
      </c>
      <c r="N26" s="11">
        <v>45017</v>
      </c>
      <c r="O26" s="5">
        <v>39</v>
      </c>
      <c r="P26" s="5">
        <v>161</v>
      </c>
      <c r="Q26" s="5">
        <v>956</v>
      </c>
      <c r="R26" s="5">
        <v>321</v>
      </c>
      <c r="S26" s="5">
        <v>120</v>
      </c>
      <c r="T26" s="5">
        <v>267</v>
      </c>
      <c r="U26" s="5">
        <v>2219</v>
      </c>
      <c r="V26" s="5">
        <v>1474</v>
      </c>
      <c r="W26" s="5">
        <v>0</v>
      </c>
      <c r="X26" s="5">
        <f t="shared" si="58"/>
        <v>5557</v>
      </c>
      <c r="Y26" s="5"/>
      <c r="Z26" s="11">
        <v>45017</v>
      </c>
      <c r="AB26" s="12"/>
      <c r="AC26" s="12"/>
      <c r="AD26" s="12"/>
      <c r="AE26" s="12"/>
      <c r="AF26" s="12"/>
      <c r="AG26" s="12"/>
      <c r="AH26" s="12"/>
      <c r="AI26" s="12"/>
      <c r="AJ26" s="206"/>
      <c r="AL26" s="11">
        <v>45017</v>
      </c>
      <c r="AM26" s="5">
        <v>0</v>
      </c>
      <c r="AN26" s="5">
        <v>313952</v>
      </c>
      <c r="AO26" s="5">
        <v>798354</v>
      </c>
      <c r="AP26" s="5">
        <v>92873</v>
      </c>
      <c r="AQ26" s="5">
        <v>224147</v>
      </c>
      <c r="AR26" s="5">
        <v>104640</v>
      </c>
      <c r="AS26" s="5">
        <v>37243</v>
      </c>
      <c r="AT26" s="5">
        <v>60803</v>
      </c>
      <c r="AU26" s="5">
        <v>160113</v>
      </c>
      <c r="AV26" s="5">
        <f t="shared" si="59"/>
        <v>1792125</v>
      </c>
      <c r="AW26" s="5"/>
      <c r="AX26" s="11">
        <v>45017</v>
      </c>
      <c r="AY26" s="5">
        <v>0</v>
      </c>
      <c r="AZ26" s="5">
        <v>164905</v>
      </c>
      <c r="BA26" s="5">
        <v>181056</v>
      </c>
      <c r="BB26" s="5">
        <v>75486</v>
      </c>
      <c r="BC26" s="5">
        <v>75930</v>
      </c>
      <c r="BD26" s="5">
        <v>80189</v>
      </c>
      <c r="BE26" s="5">
        <v>22574</v>
      </c>
      <c r="BF26" s="5">
        <v>40945</v>
      </c>
      <c r="BG26" s="5">
        <v>92304</v>
      </c>
      <c r="BH26" s="5">
        <f t="shared" si="70"/>
        <v>733389</v>
      </c>
      <c r="BI26" s="8"/>
      <c r="BJ26" s="11">
        <v>45017</v>
      </c>
      <c r="BK26" s="5">
        <f>BM26+BO26</f>
        <v>567390</v>
      </c>
      <c r="BL26" s="8"/>
      <c r="BM26" s="12"/>
      <c r="BN26" s="12"/>
      <c r="BO26" s="5">
        <v>567390</v>
      </c>
      <c r="BP26" s="5"/>
      <c r="BQ26" s="5">
        <v>149502</v>
      </c>
      <c r="BR26" s="5">
        <v>190841</v>
      </c>
      <c r="BS26" s="5">
        <v>32080</v>
      </c>
      <c r="BT26" s="5">
        <v>13867</v>
      </c>
      <c r="BU26" s="5">
        <v>25057</v>
      </c>
      <c r="BV26" s="5">
        <v>5585</v>
      </c>
      <c r="BW26" s="5">
        <v>33483</v>
      </c>
      <c r="BX26" s="5">
        <v>119558</v>
      </c>
      <c r="BY26" s="5">
        <v>855</v>
      </c>
      <c r="BZ26" s="12"/>
      <c r="CA26" s="11">
        <v>45017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11">
        <v>45017</v>
      </c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8"/>
      <c r="CY26" s="11">
        <v>45017</v>
      </c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8"/>
      <c r="DK26" s="11">
        <v>45017</v>
      </c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8"/>
      <c r="DW26" s="11">
        <v>45017</v>
      </c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8"/>
      <c r="EI26" s="11">
        <v>45017</v>
      </c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8"/>
      <c r="EU26" s="11">
        <v>45017</v>
      </c>
      <c r="EV26" s="5">
        <v>585457</v>
      </c>
      <c r="EW26" s="5">
        <v>0</v>
      </c>
      <c r="EX26" s="5">
        <v>86069</v>
      </c>
      <c r="EY26" s="5">
        <v>126307</v>
      </c>
      <c r="EZ26" s="5">
        <v>26372</v>
      </c>
      <c r="FA26" s="5">
        <v>32552</v>
      </c>
      <c r="FB26" s="5">
        <v>17304</v>
      </c>
      <c r="FC26" s="5">
        <v>7065</v>
      </c>
      <c r="FD26" s="5">
        <v>19316</v>
      </c>
      <c r="FE26" s="5">
        <v>59563</v>
      </c>
      <c r="FF26" s="13"/>
      <c r="FG26" s="11">
        <v>45017</v>
      </c>
      <c r="FH26" s="5">
        <v>356389</v>
      </c>
      <c r="FI26" s="5">
        <v>0</v>
      </c>
      <c r="FJ26" s="5">
        <v>52104</v>
      </c>
      <c r="FK26" s="5">
        <v>75499</v>
      </c>
      <c r="FL26" s="5">
        <v>17058</v>
      </c>
      <c r="FM26" s="5">
        <v>17504</v>
      </c>
      <c r="FN26" s="5">
        <v>10824</v>
      </c>
      <c r="FO26" s="5">
        <v>4098</v>
      </c>
      <c r="FP26" s="5">
        <v>11982</v>
      </c>
      <c r="FQ26" s="5">
        <v>36377</v>
      </c>
      <c r="FR26" s="5"/>
      <c r="FS26" s="11">
        <v>45017</v>
      </c>
      <c r="FT26" s="5">
        <v>819</v>
      </c>
      <c r="FU26" s="5">
        <v>312</v>
      </c>
      <c r="FV26" s="5">
        <v>51</v>
      </c>
      <c r="FW26" s="5">
        <v>160</v>
      </c>
      <c r="FX26" s="5">
        <v>191</v>
      </c>
      <c r="FY26" s="5">
        <v>1688</v>
      </c>
      <c r="FZ26" s="5">
        <v>424</v>
      </c>
      <c r="GA26" s="5">
        <v>822</v>
      </c>
      <c r="GB26" s="5"/>
      <c r="GC26" s="5">
        <v>4375</v>
      </c>
      <c r="GE26" s="11">
        <v>45017</v>
      </c>
      <c r="GF26" s="5"/>
      <c r="GG26" s="5"/>
      <c r="GH26" s="5"/>
      <c r="GI26" s="5"/>
      <c r="GJ26" s="5"/>
      <c r="GK26" s="5"/>
      <c r="GL26" s="5"/>
      <c r="GM26" s="5"/>
      <c r="GN26" s="5"/>
      <c r="GO26" s="5"/>
      <c r="GQ26" s="11">
        <v>45017</v>
      </c>
      <c r="HC26" s="11">
        <v>45017</v>
      </c>
      <c r="HD26" s="5">
        <f t="shared" si="60"/>
        <v>0</v>
      </c>
      <c r="HE26" s="5">
        <f t="shared" si="61"/>
        <v>0</v>
      </c>
      <c r="HF26" s="5">
        <f t="shared" si="62"/>
        <v>149502</v>
      </c>
      <c r="HG26" s="5">
        <f t="shared" si="63"/>
        <v>190841</v>
      </c>
      <c r="HH26" s="5">
        <f t="shared" si="64"/>
        <v>32080</v>
      </c>
      <c r="HI26" s="5">
        <f t="shared" si="65"/>
        <v>13867</v>
      </c>
      <c r="HJ26" s="5">
        <f t="shared" si="66"/>
        <v>25057</v>
      </c>
      <c r="HK26" s="5">
        <f t="shared" si="67"/>
        <v>5585</v>
      </c>
      <c r="HL26" s="5">
        <f t="shared" si="68"/>
        <v>33483</v>
      </c>
      <c r="HM26" s="5">
        <f t="shared" si="69"/>
        <v>119558</v>
      </c>
      <c r="HO26" s="11">
        <v>45017</v>
      </c>
      <c r="HP26" s="5">
        <f t="shared" si="71"/>
        <v>0</v>
      </c>
      <c r="HQ26" s="5">
        <f t="shared" si="72"/>
        <v>0</v>
      </c>
      <c r="HR26" s="5">
        <f t="shared" si="73"/>
        <v>0</v>
      </c>
      <c r="HS26" s="5">
        <f t="shared" si="74"/>
        <v>0</v>
      </c>
      <c r="HT26" s="5">
        <f t="shared" si="75"/>
        <v>0</v>
      </c>
      <c r="HU26" s="5">
        <f t="shared" si="76"/>
        <v>0</v>
      </c>
      <c r="HV26" s="5">
        <f t="shared" si="77"/>
        <v>0</v>
      </c>
      <c r="HW26" s="5">
        <f t="shared" si="78"/>
        <v>0</v>
      </c>
      <c r="HX26" s="5">
        <f t="shared" si="79"/>
        <v>0</v>
      </c>
      <c r="HY26" s="5">
        <f t="shared" si="80"/>
        <v>0</v>
      </c>
    </row>
    <row r="27" spans="2:233">
      <c r="B27" s="11">
        <v>45047</v>
      </c>
      <c r="C27" s="5">
        <v>29</v>
      </c>
      <c r="D27" s="5">
        <v>187</v>
      </c>
      <c r="E27" s="5">
        <v>946</v>
      </c>
      <c r="F27" s="5">
        <v>250</v>
      </c>
      <c r="G27" s="5">
        <v>113</v>
      </c>
      <c r="H27" s="5">
        <v>194</v>
      </c>
      <c r="I27" s="5">
        <v>2047</v>
      </c>
      <c r="J27" s="5">
        <v>1336</v>
      </c>
      <c r="K27" s="5">
        <v>0</v>
      </c>
      <c r="L27" s="5">
        <f t="shared" si="57"/>
        <v>5102</v>
      </c>
      <c r="N27" s="11">
        <v>45047</v>
      </c>
      <c r="O27" s="5">
        <v>29</v>
      </c>
      <c r="P27" s="5">
        <v>187</v>
      </c>
      <c r="Q27" s="5">
        <v>946</v>
      </c>
      <c r="R27" s="5">
        <v>250</v>
      </c>
      <c r="S27" s="5">
        <v>113</v>
      </c>
      <c r="T27" s="5">
        <v>194</v>
      </c>
      <c r="U27" s="5">
        <v>2047</v>
      </c>
      <c r="V27" s="5">
        <v>1336</v>
      </c>
      <c r="W27" s="5">
        <v>0</v>
      </c>
      <c r="X27" s="5">
        <f t="shared" si="58"/>
        <v>5102</v>
      </c>
      <c r="Y27" s="5"/>
      <c r="Z27" s="11">
        <v>45047</v>
      </c>
      <c r="AB27" s="12"/>
      <c r="AC27" s="12"/>
      <c r="AD27" s="12"/>
      <c r="AE27" s="12"/>
      <c r="AF27" s="12"/>
      <c r="AG27" s="12"/>
      <c r="AH27" s="12"/>
      <c r="AI27" s="12"/>
      <c r="AJ27" s="206"/>
      <c r="AL27" s="11">
        <v>45047</v>
      </c>
      <c r="AM27" s="5">
        <v>0</v>
      </c>
      <c r="AN27" s="5">
        <v>322684</v>
      </c>
      <c r="AO27" s="5">
        <v>684803</v>
      </c>
      <c r="AP27" s="5">
        <v>100918</v>
      </c>
      <c r="AQ27" s="5">
        <v>198133</v>
      </c>
      <c r="AR27" s="5">
        <v>113272</v>
      </c>
      <c r="AS27" s="5">
        <v>29670</v>
      </c>
      <c r="AT27" s="5">
        <v>59598</v>
      </c>
      <c r="AU27" s="5">
        <v>172090</v>
      </c>
      <c r="AV27" s="5">
        <f t="shared" si="59"/>
        <v>1681168</v>
      </c>
      <c r="AW27" s="5"/>
      <c r="AX27" s="11">
        <v>45047</v>
      </c>
      <c r="AY27" s="5">
        <v>0</v>
      </c>
      <c r="AZ27" s="5">
        <v>177125</v>
      </c>
      <c r="BA27" s="5">
        <v>173787</v>
      </c>
      <c r="BB27" s="5">
        <v>85692</v>
      </c>
      <c r="BC27" s="5">
        <v>71445</v>
      </c>
      <c r="BD27" s="5">
        <v>87965</v>
      </c>
      <c r="BE27" s="5">
        <v>20212</v>
      </c>
      <c r="BF27" s="5">
        <v>42668</v>
      </c>
      <c r="BG27" s="5">
        <v>90202</v>
      </c>
      <c r="BH27" s="5">
        <f t="shared" si="70"/>
        <v>749096</v>
      </c>
      <c r="BI27" s="8"/>
      <c r="BJ27" s="11">
        <v>45047</v>
      </c>
      <c r="BK27" s="5">
        <f t="shared" si="81"/>
        <v>562364</v>
      </c>
      <c r="BL27" s="8"/>
      <c r="BM27" s="12"/>
      <c r="BN27" s="12"/>
      <c r="BO27" s="5">
        <v>562364</v>
      </c>
      <c r="BP27" s="5"/>
      <c r="BQ27" s="5">
        <v>138758</v>
      </c>
      <c r="BR27" s="5">
        <v>189301</v>
      </c>
      <c r="BS27" s="5">
        <v>32386</v>
      </c>
      <c r="BT27" s="5">
        <v>16030</v>
      </c>
      <c r="BU27" s="5">
        <v>25074</v>
      </c>
      <c r="BV27" s="5">
        <v>5344</v>
      </c>
      <c r="BW27" s="5">
        <v>32434</v>
      </c>
      <c r="BX27" s="5">
        <v>125467</v>
      </c>
      <c r="BY27" s="5">
        <v>353</v>
      </c>
      <c r="BZ27" s="12"/>
      <c r="CA27" s="11">
        <v>45047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11">
        <v>45047</v>
      </c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8"/>
      <c r="CY27" s="11">
        <v>45047</v>
      </c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8"/>
      <c r="DK27" s="11">
        <v>45047</v>
      </c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8"/>
      <c r="DW27" s="11">
        <v>45047</v>
      </c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8"/>
      <c r="EI27" s="11">
        <v>45047</v>
      </c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8"/>
      <c r="EU27" s="11">
        <v>45047</v>
      </c>
      <c r="EV27" s="5">
        <v>554422</v>
      </c>
      <c r="EW27" s="5">
        <v>0</v>
      </c>
      <c r="EX27" s="5">
        <v>81106</v>
      </c>
      <c r="EY27" s="5">
        <v>114708</v>
      </c>
      <c r="EZ27" s="5">
        <v>24602</v>
      </c>
      <c r="FA27" s="5">
        <v>29397</v>
      </c>
      <c r="FB27" s="5">
        <v>17239</v>
      </c>
      <c r="FC27" s="5">
        <v>5637</v>
      </c>
      <c r="FD27" s="5">
        <v>18397</v>
      </c>
      <c r="FE27" s="5">
        <v>54428</v>
      </c>
      <c r="FF27" s="13"/>
      <c r="FG27" s="11">
        <v>45047</v>
      </c>
      <c r="FH27" s="5">
        <v>346867</v>
      </c>
      <c r="FI27" s="5">
        <v>0</v>
      </c>
      <c r="FJ27" s="5">
        <v>51538</v>
      </c>
      <c r="FK27" s="5">
        <v>70496</v>
      </c>
      <c r="FL27" s="5">
        <v>17168</v>
      </c>
      <c r="FM27" s="5">
        <v>18174</v>
      </c>
      <c r="FN27" s="5">
        <v>11130</v>
      </c>
      <c r="FO27" s="5">
        <v>3547</v>
      </c>
      <c r="FP27" s="5">
        <v>12018</v>
      </c>
      <c r="FQ27" s="5">
        <v>33987</v>
      </c>
      <c r="FR27" s="5"/>
      <c r="FS27" s="11">
        <v>45047</v>
      </c>
      <c r="FT27" s="5">
        <v>742</v>
      </c>
      <c r="FU27" s="5">
        <v>289</v>
      </c>
      <c r="FV27" s="5">
        <v>107</v>
      </c>
      <c r="FW27" s="5">
        <v>197</v>
      </c>
      <c r="FX27" s="5">
        <v>323</v>
      </c>
      <c r="FY27" s="5">
        <v>1659</v>
      </c>
      <c r="FZ27" s="5">
        <v>510</v>
      </c>
      <c r="GA27" s="5">
        <v>761</v>
      </c>
      <c r="GB27" s="5"/>
      <c r="GC27" s="5">
        <v>4509</v>
      </c>
      <c r="GE27" s="11">
        <v>45047</v>
      </c>
      <c r="GF27" s="5"/>
      <c r="GG27" s="5"/>
      <c r="GH27" s="5"/>
      <c r="GI27" s="5"/>
      <c r="GJ27" s="5"/>
      <c r="GK27" s="5"/>
      <c r="GL27" s="5"/>
      <c r="GM27" s="5"/>
      <c r="GN27" s="5"/>
      <c r="GO27" s="5"/>
      <c r="GQ27" s="11">
        <v>45047</v>
      </c>
      <c r="HC27" s="11">
        <v>45047</v>
      </c>
      <c r="HD27" s="5">
        <f t="shared" si="60"/>
        <v>0</v>
      </c>
      <c r="HE27" s="5">
        <f t="shared" si="61"/>
        <v>0</v>
      </c>
      <c r="HF27" s="5">
        <f t="shared" si="62"/>
        <v>138758</v>
      </c>
      <c r="HG27" s="5">
        <f t="shared" si="63"/>
        <v>189301</v>
      </c>
      <c r="HH27" s="5">
        <f t="shared" si="64"/>
        <v>32386</v>
      </c>
      <c r="HI27" s="5">
        <f t="shared" si="65"/>
        <v>16030</v>
      </c>
      <c r="HJ27" s="5">
        <f t="shared" si="66"/>
        <v>25074</v>
      </c>
      <c r="HK27" s="5">
        <f t="shared" si="67"/>
        <v>5344</v>
      </c>
      <c r="HL27" s="5">
        <f t="shared" si="68"/>
        <v>32434</v>
      </c>
      <c r="HM27" s="5">
        <f t="shared" si="69"/>
        <v>125467</v>
      </c>
      <c r="HO27" s="11">
        <v>45047</v>
      </c>
      <c r="HP27" s="5">
        <f t="shared" si="71"/>
        <v>0</v>
      </c>
      <c r="HQ27" s="5">
        <f t="shared" si="72"/>
        <v>0</v>
      </c>
      <c r="HR27" s="5">
        <f t="shared" si="73"/>
        <v>0</v>
      </c>
      <c r="HS27" s="5">
        <f t="shared" si="74"/>
        <v>0</v>
      </c>
      <c r="HT27" s="5">
        <f t="shared" si="75"/>
        <v>0</v>
      </c>
      <c r="HU27" s="5">
        <f t="shared" si="76"/>
        <v>0</v>
      </c>
      <c r="HV27" s="5">
        <f t="shared" si="77"/>
        <v>0</v>
      </c>
      <c r="HW27" s="5">
        <f t="shared" si="78"/>
        <v>0</v>
      </c>
      <c r="HX27" s="5">
        <f t="shared" si="79"/>
        <v>0</v>
      </c>
      <c r="HY27" s="5">
        <f t="shared" si="80"/>
        <v>0</v>
      </c>
    </row>
    <row r="28" spans="2:233">
      <c r="B28" s="11">
        <v>45078</v>
      </c>
      <c r="C28" s="5">
        <v>44</v>
      </c>
      <c r="D28" s="5">
        <v>133</v>
      </c>
      <c r="E28" s="5">
        <v>891</v>
      </c>
      <c r="F28" s="5">
        <v>249</v>
      </c>
      <c r="G28" s="5">
        <v>114</v>
      </c>
      <c r="H28" s="5">
        <v>247</v>
      </c>
      <c r="I28" s="5">
        <v>1745</v>
      </c>
      <c r="J28" s="5">
        <v>1506</v>
      </c>
      <c r="K28" s="5">
        <v>0</v>
      </c>
      <c r="L28" s="5">
        <f t="shared" si="57"/>
        <v>4929</v>
      </c>
      <c r="N28" s="11">
        <v>45078</v>
      </c>
      <c r="O28" s="5">
        <v>44</v>
      </c>
      <c r="P28" s="5">
        <v>133</v>
      </c>
      <c r="Q28" s="5">
        <v>891</v>
      </c>
      <c r="R28" s="5">
        <v>249</v>
      </c>
      <c r="S28" s="5">
        <v>114</v>
      </c>
      <c r="T28" s="5">
        <v>247</v>
      </c>
      <c r="U28" s="5">
        <v>1745</v>
      </c>
      <c r="V28" s="5">
        <v>1506</v>
      </c>
      <c r="W28" s="5">
        <v>0</v>
      </c>
      <c r="X28" s="5">
        <f t="shared" si="58"/>
        <v>4929</v>
      </c>
      <c r="Y28" s="5"/>
      <c r="Z28" s="11">
        <v>45078</v>
      </c>
      <c r="AB28" s="12"/>
      <c r="AC28" s="12"/>
      <c r="AD28" s="12"/>
      <c r="AE28" s="12"/>
      <c r="AF28" s="12"/>
      <c r="AG28" s="12"/>
      <c r="AH28" s="12"/>
      <c r="AI28" s="12"/>
      <c r="AJ28" s="206"/>
      <c r="AL28" s="11">
        <v>45078</v>
      </c>
      <c r="AM28" s="5">
        <v>0</v>
      </c>
      <c r="AN28" s="5">
        <v>395839</v>
      </c>
      <c r="AO28" s="5">
        <v>612140</v>
      </c>
      <c r="AP28" s="5">
        <v>101164</v>
      </c>
      <c r="AQ28" s="5">
        <v>145722</v>
      </c>
      <c r="AR28" s="5">
        <v>107578</v>
      </c>
      <c r="AS28" s="5">
        <v>25874</v>
      </c>
      <c r="AT28" s="5">
        <v>53395</v>
      </c>
      <c r="AU28" s="5">
        <v>181607</v>
      </c>
      <c r="AV28" s="5">
        <f t="shared" si="59"/>
        <v>1623319</v>
      </c>
      <c r="AW28" s="5"/>
      <c r="AX28" s="11">
        <v>45078</v>
      </c>
      <c r="AY28" s="5">
        <v>0</v>
      </c>
      <c r="AZ28" s="5">
        <v>216625</v>
      </c>
      <c r="BA28" s="5">
        <v>196618</v>
      </c>
      <c r="BB28" s="5">
        <v>83679</v>
      </c>
      <c r="BC28" s="5">
        <v>51027</v>
      </c>
      <c r="BD28" s="5">
        <v>82903</v>
      </c>
      <c r="BE28" s="5">
        <v>17142</v>
      </c>
      <c r="BF28" s="5">
        <v>38439</v>
      </c>
      <c r="BG28" s="5">
        <v>97446</v>
      </c>
      <c r="BH28" s="5">
        <f t="shared" si="70"/>
        <v>783879</v>
      </c>
      <c r="BI28" s="8"/>
      <c r="BJ28" s="11">
        <v>45078</v>
      </c>
      <c r="BK28" s="5">
        <f t="shared" si="81"/>
        <v>591969</v>
      </c>
      <c r="BL28" s="8"/>
      <c r="BM28" s="12"/>
      <c r="BN28" s="12"/>
      <c r="BO28" s="5">
        <v>591969</v>
      </c>
      <c r="BP28" s="5"/>
      <c r="BQ28" s="5">
        <v>158076</v>
      </c>
      <c r="BR28" s="5">
        <v>200298</v>
      </c>
      <c r="BS28" s="5">
        <v>29937</v>
      </c>
      <c r="BT28" s="5">
        <v>14634</v>
      </c>
      <c r="BU28" s="5">
        <v>26070</v>
      </c>
      <c r="BV28" s="5">
        <v>6034</v>
      </c>
      <c r="BW28" s="5">
        <v>35467</v>
      </c>
      <c r="BX28" s="5">
        <v>120784</v>
      </c>
      <c r="BY28" s="5">
        <v>1691</v>
      </c>
      <c r="BZ28" s="12"/>
      <c r="CA28" s="11">
        <v>45078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11">
        <v>45078</v>
      </c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8"/>
      <c r="CY28" s="11">
        <v>45078</v>
      </c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8"/>
      <c r="DK28" s="11">
        <v>45078</v>
      </c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8"/>
      <c r="DW28" s="11">
        <v>45078</v>
      </c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8"/>
      <c r="EI28" s="11">
        <v>45078</v>
      </c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8"/>
      <c r="EU28" s="11">
        <v>45078</v>
      </c>
      <c r="EV28" s="5">
        <v>557072</v>
      </c>
      <c r="EW28" s="5">
        <v>0</v>
      </c>
      <c r="EX28" s="5">
        <v>84983</v>
      </c>
      <c r="EY28" s="5">
        <v>111139</v>
      </c>
      <c r="EZ28" s="5">
        <v>23295</v>
      </c>
      <c r="FA28" s="5">
        <v>19728</v>
      </c>
      <c r="FB28" s="5">
        <v>15310</v>
      </c>
      <c r="FC28" s="5">
        <v>4530</v>
      </c>
      <c r="FD28" s="5">
        <v>16028</v>
      </c>
      <c r="FE28" s="5">
        <v>52885</v>
      </c>
      <c r="FF28" s="13"/>
      <c r="FG28" s="11">
        <v>45078</v>
      </c>
      <c r="FH28" s="5">
        <v>361813</v>
      </c>
      <c r="FI28" s="5">
        <v>0</v>
      </c>
      <c r="FJ28" s="5">
        <v>54395</v>
      </c>
      <c r="FK28" s="5">
        <v>71011</v>
      </c>
      <c r="FL28" s="5">
        <v>15607</v>
      </c>
      <c r="FM28" s="5">
        <v>12341</v>
      </c>
      <c r="FN28" s="5">
        <v>9661</v>
      </c>
      <c r="FO28" s="5">
        <v>2781</v>
      </c>
      <c r="FP28" s="5">
        <v>10520</v>
      </c>
      <c r="FQ28" s="5">
        <v>33595</v>
      </c>
      <c r="FR28" s="5"/>
      <c r="FS28" s="11">
        <v>45078</v>
      </c>
      <c r="FT28" s="5">
        <v>574</v>
      </c>
      <c r="FU28" s="5">
        <v>274</v>
      </c>
      <c r="FV28" s="5">
        <v>39</v>
      </c>
      <c r="FW28" s="5">
        <v>122</v>
      </c>
      <c r="FX28" s="5">
        <v>201</v>
      </c>
      <c r="FY28" s="5">
        <v>1507</v>
      </c>
      <c r="FZ28" s="5">
        <v>261</v>
      </c>
      <c r="GA28" s="5">
        <v>644</v>
      </c>
      <c r="GB28" s="5"/>
      <c r="GC28" s="5">
        <v>3544</v>
      </c>
      <c r="GE28" s="11">
        <v>45078</v>
      </c>
      <c r="GF28" s="5"/>
      <c r="GG28" s="5"/>
      <c r="GH28" s="5"/>
      <c r="GI28" s="5"/>
      <c r="GJ28" s="5"/>
      <c r="GK28" s="5"/>
      <c r="GL28" s="5"/>
      <c r="GM28" s="5"/>
      <c r="GN28" s="5"/>
      <c r="GO28" s="5"/>
      <c r="GQ28" s="11">
        <v>45078</v>
      </c>
      <c r="HC28" s="11">
        <v>45078</v>
      </c>
      <c r="HD28" s="5">
        <f t="shared" si="60"/>
        <v>0</v>
      </c>
      <c r="HE28" s="5">
        <f t="shared" si="61"/>
        <v>0</v>
      </c>
      <c r="HF28" s="5">
        <f t="shared" si="62"/>
        <v>158076</v>
      </c>
      <c r="HG28" s="5">
        <f t="shared" si="63"/>
        <v>200298</v>
      </c>
      <c r="HH28" s="5">
        <f t="shared" si="64"/>
        <v>29937</v>
      </c>
      <c r="HI28" s="5">
        <f t="shared" si="65"/>
        <v>14634</v>
      </c>
      <c r="HJ28" s="5">
        <f t="shared" si="66"/>
        <v>26070</v>
      </c>
      <c r="HK28" s="5">
        <f t="shared" si="67"/>
        <v>6034</v>
      </c>
      <c r="HL28" s="5">
        <f t="shared" si="68"/>
        <v>35467</v>
      </c>
      <c r="HM28" s="5">
        <f t="shared" si="69"/>
        <v>120784</v>
      </c>
      <c r="HO28" s="11">
        <v>45078</v>
      </c>
      <c r="HP28" s="5">
        <f t="shared" si="71"/>
        <v>0</v>
      </c>
      <c r="HQ28" s="5">
        <f t="shared" si="72"/>
        <v>0</v>
      </c>
      <c r="HR28" s="5">
        <f t="shared" si="73"/>
        <v>0</v>
      </c>
      <c r="HS28" s="5">
        <f t="shared" si="74"/>
        <v>0</v>
      </c>
      <c r="HT28" s="5">
        <f t="shared" si="75"/>
        <v>0</v>
      </c>
      <c r="HU28" s="5">
        <f t="shared" si="76"/>
        <v>0</v>
      </c>
      <c r="HV28" s="5">
        <f t="shared" si="77"/>
        <v>0</v>
      </c>
      <c r="HW28" s="5">
        <f t="shared" si="78"/>
        <v>0</v>
      </c>
      <c r="HX28" s="5">
        <f t="shared" si="79"/>
        <v>0</v>
      </c>
      <c r="HY28" s="5">
        <f t="shared" si="80"/>
        <v>0</v>
      </c>
    </row>
    <row r="29" spans="2:233">
      <c r="B29" s="11">
        <v>45108</v>
      </c>
      <c r="C29" s="5">
        <v>29</v>
      </c>
      <c r="D29" s="5">
        <v>109</v>
      </c>
      <c r="E29" s="5">
        <v>926</v>
      </c>
      <c r="F29" s="5">
        <v>182</v>
      </c>
      <c r="G29" s="5">
        <v>108</v>
      </c>
      <c r="H29" s="5">
        <v>261</v>
      </c>
      <c r="I29" s="5">
        <v>2417</v>
      </c>
      <c r="J29" s="5">
        <v>1499</v>
      </c>
      <c r="K29" s="5">
        <v>0</v>
      </c>
      <c r="L29" s="5">
        <f t="shared" si="57"/>
        <v>5531</v>
      </c>
      <c r="N29" s="11">
        <v>45108</v>
      </c>
      <c r="O29" s="5">
        <v>29</v>
      </c>
      <c r="P29" s="5">
        <v>109</v>
      </c>
      <c r="Q29" s="5">
        <v>926</v>
      </c>
      <c r="R29" s="5">
        <v>182</v>
      </c>
      <c r="S29" s="5">
        <v>108</v>
      </c>
      <c r="T29" s="5">
        <v>261</v>
      </c>
      <c r="U29" s="5">
        <v>2417</v>
      </c>
      <c r="V29" s="5">
        <v>1499</v>
      </c>
      <c r="W29" s="5">
        <v>0</v>
      </c>
      <c r="X29" s="5">
        <f t="shared" si="58"/>
        <v>5531</v>
      </c>
      <c r="Y29" s="5"/>
      <c r="Z29" s="11">
        <v>45108</v>
      </c>
      <c r="AB29" s="12"/>
      <c r="AC29" s="12"/>
      <c r="AD29" s="12"/>
      <c r="AE29" s="12"/>
      <c r="AF29" s="12"/>
      <c r="AG29" s="12"/>
      <c r="AH29" s="12"/>
      <c r="AI29" s="12"/>
      <c r="AJ29" s="206"/>
      <c r="AL29" s="11">
        <v>45108</v>
      </c>
      <c r="AM29" s="5">
        <v>0</v>
      </c>
      <c r="AN29" s="5">
        <v>534523</v>
      </c>
      <c r="AO29" s="5">
        <v>710152</v>
      </c>
      <c r="AP29" s="5">
        <v>106598</v>
      </c>
      <c r="AQ29" s="5">
        <v>131543</v>
      </c>
      <c r="AR29" s="5">
        <v>106741</v>
      </c>
      <c r="AS29" s="5">
        <v>29014</v>
      </c>
      <c r="AT29" s="5">
        <v>305337</v>
      </c>
      <c r="AU29" s="5">
        <v>192760</v>
      </c>
      <c r="AV29" s="5">
        <f t="shared" si="59"/>
        <v>2116668</v>
      </c>
      <c r="AW29" s="5"/>
      <c r="AX29" s="11">
        <v>45108</v>
      </c>
      <c r="AY29" s="5">
        <v>0</v>
      </c>
      <c r="AZ29" s="5">
        <v>208232</v>
      </c>
      <c r="BA29" s="5">
        <v>238988</v>
      </c>
      <c r="BB29" s="5">
        <v>88741</v>
      </c>
      <c r="BC29" s="5">
        <v>60762</v>
      </c>
      <c r="BD29" s="5">
        <v>84726</v>
      </c>
      <c r="BE29" s="5">
        <v>21055</v>
      </c>
      <c r="BF29" s="5">
        <v>48767</v>
      </c>
      <c r="BG29" s="5">
        <v>103518</v>
      </c>
      <c r="BH29" s="5">
        <f t="shared" si="70"/>
        <v>854789</v>
      </c>
      <c r="BI29" s="8"/>
      <c r="BJ29" s="11">
        <v>45108</v>
      </c>
      <c r="BK29" s="5">
        <f t="shared" si="81"/>
        <v>623844</v>
      </c>
      <c r="BL29" s="8"/>
      <c r="BM29" s="12"/>
      <c r="BN29" s="12"/>
      <c r="BO29" s="5">
        <v>623844</v>
      </c>
      <c r="BP29" s="5"/>
      <c r="BQ29" s="5">
        <v>174598</v>
      </c>
      <c r="BR29" s="5">
        <v>216855</v>
      </c>
      <c r="BS29" s="5">
        <v>26527</v>
      </c>
      <c r="BT29" s="5">
        <v>16509</v>
      </c>
      <c r="BU29" s="5">
        <v>26690</v>
      </c>
      <c r="BV29" s="5">
        <v>6597</v>
      </c>
      <c r="BW29" s="5">
        <v>34994</v>
      </c>
      <c r="BX29" s="5">
        <v>117835</v>
      </c>
      <c r="BY29" s="5">
        <v>3293</v>
      </c>
      <c r="BZ29" s="12"/>
      <c r="CA29" s="11">
        <v>45108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11">
        <v>45108</v>
      </c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8"/>
      <c r="CY29" s="11">
        <v>45108</v>
      </c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8"/>
      <c r="DK29" s="11">
        <v>45108</v>
      </c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8"/>
      <c r="DW29" s="11">
        <v>45108</v>
      </c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8"/>
      <c r="EI29" s="11">
        <v>45108</v>
      </c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8"/>
      <c r="EU29" s="11">
        <v>45108</v>
      </c>
      <c r="EV29" s="5">
        <v>590868</v>
      </c>
      <c r="EW29" s="5">
        <v>0</v>
      </c>
      <c r="EX29" s="5">
        <v>88317</v>
      </c>
      <c r="EY29" s="5">
        <v>126283</v>
      </c>
      <c r="EZ29" s="5">
        <v>24250</v>
      </c>
      <c r="FA29" s="5">
        <v>20054</v>
      </c>
      <c r="FB29" s="5">
        <v>15960</v>
      </c>
      <c r="FC29" s="5">
        <v>5089</v>
      </c>
      <c r="FD29" s="5">
        <v>18279</v>
      </c>
      <c r="FE29" s="5">
        <v>52199</v>
      </c>
      <c r="FF29" s="13"/>
      <c r="FG29" s="11">
        <v>45108</v>
      </c>
      <c r="FH29" s="5">
        <v>387308</v>
      </c>
      <c r="FI29" s="5">
        <v>0</v>
      </c>
      <c r="FJ29" s="5">
        <v>55141</v>
      </c>
      <c r="FK29" s="5">
        <v>81733</v>
      </c>
      <c r="FL29" s="5">
        <v>16490</v>
      </c>
      <c r="FM29" s="5">
        <v>13142</v>
      </c>
      <c r="FN29" s="5">
        <v>10515</v>
      </c>
      <c r="FO29" s="5">
        <v>3279</v>
      </c>
      <c r="FP29" s="5">
        <v>11680</v>
      </c>
      <c r="FQ29" s="5">
        <v>33526</v>
      </c>
      <c r="FR29" s="5"/>
      <c r="FS29" s="11">
        <v>45108</v>
      </c>
      <c r="FT29" s="5">
        <v>738</v>
      </c>
      <c r="FU29" s="5">
        <v>357</v>
      </c>
      <c r="FV29" s="5">
        <v>47</v>
      </c>
      <c r="FW29" s="5">
        <v>130</v>
      </c>
      <c r="FX29" s="5">
        <v>209</v>
      </c>
      <c r="FY29" s="5">
        <v>1598</v>
      </c>
      <c r="FZ29" s="5">
        <v>263</v>
      </c>
      <c r="GA29" s="5">
        <v>859</v>
      </c>
      <c r="GB29" s="5"/>
      <c r="GC29" s="5">
        <v>4121</v>
      </c>
      <c r="GE29" s="11">
        <v>45108</v>
      </c>
      <c r="GF29" s="5"/>
      <c r="GG29" s="5"/>
      <c r="GH29" s="5"/>
      <c r="GI29" s="5"/>
      <c r="GJ29" s="5"/>
      <c r="GK29" s="5"/>
      <c r="GL29" s="5"/>
      <c r="GM29" s="5"/>
      <c r="GN29" s="5"/>
      <c r="GO29" s="5"/>
      <c r="GQ29" s="11">
        <v>45108</v>
      </c>
      <c r="HC29" s="11">
        <v>45108</v>
      </c>
      <c r="HD29" s="5">
        <f t="shared" si="60"/>
        <v>0</v>
      </c>
      <c r="HE29" s="5">
        <f t="shared" si="61"/>
        <v>0</v>
      </c>
      <c r="HF29" s="5">
        <f t="shared" si="62"/>
        <v>174598</v>
      </c>
      <c r="HG29" s="5">
        <f t="shared" si="63"/>
        <v>216855</v>
      </c>
      <c r="HH29" s="5">
        <f t="shared" si="64"/>
        <v>26527</v>
      </c>
      <c r="HI29" s="5">
        <f t="shared" si="65"/>
        <v>16509</v>
      </c>
      <c r="HJ29" s="5">
        <f t="shared" si="66"/>
        <v>26690</v>
      </c>
      <c r="HK29" s="5">
        <f t="shared" si="67"/>
        <v>6597</v>
      </c>
      <c r="HL29" s="5">
        <f t="shared" si="68"/>
        <v>34994</v>
      </c>
      <c r="HM29" s="5">
        <f t="shared" si="69"/>
        <v>117835</v>
      </c>
      <c r="HO29" s="11">
        <v>45108</v>
      </c>
      <c r="HP29" s="5">
        <f t="shared" si="71"/>
        <v>0</v>
      </c>
      <c r="HQ29" s="5">
        <f t="shared" si="72"/>
        <v>0</v>
      </c>
      <c r="HR29" s="5">
        <f t="shared" si="73"/>
        <v>0</v>
      </c>
      <c r="HS29" s="5">
        <f t="shared" si="74"/>
        <v>0</v>
      </c>
      <c r="HT29" s="5">
        <f t="shared" si="75"/>
        <v>0</v>
      </c>
      <c r="HU29" s="5">
        <f t="shared" si="76"/>
        <v>0</v>
      </c>
      <c r="HV29" s="5">
        <f t="shared" si="77"/>
        <v>0</v>
      </c>
      <c r="HW29" s="5">
        <f t="shared" si="78"/>
        <v>0</v>
      </c>
      <c r="HX29" s="5">
        <f t="shared" si="79"/>
        <v>0</v>
      </c>
      <c r="HY29" s="5">
        <f t="shared" si="80"/>
        <v>0</v>
      </c>
    </row>
    <row r="30" spans="2:233">
      <c r="B30" s="11">
        <v>45139</v>
      </c>
      <c r="C30" s="5">
        <v>18</v>
      </c>
      <c r="D30" s="5">
        <v>158</v>
      </c>
      <c r="E30" s="5">
        <v>944</v>
      </c>
      <c r="F30" s="5">
        <v>178</v>
      </c>
      <c r="G30" s="5">
        <v>119</v>
      </c>
      <c r="H30" s="5">
        <v>258</v>
      </c>
      <c r="I30" s="5">
        <v>2292</v>
      </c>
      <c r="J30" s="5">
        <v>1779</v>
      </c>
      <c r="K30" s="5">
        <v>0</v>
      </c>
      <c r="L30" s="5">
        <f t="shared" si="57"/>
        <v>5746</v>
      </c>
      <c r="N30" s="11">
        <v>45139</v>
      </c>
      <c r="O30" s="5">
        <v>18</v>
      </c>
      <c r="P30" s="5">
        <v>158</v>
      </c>
      <c r="Q30" s="5">
        <v>944</v>
      </c>
      <c r="R30" s="5">
        <v>178</v>
      </c>
      <c r="S30" s="5">
        <v>119</v>
      </c>
      <c r="T30" s="5">
        <v>258</v>
      </c>
      <c r="U30" s="5">
        <v>2292</v>
      </c>
      <c r="V30" s="5">
        <v>1779</v>
      </c>
      <c r="W30" s="5">
        <v>0</v>
      </c>
      <c r="X30" s="5">
        <f t="shared" si="58"/>
        <v>5746</v>
      </c>
      <c r="Y30" s="5"/>
      <c r="Z30" s="11">
        <v>45139</v>
      </c>
      <c r="AB30" s="12"/>
      <c r="AC30" s="12"/>
      <c r="AD30" s="12"/>
      <c r="AE30" s="12"/>
      <c r="AF30" s="12"/>
      <c r="AG30" s="12"/>
      <c r="AH30" s="12"/>
      <c r="AI30" s="12"/>
      <c r="AJ30" s="206"/>
      <c r="AL30" s="11">
        <v>45139</v>
      </c>
      <c r="AM30" s="5">
        <v>0</v>
      </c>
      <c r="AN30" s="5">
        <v>401896</v>
      </c>
      <c r="AO30" s="5">
        <v>613393</v>
      </c>
      <c r="AP30" s="5">
        <v>107629</v>
      </c>
      <c r="AQ30" s="5">
        <v>149372</v>
      </c>
      <c r="AR30" s="5">
        <v>110982</v>
      </c>
      <c r="AS30" s="5">
        <v>31428</v>
      </c>
      <c r="AT30" s="5">
        <v>268579</v>
      </c>
      <c r="AU30" s="5">
        <v>164958</v>
      </c>
      <c r="AV30" s="5">
        <f t="shared" si="59"/>
        <v>1848237</v>
      </c>
      <c r="AW30" s="5"/>
      <c r="AX30" s="11">
        <v>45139</v>
      </c>
      <c r="AY30" s="5">
        <v>0</v>
      </c>
      <c r="AZ30" s="5">
        <v>178595</v>
      </c>
      <c r="BA30" s="5">
        <v>224083</v>
      </c>
      <c r="BB30" s="5">
        <v>76948</v>
      </c>
      <c r="BC30" s="5">
        <v>77994</v>
      </c>
      <c r="BD30" s="5">
        <v>71340</v>
      </c>
      <c r="BE30" s="5">
        <v>18534</v>
      </c>
      <c r="BF30" s="5">
        <v>41595</v>
      </c>
      <c r="BG30" s="5">
        <v>84401</v>
      </c>
      <c r="BH30" s="5">
        <f t="shared" si="70"/>
        <v>773490</v>
      </c>
      <c r="BI30" s="8"/>
      <c r="BJ30" s="11">
        <v>45139</v>
      </c>
      <c r="BK30" s="5">
        <f t="shared" si="81"/>
        <v>652581</v>
      </c>
      <c r="BL30" s="8"/>
      <c r="BM30" s="12"/>
      <c r="BN30" s="12"/>
      <c r="BO30" s="5">
        <v>652581</v>
      </c>
      <c r="BP30" s="5"/>
      <c r="BQ30" s="5">
        <v>194951</v>
      </c>
      <c r="BR30" s="5">
        <v>211279</v>
      </c>
      <c r="BS30" s="5">
        <v>31971</v>
      </c>
      <c r="BT30" s="5">
        <v>21121</v>
      </c>
      <c r="BU30" s="5">
        <v>28316</v>
      </c>
      <c r="BV30" s="5">
        <v>5623</v>
      </c>
      <c r="BW30" s="5">
        <v>37303</v>
      </c>
      <c r="BX30" s="5">
        <v>120321</v>
      </c>
      <c r="BY30" s="5">
        <v>3186</v>
      </c>
      <c r="BZ30" s="12"/>
      <c r="CA30" s="11">
        <v>45139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11">
        <v>45139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8"/>
      <c r="CY30" s="11">
        <v>45139</v>
      </c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8"/>
      <c r="DK30" s="11">
        <v>45139</v>
      </c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8"/>
      <c r="DW30" s="11">
        <v>45139</v>
      </c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8"/>
      <c r="EI30" s="11">
        <v>45139</v>
      </c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8"/>
      <c r="EU30" s="11">
        <v>45139</v>
      </c>
      <c r="EV30" s="5">
        <v>646515</v>
      </c>
      <c r="EW30" s="5">
        <v>0</v>
      </c>
      <c r="EX30" s="5">
        <v>92530</v>
      </c>
      <c r="EY30" s="5">
        <v>135079</v>
      </c>
      <c r="EZ30" s="5">
        <v>27153</v>
      </c>
      <c r="FA30" s="5">
        <v>25347</v>
      </c>
      <c r="FB30" s="5">
        <v>22896</v>
      </c>
      <c r="FC30" s="5">
        <v>5260</v>
      </c>
      <c r="FD30" s="5">
        <v>19347</v>
      </c>
      <c r="FE30" s="5">
        <v>58826</v>
      </c>
      <c r="FF30" s="13"/>
      <c r="FG30" s="11">
        <v>45139</v>
      </c>
      <c r="FH30" s="5">
        <v>347590</v>
      </c>
      <c r="FI30" s="5">
        <v>0</v>
      </c>
      <c r="FJ30" s="5">
        <v>48655</v>
      </c>
      <c r="FK30" s="5">
        <v>73024</v>
      </c>
      <c r="FL30" s="5">
        <v>14645</v>
      </c>
      <c r="FM30" s="5">
        <v>13467</v>
      </c>
      <c r="FN30" s="5">
        <v>10915</v>
      </c>
      <c r="FO30" s="5">
        <v>2452</v>
      </c>
      <c r="FP30" s="5">
        <v>9987</v>
      </c>
      <c r="FQ30" s="5">
        <v>29564</v>
      </c>
      <c r="FR30" s="5"/>
      <c r="FS30" s="11">
        <v>45139</v>
      </c>
      <c r="FT30" s="5">
        <v>681</v>
      </c>
      <c r="FU30" s="5">
        <v>304</v>
      </c>
      <c r="FV30" s="5">
        <v>53</v>
      </c>
      <c r="FW30" s="5">
        <v>183</v>
      </c>
      <c r="FX30" s="5">
        <v>142</v>
      </c>
      <c r="FY30" s="5">
        <v>1321</v>
      </c>
      <c r="FZ30" s="5">
        <v>298</v>
      </c>
      <c r="GA30" s="5">
        <v>836</v>
      </c>
      <c r="GB30" s="5"/>
      <c r="GC30" s="5">
        <v>3726</v>
      </c>
      <c r="GE30" s="11">
        <v>45139</v>
      </c>
      <c r="GF30" s="5"/>
      <c r="GG30" s="5"/>
      <c r="GH30" s="5"/>
      <c r="GI30" s="5"/>
      <c r="GJ30" s="5"/>
      <c r="GK30" s="5"/>
      <c r="GL30" s="5"/>
      <c r="GM30" s="5"/>
      <c r="GN30" s="5"/>
      <c r="GO30" s="5"/>
      <c r="GQ30" s="11">
        <v>45139</v>
      </c>
      <c r="HC30" s="11">
        <v>45139</v>
      </c>
      <c r="HD30" s="5">
        <f t="shared" si="60"/>
        <v>0</v>
      </c>
      <c r="HE30" s="5">
        <f t="shared" si="61"/>
        <v>0</v>
      </c>
      <c r="HF30" s="5">
        <f t="shared" si="62"/>
        <v>194951</v>
      </c>
      <c r="HG30" s="5">
        <f t="shared" si="63"/>
        <v>211279</v>
      </c>
      <c r="HH30" s="5">
        <f t="shared" si="64"/>
        <v>31971</v>
      </c>
      <c r="HI30" s="5">
        <f t="shared" si="65"/>
        <v>21121</v>
      </c>
      <c r="HJ30" s="5">
        <f t="shared" si="66"/>
        <v>28316</v>
      </c>
      <c r="HK30" s="5">
        <f t="shared" si="67"/>
        <v>5623</v>
      </c>
      <c r="HL30" s="5">
        <f t="shared" si="68"/>
        <v>37303</v>
      </c>
      <c r="HM30" s="5">
        <f t="shared" si="69"/>
        <v>120321</v>
      </c>
      <c r="HO30" s="11">
        <v>45139</v>
      </c>
      <c r="HP30" s="5">
        <f t="shared" si="71"/>
        <v>0</v>
      </c>
      <c r="HQ30" s="5">
        <f t="shared" si="72"/>
        <v>0</v>
      </c>
      <c r="HR30" s="5">
        <f t="shared" si="73"/>
        <v>0</v>
      </c>
      <c r="HS30" s="5">
        <f t="shared" si="74"/>
        <v>0</v>
      </c>
      <c r="HT30" s="5">
        <f t="shared" si="75"/>
        <v>0</v>
      </c>
      <c r="HU30" s="5">
        <f t="shared" si="76"/>
        <v>0</v>
      </c>
      <c r="HV30" s="5">
        <f t="shared" si="77"/>
        <v>0</v>
      </c>
      <c r="HW30" s="5">
        <f t="shared" si="78"/>
        <v>0</v>
      </c>
      <c r="HX30" s="5">
        <f t="shared" si="79"/>
        <v>0</v>
      </c>
      <c r="HY30" s="5">
        <f t="shared" si="80"/>
        <v>0</v>
      </c>
    </row>
    <row r="31" spans="2:233">
      <c r="B31" s="11">
        <v>45170</v>
      </c>
      <c r="C31" s="5">
        <v>35</v>
      </c>
      <c r="D31" s="5">
        <v>166</v>
      </c>
      <c r="E31" s="5">
        <v>815</v>
      </c>
      <c r="F31" s="5">
        <v>294</v>
      </c>
      <c r="G31" s="5">
        <v>92</v>
      </c>
      <c r="H31" s="5">
        <v>379</v>
      </c>
      <c r="I31" s="5">
        <v>1828</v>
      </c>
      <c r="J31" s="5">
        <v>1804</v>
      </c>
      <c r="K31" s="5">
        <v>0</v>
      </c>
      <c r="L31" s="5">
        <f t="shared" si="57"/>
        <v>5413</v>
      </c>
      <c r="N31" s="11">
        <v>45170</v>
      </c>
      <c r="O31" s="5">
        <v>35</v>
      </c>
      <c r="P31" s="5">
        <v>166</v>
      </c>
      <c r="Q31" s="5">
        <v>815</v>
      </c>
      <c r="R31" s="5">
        <v>294</v>
      </c>
      <c r="S31" s="5">
        <v>92</v>
      </c>
      <c r="T31" s="5">
        <v>379</v>
      </c>
      <c r="U31" s="5">
        <v>1828</v>
      </c>
      <c r="V31" s="5">
        <v>1804</v>
      </c>
      <c r="W31" s="5">
        <v>0</v>
      </c>
      <c r="X31" s="5">
        <f t="shared" si="58"/>
        <v>5413</v>
      </c>
      <c r="Y31" s="5"/>
      <c r="Z31" s="11">
        <v>45170</v>
      </c>
      <c r="AB31" s="12"/>
      <c r="AC31" s="12"/>
      <c r="AD31" s="12"/>
      <c r="AE31" s="12"/>
      <c r="AF31" s="12"/>
      <c r="AG31" s="12"/>
      <c r="AH31" s="12"/>
      <c r="AI31" s="12"/>
      <c r="AJ31" s="206"/>
      <c r="AL31" s="11">
        <v>45170</v>
      </c>
      <c r="AM31" s="5">
        <v>0</v>
      </c>
      <c r="AN31" s="5">
        <v>353179</v>
      </c>
      <c r="AO31" s="5">
        <v>508922</v>
      </c>
      <c r="AP31" s="5">
        <v>102610</v>
      </c>
      <c r="AQ31" s="5">
        <v>130115</v>
      </c>
      <c r="AR31" s="5">
        <v>93321</v>
      </c>
      <c r="AS31" s="5">
        <v>55808</v>
      </c>
      <c r="AT31" s="5">
        <v>269933</v>
      </c>
      <c r="AU31" s="5">
        <v>145418</v>
      </c>
      <c r="AV31" s="5">
        <f t="shared" si="59"/>
        <v>1659306</v>
      </c>
      <c r="AW31" s="5"/>
      <c r="AX31" s="11">
        <v>45170</v>
      </c>
      <c r="AY31" s="5">
        <v>0</v>
      </c>
      <c r="AZ31" s="5">
        <v>157431</v>
      </c>
      <c r="BA31" s="5">
        <v>207345</v>
      </c>
      <c r="BB31" s="5">
        <v>75472</v>
      </c>
      <c r="BC31" s="5">
        <v>77595</v>
      </c>
      <c r="BD31" s="5">
        <v>64775</v>
      </c>
      <c r="BE31" s="5">
        <v>45467</v>
      </c>
      <c r="BF31" s="5">
        <v>89446</v>
      </c>
      <c r="BG31" s="5">
        <v>73416</v>
      </c>
      <c r="BH31" s="5">
        <f t="shared" si="70"/>
        <v>790947</v>
      </c>
      <c r="BI31" s="8"/>
      <c r="BJ31" s="11">
        <v>45170</v>
      </c>
      <c r="BK31" s="5">
        <f t="shared" si="81"/>
        <v>648300</v>
      </c>
      <c r="BL31" s="8"/>
      <c r="BM31" s="12"/>
      <c r="BN31" s="12"/>
      <c r="BO31" s="5">
        <v>648300</v>
      </c>
      <c r="BP31" s="5"/>
      <c r="BQ31" s="5">
        <v>212560</v>
      </c>
      <c r="BR31" s="5">
        <v>178354</v>
      </c>
      <c r="BS31" s="5">
        <v>43047</v>
      </c>
      <c r="BT31" s="5">
        <v>24632</v>
      </c>
      <c r="BU31" s="5">
        <v>26348</v>
      </c>
      <c r="BV31" s="5">
        <v>5952</v>
      </c>
      <c r="BW31" s="5">
        <v>41076</v>
      </c>
      <c r="BX31" s="5">
        <v>114743</v>
      </c>
      <c r="BY31" s="5">
        <v>2961</v>
      </c>
      <c r="BZ31" s="12"/>
      <c r="CA31" s="11">
        <v>45170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11">
        <v>45170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8"/>
      <c r="CY31" s="11">
        <v>45170</v>
      </c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8"/>
      <c r="DK31" s="11">
        <v>45170</v>
      </c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8"/>
      <c r="DW31" s="11">
        <v>45170</v>
      </c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8"/>
      <c r="EI31" s="11">
        <v>45170</v>
      </c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8"/>
      <c r="EU31" s="11">
        <v>45170</v>
      </c>
      <c r="EV31" s="5">
        <v>601475</v>
      </c>
      <c r="EW31" s="5">
        <v>43</v>
      </c>
      <c r="EX31" s="5">
        <v>88159</v>
      </c>
      <c r="EY31" s="5">
        <v>115921</v>
      </c>
      <c r="EZ31" s="5">
        <v>29737</v>
      </c>
      <c r="FA31" s="5">
        <v>21073</v>
      </c>
      <c r="FB31" s="5">
        <v>20048</v>
      </c>
      <c r="FC31" s="5">
        <v>5113</v>
      </c>
      <c r="FD31" s="5">
        <v>21316</v>
      </c>
      <c r="FE31" s="5">
        <v>51071</v>
      </c>
      <c r="FF31" s="13"/>
      <c r="FG31" s="11">
        <v>45170</v>
      </c>
      <c r="FH31" s="5">
        <v>298238</v>
      </c>
      <c r="FI31" s="5">
        <v>22</v>
      </c>
      <c r="FJ31" s="5">
        <v>42831</v>
      </c>
      <c r="FK31" s="5">
        <v>58700</v>
      </c>
      <c r="FL31" s="5">
        <v>14600</v>
      </c>
      <c r="FM31" s="5">
        <v>9461</v>
      </c>
      <c r="FN31" s="5">
        <v>8786</v>
      </c>
      <c r="FO31" s="5">
        <v>2239</v>
      </c>
      <c r="FP31" s="5">
        <v>10250</v>
      </c>
      <c r="FQ31" s="5">
        <v>22948</v>
      </c>
      <c r="FR31" s="5"/>
      <c r="FS31" s="11">
        <v>45170</v>
      </c>
      <c r="FT31" s="5">
        <v>550</v>
      </c>
      <c r="FU31" s="5">
        <v>294</v>
      </c>
      <c r="FV31" s="5">
        <v>49</v>
      </c>
      <c r="FW31" s="5">
        <v>113</v>
      </c>
      <c r="FX31" s="5">
        <v>219</v>
      </c>
      <c r="FY31" s="5">
        <v>1148</v>
      </c>
      <c r="FZ31" s="5">
        <v>209</v>
      </c>
      <c r="GA31" s="5">
        <v>649</v>
      </c>
      <c r="GB31" s="5"/>
      <c r="GC31" s="5">
        <v>3171</v>
      </c>
      <c r="GE31" s="11">
        <v>45170</v>
      </c>
      <c r="GF31" s="5"/>
      <c r="GG31" s="5"/>
      <c r="GH31" s="5"/>
      <c r="GI31" s="5"/>
      <c r="GJ31" s="5"/>
      <c r="GK31" s="5"/>
      <c r="GL31" s="5"/>
      <c r="GM31" s="5"/>
      <c r="GN31" s="5"/>
      <c r="GO31" s="5"/>
      <c r="GQ31" s="11">
        <v>45170</v>
      </c>
      <c r="HC31" s="11">
        <v>45170</v>
      </c>
      <c r="HD31" s="5">
        <f t="shared" si="60"/>
        <v>0</v>
      </c>
      <c r="HE31" s="5">
        <f t="shared" si="61"/>
        <v>0</v>
      </c>
      <c r="HF31" s="5">
        <f t="shared" si="62"/>
        <v>212560</v>
      </c>
      <c r="HG31" s="5">
        <f t="shared" si="63"/>
        <v>178354</v>
      </c>
      <c r="HH31" s="5">
        <f t="shared" si="64"/>
        <v>43047</v>
      </c>
      <c r="HI31" s="5">
        <f t="shared" si="65"/>
        <v>24632</v>
      </c>
      <c r="HJ31" s="5">
        <f t="shared" si="66"/>
        <v>26348</v>
      </c>
      <c r="HK31" s="5">
        <f t="shared" si="67"/>
        <v>5952</v>
      </c>
      <c r="HL31" s="5">
        <f t="shared" si="68"/>
        <v>41076</v>
      </c>
      <c r="HM31" s="5">
        <f t="shared" si="69"/>
        <v>114743</v>
      </c>
      <c r="HO31" s="11">
        <v>45170</v>
      </c>
      <c r="HP31" s="5">
        <f t="shared" si="71"/>
        <v>0</v>
      </c>
      <c r="HQ31" s="5">
        <f t="shared" si="72"/>
        <v>0</v>
      </c>
      <c r="HR31" s="5">
        <f t="shared" si="73"/>
        <v>0</v>
      </c>
      <c r="HS31" s="5">
        <f t="shared" si="74"/>
        <v>0</v>
      </c>
      <c r="HT31" s="5">
        <f t="shared" si="75"/>
        <v>0</v>
      </c>
      <c r="HU31" s="5">
        <f t="shared" si="76"/>
        <v>0</v>
      </c>
      <c r="HV31" s="5">
        <f t="shared" si="77"/>
        <v>0</v>
      </c>
      <c r="HW31" s="5">
        <f t="shared" si="78"/>
        <v>0</v>
      </c>
      <c r="HX31" s="5">
        <f t="shared" si="79"/>
        <v>0</v>
      </c>
      <c r="HY31" s="5">
        <f t="shared" si="80"/>
        <v>0</v>
      </c>
    </row>
    <row r="32" spans="2:233">
      <c r="B32" s="11">
        <v>45200</v>
      </c>
      <c r="C32" s="5">
        <v>14</v>
      </c>
      <c r="D32" s="5">
        <v>174</v>
      </c>
      <c r="E32" s="5">
        <v>737</v>
      </c>
      <c r="F32" s="5">
        <v>366</v>
      </c>
      <c r="G32" s="5">
        <v>69</v>
      </c>
      <c r="H32" s="5">
        <v>273</v>
      </c>
      <c r="I32" s="5">
        <v>1885</v>
      </c>
      <c r="J32" s="5">
        <v>1385</v>
      </c>
      <c r="K32" s="5">
        <v>0</v>
      </c>
      <c r="L32" s="5">
        <f t="shared" si="57"/>
        <v>4903</v>
      </c>
      <c r="N32" s="11">
        <v>45200</v>
      </c>
      <c r="O32" s="5">
        <v>14</v>
      </c>
      <c r="P32" s="5">
        <v>174</v>
      </c>
      <c r="Q32" s="5">
        <v>737</v>
      </c>
      <c r="R32" s="5">
        <v>366</v>
      </c>
      <c r="S32" s="5">
        <v>69</v>
      </c>
      <c r="T32" s="5">
        <v>273</v>
      </c>
      <c r="U32" s="5">
        <v>1885</v>
      </c>
      <c r="V32" s="5">
        <v>1385</v>
      </c>
      <c r="W32" s="5">
        <v>0</v>
      </c>
      <c r="X32" s="5">
        <f t="shared" si="58"/>
        <v>4903</v>
      </c>
      <c r="Y32" s="5"/>
      <c r="Z32" s="11">
        <v>45200</v>
      </c>
      <c r="AB32" s="12"/>
      <c r="AC32" s="12"/>
      <c r="AD32" s="12"/>
      <c r="AE32" s="12"/>
      <c r="AF32" s="12"/>
      <c r="AG32" s="12"/>
      <c r="AH32" s="12"/>
      <c r="AI32" s="12"/>
      <c r="AJ32" s="206"/>
      <c r="AL32" s="11">
        <v>45200</v>
      </c>
      <c r="AM32" s="5">
        <v>0</v>
      </c>
      <c r="AN32" s="5">
        <v>387897</v>
      </c>
      <c r="AO32" s="5">
        <v>492520</v>
      </c>
      <c r="AP32" s="5">
        <v>123989</v>
      </c>
      <c r="AQ32" s="5">
        <v>157507</v>
      </c>
      <c r="AR32" s="5">
        <v>580524</v>
      </c>
      <c r="AS32" s="5">
        <v>38611</v>
      </c>
      <c r="AT32" s="5">
        <v>313549</v>
      </c>
      <c r="AU32" s="5">
        <v>184905</v>
      </c>
      <c r="AV32" s="5">
        <f t="shared" si="59"/>
        <v>2279502</v>
      </c>
      <c r="AW32" s="5"/>
      <c r="AX32" s="11">
        <v>45200</v>
      </c>
      <c r="AY32" s="5">
        <v>0</v>
      </c>
      <c r="AZ32" s="5">
        <v>164985</v>
      </c>
      <c r="BA32" s="5">
        <v>232968</v>
      </c>
      <c r="BB32" s="5">
        <v>97878</v>
      </c>
      <c r="BC32" s="5">
        <v>116643</v>
      </c>
      <c r="BD32" s="5">
        <v>556491</v>
      </c>
      <c r="BE32" s="5">
        <v>29942</v>
      </c>
      <c r="BF32" s="5">
        <v>71399</v>
      </c>
      <c r="BG32" s="5">
        <v>105957</v>
      </c>
      <c r="BH32" s="5">
        <f t="shared" si="70"/>
        <v>1376263</v>
      </c>
      <c r="BI32" s="8"/>
      <c r="BJ32" s="11">
        <v>45200</v>
      </c>
      <c r="BK32" s="5">
        <f t="shared" si="81"/>
        <v>578428</v>
      </c>
      <c r="BL32" s="8"/>
      <c r="BM32" s="12"/>
      <c r="BN32" s="12"/>
      <c r="BO32" s="5">
        <v>578428</v>
      </c>
      <c r="BP32" s="5"/>
      <c r="BQ32" s="5">
        <v>180323</v>
      </c>
      <c r="BR32" s="5">
        <v>166115</v>
      </c>
      <c r="BS32" s="5">
        <v>42516</v>
      </c>
      <c r="BT32" s="5">
        <v>23044</v>
      </c>
      <c r="BU32" s="5">
        <v>21158</v>
      </c>
      <c r="BV32" s="5">
        <v>3834</v>
      </c>
      <c r="BW32" s="5">
        <v>39378</v>
      </c>
      <c r="BX32" s="5">
        <v>101519</v>
      </c>
      <c r="BY32" s="5">
        <v>541</v>
      </c>
      <c r="BZ32" s="12"/>
      <c r="CA32" s="11">
        <v>45200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11">
        <v>45200</v>
      </c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8"/>
      <c r="CY32" s="11">
        <v>45200</v>
      </c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8"/>
      <c r="DK32" s="11">
        <v>45200</v>
      </c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8"/>
      <c r="DW32" s="11">
        <v>45200</v>
      </c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8"/>
      <c r="EI32" s="11">
        <v>45200</v>
      </c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8"/>
      <c r="EU32" s="11">
        <v>45200</v>
      </c>
      <c r="EV32" s="5">
        <v>609043</v>
      </c>
      <c r="EW32" s="5">
        <v>105</v>
      </c>
      <c r="EX32" s="5">
        <v>86522</v>
      </c>
      <c r="EY32" s="5">
        <v>109569</v>
      </c>
      <c r="EZ32" s="5">
        <v>28168</v>
      </c>
      <c r="FA32" s="5">
        <v>21216</v>
      </c>
      <c r="FB32" s="5">
        <v>25564</v>
      </c>
      <c r="FC32" s="5">
        <v>5252</v>
      </c>
      <c r="FD32" s="5">
        <v>25578</v>
      </c>
      <c r="FE32" s="5">
        <v>50647</v>
      </c>
      <c r="FF32" s="13"/>
      <c r="FG32" s="11">
        <v>45200</v>
      </c>
      <c r="FH32" s="5">
        <v>340439</v>
      </c>
      <c r="FI32" s="5">
        <v>58</v>
      </c>
      <c r="FJ32" s="5">
        <v>46914</v>
      </c>
      <c r="FK32" s="5">
        <v>62720</v>
      </c>
      <c r="FL32" s="5">
        <v>15935</v>
      </c>
      <c r="FM32" s="5">
        <v>11191</v>
      </c>
      <c r="FN32" s="5">
        <v>15439</v>
      </c>
      <c r="FO32" s="5">
        <v>2707</v>
      </c>
      <c r="FP32" s="5">
        <v>13455</v>
      </c>
      <c r="FQ32" s="5">
        <v>27278</v>
      </c>
      <c r="FR32" s="5"/>
      <c r="FS32" s="11">
        <v>45200</v>
      </c>
      <c r="FT32" s="5">
        <v>329</v>
      </c>
      <c r="FU32" s="5">
        <v>158</v>
      </c>
      <c r="FV32" s="5">
        <v>28</v>
      </c>
      <c r="FW32" s="5">
        <v>100</v>
      </c>
      <c r="FX32" s="5">
        <v>159</v>
      </c>
      <c r="FY32" s="5">
        <v>678</v>
      </c>
      <c r="FZ32" s="5">
        <v>161</v>
      </c>
      <c r="GA32" s="5">
        <v>439</v>
      </c>
      <c r="GB32" s="5"/>
      <c r="GC32" s="5">
        <v>2006</v>
      </c>
      <c r="GE32" s="11">
        <v>45200</v>
      </c>
      <c r="GF32" s="5"/>
      <c r="GG32" s="5"/>
      <c r="GH32" s="5"/>
      <c r="GI32" s="5"/>
      <c r="GJ32" s="5"/>
      <c r="GK32" s="5"/>
      <c r="GL32" s="5"/>
      <c r="GM32" s="5"/>
      <c r="GN32" s="5"/>
      <c r="GO32" s="5"/>
      <c r="GQ32" s="11">
        <v>45200</v>
      </c>
      <c r="HC32" s="11">
        <v>45200</v>
      </c>
      <c r="HD32" s="5">
        <f t="shared" si="60"/>
        <v>0</v>
      </c>
      <c r="HE32" s="5">
        <f t="shared" si="61"/>
        <v>0</v>
      </c>
      <c r="HF32" s="5">
        <f t="shared" si="62"/>
        <v>180323</v>
      </c>
      <c r="HG32" s="5">
        <f t="shared" si="63"/>
        <v>166115</v>
      </c>
      <c r="HH32" s="5">
        <f t="shared" si="64"/>
        <v>42516</v>
      </c>
      <c r="HI32" s="5">
        <f t="shared" si="65"/>
        <v>23044</v>
      </c>
      <c r="HJ32" s="5">
        <f t="shared" si="66"/>
        <v>21158</v>
      </c>
      <c r="HK32" s="5">
        <f t="shared" si="67"/>
        <v>3834</v>
      </c>
      <c r="HL32" s="5">
        <f t="shared" si="68"/>
        <v>39378</v>
      </c>
      <c r="HM32" s="5">
        <f t="shared" si="69"/>
        <v>101519</v>
      </c>
      <c r="HO32" s="11">
        <v>45200</v>
      </c>
      <c r="HP32" s="5">
        <f t="shared" si="71"/>
        <v>0</v>
      </c>
      <c r="HQ32" s="5">
        <f t="shared" si="72"/>
        <v>0</v>
      </c>
      <c r="HR32" s="5">
        <f t="shared" si="73"/>
        <v>0</v>
      </c>
      <c r="HS32" s="5">
        <f t="shared" si="74"/>
        <v>0</v>
      </c>
      <c r="HT32" s="5">
        <f t="shared" si="75"/>
        <v>0</v>
      </c>
      <c r="HU32" s="5">
        <f t="shared" si="76"/>
        <v>0</v>
      </c>
      <c r="HV32" s="5">
        <f t="shared" si="77"/>
        <v>0</v>
      </c>
      <c r="HW32" s="5">
        <f t="shared" si="78"/>
        <v>0</v>
      </c>
      <c r="HX32" s="5">
        <f t="shared" si="79"/>
        <v>0</v>
      </c>
      <c r="HY32" s="5">
        <f t="shared" si="80"/>
        <v>0</v>
      </c>
    </row>
    <row r="33" spans="2:233">
      <c r="B33" s="11">
        <v>45231</v>
      </c>
      <c r="C33" s="5">
        <v>13</v>
      </c>
      <c r="D33" s="5">
        <v>294</v>
      </c>
      <c r="E33" s="5">
        <v>682</v>
      </c>
      <c r="F33" s="5">
        <v>320</v>
      </c>
      <c r="G33" s="8">
        <v>125</v>
      </c>
      <c r="H33" s="5">
        <v>419</v>
      </c>
      <c r="I33" s="5">
        <v>2028</v>
      </c>
      <c r="J33" s="5">
        <v>1554</v>
      </c>
      <c r="K33" s="5">
        <v>0</v>
      </c>
      <c r="L33" s="5">
        <f t="shared" si="57"/>
        <v>5435</v>
      </c>
      <c r="N33" s="11">
        <v>45231</v>
      </c>
      <c r="O33" s="5">
        <v>13</v>
      </c>
      <c r="P33" s="5">
        <v>294</v>
      </c>
      <c r="Q33" s="5">
        <v>682</v>
      </c>
      <c r="R33" s="5">
        <v>320</v>
      </c>
      <c r="S33" s="8">
        <v>125</v>
      </c>
      <c r="T33" s="5">
        <v>419</v>
      </c>
      <c r="U33" s="5">
        <v>2028</v>
      </c>
      <c r="V33" s="5">
        <v>1554</v>
      </c>
      <c r="W33" s="5">
        <v>0</v>
      </c>
      <c r="X33" s="5">
        <f t="shared" si="58"/>
        <v>5435</v>
      </c>
      <c r="Y33" s="5"/>
      <c r="Z33" s="11">
        <v>45231</v>
      </c>
      <c r="AA33" s="12"/>
      <c r="AB33" s="12"/>
      <c r="AC33" s="12"/>
      <c r="AD33" s="12"/>
      <c r="AE33" s="12"/>
      <c r="AF33" s="12"/>
      <c r="AG33" s="12"/>
      <c r="AH33" s="12"/>
      <c r="AI33" s="12"/>
      <c r="AJ33" s="206"/>
      <c r="AL33" s="11">
        <v>45231</v>
      </c>
      <c r="AM33" s="5">
        <v>18154</v>
      </c>
      <c r="AN33" s="5">
        <v>590379</v>
      </c>
      <c r="AO33" s="5">
        <v>569240</v>
      </c>
      <c r="AP33" s="5">
        <v>49443</v>
      </c>
      <c r="AQ33" s="5">
        <v>74044</v>
      </c>
      <c r="AR33" s="5">
        <v>44346</v>
      </c>
      <c r="AS33" s="5">
        <v>20416</v>
      </c>
      <c r="AT33" s="5">
        <v>115959</v>
      </c>
      <c r="AU33" s="5">
        <v>118493</v>
      </c>
      <c r="AV33" s="5">
        <f t="shared" si="59"/>
        <v>1600474</v>
      </c>
      <c r="AW33" s="5"/>
      <c r="AX33" s="11">
        <v>45231</v>
      </c>
      <c r="AY33" s="5">
        <v>1324</v>
      </c>
      <c r="AZ33" s="5">
        <v>364257</v>
      </c>
      <c r="BA33" s="5">
        <v>387834</v>
      </c>
      <c r="BB33" s="5">
        <v>24429</v>
      </c>
      <c r="BC33" s="5">
        <v>44288</v>
      </c>
      <c r="BD33" s="5">
        <v>21968</v>
      </c>
      <c r="BE33" s="5">
        <v>9733</v>
      </c>
      <c r="BF33" s="5">
        <v>33008</v>
      </c>
      <c r="BG33" s="5">
        <v>42124</v>
      </c>
      <c r="BH33" s="5">
        <f t="shared" si="70"/>
        <v>928965</v>
      </c>
      <c r="BI33" s="8"/>
      <c r="BJ33" s="11">
        <v>45231</v>
      </c>
      <c r="BK33" s="5">
        <f t="shared" si="81"/>
        <v>587020</v>
      </c>
      <c r="BL33" s="8"/>
      <c r="BM33" s="12"/>
      <c r="BN33" s="12"/>
      <c r="BO33" s="5">
        <v>587020</v>
      </c>
      <c r="BP33" s="5"/>
      <c r="BQ33" s="5">
        <v>181641</v>
      </c>
      <c r="BR33" s="5">
        <v>179790</v>
      </c>
      <c r="BS33" s="5">
        <v>44374</v>
      </c>
      <c r="BT33" s="5">
        <v>24188</v>
      </c>
      <c r="BU33" s="5">
        <v>24356</v>
      </c>
      <c r="BV33" s="5">
        <v>3727</v>
      </c>
      <c r="BW33" s="5">
        <v>39582</v>
      </c>
      <c r="BX33" s="5">
        <v>89147</v>
      </c>
      <c r="BY33" s="5">
        <v>215</v>
      </c>
      <c r="BZ33" s="12"/>
      <c r="CA33" s="11">
        <v>45231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11">
        <v>45231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8"/>
      <c r="CY33" s="11">
        <v>45231</v>
      </c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8"/>
      <c r="DK33" s="11">
        <v>45231</v>
      </c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8"/>
      <c r="DW33" s="11">
        <v>45231</v>
      </c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8"/>
      <c r="EI33" s="11">
        <v>45231</v>
      </c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8"/>
      <c r="EU33" s="11">
        <v>45231</v>
      </c>
      <c r="EV33" s="5">
        <v>623958</v>
      </c>
      <c r="EW33" s="5">
        <v>1075</v>
      </c>
      <c r="EX33" s="5">
        <v>103002</v>
      </c>
      <c r="EY33" s="5">
        <v>122798</v>
      </c>
      <c r="EZ33" s="5">
        <v>23564</v>
      </c>
      <c r="FA33" s="5">
        <v>20049</v>
      </c>
      <c r="FB33" s="5">
        <v>19206</v>
      </c>
      <c r="FC33" s="5">
        <v>5015</v>
      </c>
      <c r="FD33" s="5">
        <v>23179</v>
      </c>
      <c r="FE33" s="5">
        <v>49159</v>
      </c>
      <c r="FF33" s="13"/>
      <c r="FG33" s="11">
        <v>45231</v>
      </c>
      <c r="FH33" s="5">
        <v>335442</v>
      </c>
      <c r="FI33" s="5">
        <v>128</v>
      </c>
      <c r="FJ33" s="5">
        <v>58456</v>
      </c>
      <c r="FK33" s="5">
        <v>70936</v>
      </c>
      <c r="FL33" s="5">
        <v>11426</v>
      </c>
      <c r="FM33" s="5">
        <v>9778</v>
      </c>
      <c r="FN33" s="5">
        <v>8392</v>
      </c>
      <c r="FO33" s="5">
        <v>2356</v>
      </c>
      <c r="FP33" s="5">
        <v>11144</v>
      </c>
      <c r="FQ33" s="5">
        <v>23789</v>
      </c>
      <c r="FR33" s="5"/>
      <c r="FS33" s="11">
        <v>45231</v>
      </c>
      <c r="FT33" s="5">
        <v>276</v>
      </c>
      <c r="FU33" s="5">
        <v>153</v>
      </c>
      <c r="FV33" s="5">
        <v>36</v>
      </c>
      <c r="FW33" s="5">
        <v>99</v>
      </c>
      <c r="FX33" s="5">
        <v>151</v>
      </c>
      <c r="FY33" s="5">
        <v>720</v>
      </c>
      <c r="FZ33" s="5">
        <v>141</v>
      </c>
      <c r="GA33" s="5">
        <v>539</v>
      </c>
      <c r="GB33" s="5"/>
      <c r="GC33" s="5">
        <v>2077</v>
      </c>
      <c r="GE33" s="11">
        <v>45231</v>
      </c>
      <c r="GF33" s="5"/>
      <c r="GG33" s="5"/>
      <c r="GH33" s="5"/>
      <c r="GI33" s="5"/>
      <c r="GJ33" s="5"/>
      <c r="GK33" s="5"/>
      <c r="GL33" s="5"/>
      <c r="GM33" s="5"/>
      <c r="GN33" s="5"/>
      <c r="GO33" s="5"/>
      <c r="GQ33" s="11">
        <v>45231</v>
      </c>
      <c r="HC33" s="11">
        <v>45231</v>
      </c>
      <c r="HD33" s="5">
        <f t="shared" si="60"/>
        <v>0</v>
      </c>
      <c r="HE33" s="5">
        <f t="shared" si="61"/>
        <v>0</v>
      </c>
      <c r="HF33" s="5">
        <f t="shared" si="62"/>
        <v>181641</v>
      </c>
      <c r="HG33" s="5">
        <f t="shared" si="63"/>
        <v>179790</v>
      </c>
      <c r="HH33" s="5">
        <f t="shared" si="64"/>
        <v>44374</v>
      </c>
      <c r="HI33" s="5">
        <f t="shared" si="65"/>
        <v>24188</v>
      </c>
      <c r="HJ33" s="5">
        <f t="shared" si="66"/>
        <v>24356</v>
      </c>
      <c r="HK33" s="5">
        <f t="shared" si="67"/>
        <v>3727</v>
      </c>
      <c r="HL33" s="5">
        <f t="shared" si="68"/>
        <v>39582</v>
      </c>
      <c r="HM33" s="5">
        <f t="shared" si="69"/>
        <v>89147</v>
      </c>
      <c r="HO33" s="11">
        <v>45231</v>
      </c>
      <c r="HP33" s="5">
        <f t="shared" si="71"/>
        <v>0</v>
      </c>
      <c r="HQ33" s="5">
        <f t="shared" si="72"/>
        <v>0</v>
      </c>
      <c r="HR33" s="5">
        <f t="shared" si="73"/>
        <v>0</v>
      </c>
      <c r="HS33" s="5">
        <f t="shared" si="74"/>
        <v>0</v>
      </c>
      <c r="HT33" s="5">
        <f t="shared" si="75"/>
        <v>0</v>
      </c>
      <c r="HU33" s="5">
        <f t="shared" si="76"/>
        <v>0</v>
      </c>
      <c r="HV33" s="5">
        <f t="shared" si="77"/>
        <v>0</v>
      </c>
      <c r="HW33" s="5">
        <f t="shared" si="78"/>
        <v>0</v>
      </c>
      <c r="HX33" s="5">
        <f t="shared" si="79"/>
        <v>0</v>
      </c>
      <c r="HY33" s="5">
        <f t="shared" si="80"/>
        <v>0</v>
      </c>
    </row>
    <row r="34" spans="2:233">
      <c r="B34" s="11">
        <v>45261</v>
      </c>
      <c r="C34" s="5">
        <v>19</v>
      </c>
      <c r="D34" s="5">
        <v>247</v>
      </c>
      <c r="E34" s="5">
        <v>892</v>
      </c>
      <c r="F34" s="5">
        <v>378</v>
      </c>
      <c r="G34" s="5">
        <v>130</v>
      </c>
      <c r="H34" s="5">
        <v>394</v>
      </c>
      <c r="I34" s="5">
        <v>2590</v>
      </c>
      <c r="J34" s="5">
        <v>1986</v>
      </c>
      <c r="K34" s="5">
        <v>0</v>
      </c>
      <c r="L34" s="5">
        <f t="shared" si="57"/>
        <v>6636</v>
      </c>
      <c r="N34" s="11">
        <v>45261</v>
      </c>
      <c r="O34" s="5">
        <v>19</v>
      </c>
      <c r="P34" s="5">
        <v>247</v>
      </c>
      <c r="Q34" s="5">
        <v>892</v>
      </c>
      <c r="R34" s="5">
        <v>378</v>
      </c>
      <c r="S34" s="5">
        <v>130</v>
      </c>
      <c r="T34" s="5">
        <v>394</v>
      </c>
      <c r="U34" s="5">
        <v>2590</v>
      </c>
      <c r="V34" s="5">
        <v>1986</v>
      </c>
      <c r="W34" s="5">
        <v>0</v>
      </c>
      <c r="X34" s="5">
        <f t="shared" si="58"/>
        <v>6636</v>
      </c>
      <c r="Y34" s="5"/>
      <c r="Z34" s="11">
        <v>45261</v>
      </c>
      <c r="AB34" s="12"/>
      <c r="AC34" s="12"/>
      <c r="AD34" s="12"/>
      <c r="AE34" s="12"/>
      <c r="AF34" s="12"/>
      <c r="AG34" s="12"/>
      <c r="AH34" s="12"/>
      <c r="AI34" s="12"/>
      <c r="AJ34" s="206"/>
      <c r="AL34" s="11">
        <v>45261</v>
      </c>
      <c r="AM34" s="5">
        <v>14551</v>
      </c>
      <c r="AN34" s="5">
        <v>1029470</v>
      </c>
      <c r="AO34" s="5">
        <v>802331</v>
      </c>
      <c r="AP34" s="5">
        <v>108492</v>
      </c>
      <c r="AQ34" s="5">
        <v>120582</v>
      </c>
      <c r="AR34" s="5">
        <v>76846</v>
      </c>
      <c r="AS34" s="5">
        <v>29472</v>
      </c>
      <c r="AT34" s="5">
        <v>140769</v>
      </c>
      <c r="AU34" s="5">
        <v>406970</v>
      </c>
      <c r="AV34" s="5">
        <f t="shared" si="59"/>
        <v>2729483</v>
      </c>
      <c r="AW34" s="5"/>
      <c r="AX34" s="11">
        <v>45261</v>
      </c>
      <c r="AY34" s="5">
        <v>1164</v>
      </c>
      <c r="AZ34" s="5">
        <v>755665</v>
      </c>
      <c r="BA34" s="5">
        <v>655901</v>
      </c>
      <c r="BB34" s="5">
        <v>74897</v>
      </c>
      <c r="BC34" s="5">
        <v>84602</v>
      </c>
      <c r="BD34" s="5">
        <v>54474</v>
      </c>
      <c r="BE34" s="5">
        <v>19475</v>
      </c>
      <c r="BF34" s="5">
        <v>90987</v>
      </c>
      <c r="BG34" s="5">
        <v>273907</v>
      </c>
      <c r="BH34" s="5">
        <f t="shared" si="70"/>
        <v>2011072</v>
      </c>
      <c r="BI34" s="8"/>
      <c r="BJ34" s="11">
        <v>45261</v>
      </c>
      <c r="BK34" s="5">
        <f t="shared" si="81"/>
        <v>826675</v>
      </c>
      <c r="BL34" s="8"/>
      <c r="BM34" s="12"/>
      <c r="BN34" s="12"/>
      <c r="BO34" s="5">
        <v>826675</v>
      </c>
      <c r="BP34" s="5"/>
      <c r="BQ34" s="5">
        <v>257161</v>
      </c>
      <c r="BR34" s="5">
        <v>247065</v>
      </c>
      <c r="BS34" s="5">
        <v>60002</v>
      </c>
      <c r="BT34" s="5">
        <v>39339</v>
      </c>
      <c r="BU34" s="5">
        <v>32886</v>
      </c>
      <c r="BV34" s="5">
        <v>5466</v>
      </c>
      <c r="BW34" s="5">
        <v>60053</v>
      </c>
      <c r="BX34" s="5">
        <v>124441</v>
      </c>
      <c r="BY34" s="5">
        <v>262</v>
      </c>
      <c r="BZ34" s="12"/>
      <c r="CA34" s="11">
        <v>45261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11">
        <v>45261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8"/>
      <c r="CY34" s="11">
        <v>45261</v>
      </c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8"/>
      <c r="DK34" s="11">
        <v>45261</v>
      </c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8"/>
      <c r="DW34" s="11">
        <v>45261</v>
      </c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8"/>
      <c r="EI34" s="11">
        <v>45261</v>
      </c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8"/>
      <c r="EU34" s="11">
        <v>45261</v>
      </c>
      <c r="EV34" s="5">
        <v>779858</v>
      </c>
      <c r="EW34" s="5">
        <v>1242</v>
      </c>
      <c r="EX34" s="5">
        <v>125400</v>
      </c>
      <c r="EY34" s="5">
        <v>133653</v>
      </c>
      <c r="EZ34" s="5">
        <v>26203</v>
      </c>
      <c r="FA34" s="5">
        <v>20414</v>
      </c>
      <c r="FB34" s="5">
        <v>20683</v>
      </c>
      <c r="FC34" s="5">
        <v>5698</v>
      </c>
      <c r="FD34" s="5">
        <v>25634</v>
      </c>
      <c r="FE34" s="5">
        <v>67156</v>
      </c>
      <c r="FF34" s="13"/>
      <c r="FG34" s="11">
        <v>45261</v>
      </c>
      <c r="FH34" s="5">
        <v>451252</v>
      </c>
      <c r="FI34" s="5">
        <v>174</v>
      </c>
      <c r="FJ34" s="5">
        <v>78191</v>
      </c>
      <c r="FK34" s="5">
        <v>79997</v>
      </c>
      <c r="FL34" s="5">
        <v>14285</v>
      </c>
      <c r="FM34" s="5">
        <v>10564</v>
      </c>
      <c r="FN34" s="5">
        <v>10663</v>
      </c>
      <c r="FO34" s="5">
        <v>2778</v>
      </c>
      <c r="FP34" s="5">
        <v>14686</v>
      </c>
      <c r="FQ34" s="5">
        <v>36726</v>
      </c>
      <c r="FR34" s="5"/>
      <c r="FS34" s="11">
        <v>45261</v>
      </c>
      <c r="FT34" s="5">
        <v>436</v>
      </c>
      <c r="FU34" s="5">
        <v>157</v>
      </c>
      <c r="FV34" s="5">
        <v>50</v>
      </c>
      <c r="FW34" s="5">
        <v>103</v>
      </c>
      <c r="FX34" s="5">
        <v>193</v>
      </c>
      <c r="FY34" s="5">
        <v>967</v>
      </c>
      <c r="FZ34" s="5">
        <v>212</v>
      </c>
      <c r="GA34" s="5">
        <v>680</v>
      </c>
      <c r="GB34" s="5"/>
      <c r="GC34" s="5">
        <v>2744</v>
      </c>
      <c r="GE34" s="11">
        <v>45261</v>
      </c>
      <c r="GF34" s="5"/>
      <c r="GG34" s="5"/>
      <c r="GH34" s="5"/>
      <c r="GI34" s="5"/>
      <c r="GJ34" s="5"/>
      <c r="GK34" s="5"/>
      <c r="GL34" s="5"/>
      <c r="GM34" s="5"/>
      <c r="GN34" s="5"/>
      <c r="GO34" s="5"/>
      <c r="GQ34" s="11">
        <v>45261</v>
      </c>
      <c r="HC34" s="11">
        <v>45261</v>
      </c>
      <c r="HD34" s="5">
        <f t="shared" si="60"/>
        <v>0</v>
      </c>
      <c r="HE34" s="5">
        <f t="shared" si="61"/>
        <v>0</v>
      </c>
      <c r="HF34" s="5">
        <f t="shared" si="62"/>
        <v>257161</v>
      </c>
      <c r="HG34" s="5">
        <f t="shared" si="63"/>
        <v>247065</v>
      </c>
      <c r="HH34" s="5">
        <f t="shared" si="64"/>
        <v>60002</v>
      </c>
      <c r="HI34" s="5">
        <f t="shared" si="65"/>
        <v>39339</v>
      </c>
      <c r="HJ34" s="5">
        <f t="shared" si="66"/>
        <v>32886</v>
      </c>
      <c r="HK34" s="5">
        <f t="shared" si="67"/>
        <v>5466</v>
      </c>
      <c r="HL34" s="5">
        <f t="shared" si="68"/>
        <v>60053</v>
      </c>
      <c r="HM34" s="5">
        <f t="shared" si="69"/>
        <v>124441</v>
      </c>
      <c r="HO34" s="11">
        <v>45261</v>
      </c>
      <c r="HP34" s="5">
        <f t="shared" si="71"/>
        <v>0</v>
      </c>
      <c r="HQ34" s="5">
        <f t="shared" si="72"/>
        <v>0</v>
      </c>
      <c r="HR34" s="5">
        <f t="shared" si="73"/>
        <v>0</v>
      </c>
      <c r="HS34" s="5">
        <f t="shared" si="74"/>
        <v>0</v>
      </c>
      <c r="HT34" s="5">
        <f t="shared" si="75"/>
        <v>0</v>
      </c>
      <c r="HU34" s="5">
        <f t="shared" si="76"/>
        <v>0</v>
      </c>
      <c r="HV34" s="5">
        <f t="shared" si="77"/>
        <v>0</v>
      </c>
      <c r="HW34" s="5">
        <f t="shared" si="78"/>
        <v>0</v>
      </c>
      <c r="HX34" s="5">
        <f t="shared" si="79"/>
        <v>0</v>
      </c>
      <c r="HY34" s="5">
        <f t="shared" si="80"/>
        <v>0</v>
      </c>
    </row>
    <row r="35" spans="2:233">
      <c r="B35" s="11">
        <v>45292</v>
      </c>
      <c r="C35" s="5">
        <v>23</v>
      </c>
      <c r="D35" s="5">
        <v>114</v>
      </c>
      <c r="E35" s="5">
        <v>986</v>
      </c>
      <c r="F35" s="5">
        <v>229</v>
      </c>
      <c r="G35" s="5">
        <v>202</v>
      </c>
      <c r="H35" s="5">
        <v>166</v>
      </c>
      <c r="I35" s="5">
        <v>1471</v>
      </c>
      <c r="J35" s="5">
        <v>1078</v>
      </c>
      <c r="K35" s="5">
        <v>0</v>
      </c>
      <c r="L35" s="5">
        <f t="shared" si="57"/>
        <v>4269</v>
      </c>
      <c r="N35" s="11">
        <v>45292</v>
      </c>
      <c r="O35" s="5">
        <v>23</v>
      </c>
      <c r="P35" s="5">
        <v>114</v>
      </c>
      <c r="Q35" s="5">
        <v>986</v>
      </c>
      <c r="R35" s="5">
        <v>229</v>
      </c>
      <c r="S35" s="5">
        <v>202</v>
      </c>
      <c r="T35" s="5">
        <v>166</v>
      </c>
      <c r="U35" s="5">
        <v>1471</v>
      </c>
      <c r="V35" s="5">
        <v>1078</v>
      </c>
      <c r="W35" s="5">
        <v>0</v>
      </c>
      <c r="X35" s="5">
        <f t="shared" si="58"/>
        <v>4269</v>
      </c>
      <c r="Y35" s="5"/>
      <c r="Z35" s="11">
        <v>45292</v>
      </c>
      <c r="AA35" s="34"/>
      <c r="AB35" s="12"/>
      <c r="AC35" s="12"/>
      <c r="AD35" s="12"/>
      <c r="AE35" s="12"/>
      <c r="AF35" s="12"/>
      <c r="AG35" s="12"/>
      <c r="AH35" s="12"/>
      <c r="AI35" s="12"/>
      <c r="AJ35" s="206"/>
      <c r="AL35" s="11">
        <v>45292</v>
      </c>
      <c r="AM35" s="5">
        <v>13523</v>
      </c>
      <c r="AN35" s="5">
        <v>893019</v>
      </c>
      <c r="AO35" s="5">
        <v>919902</v>
      </c>
      <c r="AP35" s="5">
        <v>119585</v>
      </c>
      <c r="AQ35" s="5">
        <v>116975</v>
      </c>
      <c r="AR35" s="5">
        <v>65965</v>
      </c>
      <c r="AS35" s="5">
        <v>92202</v>
      </c>
      <c r="AT35" s="5">
        <v>261065</v>
      </c>
      <c r="AU35" s="5">
        <v>362637</v>
      </c>
      <c r="AV35" s="5">
        <f t="shared" si="59"/>
        <v>2844873</v>
      </c>
      <c r="AW35" s="5"/>
      <c r="AX35" s="11">
        <v>45292</v>
      </c>
      <c r="AY35" s="5">
        <v>1078</v>
      </c>
      <c r="AZ35" s="5">
        <v>677441</v>
      </c>
      <c r="BA35" s="5">
        <v>687950</v>
      </c>
      <c r="BB35" s="5">
        <v>91591</v>
      </c>
      <c r="BC35" s="5">
        <v>88875</v>
      </c>
      <c r="BD35" s="5">
        <v>46670</v>
      </c>
      <c r="BE35" s="5">
        <v>83277</v>
      </c>
      <c r="BF35" s="5">
        <v>192531</v>
      </c>
      <c r="BG35" s="5">
        <v>270021</v>
      </c>
      <c r="BH35" s="5">
        <f t="shared" si="70"/>
        <v>2139434</v>
      </c>
      <c r="BI35" s="8"/>
      <c r="BJ35" s="11">
        <v>45292</v>
      </c>
      <c r="BK35" s="5">
        <f t="shared" si="81"/>
        <v>713874</v>
      </c>
      <c r="BL35" s="8"/>
      <c r="BM35" s="12"/>
      <c r="BN35" s="12"/>
      <c r="BO35" s="5">
        <v>713874</v>
      </c>
      <c r="BP35" s="5"/>
      <c r="BQ35" s="5">
        <v>209195</v>
      </c>
      <c r="BR35" s="5">
        <v>204351</v>
      </c>
      <c r="BS35" s="5">
        <v>52629</v>
      </c>
      <c r="BT35" s="5">
        <v>37472</v>
      </c>
      <c r="BU35" s="5">
        <v>23052</v>
      </c>
      <c r="BV35" s="5">
        <v>5910</v>
      </c>
      <c r="BW35" s="5">
        <v>48084</v>
      </c>
      <c r="BX35" s="5">
        <v>132113</v>
      </c>
      <c r="BY35" s="5">
        <v>1068</v>
      </c>
      <c r="BZ35" s="12"/>
      <c r="CA35" s="11">
        <v>45292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11">
        <v>45292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8"/>
      <c r="CY35" s="11">
        <v>45292</v>
      </c>
      <c r="CZ35" s="5">
        <v>62050</v>
      </c>
      <c r="DA35" s="5"/>
      <c r="DB35" s="5"/>
      <c r="DC35" s="5"/>
      <c r="DD35" s="5"/>
      <c r="DE35" s="5"/>
      <c r="DF35" s="5"/>
      <c r="DG35" s="5"/>
      <c r="DH35" s="5"/>
      <c r="DI35" s="5"/>
      <c r="DJ35" s="8"/>
      <c r="DK35" s="11">
        <v>45292</v>
      </c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8"/>
      <c r="DW35" s="11">
        <v>45292</v>
      </c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8"/>
      <c r="EI35" s="11">
        <v>45292</v>
      </c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8"/>
      <c r="EU35" s="11">
        <v>45292</v>
      </c>
      <c r="EV35" s="5">
        <v>697327</v>
      </c>
      <c r="EW35" s="5">
        <v>842</v>
      </c>
      <c r="EX35" s="5">
        <v>105937</v>
      </c>
      <c r="EY35" s="5">
        <v>114417</v>
      </c>
      <c r="EZ35" s="5">
        <v>23345</v>
      </c>
      <c r="FA35" s="5">
        <v>15711</v>
      </c>
      <c r="FB35" s="5">
        <v>16700</v>
      </c>
      <c r="FC35" s="5">
        <v>4515</v>
      </c>
      <c r="FD35" s="5">
        <v>21940</v>
      </c>
      <c r="FE35" s="5">
        <v>62399</v>
      </c>
      <c r="FF35" s="13"/>
      <c r="FG35" s="11">
        <v>45292</v>
      </c>
      <c r="FH35" s="5">
        <v>371980</v>
      </c>
      <c r="FI35" s="5">
        <v>140</v>
      </c>
      <c r="FJ35" s="5">
        <v>62907</v>
      </c>
      <c r="FK35" s="5">
        <v>63797</v>
      </c>
      <c r="FL35" s="5">
        <v>12729</v>
      </c>
      <c r="FM35" s="5">
        <v>7804</v>
      </c>
      <c r="FN35" s="5">
        <v>7934</v>
      </c>
      <c r="FO35" s="5">
        <v>2422</v>
      </c>
      <c r="FP35" s="5">
        <v>12577</v>
      </c>
      <c r="FQ35" s="5">
        <v>32834</v>
      </c>
      <c r="FR35" s="5"/>
      <c r="FS35" s="11">
        <v>45292</v>
      </c>
      <c r="FT35" s="5">
        <v>403</v>
      </c>
      <c r="FU35" s="5">
        <v>172</v>
      </c>
      <c r="FV35" s="5">
        <v>80</v>
      </c>
      <c r="FW35" s="5">
        <v>100</v>
      </c>
      <c r="FX35" s="5">
        <v>189</v>
      </c>
      <c r="FY35" s="5">
        <v>755</v>
      </c>
      <c r="FZ35" s="5">
        <v>168</v>
      </c>
      <c r="GA35" s="5">
        <v>564</v>
      </c>
      <c r="GB35" s="5"/>
      <c r="GC35" s="5">
        <v>2383</v>
      </c>
      <c r="GE35" s="11">
        <v>45292</v>
      </c>
      <c r="GF35" s="5">
        <v>492</v>
      </c>
      <c r="GG35" s="5">
        <v>184</v>
      </c>
      <c r="GH35" s="5">
        <v>9</v>
      </c>
      <c r="GI35" s="5">
        <v>75</v>
      </c>
      <c r="GJ35" s="5">
        <v>150</v>
      </c>
      <c r="GK35" s="5">
        <v>1246</v>
      </c>
      <c r="GL35" s="5">
        <v>122</v>
      </c>
      <c r="GM35" s="5">
        <v>1086</v>
      </c>
      <c r="GN35" s="5"/>
      <c r="GO35" s="5">
        <v>3364</v>
      </c>
      <c r="GQ35" s="11">
        <v>45292</v>
      </c>
      <c r="HC35" s="11">
        <v>45292</v>
      </c>
      <c r="HD35" s="5">
        <f t="shared" si="60"/>
        <v>62050</v>
      </c>
      <c r="HE35" s="5">
        <f t="shared" si="61"/>
        <v>0</v>
      </c>
      <c r="HF35" s="5">
        <f t="shared" si="62"/>
        <v>209195</v>
      </c>
      <c r="HG35" s="5">
        <f t="shared" si="63"/>
        <v>204351</v>
      </c>
      <c r="HH35" s="5">
        <f t="shared" si="64"/>
        <v>52629</v>
      </c>
      <c r="HI35" s="5">
        <f t="shared" si="65"/>
        <v>37472</v>
      </c>
      <c r="HJ35" s="5">
        <f t="shared" si="66"/>
        <v>23052</v>
      </c>
      <c r="HK35" s="5">
        <f t="shared" si="67"/>
        <v>5910</v>
      </c>
      <c r="HL35" s="5">
        <f t="shared" si="68"/>
        <v>48084</v>
      </c>
      <c r="HM35" s="5">
        <f t="shared" si="69"/>
        <v>132113</v>
      </c>
      <c r="HO35" s="11">
        <v>45292</v>
      </c>
      <c r="HP35" s="5">
        <f t="shared" si="71"/>
        <v>0</v>
      </c>
      <c r="HQ35" s="5">
        <f t="shared" si="72"/>
        <v>0</v>
      </c>
      <c r="HR35" s="5">
        <f t="shared" si="73"/>
        <v>0</v>
      </c>
      <c r="HS35" s="5">
        <f t="shared" si="74"/>
        <v>0</v>
      </c>
      <c r="HT35" s="5">
        <f t="shared" si="75"/>
        <v>0</v>
      </c>
      <c r="HU35" s="5">
        <f t="shared" si="76"/>
        <v>0</v>
      </c>
      <c r="HV35" s="5">
        <f t="shared" si="77"/>
        <v>0</v>
      </c>
      <c r="HW35" s="5">
        <f t="shared" si="78"/>
        <v>0</v>
      </c>
      <c r="HX35" s="5">
        <f t="shared" si="79"/>
        <v>0</v>
      </c>
      <c r="HY35" s="5">
        <f t="shared" si="80"/>
        <v>0</v>
      </c>
    </row>
    <row r="36" spans="2:233">
      <c r="B36" s="11">
        <v>45323</v>
      </c>
      <c r="C36" s="5">
        <v>26</v>
      </c>
      <c r="D36" s="5">
        <v>146</v>
      </c>
      <c r="E36" s="5">
        <v>645</v>
      </c>
      <c r="F36" s="5">
        <v>308</v>
      </c>
      <c r="G36" s="5">
        <v>100</v>
      </c>
      <c r="H36" s="5">
        <v>143</v>
      </c>
      <c r="I36" s="5">
        <v>1760</v>
      </c>
      <c r="J36" s="5">
        <v>1335</v>
      </c>
      <c r="K36" s="5">
        <v>0</v>
      </c>
      <c r="L36" s="5">
        <f t="shared" si="57"/>
        <v>4463</v>
      </c>
      <c r="N36" s="11">
        <v>45323</v>
      </c>
      <c r="O36" s="5">
        <v>26</v>
      </c>
      <c r="P36" s="5">
        <v>146</v>
      </c>
      <c r="Q36" s="5">
        <v>645</v>
      </c>
      <c r="R36" s="5">
        <v>308</v>
      </c>
      <c r="S36" s="5">
        <v>100</v>
      </c>
      <c r="T36" s="5">
        <v>143</v>
      </c>
      <c r="U36" s="5">
        <v>1760</v>
      </c>
      <c r="V36" s="5">
        <v>1335</v>
      </c>
      <c r="W36" s="5">
        <v>0</v>
      </c>
      <c r="X36" s="5">
        <f t="shared" si="58"/>
        <v>4463</v>
      </c>
      <c r="Y36" s="5"/>
      <c r="Z36" s="11">
        <v>45323</v>
      </c>
      <c r="AA36" s="34"/>
      <c r="AB36" s="12"/>
      <c r="AC36" s="12"/>
      <c r="AD36" s="12"/>
      <c r="AE36" s="12"/>
      <c r="AF36" s="12"/>
      <c r="AG36" s="12"/>
      <c r="AH36" s="12"/>
      <c r="AI36" s="12"/>
      <c r="AJ36" s="206"/>
      <c r="AL36" s="11">
        <v>45323</v>
      </c>
      <c r="AM36" s="5">
        <v>12680</v>
      </c>
      <c r="AN36" s="5">
        <v>2094127</v>
      </c>
      <c r="AO36" s="5">
        <v>1201896</v>
      </c>
      <c r="AP36" s="5">
        <v>52849</v>
      </c>
      <c r="AQ36" s="5">
        <v>213741</v>
      </c>
      <c r="AR36" s="5">
        <v>46379</v>
      </c>
      <c r="AS36" s="5">
        <v>24859</v>
      </c>
      <c r="AT36" s="5">
        <v>205674</v>
      </c>
      <c r="AU36" s="5">
        <v>535932</v>
      </c>
      <c r="AV36" s="5">
        <f t="shared" si="59"/>
        <v>4388137</v>
      </c>
      <c r="AW36" s="5"/>
      <c r="AX36" s="11">
        <v>45323</v>
      </c>
      <c r="AY36" s="5">
        <v>793</v>
      </c>
      <c r="AZ36" s="5">
        <v>1670936</v>
      </c>
      <c r="BA36" s="5">
        <v>1013331</v>
      </c>
      <c r="BB36" s="5">
        <v>26658</v>
      </c>
      <c r="BC36" s="5">
        <v>183871</v>
      </c>
      <c r="BD36" s="5">
        <v>25627</v>
      </c>
      <c r="BE36" s="5">
        <v>17076</v>
      </c>
      <c r="BF36" s="5">
        <v>129859</v>
      </c>
      <c r="BG36" s="5">
        <v>415869</v>
      </c>
      <c r="BH36" s="5">
        <f t="shared" si="70"/>
        <v>3484020</v>
      </c>
      <c r="BI36" s="8"/>
      <c r="BJ36" s="11">
        <v>45323</v>
      </c>
      <c r="BK36" s="5">
        <f t="shared" si="81"/>
        <v>755112</v>
      </c>
      <c r="BL36" s="8"/>
      <c r="BM36" s="12"/>
      <c r="BN36" s="12"/>
      <c r="BO36" s="5">
        <v>755112</v>
      </c>
      <c r="BP36" s="5"/>
      <c r="BQ36" s="5">
        <v>228745</v>
      </c>
      <c r="BR36" s="5">
        <v>218321</v>
      </c>
      <c r="BS36" s="5">
        <v>52602</v>
      </c>
      <c r="BT36" s="5">
        <v>29174</v>
      </c>
      <c r="BU36" s="5">
        <v>30903</v>
      </c>
      <c r="BV36" s="5">
        <v>6259</v>
      </c>
      <c r="BW36" s="5">
        <v>44191</v>
      </c>
      <c r="BX36" s="5">
        <v>144560</v>
      </c>
      <c r="BY36" s="5">
        <v>357</v>
      </c>
      <c r="BZ36" s="12"/>
      <c r="CA36" s="11">
        <v>45323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11">
        <v>45323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8"/>
      <c r="CY36" s="11">
        <v>45323</v>
      </c>
      <c r="CZ36" s="5">
        <v>66560</v>
      </c>
      <c r="DA36" s="5"/>
      <c r="DB36" s="5"/>
      <c r="DC36" s="5"/>
      <c r="DD36" s="5"/>
      <c r="DE36" s="5"/>
      <c r="DF36" s="5"/>
      <c r="DG36" s="5"/>
      <c r="DH36" s="5"/>
      <c r="DI36" s="5"/>
      <c r="DJ36" s="8"/>
      <c r="DK36" s="11">
        <v>45323</v>
      </c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8"/>
      <c r="DW36" s="11">
        <v>45323</v>
      </c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8"/>
      <c r="EI36" s="11">
        <v>45323</v>
      </c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8"/>
      <c r="EU36" s="11">
        <v>45323</v>
      </c>
      <c r="EV36" s="5">
        <v>693154</v>
      </c>
      <c r="EW36" s="5">
        <v>886</v>
      </c>
      <c r="EX36" s="5">
        <v>109468</v>
      </c>
      <c r="EY36" s="5">
        <v>115884</v>
      </c>
      <c r="EZ36" s="5">
        <v>20991</v>
      </c>
      <c r="FA36" s="5">
        <v>14752</v>
      </c>
      <c r="FB36" s="5">
        <v>16145</v>
      </c>
      <c r="FC36" s="5">
        <v>4169</v>
      </c>
      <c r="FD36" s="5">
        <v>19682</v>
      </c>
      <c r="FE36" s="5">
        <v>64476</v>
      </c>
      <c r="FF36" s="13"/>
      <c r="FG36" s="11">
        <v>45323</v>
      </c>
      <c r="FH36" s="5">
        <v>387186</v>
      </c>
      <c r="FI36" s="5">
        <v>86</v>
      </c>
      <c r="FJ36" s="5">
        <v>63951</v>
      </c>
      <c r="FK36" s="5">
        <v>65534</v>
      </c>
      <c r="FL36" s="5">
        <v>10589</v>
      </c>
      <c r="FM36" s="5">
        <v>7449</v>
      </c>
      <c r="FN36" s="5">
        <v>7476</v>
      </c>
      <c r="FO36" s="5">
        <v>2153</v>
      </c>
      <c r="FP36" s="5">
        <v>10891</v>
      </c>
      <c r="FQ36" s="5">
        <v>34737</v>
      </c>
      <c r="FR36" s="5"/>
      <c r="FS36" s="11">
        <v>45323</v>
      </c>
      <c r="FT36" s="5">
        <v>492</v>
      </c>
      <c r="FU36" s="5">
        <v>137</v>
      </c>
      <c r="FV36" s="5">
        <v>41</v>
      </c>
      <c r="FW36" s="5">
        <v>79</v>
      </c>
      <c r="FX36" s="5">
        <v>156</v>
      </c>
      <c r="FY36" s="5">
        <v>969</v>
      </c>
      <c r="FZ36" s="5">
        <v>160</v>
      </c>
      <c r="GA36" s="5">
        <v>663</v>
      </c>
      <c r="GB36" s="5"/>
      <c r="GC36" s="5">
        <v>2651</v>
      </c>
      <c r="GE36" s="11">
        <v>45323</v>
      </c>
      <c r="GF36" s="5">
        <v>491</v>
      </c>
      <c r="GG36" s="5">
        <v>171</v>
      </c>
      <c r="GH36" s="5">
        <v>13</v>
      </c>
      <c r="GI36" s="5">
        <v>46</v>
      </c>
      <c r="GJ36" s="5">
        <v>136</v>
      </c>
      <c r="GK36" s="5">
        <v>1301</v>
      </c>
      <c r="GL36" s="5">
        <v>151</v>
      </c>
      <c r="GM36" s="5">
        <v>1105</v>
      </c>
      <c r="GN36" s="5"/>
      <c r="GO36" s="5">
        <v>3414</v>
      </c>
      <c r="GQ36" s="11">
        <v>45323</v>
      </c>
      <c r="HC36" s="11">
        <v>45323</v>
      </c>
      <c r="HD36" s="5">
        <f t="shared" si="60"/>
        <v>66560</v>
      </c>
      <c r="HE36" s="5">
        <f t="shared" si="61"/>
        <v>0</v>
      </c>
      <c r="HF36" s="5">
        <f t="shared" si="62"/>
        <v>228745</v>
      </c>
      <c r="HG36" s="5">
        <f t="shared" si="63"/>
        <v>218321</v>
      </c>
      <c r="HH36" s="5">
        <f t="shared" si="64"/>
        <v>52602</v>
      </c>
      <c r="HI36" s="5">
        <f t="shared" si="65"/>
        <v>29174</v>
      </c>
      <c r="HJ36" s="5">
        <f t="shared" si="66"/>
        <v>30903</v>
      </c>
      <c r="HK36" s="5">
        <f t="shared" si="67"/>
        <v>6259</v>
      </c>
      <c r="HL36" s="5">
        <f t="shared" si="68"/>
        <v>44191</v>
      </c>
      <c r="HM36" s="5">
        <f t="shared" si="69"/>
        <v>144560</v>
      </c>
      <c r="HO36" s="11">
        <v>45323</v>
      </c>
      <c r="HP36" s="5">
        <f t="shared" si="71"/>
        <v>0</v>
      </c>
      <c r="HQ36" s="5">
        <f t="shared" si="72"/>
        <v>0</v>
      </c>
      <c r="HR36" s="5">
        <f t="shared" si="73"/>
        <v>0</v>
      </c>
      <c r="HS36" s="5">
        <f t="shared" si="74"/>
        <v>0</v>
      </c>
      <c r="HT36" s="5">
        <f t="shared" si="75"/>
        <v>0</v>
      </c>
      <c r="HU36" s="5">
        <f t="shared" si="76"/>
        <v>0</v>
      </c>
      <c r="HV36" s="5">
        <f t="shared" si="77"/>
        <v>0</v>
      </c>
      <c r="HW36" s="5">
        <f t="shared" si="78"/>
        <v>0</v>
      </c>
      <c r="HX36" s="5">
        <f t="shared" si="79"/>
        <v>0</v>
      </c>
      <c r="HY36" s="5">
        <f t="shared" si="80"/>
        <v>0</v>
      </c>
    </row>
    <row r="37" spans="2:233">
      <c r="B37" s="11">
        <v>45352</v>
      </c>
      <c r="C37" s="5">
        <v>55</v>
      </c>
      <c r="D37" s="5">
        <v>154</v>
      </c>
      <c r="E37" s="5">
        <v>764</v>
      </c>
      <c r="F37" s="5">
        <v>331</v>
      </c>
      <c r="G37" s="5">
        <v>140</v>
      </c>
      <c r="H37" s="5">
        <v>160</v>
      </c>
      <c r="I37" s="5">
        <v>1684</v>
      </c>
      <c r="J37" s="5">
        <v>1868</v>
      </c>
      <c r="K37" s="5">
        <v>0</v>
      </c>
      <c r="L37" s="5">
        <f t="shared" si="57"/>
        <v>5156</v>
      </c>
      <c r="N37" s="11">
        <v>45352</v>
      </c>
      <c r="O37" s="5">
        <v>55</v>
      </c>
      <c r="P37" s="5">
        <v>154</v>
      </c>
      <c r="Q37" s="5">
        <v>764</v>
      </c>
      <c r="R37" s="5">
        <v>331</v>
      </c>
      <c r="S37" s="5">
        <v>140</v>
      </c>
      <c r="T37" s="5">
        <v>160</v>
      </c>
      <c r="U37" s="5">
        <v>1684</v>
      </c>
      <c r="V37" s="5">
        <v>1868</v>
      </c>
      <c r="W37" s="5">
        <v>0</v>
      </c>
      <c r="X37" s="5">
        <f t="shared" si="58"/>
        <v>5156</v>
      </c>
      <c r="Y37" s="5"/>
      <c r="Z37" s="11">
        <v>45352</v>
      </c>
      <c r="AA37" s="34"/>
      <c r="AB37" s="12"/>
      <c r="AC37" s="12"/>
      <c r="AD37" s="12"/>
      <c r="AE37" s="12"/>
      <c r="AF37" s="12"/>
      <c r="AG37" s="12"/>
      <c r="AH37" s="12"/>
      <c r="AI37" s="12"/>
      <c r="AJ37" s="206"/>
      <c r="AL37" s="11">
        <v>45352</v>
      </c>
      <c r="AM37" s="5">
        <v>19642</v>
      </c>
      <c r="AN37" s="5">
        <v>903719</v>
      </c>
      <c r="AO37" s="5">
        <v>616424</v>
      </c>
      <c r="AP37" s="5">
        <v>57985</v>
      </c>
      <c r="AQ37" s="5">
        <v>90547</v>
      </c>
      <c r="AR37" s="5">
        <v>46439</v>
      </c>
      <c r="AS37" s="5">
        <v>25214</v>
      </c>
      <c r="AT37" s="5">
        <v>143796</v>
      </c>
      <c r="AU37" s="5">
        <v>463806</v>
      </c>
      <c r="AV37" s="5">
        <f t="shared" si="59"/>
        <v>2367572</v>
      </c>
      <c r="AW37" s="5"/>
      <c r="AX37" s="11">
        <v>45352</v>
      </c>
      <c r="AY37" s="5">
        <v>4901</v>
      </c>
      <c r="AZ37" s="5">
        <v>675951</v>
      </c>
      <c r="BA37" s="5">
        <v>445007</v>
      </c>
      <c r="BB37" s="5">
        <v>31081</v>
      </c>
      <c r="BC37" s="5">
        <v>64654</v>
      </c>
      <c r="BD37" s="5">
        <v>27944</v>
      </c>
      <c r="BE37" s="5">
        <v>18084</v>
      </c>
      <c r="BF37" s="5">
        <v>69468</v>
      </c>
      <c r="BG37" s="5">
        <v>342017</v>
      </c>
      <c r="BH37" s="5">
        <f t="shared" si="70"/>
        <v>1679107</v>
      </c>
      <c r="BI37" s="8"/>
      <c r="BJ37" s="11">
        <v>45352</v>
      </c>
      <c r="BK37" s="5">
        <f t="shared" si="81"/>
        <v>891018</v>
      </c>
      <c r="BL37" s="8"/>
      <c r="BM37" s="5">
        <v>29139</v>
      </c>
      <c r="BN37" s="12"/>
      <c r="BO37" s="5">
        <v>861879</v>
      </c>
      <c r="BP37" s="5"/>
      <c r="BQ37" s="5">
        <v>258202</v>
      </c>
      <c r="BR37" s="5">
        <v>223044</v>
      </c>
      <c r="BS37" s="5">
        <v>60040</v>
      </c>
      <c r="BT37" s="5">
        <v>33212</v>
      </c>
      <c r="BU37" s="5">
        <v>33881</v>
      </c>
      <c r="BV37" s="5">
        <v>7266</v>
      </c>
      <c r="BW37" s="5">
        <v>59638</v>
      </c>
      <c r="BX37" s="5">
        <v>163143</v>
      </c>
      <c r="BY37" s="5">
        <v>799</v>
      </c>
      <c r="BZ37" s="12"/>
      <c r="CA37" s="11">
        <v>45352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11">
        <v>45352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8"/>
      <c r="CY37" s="11">
        <v>45352</v>
      </c>
      <c r="CZ37" s="5">
        <v>76583</v>
      </c>
      <c r="DA37" s="5"/>
      <c r="DB37" s="5"/>
      <c r="DC37" s="5"/>
      <c r="DD37" s="5"/>
      <c r="DE37" s="5"/>
      <c r="DF37" s="5"/>
      <c r="DG37" s="5"/>
      <c r="DH37" s="5"/>
      <c r="DI37" s="5"/>
      <c r="DJ37" s="8"/>
      <c r="DK37" s="11">
        <v>45352</v>
      </c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8"/>
      <c r="DW37" s="11">
        <v>45352</v>
      </c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8"/>
      <c r="EI37" s="11">
        <v>45352</v>
      </c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8"/>
      <c r="EU37" s="11">
        <v>45352</v>
      </c>
      <c r="EV37" s="5">
        <v>729022</v>
      </c>
      <c r="EW37" s="5">
        <v>1329</v>
      </c>
      <c r="EX37" s="5">
        <v>126534</v>
      </c>
      <c r="EY37" s="5">
        <v>123810</v>
      </c>
      <c r="EZ37" s="5">
        <v>25501</v>
      </c>
      <c r="FA37" s="5">
        <v>15524</v>
      </c>
      <c r="FB37" s="5">
        <v>17229</v>
      </c>
      <c r="FC37" s="5">
        <v>4611</v>
      </c>
      <c r="FD37" s="5">
        <v>23565</v>
      </c>
      <c r="FE37" s="5">
        <v>79171</v>
      </c>
      <c r="FF37" s="13"/>
      <c r="FG37" s="11">
        <v>45352</v>
      </c>
      <c r="FH37" s="5">
        <v>442235</v>
      </c>
      <c r="FI37" s="5">
        <v>264</v>
      </c>
      <c r="FJ37" s="5">
        <v>81117</v>
      </c>
      <c r="FK37" s="5">
        <v>76423</v>
      </c>
      <c r="FL37" s="5">
        <v>13365</v>
      </c>
      <c r="FM37" s="5">
        <v>8392</v>
      </c>
      <c r="FN37" s="5">
        <v>8747</v>
      </c>
      <c r="FO37" s="5">
        <v>2382</v>
      </c>
      <c r="FP37" s="5">
        <v>13995</v>
      </c>
      <c r="FQ37" s="5">
        <v>50355</v>
      </c>
      <c r="FR37" s="5"/>
      <c r="FS37" s="11">
        <v>45352</v>
      </c>
      <c r="FT37" s="5">
        <v>494</v>
      </c>
      <c r="FU37" s="5">
        <v>147</v>
      </c>
      <c r="FV37" s="5">
        <v>49</v>
      </c>
      <c r="FW37" s="5">
        <v>103</v>
      </c>
      <c r="FX37" s="5">
        <v>233</v>
      </c>
      <c r="FY37" s="5">
        <v>1080</v>
      </c>
      <c r="FZ37" s="5">
        <v>188</v>
      </c>
      <c r="GA37" s="5">
        <v>912</v>
      </c>
      <c r="GB37" s="5"/>
      <c r="GC37" s="5">
        <v>3157</v>
      </c>
      <c r="GE37" s="11">
        <v>45352</v>
      </c>
      <c r="GF37" s="5">
        <v>609</v>
      </c>
      <c r="GG37" s="5">
        <v>212</v>
      </c>
      <c r="GH37" s="5">
        <v>13</v>
      </c>
      <c r="GI37" s="5">
        <v>87</v>
      </c>
      <c r="GJ37" s="5">
        <v>120</v>
      </c>
      <c r="GK37" s="5">
        <v>1194</v>
      </c>
      <c r="GL37" s="5">
        <v>107</v>
      </c>
      <c r="GM37" s="5">
        <v>1552</v>
      </c>
      <c r="GN37" s="5"/>
      <c r="GO37" s="5">
        <v>3894</v>
      </c>
      <c r="GQ37" s="11">
        <v>45352</v>
      </c>
      <c r="HC37" s="11">
        <v>45352</v>
      </c>
      <c r="HD37" s="5">
        <f t="shared" si="60"/>
        <v>105722</v>
      </c>
      <c r="HE37" s="5">
        <f t="shared" si="61"/>
        <v>0</v>
      </c>
      <c r="HF37" s="5">
        <f t="shared" si="62"/>
        <v>258202</v>
      </c>
      <c r="HG37" s="5">
        <f t="shared" si="63"/>
        <v>223044</v>
      </c>
      <c r="HH37" s="5">
        <f t="shared" si="64"/>
        <v>60040</v>
      </c>
      <c r="HI37" s="5">
        <f t="shared" si="65"/>
        <v>33212</v>
      </c>
      <c r="HJ37" s="5">
        <f t="shared" si="66"/>
        <v>33881</v>
      </c>
      <c r="HK37" s="5">
        <f t="shared" si="67"/>
        <v>7266</v>
      </c>
      <c r="HL37" s="5">
        <f t="shared" si="68"/>
        <v>59638</v>
      </c>
      <c r="HM37" s="5">
        <f t="shared" si="69"/>
        <v>163143</v>
      </c>
      <c r="HO37" s="11">
        <v>45352</v>
      </c>
      <c r="HP37" s="5">
        <f t="shared" si="71"/>
        <v>0</v>
      </c>
      <c r="HQ37" s="5">
        <f t="shared" si="72"/>
        <v>0</v>
      </c>
      <c r="HR37" s="5">
        <f t="shared" si="73"/>
        <v>0</v>
      </c>
      <c r="HS37" s="5">
        <f t="shared" si="74"/>
        <v>0</v>
      </c>
      <c r="HT37" s="5">
        <f t="shared" si="75"/>
        <v>0</v>
      </c>
      <c r="HU37" s="5">
        <f t="shared" si="76"/>
        <v>0</v>
      </c>
      <c r="HV37" s="5">
        <f t="shared" si="77"/>
        <v>0</v>
      </c>
      <c r="HW37" s="5">
        <f t="shared" si="78"/>
        <v>0</v>
      </c>
      <c r="HX37" s="5">
        <f t="shared" si="79"/>
        <v>0</v>
      </c>
      <c r="HY37" s="5">
        <f t="shared" si="80"/>
        <v>0</v>
      </c>
    </row>
    <row r="38" spans="2:233">
      <c r="B38" s="11">
        <v>45383</v>
      </c>
      <c r="C38" s="5">
        <v>9</v>
      </c>
      <c r="D38" s="5">
        <v>379</v>
      </c>
      <c r="E38" s="5">
        <v>664</v>
      </c>
      <c r="F38" s="5">
        <v>303</v>
      </c>
      <c r="G38" s="5">
        <v>75</v>
      </c>
      <c r="H38" s="5">
        <v>254</v>
      </c>
      <c r="I38" s="5">
        <v>1496</v>
      </c>
      <c r="J38" s="5">
        <v>1446</v>
      </c>
      <c r="K38" s="5">
        <v>0</v>
      </c>
      <c r="L38" s="5">
        <f t="shared" si="57"/>
        <v>4626</v>
      </c>
      <c r="N38" s="11">
        <v>45383</v>
      </c>
      <c r="O38" s="5">
        <v>9</v>
      </c>
      <c r="P38" s="5">
        <v>379</v>
      </c>
      <c r="Q38" s="5">
        <v>664</v>
      </c>
      <c r="R38" s="5">
        <v>303</v>
      </c>
      <c r="S38" s="5">
        <v>75</v>
      </c>
      <c r="T38" s="5">
        <v>254</v>
      </c>
      <c r="U38" s="5">
        <v>1496</v>
      </c>
      <c r="V38" s="5">
        <v>1446</v>
      </c>
      <c r="W38" s="5">
        <v>0</v>
      </c>
      <c r="X38" s="5">
        <f t="shared" si="58"/>
        <v>4626</v>
      </c>
      <c r="Y38" s="5"/>
      <c r="Z38" s="11">
        <v>45383</v>
      </c>
      <c r="AA38" s="34"/>
      <c r="AB38" s="12"/>
      <c r="AC38" s="12"/>
      <c r="AD38" s="12"/>
      <c r="AE38" s="12"/>
      <c r="AF38" s="12"/>
      <c r="AG38" s="12"/>
      <c r="AH38" s="12"/>
      <c r="AI38" s="12"/>
      <c r="AJ38" s="206"/>
      <c r="AL38" s="11">
        <v>45383</v>
      </c>
      <c r="AM38" s="5">
        <v>20384</v>
      </c>
      <c r="AN38" s="5">
        <v>930618</v>
      </c>
      <c r="AO38" s="5">
        <v>667295</v>
      </c>
      <c r="AP38" s="5">
        <v>62989</v>
      </c>
      <c r="AQ38" s="5">
        <v>106580</v>
      </c>
      <c r="AR38" s="5">
        <v>42222</v>
      </c>
      <c r="AS38" s="5">
        <v>20713</v>
      </c>
      <c r="AT38" s="5">
        <v>143511</v>
      </c>
      <c r="AU38" s="5">
        <v>464926</v>
      </c>
      <c r="AV38" s="5">
        <f t="shared" si="59"/>
        <v>2459238</v>
      </c>
      <c r="AW38" s="5"/>
      <c r="AX38" s="11">
        <v>45383</v>
      </c>
      <c r="AY38" s="5">
        <v>4959</v>
      </c>
      <c r="AZ38" s="5">
        <v>558840</v>
      </c>
      <c r="BA38" s="5">
        <v>423456</v>
      </c>
      <c r="BB38" s="5">
        <v>35264</v>
      </c>
      <c r="BC38" s="5">
        <v>86842</v>
      </c>
      <c r="BD38" s="5">
        <v>25234</v>
      </c>
      <c r="BE38" s="5">
        <v>13515</v>
      </c>
      <c r="BF38" s="5">
        <v>57755</v>
      </c>
      <c r="BG38" s="5">
        <v>271354</v>
      </c>
      <c r="BH38" s="5">
        <f t="shared" si="70"/>
        <v>1477219</v>
      </c>
      <c r="BI38" s="8"/>
      <c r="BJ38" s="11">
        <v>45383</v>
      </c>
      <c r="BK38" s="5">
        <f t="shared" si="81"/>
        <v>2180895</v>
      </c>
      <c r="BL38" s="8"/>
      <c r="BM38" s="5">
        <v>1340424</v>
      </c>
      <c r="BN38" s="12"/>
      <c r="BO38" s="5">
        <v>840471</v>
      </c>
      <c r="BP38" s="5"/>
      <c r="BQ38" s="5">
        <v>235672</v>
      </c>
      <c r="BR38" s="5">
        <v>215835</v>
      </c>
      <c r="BS38" s="5">
        <v>62762</v>
      </c>
      <c r="BT38" s="5">
        <v>44228</v>
      </c>
      <c r="BU38" s="5">
        <v>34873</v>
      </c>
      <c r="BV38" s="5">
        <v>8626</v>
      </c>
      <c r="BW38" s="5">
        <v>75610</v>
      </c>
      <c r="BX38" s="5">
        <v>161976</v>
      </c>
      <c r="BY38" s="5">
        <v>888</v>
      </c>
      <c r="BZ38" s="12"/>
      <c r="CA38" s="11">
        <v>45383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11">
        <v>45383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8"/>
      <c r="CY38" s="11">
        <v>45383</v>
      </c>
      <c r="CZ38" s="5">
        <v>80869</v>
      </c>
      <c r="DA38" s="5"/>
      <c r="DB38" s="5"/>
      <c r="DC38" s="5"/>
      <c r="DD38" s="5"/>
      <c r="DE38" s="5"/>
      <c r="DF38" s="5"/>
      <c r="DG38" s="5"/>
      <c r="DH38" s="5"/>
      <c r="DI38" s="5"/>
      <c r="DJ38" s="8"/>
      <c r="DK38" s="11">
        <v>45383</v>
      </c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8"/>
      <c r="DW38" s="11">
        <v>45383</v>
      </c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8"/>
      <c r="EI38" s="11">
        <v>45383</v>
      </c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8"/>
      <c r="EU38" s="11">
        <v>45383</v>
      </c>
      <c r="EV38" s="5">
        <v>820365</v>
      </c>
      <c r="EW38" s="5">
        <v>1385</v>
      </c>
      <c r="EX38" s="5">
        <v>161401</v>
      </c>
      <c r="EY38" s="5">
        <v>211533</v>
      </c>
      <c r="EZ38" s="5">
        <v>27227</v>
      </c>
      <c r="FA38" s="5">
        <v>20152</v>
      </c>
      <c r="FB38" s="5">
        <v>17882</v>
      </c>
      <c r="FC38" s="5">
        <v>4537</v>
      </c>
      <c r="FD38" s="5">
        <v>39358</v>
      </c>
      <c r="FE38" s="5">
        <v>87797</v>
      </c>
      <c r="FF38" s="13"/>
      <c r="FG38" s="11">
        <v>45383</v>
      </c>
      <c r="FH38" s="5">
        <v>472980</v>
      </c>
      <c r="FI38" s="5">
        <v>287</v>
      </c>
      <c r="FJ38" s="5">
        <v>97959</v>
      </c>
      <c r="FK38" s="5">
        <v>109338</v>
      </c>
      <c r="FL38" s="5">
        <v>15321</v>
      </c>
      <c r="FM38" s="5">
        <v>12246</v>
      </c>
      <c r="FN38" s="5">
        <v>9789</v>
      </c>
      <c r="FO38" s="5">
        <v>2328</v>
      </c>
      <c r="FP38" s="5">
        <v>19009</v>
      </c>
      <c r="FQ38" s="5">
        <v>56826</v>
      </c>
      <c r="FR38" s="5"/>
      <c r="FS38" s="11">
        <v>45383</v>
      </c>
      <c r="FT38" s="5">
        <v>344</v>
      </c>
      <c r="FU38" s="5">
        <v>124</v>
      </c>
      <c r="FV38" s="5">
        <v>31</v>
      </c>
      <c r="FW38" s="5">
        <v>74</v>
      </c>
      <c r="FX38" s="5">
        <v>200</v>
      </c>
      <c r="FY38" s="5">
        <v>881</v>
      </c>
      <c r="FZ38" s="5">
        <v>269</v>
      </c>
      <c r="GA38" s="5">
        <v>687</v>
      </c>
      <c r="GB38" s="5"/>
      <c r="GC38" s="5">
        <v>2497</v>
      </c>
      <c r="GE38" s="11">
        <v>45383</v>
      </c>
      <c r="GF38" s="5">
        <v>615</v>
      </c>
      <c r="GG38" s="5">
        <v>214</v>
      </c>
      <c r="GH38" s="5">
        <v>13</v>
      </c>
      <c r="GI38" s="5">
        <v>64</v>
      </c>
      <c r="GJ38" s="5">
        <v>234</v>
      </c>
      <c r="GK38" s="5">
        <v>1114</v>
      </c>
      <c r="GL38" s="5">
        <v>415</v>
      </c>
      <c r="GM38" s="5">
        <v>1405</v>
      </c>
      <c r="GN38" s="5"/>
      <c r="GO38" s="5">
        <v>4074</v>
      </c>
      <c r="GQ38" s="11">
        <v>45383</v>
      </c>
      <c r="HC38" s="11">
        <v>45383</v>
      </c>
      <c r="HD38" s="5">
        <f t="shared" si="60"/>
        <v>1421293</v>
      </c>
      <c r="HE38" s="5">
        <f t="shared" si="61"/>
        <v>0</v>
      </c>
      <c r="HF38" s="5">
        <f t="shared" si="62"/>
        <v>235672</v>
      </c>
      <c r="HG38" s="5">
        <f t="shared" si="63"/>
        <v>215835</v>
      </c>
      <c r="HH38" s="5">
        <f t="shared" si="64"/>
        <v>62762</v>
      </c>
      <c r="HI38" s="5">
        <f t="shared" si="65"/>
        <v>44228</v>
      </c>
      <c r="HJ38" s="5">
        <f t="shared" si="66"/>
        <v>34873</v>
      </c>
      <c r="HK38" s="5">
        <f t="shared" si="67"/>
        <v>8626</v>
      </c>
      <c r="HL38" s="5">
        <f t="shared" si="68"/>
        <v>75610</v>
      </c>
      <c r="HM38" s="5">
        <f t="shared" si="69"/>
        <v>161976</v>
      </c>
      <c r="HO38" s="11">
        <v>45383</v>
      </c>
      <c r="HP38" s="5">
        <f t="shared" si="71"/>
        <v>0</v>
      </c>
      <c r="HQ38" s="5">
        <f t="shared" si="72"/>
        <v>0</v>
      </c>
      <c r="HR38" s="5">
        <f t="shared" si="73"/>
        <v>0</v>
      </c>
      <c r="HS38" s="5">
        <f t="shared" si="74"/>
        <v>0</v>
      </c>
      <c r="HT38" s="5">
        <f t="shared" si="75"/>
        <v>0</v>
      </c>
      <c r="HU38" s="5">
        <f t="shared" si="76"/>
        <v>0</v>
      </c>
      <c r="HV38" s="5">
        <f t="shared" si="77"/>
        <v>0</v>
      </c>
      <c r="HW38" s="5">
        <f t="shared" si="78"/>
        <v>0</v>
      </c>
      <c r="HX38" s="5">
        <f t="shared" si="79"/>
        <v>0</v>
      </c>
      <c r="HY38" s="5">
        <f t="shared" si="80"/>
        <v>0</v>
      </c>
    </row>
    <row r="39" spans="2:233">
      <c r="B39" s="11">
        <v>45413</v>
      </c>
      <c r="C39" s="5">
        <v>11</v>
      </c>
      <c r="D39" s="5">
        <v>732</v>
      </c>
      <c r="E39" s="5">
        <v>688</v>
      </c>
      <c r="F39" s="5">
        <v>262</v>
      </c>
      <c r="G39" s="5">
        <v>95</v>
      </c>
      <c r="H39" s="5">
        <v>262</v>
      </c>
      <c r="I39" s="5">
        <v>1894</v>
      </c>
      <c r="J39" s="5">
        <v>1535</v>
      </c>
      <c r="K39" s="5">
        <v>0</v>
      </c>
      <c r="L39" s="5">
        <f t="shared" si="57"/>
        <v>5479</v>
      </c>
      <c r="N39" s="11">
        <v>45413</v>
      </c>
      <c r="O39" s="5">
        <v>11</v>
      </c>
      <c r="P39" s="5">
        <v>732</v>
      </c>
      <c r="Q39" s="5">
        <v>688</v>
      </c>
      <c r="R39" s="5">
        <v>262</v>
      </c>
      <c r="S39" s="5">
        <v>95</v>
      </c>
      <c r="T39" s="5">
        <v>262</v>
      </c>
      <c r="U39" s="5">
        <v>1894</v>
      </c>
      <c r="V39" s="5">
        <v>1535</v>
      </c>
      <c r="W39" s="5">
        <v>0</v>
      </c>
      <c r="X39" s="5">
        <f t="shared" si="58"/>
        <v>5479</v>
      </c>
      <c r="Y39" s="5"/>
      <c r="Z39" s="11">
        <v>45413</v>
      </c>
      <c r="AA39" s="34"/>
      <c r="AB39" s="12"/>
      <c r="AC39" s="12"/>
      <c r="AD39" s="12"/>
      <c r="AE39" s="12"/>
      <c r="AF39" s="12"/>
      <c r="AG39" s="12"/>
      <c r="AH39" s="12"/>
      <c r="AI39" s="12"/>
      <c r="AJ39" s="206"/>
      <c r="AL39" s="11">
        <v>45413</v>
      </c>
      <c r="AM39" s="5">
        <v>30284</v>
      </c>
      <c r="AN39" s="5">
        <v>795243</v>
      </c>
      <c r="AO39" s="5">
        <v>591246</v>
      </c>
      <c r="AP39" s="5">
        <v>47045</v>
      </c>
      <c r="AQ39" s="5">
        <v>95285</v>
      </c>
      <c r="AR39" s="5">
        <v>35803</v>
      </c>
      <c r="AS39" s="5">
        <v>17349</v>
      </c>
      <c r="AT39" s="5">
        <v>114167</v>
      </c>
      <c r="AU39" s="5">
        <v>444743</v>
      </c>
      <c r="AV39" s="5">
        <f t="shared" si="59"/>
        <v>2171165</v>
      </c>
      <c r="AW39" s="5"/>
      <c r="AX39" s="11">
        <v>45413</v>
      </c>
      <c r="AY39" s="5">
        <v>4953</v>
      </c>
      <c r="AZ39" s="5">
        <v>477013</v>
      </c>
      <c r="BA39" s="5">
        <v>316406</v>
      </c>
      <c r="BB39" s="5">
        <v>21505</v>
      </c>
      <c r="BC39" s="5">
        <v>69561</v>
      </c>
      <c r="BD39" s="5">
        <v>18602</v>
      </c>
      <c r="BE39" s="5">
        <v>8721</v>
      </c>
      <c r="BF39" s="5">
        <v>44822</v>
      </c>
      <c r="BG39" s="5">
        <v>262503</v>
      </c>
      <c r="BH39" s="5">
        <f t="shared" si="70"/>
        <v>1224086</v>
      </c>
      <c r="BI39" s="8"/>
      <c r="BJ39" s="11">
        <v>45413</v>
      </c>
      <c r="BK39" s="5">
        <f t="shared" si="81"/>
        <v>2240004</v>
      </c>
      <c r="BL39" s="8"/>
      <c r="BM39" s="5">
        <v>1390256</v>
      </c>
      <c r="BN39" s="12"/>
      <c r="BO39" s="5">
        <v>849748</v>
      </c>
      <c r="BP39" s="5"/>
      <c r="BQ39" s="5">
        <v>225915</v>
      </c>
      <c r="BR39" s="5">
        <v>259838</v>
      </c>
      <c r="BS39" s="5">
        <v>53322</v>
      </c>
      <c r="BT39" s="5">
        <v>49293</v>
      </c>
      <c r="BU39" s="5">
        <v>37996</v>
      </c>
      <c r="BV39" s="5">
        <v>10703</v>
      </c>
      <c r="BW39" s="5">
        <v>63619</v>
      </c>
      <c r="BX39" s="5">
        <v>147525</v>
      </c>
      <c r="BY39" s="5">
        <v>1422</v>
      </c>
      <c r="BZ39" s="12"/>
      <c r="CA39" s="11">
        <v>45413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11">
        <v>45413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8"/>
      <c r="CY39" s="11">
        <v>45413</v>
      </c>
      <c r="CZ39" s="5">
        <v>82844</v>
      </c>
      <c r="DA39" s="5"/>
      <c r="DB39" s="5"/>
      <c r="DC39" s="5"/>
      <c r="DD39" s="5"/>
      <c r="DE39" s="5"/>
      <c r="DF39" s="5"/>
      <c r="DG39" s="5"/>
      <c r="DH39" s="5"/>
      <c r="DI39" s="5"/>
      <c r="DJ39" s="8"/>
      <c r="DK39" s="11">
        <v>45413</v>
      </c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8"/>
      <c r="DW39" s="11">
        <v>45413</v>
      </c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8"/>
      <c r="EI39" s="11">
        <v>45413</v>
      </c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8"/>
      <c r="EU39" s="11">
        <v>45413</v>
      </c>
      <c r="EV39" s="5">
        <v>803044</v>
      </c>
      <c r="EW39" s="5">
        <v>1664</v>
      </c>
      <c r="EX39" s="5">
        <v>209952</v>
      </c>
      <c r="EY39" s="5">
        <v>209091</v>
      </c>
      <c r="EZ39" s="5">
        <v>27123</v>
      </c>
      <c r="FA39" s="5">
        <v>22047</v>
      </c>
      <c r="FB39" s="5">
        <v>18102</v>
      </c>
      <c r="FC39" s="5">
        <v>3908</v>
      </c>
      <c r="FD39" s="5">
        <v>34680</v>
      </c>
      <c r="FE39" s="5">
        <v>96869</v>
      </c>
      <c r="FF39" s="13"/>
      <c r="FG39" s="11">
        <v>45413</v>
      </c>
      <c r="FH39" s="5">
        <v>457833</v>
      </c>
      <c r="FI39" s="5">
        <v>220</v>
      </c>
      <c r="FJ39" s="5">
        <v>115667</v>
      </c>
      <c r="FK39" s="5">
        <v>126400</v>
      </c>
      <c r="FL39" s="5">
        <v>14164</v>
      </c>
      <c r="FM39" s="5">
        <v>11956</v>
      </c>
      <c r="FN39" s="5">
        <v>9391</v>
      </c>
      <c r="FO39" s="5">
        <v>1711</v>
      </c>
      <c r="FP39" s="5">
        <v>19593</v>
      </c>
      <c r="FQ39" s="5">
        <v>55093</v>
      </c>
      <c r="FR39" s="5"/>
      <c r="FS39" s="11">
        <v>45413</v>
      </c>
      <c r="FT39" s="5">
        <v>420</v>
      </c>
      <c r="FU39" s="5">
        <v>111</v>
      </c>
      <c r="FV39" s="5">
        <v>33</v>
      </c>
      <c r="FW39" s="5">
        <v>61</v>
      </c>
      <c r="FX39" s="5">
        <v>261</v>
      </c>
      <c r="FY39" s="5">
        <v>820</v>
      </c>
      <c r="FZ39" s="5">
        <v>527</v>
      </c>
      <c r="GA39" s="5">
        <v>924</v>
      </c>
      <c r="GB39" s="5"/>
      <c r="GC39" s="5">
        <v>3058</v>
      </c>
      <c r="GE39" s="11">
        <v>45413</v>
      </c>
      <c r="GF39" s="5">
        <v>592</v>
      </c>
      <c r="GG39" s="5">
        <v>183</v>
      </c>
      <c r="GH39" s="5">
        <v>10</v>
      </c>
      <c r="GI39" s="5">
        <v>80</v>
      </c>
      <c r="GJ39" s="5">
        <v>251</v>
      </c>
      <c r="GK39" s="5">
        <v>1313</v>
      </c>
      <c r="GL39" s="5">
        <v>849</v>
      </c>
      <c r="GM39" s="5">
        <v>1397</v>
      </c>
      <c r="GN39" s="5"/>
      <c r="GO39" s="5">
        <v>4675</v>
      </c>
      <c r="GQ39" s="11">
        <v>45413</v>
      </c>
      <c r="HC39" s="11">
        <v>45413</v>
      </c>
      <c r="HD39" s="5">
        <f t="shared" si="60"/>
        <v>1473100</v>
      </c>
      <c r="HE39" s="5">
        <f t="shared" si="61"/>
        <v>0</v>
      </c>
      <c r="HF39" s="5">
        <f t="shared" si="62"/>
        <v>225915</v>
      </c>
      <c r="HG39" s="5">
        <f t="shared" si="63"/>
        <v>259838</v>
      </c>
      <c r="HH39" s="5">
        <f t="shared" si="64"/>
        <v>53322</v>
      </c>
      <c r="HI39" s="5">
        <f t="shared" si="65"/>
        <v>49293</v>
      </c>
      <c r="HJ39" s="5">
        <f t="shared" si="66"/>
        <v>37996</v>
      </c>
      <c r="HK39" s="5">
        <f t="shared" si="67"/>
        <v>10703</v>
      </c>
      <c r="HL39" s="5">
        <f t="shared" si="68"/>
        <v>63619</v>
      </c>
      <c r="HM39" s="5">
        <f t="shared" si="69"/>
        <v>147525</v>
      </c>
      <c r="HO39" s="11">
        <v>45413</v>
      </c>
      <c r="HP39" s="5">
        <f t="shared" si="71"/>
        <v>0</v>
      </c>
      <c r="HQ39" s="5">
        <f t="shared" si="72"/>
        <v>0</v>
      </c>
      <c r="HR39" s="5">
        <f t="shared" si="73"/>
        <v>0</v>
      </c>
      <c r="HS39" s="5">
        <f t="shared" si="74"/>
        <v>0</v>
      </c>
      <c r="HT39" s="5">
        <f t="shared" si="75"/>
        <v>0</v>
      </c>
      <c r="HU39" s="5">
        <f t="shared" si="76"/>
        <v>0</v>
      </c>
      <c r="HV39" s="5">
        <f t="shared" si="77"/>
        <v>0</v>
      </c>
      <c r="HW39" s="5">
        <f t="shared" si="78"/>
        <v>0</v>
      </c>
      <c r="HX39" s="5">
        <f t="shared" si="79"/>
        <v>0</v>
      </c>
      <c r="HY39" s="5">
        <f t="shared" si="80"/>
        <v>0</v>
      </c>
    </row>
    <row r="40" spans="2:233">
      <c r="B40" s="11">
        <v>45444</v>
      </c>
      <c r="C40" s="5">
        <v>16</v>
      </c>
      <c r="D40" s="5">
        <v>349</v>
      </c>
      <c r="E40" s="5">
        <v>807</v>
      </c>
      <c r="F40" s="5">
        <v>258</v>
      </c>
      <c r="G40" s="5">
        <v>85</v>
      </c>
      <c r="H40" s="5">
        <v>237</v>
      </c>
      <c r="I40" s="5">
        <v>2001</v>
      </c>
      <c r="J40" s="5">
        <v>1639</v>
      </c>
      <c r="K40" s="5">
        <v>137</v>
      </c>
      <c r="L40" s="5">
        <f t="shared" si="57"/>
        <v>5529</v>
      </c>
      <c r="N40" s="11">
        <v>45444</v>
      </c>
      <c r="O40" s="5">
        <v>16</v>
      </c>
      <c r="P40" s="5">
        <v>349</v>
      </c>
      <c r="Q40" s="5">
        <v>807</v>
      </c>
      <c r="R40" s="5">
        <v>258</v>
      </c>
      <c r="S40" s="5">
        <v>85</v>
      </c>
      <c r="T40" s="5">
        <v>237</v>
      </c>
      <c r="U40" s="5">
        <v>2001</v>
      </c>
      <c r="V40" s="5">
        <v>1639</v>
      </c>
      <c r="W40" s="5">
        <v>137</v>
      </c>
      <c r="X40" s="5">
        <f t="shared" si="58"/>
        <v>5529</v>
      </c>
      <c r="Y40" s="5"/>
      <c r="Z40" s="11">
        <v>45444</v>
      </c>
      <c r="AA40" s="34"/>
      <c r="AB40" s="12"/>
      <c r="AC40" s="12"/>
      <c r="AD40" s="12"/>
      <c r="AE40" s="12"/>
      <c r="AF40" s="12"/>
      <c r="AG40" s="12"/>
      <c r="AH40" s="12"/>
      <c r="AI40" s="12"/>
      <c r="AJ40" s="206"/>
      <c r="AL40" s="11">
        <v>45444</v>
      </c>
      <c r="AM40" s="5">
        <v>23923</v>
      </c>
      <c r="AN40" s="5">
        <v>1234521</v>
      </c>
      <c r="AO40" s="5">
        <v>775838</v>
      </c>
      <c r="AP40" s="5">
        <v>44933</v>
      </c>
      <c r="AQ40" s="5">
        <v>103450</v>
      </c>
      <c r="AR40" s="5">
        <v>32905</v>
      </c>
      <c r="AS40" s="5">
        <v>12790</v>
      </c>
      <c r="AT40" s="5">
        <v>123296</v>
      </c>
      <c r="AU40" s="5">
        <v>513032</v>
      </c>
      <c r="AV40" s="5">
        <f t="shared" si="59"/>
        <v>2864688</v>
      </c>
      <c r="AW40" s="5"/>
      <c r="AX40" s="11">
        <v>45444</v>
      </c>
      <c r="AY40" s="5">
        <v>4392</v>
      </c>
      <c r="AZ40" s="5">
        <v>884899</v>
      </c>
      <c r="BA40" s="5">
        <v>506986</v>
      </c>
      <c r="BB40" s="5">
        <v>22428</v>
      </c>
      <c r="BC40" s="5">
        <v>78556</v>
      </c>
      <c r="BD40" s="5">
        <v>17760</v>
      </c>
      <c r="BE40" s="5">
        <v>6478</v>
      </c>
      <c r="BF40" s="5">
        <v>54446</v>
      </c>
      <c r="BG40" s="5">
        <v>368073</v>
      </c>
      <c r="BH40" s="5">
        <f t="shared" si="70"/>
        <v>1944018</v>
      </c>
      <c r="BI40" s="8"/>
      <c r="BJ40" s="11">
        <v>45444</v>
      </c>
      <c r="BK40" s="5">
        <f t="shared" si="81"/>
        <v>2268872</v>
      </c>
      <c r="BL40" s="8"/>
      <c r="BM40" s="5">
        <v>1401391</v>
      </c>
      <c r="BN40" s="12"/>
      <c r="BO40" s="5">
        <v>867481</v>
      </c>
      <c r="BP40" s="5">
        <v>2485</v>
      </c>
      <c r="BQ40" s="5">
        <v>240893</v>
      </c>
      <c r="BR40" s="5">
        <v>276187</v>
      </c>
      <c r="BS40" s="5">
        <v>51699</v>
      </c>
      <c r="BT40" s="5">
        <v>32389</v>
      </c>
      <c r="BU40" s="5">
        <v>36687</v>
      </c>
      <c r="BV40" s="5">
        <v>11303</v>
      </c>
      <c r="BW40" s="5">
        <v>56612</v>
      </c>
      <c r="BX40" s="5">
        <v>157477</v>
      </c>
      <c r="BY40" s="5">
        <v>1671</v>
      </c>
      <c r="BZ40" s="12"/>
      <c r="CA40" s="11">
        <v>45444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11">
        <v>45444</v>
      </c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8"/>
      <c r="CY40" s="11">
        <v>45444</v>
      </c>
      <c r="CZ40" s="5">
        <v>76952</v>
      </c>
      <c r="DA40" s="5"/>
      <c r="DB40" s="5"/>
      <c r="DC40" s="5"/>
      <c r="DD40" s="5"/>
      <c r="DE40" s="5"/>
      <c r="DF40" s="5"/>
      <c r="DG40" s="5"/>
      <c r="DH40" s="5"/>
      <c r="DI40" s="5"/>
      <c r="DJ40" s="8"/>
      <c r="DK40" s="11">
        <v>45444</v>
      </c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8"/>
      <c r="DW40" s="11">
        <v>45444</v>
      </c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8"/>
      <c r="EI40" s="11">
        <v>45444</v>
      </c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8"/>
      <c r="EU40" s="11">
        <v>45444</v>
      </c>
      <c r="EV40" s="5">
        <v>856180</v>
      </c>
      <c r="EW40" s="5">
        <v>1203</v>
      </c>
      <c r="EX40" s="5">
        <v>217802</v>
      </c>
      <c r="EY40" s="5">
        <v>206131</v>
      </c>
      <c r="EZ40" s="5">
        <v>26058</v>
      </c>
      <c r="FA40" s="5">
        <v>19077</v>
      </c>
      <c r="FB40" s="5">
        <v>16912</v>
      </c>
      <c r="FC40" s="5">
        <v>3563</v>
      </c>
      <c r="FD40" s="5">
        <v>32961</v>
      </c>
      <c r="FE40" s="5">
        <v>96716</v>
      </c>
      <c r="FF40" s="13"/>
      <c r="FG40" s="11">
        <v>45444</v>
      </c>
      <c r="FH40" s="5">
        <v>485129</v>
      </c>
      <c r="FI40" s="5">
        <v>204</v>
      </c>
      <c r="FJ40" s="5">
        <v>121016</v>
      </c>
      <c r="FK40" s="5">
        <v>120791</v>
      </c>
      <c r="FL40" s="5">
        <v>13524</v>
      </c>
      <c r="FM40" s="5">
        <v>9550</v>
      </c>
      <c r="FN40" s="5">
        <v>8392</v>
      </c>
      <c r="FO40" s="5">
        <v>1547</v>
      </c>
      <c r="FP40" s="5">
        <v>17860</v>
      </c>
      <c r="FQ40" s="5">
        <v>56562</v>
      </c>
      <c r="FR40" s="5"/>
      <c r="FS40" s="11">
        <v>45444</v>
      </c>
      <c r="FT40" s="5">
        <v>462</v>
      </c>
      <c r="FU40" s="5">
        <v>133</v>
      </c>
      <c r="FV40" s="5">
        <v>37</v>
      </c>
      <c r="FW40" s="5">
        <v>46</v>
      </c>
      <c r="FX40" s="5">
        <v>255</v>
      </c>
      <c r="FY40" s="5">
        <v>1075</v>
      </c>
      <c r="FZ40" s="5">
        <v>474</v>
      </c>
      <c r="GA40" s="5">
        <v>1048</v>
      </c>
      <c r="GB40" s="5"/>
      <c r="GC40" s="5">
        <v>3426</v>
      </c>
      <c r="GE40" s="11">
        <v>45444</v>
      </c>
      <c r="GF40" s="5">
        <v>570</v>
      </c>
      <c r="GG40" s="5">
        <v>146</v>
      </c>
      <c r="GH40" s="5">
        <v>14</v>
      </c>
      <c r="GI40" s="5">
        <v>51</v>
      </c>
      <c r="GJ40" s="5">
        <v>220</v>
      </c>
      <c r="GK40" s="5">
        <v>1249</v>
      </c>
      <c r="GL40" s="5">
        <v>378</v>
      </c>
      <c r="GM40" s="5">
        <v>1280</v>
      </c>
      <c r="GN40" s="5">
        <v>5</v>
      </c>
      <c r="GO40" s="5">
        <v>3913</v>
      </c>
      <c r="GQ40" s="11">
        <v>45444</v>
      </c>
      <c r="HC40" s="11">
        <v>45444</v>
      </c>
      <c r="HD40" s="5">
        <f t="shared" si="60"/>
        <v>1478343</v>
      </c>
      <c r="HE40" s="5">
        <f t="shared" si="61"/>
        <v>2485</v>
      </c>
      <c r="HF40" s="5">
        <f t="shared" si="62"/>
        <v>240893</v>
      </c>
      <c r="HG40" s="5">
        <f t="shared" si="63"/>
        <v>276187</v>
      </c>
      <c r="HH40" s="5">
        <f t="shared" si="64"/>
        <v>51699</v>
      </c>
      <c r="HI40" s="5">
        <f t="shared" si="65"/>
        <v>32389</v>
      </c>
      <c r="HJ40" s="5">
        <f t="shared" si="66"/>
        <v>36687</v>
      </c>
      <c r="HK40" s="5">
        <f t="shared" si="67"/>
        <v>11303</v>
      </c>
      <c r="HL40" s="5">
        <f t="shared" si="68"/>
        <v>56612</v>
      </c>
      <c r="HM40" s="5">
        <f t="shared" si="69"/>
        <v>157477</v>
      </c>
      <c r="HO40" s="11">
        <v>45444</v>
      </c>
      <c r="HP40" s="5">
        <f t="shared" si="71"/>
        <v>0</v>
      </c>
      <c r="HQ40" s="5">
        <f t="shared" si="72"/>
        <v>0</v>
      </c>
      <c r="HR40" s="5">
        <f t="shared" si="73"/>
        <v>0</v>
      </c>
      <c r="HS40" s="5">
        <f t="shared" si="74"/>
        <v>0</v>
      </c>
      <c r="HT40" s="5">
        <f t="shared" si="75"/>
        <v>0</v>
      </c>
      <c r="HU40" s="5">
        <f t="shared" si="76"/>
        <v>0</v>
      </c>
      <c r="HV40" s="5">
        <f t="shared" si="77"/>
        <v>0</v>
      </c>
      <c r="HW40" s="5">
        <f t="shared" si="78"/>
        <v>0</v>
      </c>
      <c r="HX40" s="5">
        <f t="shared" si="79"/>
        <v>0</v>
      </c>
      <c r="HY40" s="5">
        <f t="shared" si="80"/>
        <v>0</v>
      </c>
    </row>
    <row r="41" spans="2:233">
      <c r="B41" s="11">
        <v>45474</v>
      </c>
      <c r="C41" s="5">
        <v>24</v>
      </c>
      <c r="D41" s="5">
        <v>198</v>
      </c>
      <c r="E41" s="5">
        <v>823</v>
      </c>
      <c r="F41" s="5">
        <v>204</v>
      </c>
      <c r="G41" s="5">
        <v>112</v>
      </c>
      <c r="H41" s="5">
        <v>296</v>
      </c>
      <c r="I41" s="5">
        <v>2483</v>
      </c>
      <c r="J41" s="5">
        <v>1907</v>
      </c>
      <c r="K41" s="5">
        <v>73</v>
      </c>
      <c r="L41" s="5">
        <f t="shared" si="57"/>
        <v>6120</v>
      </c>
      <c r="N41" s="11">
        <v>45474</v>
      </c>
      <c r="O41" s="5">
        <v>24</v>
      </c>
      <c r="P41" s="5">
        <v>198</v>
      </c>
      <c r="Q41" s="5">
        <v>823</v>
      </c>
      <c r="R41" s="5">
        <v>204</v>
      </c>
      <c r="S41" s="5">
        <v>112</v>
      </c>
      <c r="T41" s="5">
        <v>296</v>
      </c>
      <c r="U41" s="5">
        <v>2483</v>
      </c>
      <c r="V41" s="5">
        <v>1907</v>
      </c>
      <c r="W41" s="5">
        <v>73</v>
      </c>
      <c r="X41" s="5">
        <f t="shared" si="58"/>
        <v>6120</v>
      </c>
      <c r="Y41" s="5"/>
      <c r="Z41" s="11">
        <v>45474</v>
      </c>
      <c r="AA41" s="12"/>
      <c r="AB41" s="12"/>
      <c r="AC41" s="12"/>
      <c r="AD41" s="12"/>
      <c r="AE41" s="12"/>
      <c r="AF41" s="12"/>
      <c r="AG41" s="12"/>
      <c r="AH41" s="12"/>
      <c r="AI41" s="12"/>
      <c r="AJ41" s="206"/>
      <c r="AL41" s="11">
        <v>45474</v>
      </c>
      <c r="AM41" s="5">
        <v>189234</v>
      </c>
      <c r="AN41" s="5">
        <v>1219327</v>
      </c>
      <c r="AO41" s="5">
        <v>672478</v>
      </c>
      <c r="AP41" s="5">
        <v>53662</v>
      </c>
      <c r="AQ41" s="5">
        <v>106651</v>
      </c>
      <c r="AR41" s="5">
        <v>58246</v>
      </c>
      <c r="AS41" s="5">
        <v>25069</v>
      </c>
      <c r="AT41" s="5">
        <v>147885</v>
      </c>
      <c r="AU41" s="5">
        <v>449820</v>
      </c>
      <c r="AV41" s="5">
        <f t="shared" si="59"/>
        <v>2922372</v>
      </c>
      <c r="AW41" s="5"/>
      <c r="AX41" s="11">
        <v>45474</v>
      </c>
      <c r="AY41" s="5">
        <v>103511</v>
      </c>
      <c r="AZ41" s="5">
        <v>864077</v>
      </c>
      <c r="BA41" s="5">
        <v>487301</v>
      </c>
      <c r="BB41" s="5">
        <v>27729</v>
      </c>
      <c r="BC41" s="5">
        <v>79429</v>
      </c>
      <c r="BD41" s="5">
        <v>28089</v>
      </c>
      <c r="BE41" s="5">
        <v>14817</v>
      </c>
      <c r="BF41" s="5">
        <v>91662</v>
      </c>
      <c r="BG41" s="5">
        <v>318916</v>
      </c>
      <c r="BH41" s="5">
        <f t="shared" si="70"/>
        <v>2015531</v>
      </c>
      <c r="BI41" s="8"/>
      <c r="BJ41" s="11">
        <v>45474</v>
      </c>
      <c r="BK41" s="5">
        <f t="shared" si="81"/>
        <v>2325900</v>
      </c>
      <c r="BL41" s="8"/>
      <c r="BM41" s="5">
        <v>1417225</v>
      </c>
      <c r="BN41" s="12"/>
      <c r="BO41" s="5">
        <v>908675</v>
      </c>
      <c r="BP41" s="5">
        <v>17980</v>
      </c>
      <c r="BQ41" s="5">
        <v>263301</v>
      </c>
      <c r="BR41" s="5">
        <v>289808</v>
      </c>
      <c r="BS41" s="5">
        <v>50485</v>
      </c>
      <c r="BT41" s="5">
        <v>26317</v>
      </c>
      <c r="BU41" s="5">
        <v>42822</v>
      </c>
      <c r="BV41" s="5">
        <v>10643</v>
      </c>
      <c r="BW41" s="5">
        <v>53321</v>
      </c>
      <c r="BX41" s="5">
        <v>153109</v>
      </c>
      <c r="BY41" s="5">
        <v>773</v>
      </c>
      <c r="BZ41" s="12"/>
      <c r="CA41" s="11">
        <v>45474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11">
        <v>45474</v>
      </c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8"/>
      <c r="CY41" s="11">
        <v>45474</v>
      </c>
      <c r="CZ41" s="5">
        <v>86359</v>
      </c>
      <c r="DA41" s="5"/>
      <c r="DB41" s="5"/>
      <c r="DC41" s="5"/>
      <c r="DD41" s="5"/>
      <c r="DE41" s="5"/>
      <c r="DF41" s="5"/>
      <c r="DG41" s="5"/>
      <c r="DH41" s="5"/>
      <c r="DI41" s="5"/>
      <c r="DJ41" s="8"/>
      <c r="DK41" s="11">
        <v>45474</v>
      </c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8"/>
      <c r="DW41" s="11">
        <v>45474</v>
      </c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8"/>
      <c r="EI41" s="11">
        <v>45474</v>
      </c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8"/>
      <c r="EU41" s="11">
        <v>45474</v>
      </c>
      <c r="EV41" s="5">
        <v>886099</v>
      </c>
      <c r="EW41" s="5">
        <v>34422</v>
      </c>
      <c r="EX41" s="5">
        <v>157554</v>
      </c>
      <c r="EY41" s="5">
        <v>130710</v>
      </c>
      <c r="EZ41" s="5">
        <v>21872</v>
      </c>
      <c r="FA41" s="5">
        <v>22416</v>
      </c>
      <c r="FB41" s="5">
        <v>22173</v>
      </c>
      <c r="FC41" s="5">
        <v>5450</v>
      </c>
      <c r="FD41" s="5">
        <v>27075</v>
      </c>
      <c r="FE41" s="5">
        <v>70899</v>
      </c>
      <c r="FF41" s="13"/>
      <c r="FG41" s="11">
        <v>45474</v>
      </c>
      <c r="FH41" s="5">
        <v>504069</v>
      </c>
      <c r="FI41" s="5">
        <v>19621</v>
      </c>
      <c r="FJ41" s="5">
        <v>96381</v>
      </c>
      <c r="FK41" s="5">
        <v>76737</v>
      </c>
      <c r="FL41" s="5">
        <v>11135</v>
      </c>
      <c r="FM41" s="5">
        <v>12308</v>
      </c>
      <c r="FN41" s="5">
        <v>10693</v>
      </c>
      <c r="FO41" s="5">
        <v>2722</v>
      </c>
      <c r="FP41" s="5">
        <v>15341</v>
      </c>
      <c r="FQ41" s="5">
        <v>41542</v>
      </c>
      <c r="FR41" s="5"/>
      <c r="FS41" s="11">
        <v>45474</v>
      </c>
      <c r="FT41" s="5">
        <v>682</v>
      </c>
      <c r="FU41" s="5">
        <v>164</v>
      </c>
      <c r="FV41" s="5">
        <v>72</v>
      </c>
      <c r="FW41" s="5">
        <v>92</v>
      </c>
      <c r="FX41" s="5">
        <v>474</v>
      </c>
      <c r="FY41" s="5">
        <v>1325</v>
      </c>
      <c r="FZ41" s="5">
        <v>643</v>
      </c>
      <c r="GA41" s="5">
        <v>1803</v>
      </c>
      <c r="GB41" s="5">
        <v>7</v>
      </c>
      <c r="GC41" s="5">
        <v>5100</v>
      </c>
      <c r="GE41" s="11">
        <v>45474</v>
      </c>
      <c r="GF41" s="5">
        <v>720</v>
      </c>
      <c r="GG41" s="5">
        <v>156</v>
      </c>
      <c r="GH41" s="5">
        <v>24</v>
      </c>
      <c r="GI41" s="5">
        <v>89</v>
      </c>
      <c r="GJ41" s="5">
        <v>306</v>
      </c>
      <c r="GK41" s="5">
        <v>1434</v>
      </c>
      <c r="GL41" s="5">
        <v>250</v>
      </c>
      <c r="GM41" s="5">
        <v>1662</v>
      </c>
      <c r="GN41" s="5">
        <v>79</v>
      </c>
      <c r="GO41" s="5">
        <v>4720</v>
      </c>
      <c r="GQ41" s="11">
        <v>45474</v>
      </c>
      <c r="HC41" s="11">
        <v>45474</v>
      </c>
      <c r="HD41" s="5">
        <f t="shared" si="60"/>
        <v>1503584</v>
      </c>
      <c r="HE41" s="5">
        <f t="shared" si="61"/>
        <v>17980</v>
      </c>
      <c r="HF41" s="5">
        <f t="shared" si="62"/>
        <v>263301</v>
      </c>
      <c r="HG41" s="5">
        <f t="shared" si="63"/>
        <v>289808</v>
      </c>
      <c r="HH41" s="5">
        <f t="shared" si="64"/>
        <v>50485</v>
      </c>
      <c r="HI41" s="5">
        <f t="shared" si="65"/>
        <v>26317</v>
      </c>
      <c r="HJ41" s="5">
        <f t="shared" si="66"/>
        <v>42822</v>
      </c>
      <c r="HK41" s="5">
        <f t="shared" si="67"/>
        <v>10643</v>
      </c>
      <c r="HL41" s="5">
        <f t="shared" si="68"/>
        <v>53321</v>
      </c>
      <c r="HM41" s="5">
        <f t="shared" si="69"/>
        <v>153109</v>
      </c>
      <c r="HO41" s="11">
        <v>45474</v>
      </c>
      <c r="HP41" s="5">
        <f t="shared" si="71"/>
        <v>0</v>
      </c>
      <c r="HQ41" s="5">
        <f t="shared" si="72"/>
        <v>0</v>
      </c>
      <c r="HR41" s="5">
        <f t="shared" si="73"/>
        <v>0</v>
      </c>
      <c r="HS41" s="5">
        <f t="shared" si="74"/>
        <v>0</v>
      </c>
      <c r="HT41" s="5">
        <f t="shared" si="75"/>
        <v>0</v>
      </c>
      <c r="HU41" s="5">
        <f t="shared" si="76"/>
        <v>0</v>
      </c>
      <c r="HV41" s="5">
        <f t="shared" si="77"/>
        <v>0</v>
      </c>
      <c r="HW41" s="5">
        <f t="shared" si="78"/>
        <v>0</v>
      </c>
      <c r="HX41" s="5">
        <f t="shared" si="79"/>
        <v>0</v>
      </c>
      <c r="HY41" s="5">
        <f t="shared" si="80"/>
        <v>0</v>
      </c>
    </row>
    <row r="42" spans="2:233">
      <c r="B42" s="11">
        <v>45505</v>
      </c>
      <c r="C42" s="5">
        <v>79</v>
      </c>
      <c r="D42" s="5">
        <v>178</v>
      </c>
      <c r="E42" s="5">
        <v>811</v>
      </c>
      <c r="F42" s="5">
        <v>307</v>
      </c>
      <c r="G42" s="5">
        <v>118</v>
      </c>
      <c r="H42" s="5">
        <v>296</v>
      </c>
      <c r="I42" s="5">
        <v>2652</v>
      </c>
      <c r="J42" s="5">
        <v>2047</v>
      </c>
      <c r="K42" s="5">
        <v>224</v>
      </c>
      <c r="L42" s="5">
        <f t="shared" si="57"/>
        <v>6712</v>
      </c>
      <c r="N42" s="11">
        <v>45505</v>
      </c>
      <c r="O42" s="5">
        <v>79</v>
      </c>
      <c r="P42" s="5">
        <v>178</v>
      </c>
      <c r="Q42" s="5">
        <v>811</v>
      </c>
      <c r="R42" s="5">
        <v>307</v>
      </c>
      <c r="S42" s="5">
        <v>118</v>
      </c>
      <c r="T42" s="5">
        <v>296</v>
      </c>
      <c r="U42" s="5">
        <v>2652</v>
      </c>
      <c r="V42" s="5">
        <v>2047</v>
      </c>
      <c r="W42" s="5">
        <v>224</v>
      </c>
      <c r="X42" s="5">
        <f t="shared" si="58"/>
        <v>6712</v>
      </c>
      <c r="Y42" s="5"/>
      <c r="Z42" s="11">
        <v>45505</v>
      </c>
      <c r="AA42" s="12"/>
      <c r="AB42" s="12"/>
      <c r="AC42" s="12"/>
      <c r="AD42" s="12"/>
      <c r="AE42" s="12"/>
      <c r="AF42" s="12"/>
      <c r="AG42" s="12"/>
      <c r="AH42" s="12"/>
      <c r="AI42" s="12"/>
      <c r="AJ42" s="206"/>
      <c r="AL42" s="11">
        <v>45505</v>
      </c>
      <c r="AM42" s="5">
        <v>229904</v>
      </c>
      <c r="AN42" s="5">
        <v>1057031</v>
      </c>
      <c r="AO42" s="5">
        <v>788072</v>
      </c>
      <c r="AP42" s="5">
        <v>63182</v>
      </c>
      <c r="AQ42" s="5">
        <v>92103</v>
      </c>
      <c r="AR42" s="5">
        <v>52327</v>
      </c>
      <c r="AS42" s="5">
        <v>32289</v>
      </c>
      <c r="AT42" s="5">
        <v>129265</v>
      </c>
      <c r="AU42" s="5">
        <v>481568</v>
      </c>
      <c r="AV42" s="5">
        <f t="shared" si="59"/>
        <v>2925741</v>
      </c>
      <c r="AW42" s="5"/>
      <c r="AX42" s="11">
        <v>45505</v>
      </c>
      <c r="AY42" s="5">
        <v>139300</v>
      </c>
      <c r="AZ42" s="5">
        <v>670656</v>
      </c>
      <c r="BA42" s="5">
        <v>478493</v>
      </c>
      <c r="BB42" s="5">
        <v>33866</v>
      </c>
      <c r="BC42" s="5">
        <v>66106</v>
      </c>
      <c r="BD42" s="5">
        <v>25810</v>
      </c>
      <c r="BE42" s="5">
        <v>19263</v>
      </c>
      <c r="BF42" s="5">
        <v>91867</v>
      </c>
      <c r="BG42" s="5">
        <v>270237</v>
      </c>
      <c r="BH42" s="5">
        <f t="shared" si="70"/>
        <v>1795598</v>
      </c>
      <c r="BI42" s="8"/>
      <c r="BJ42" s="11">
        <v>45505</v>
      </c>
      <c r="BK42" s="5">
        <f t="shared" si="81"/>
        <v>2610801</v>
      </c>
      <c r="BL42" s="8"/>
      <c r="BM42" s="5">
        <v>1592808</v>
      </c>
      <c r="BN42" s="12"/>
      <c r="BO42" s="5">
        <v>1017993</v>
      </c>
      <c r="BP42" s="5">
        <v>43951</v>
      </c>
      <c r="BQ42" s="5">
        <v>282409</v>
      </c>
      <c r="BR42" s="5">
        <v>334067</v>
      </c>
      <c r="BS42" s="5">
        <v>54149</v>
      </c>
      <c r="BT42" s="5">
        <v>24363</v>
      </c>
      <c r="BU42" s="5">
        <v>38991</v>
      </c>
      <c r="BV42" s="5">
        <v>13166</v>
      </c>
      <c r="BW42" s="5">
        <v>53537</v>
      </c>
      <c r="BX42" s="5">
        <v>169961</v>
      </c>
      <c r="BY42" s="5">
        <v>3253</v>
      </c>
      <c r="BZ42" s="12"/>
      <c r="CA42" s="11">
        <v>45505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11">
        <v>45505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8"/>
      <c r="CY42" s="11">
        <v>45505</v>
      </c>
      <c r="CZ42" s="5">
        <v>82918</v>
      </c>
      <c r="DA42" s="5"/>
      <c r="DB42" s="5"/>
      <c r="DC42" s="5"/>
      <c r="DD42" s="5"/>
      <c r="DE42" s="5"/>
      <c r="DF42" s="5"/>
      <c r="DG42" s="5"/>
      <c r="DH42" s="5"/>
      <c r="DI42" s="5"/>
      <c r="DJ42" s="8"/>
      <c r="DK42" s="11">
        <v>45505</v>
      </c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8"/>
      <c r="DW42" s="11">
        <v>45505</v>
      </c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8"/>
      <c r="EI42" s="11">
        <v>45505</v>
      </c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8"/>
      <c r="EU42" s="11">
        <v>45505</v>
      </c>
      <c r="EV42" s="5">
        <v>793408</v>
      </c>
      <c r="EW42" s="5">
        <v>48539</v>
      </c>
      <c r="EX42" s="5">
        <v>161984</v>
      </c>
      <c r="EY42" s="5">
        <v>174215</v>
      </c>
      <c r="EZ42" s="5">
        <v>34362</v>
      </c>
      <c r="FA42" s="5">
        <v>18969</v>
      </c>
      <c r="FB42" s="5">
        <v>22874</v>
      </c>
      <c r="FC42" s="5">
        <v>7890</v>
      </c>
      <c r="FD42" s="5">
        <v>30187</v>
      </c>
      <c r="FE42" s="5">
        <v>91646</v>
      </c>
      <c r="FF42" s="13"/>
      <c r="FG42" s="11">
        <v>45505</v>
      </c>
      <c r="FH42" s="5">
        <v>437136</v>
      </c>
      <c r="FI42" s="5">
        <v>25795</v>
      </c>
      <c r="FJ42" s="5">
        <v>97040</v>
      </c>
      <c r="FK42" s="5">
        <v>95763</v>
      </c>
      <c r="FL42" s="5">
        <v>17442</v>
      </c>
      <c r="FM42" s="5">
        <v>10223</v>
      </c>
      <c r="FN42" s="5">
        <v>10879</v>
      </c>
      <c r="FO42" s="5">
        <v>4198</v>
      </c>
      <c r="FP42" s="5">
        <v>16941</v>
      </c>
      <c r="FQ42" s="5">
        <v>55044</v>
      </c>
      <c r="FR42" s="5"/>
      <c r="FS42" s="11">
        <v>45505</v>
      </c>
      <c r="FT42" s="5">
        <v>658</v>
      </c>
      <c r="FU42" s="5">
        <v>155</v>
      </c>
      <c r="FV42" s="5">
        <v>66</v>
      </c>
      <c r="FW42" s="5">
        <v>76</v>
      </c>
      <c r="FX42" s="5">
        <v>434</v>
      </c>
      <c r="FY42" s="5">
        <v>1393</v>
      </c>
      <c r="FZ42" s="5">
        <v>306</v>
      </c>
      <c r="GA42" s="5">
        <v>1357</v>
      </c>
      <c r="GB42" s="5">
        <v>422</v>
      </c>
      <c r="GC42" s="5">
        <v>4705</v>
      </c>
      <c r="GE42" s="11">
        <v>45505</v>
      </c>
      <c r="GF42" s="5">
        <v>660</v>
      </c>
      <c r="GG42" s="5">
        <v>231</v>
      </c>
      <c r="GH42" s="5">
        <v>67</v>
      </c>
      <c r="GI42" s="5">
        <v>82</v>
      </c>
      <c r="GJ42" s="5">
        <v>261</v>
      </c>
      <c r="GK42" s="5">
        <v>1498</v>
      </c>
      <c r="GL42" s="5">
        <v>159</v>
      </c>
      <c r="GM42" s="5">
        <v>1546</v>
      </c>
      <c r="GN42" s="5">
        <v>152</v>
      </c>
      <c r="GO42" s="5">
        <v>4656</v>
      </c>
      <c r="GQ42" s="11">
        <v>45505</v>
      </c>
      <c r="HC42" s="11">
        <v>45505</v>
      </c>
      <c r="HD42" s="5">
        <f t="shared" si="60"/>
        <v>1675726</v>
      </c>
      <c r="HE42" s="5">
        <f t="shared" si="61"/>
        <v>43951</v>
      </c>
      <c r="HF42" s="5">
        <f t="shared" si="62"/>
        <v>282409</v>
      </c>
      <c r="HG42" s="5">
        <f t="shared" si="63"/>
        <v>334067</v>
      </c>
      <c r="HH42" s="5">
        <f t="shared" si="64"/>
        <v>54149</v>
      </c>
      <c r="HI42" s="5">
        <f t="shared" si="65"/>
        <v>24363</v>
      </c>
      <c r="HJ42" s="5">
        <f t="shared" si="66"/>
        <v>38991</v>
      </c>
      <c r="HK42" s="5">
        <f t="shared" si="67"/>
        <v>13166</v>
      </c>
      <c r="HL42" s="5">
        <f t="shared" si="68"/>
        <v>53537</v>
      </c>
      <c r="HM42" s="5">
        <f t="shared" si="69"/>
        <v>169961</v>
      </c>
      <c r="HO42" s="11">
        <v>45505</v>
      </c>
      <c r="HP42" s="5">
        <f t="shared" si="71"/>
        <v>0</v>
      </c>
      <c r="HQ42" s="5">
        <f t="shared" si="72"/>
        <v>0</v>
      </c>
      <c r="HR42" s="5">
        <f t="shared" si="73"/>
        <v>0</v>
      </c>
      <c r="HS42" s="5">
        <f t="shared" si="74"/>
        <v>0</v>
      </c>
      <c r="HT42" s="5">
        <f t="shared" si="75"/>
        <v>0</v>
      </c>
      <c r="HU42" s="5">
        <f t="shared" si="76"/>
        <v>0</v>
      </c>
      <c r="HV42" s="5">
        <f t="shared" si="77"/>
        <v>0</v>
      </c>
      <c r="HW42" s="5">
        <f t="shared" si="78"/>
        <v>0</v>
      </c>
      <c r="HX42" s="5">
        <f t="shared" si="79"/>
        <v>0</v>
      </c>
      <c r="HY42" s="5">
        <f t="shared" si="80"/>
        <v>0</v>
      </c>
    </row>
    <row r="43" spans="2:233">
      <c r="B43" s="11">
        <v>45536</v>
      </c>
      <c r="C43" s="5">
        <v>52</v>
      </c>
      <c r="D43" s="5">
        <v>92</v>
      </c>
      <c r="E43" s="5">
        <v>646</v>
      </c>
      <c r="F43" s="5">
        <v>253</v>
      </c>
      <c r="G43" s="5">
        <v>90</v>
      </c>
      <c r="H43" s="5">
        <v>180</v>
      </c>
      <c r="I43" s="5">
        <v>1943</v>
      </c>
      <c r="J43" s="5">
        <v>1734</v>
      </c>
      <c r="K43" s="5">
        <v>228</v>
      </c>
      <c r="L43" s="5">
        <f t="shared" si="57"/>
        <v>5218</v>
      </c>
      <c r="N43" s="11">
        <v>45536</v>
      </c>
      <c r="O43" s="5">
        <v>52</v>
      </c>
      <c r="P43" s="5">
        <v>92</v>
      </c>
      <c r="Q43" s="5">
        <v>646</v>
      </c>
      <c r="R43" s="5">
        <v>253</v>
      </c>
      <c r="S43" s="5">
        <v>90</v>
      </c>
      <c r="T43" s="5">
        <v>180</v>
      </c>
      <c r="U43" s="5">
        <v>1943</v>
      </c>
      <c r="V43" s="5">
        <v>1734</v>
      </c>
      <c r="W43" s="5">
        <v>228</v>
      </c>
      <c r="X43" s="5">
        <f t="shared" si="58"/>
        <v>5218</v>
      </c>
      <c r="Y43" s="5"/>
      <c r="Z43" s="11">
        <v>45536</v>
      </c>
      <c r="AA43" s="12"/>
      <c r="AB43" s="12"/>
      <c r="AC43" s="12"/>
      <c r="AD43" s="12"/>
      <c r="AE43" s="12"/>
      <c r="AF43" s="12"/>
      <c r="AG43" s="12"/>
      <c r="AH43" s="12"/>
      <c r="AI43" s="12"/>
      <c r="AJ43" s="206"/>
      <c r="AL43" s="11">
        <v>45536</v>
      </c>
      <c r="AM43" s="5">
        <v>141869</v>
      </c>
      <c r="AN43" s="5">
        <v>681111</v>
      </c>
      <c r="AO43" s="5">
        <v>838484</v>
      </c>
      <c r="AP43" s="5">
        <v>67609</v>
      </c>
      <c r="AQ43" s="5">
        <v>109172</v>
      </c>
      <c r="AR43" s="5">
        <v>38911</v>
      </c>
      <c r="AS43" s="5">
        <v>27839</v>
      </c>
      <c r="AT43" s="5">
        <v>136752</v>
      </c>
      <c r="AU43" s="5">
        <v>357710</v>
      </c>
      <c r="AV43" s="5">
        <f t="shared" si="59"/>
        <v>2399457</v>
      </c>
      <c r="AW43" s="5"/>
      <c r="AX43" s="11">
        <v>45536</v>
      </c>
      <c r="AY43" s="5">
        <v>117024</v>
      </c>
      <c r="AZ43" s="5">
        <v>460216</v>
      </c>
      <c r="BA43" s="5">
        <v>670841</v>
      </c>
      <c r="BB43" s="5">
        <v>31186</v>
      </c>
      <c r="BC43" s="5">
        <v>85999</v>
      </c>
      <c r="BD43" s="5">
        <v>20054</v>
      </c>
      <c r="BE43" s="5">
        <v>16722</v>
      </c>
      <c r="BF43" s="5">
        <v>100699</v>
      </c>
      <c r="BG43" s="5">
        <v>238502</v>
      </c>
      <c r="BH43" s="5">
        <f t="shared" si="70"/>
        <v>1741243</v>
      </c>
      <c r="BI43" s="8"/>
      <c r="BJ43" s="11">
        <v>45536</v>
      </c>
      <c r="BK43" s="5">
        <f t="shared" si="81"/>
        <v>2106901</v>
      </c>
      <c r="BL43" s="8"/>
      <c r="BM43" s="5">
        <v>1304971</v>
      </c>
      <c r="BN43" s="12"/>
      <c r="BO43" s="5">
        <v>801930</v>
      </c>
      <c r="BP43" s="5">
        <v>33140</v>
      </c>
      <c r="BQ43" s="5">
        <v>219671</v>
      </c>
      <c r="BR43" s="5">
        <v>272743</v>
      </c>
      <c r="BS43" s="5">
        <v>46450</v>
      </c>
      <c r="BT43" s="5">
        <v>22202</v>
      </c>
      <c r="BU43" s="5">
        <v>25107</v>
      </c>
      <c r="BV43" s="5">
        <v>9259</v>
      </c>
      <c r="BW43" s="5">
        <v>41209</v>
      </c>
      <c r="BX43" s="5">
        <v>127193</v>
      </c>
      <c r="BY43" s="5">
        <v>4888</v>
      </c>
      <c r="BZ43" s="12"/>
      <c r="CA43" s="11">
        <v>45536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11">
        <v>45536</v>
      </c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8"/>
      <c r="CY43" s="11">
        <v>45536</v>
      </c>
      <c r="CZ43" s="5">
        <v>73610</v>
      </c>
      <c r="DA43" s="5"/>
      <c r="DB43" s="5"/>
      <c r="DC43" s="5"/>
      <c r="DD43" s="5"/>
      <c r="DE43" s="5"/>
      <c r="DF43" s="5"/>
      <c r="DG43" s="5"/>
      <c r="DH43" s="5"/>
      <c r="DI43" s="5"/>
      <c r="DJ43" s="8"/>
      <c r="DK43" s="11">
        <v>45536</v>
      </c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8"/>
      <c r="DW43" s="11">
        <v>45536</v>
      </c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8"/>
      <c r="EI43" s="11">
        <v>45536</v>
      </c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8"/>
      <c r="EU43" s="11">
        <v>45536</v>
      </c>
      <c r="EV43" s="5">
        <v>741618</v>
      </c>
      <c r="EW43" s="5">
        <v>34650</v>
      </c>
      <c r="EX43" s="5">
        <v>159468</v>
      </c>
      <c r="EY43" s="5">
        <v>158207</v>
      </c>
      <c r="EZ43" s="5">
        <v>36084</v>
      </c>
      <c r="FA43" s="5">
        <v>17647</v>
      </c>
      <c r="FB43" s="5">
        <v>16956</v>
      </c>
      <c r="FC43" s="5">
        <v>6344</v>
      </c>
      <c r="FD43" s="5">
        <v>36681</v>
      </c>
      <c r="FE43" s="5">
        <v>82360</v>
      </c>
      <c r="FF43" s="13"/>
      <c r="FG43" s="11">
        <v>45536</v>
      </c>
      <c r="FH43" s="5">
        <v>458998</v>
      </c>
      <c r="FI43" s="5">
        <v>20235</v>
      </c>
      <c r="FJ43" s="5">
        <v>105420</v>
      </c>
      <c r="FK43" s="5">
        <v>102288</v>
      </c>
      <c r="FL43" s="5">
        <v>18386</v>
      </c>
      <c r="FM43" s="5">
        <v>9910</v>
      </c>
      <c r="FN43" s="5">
        <v>8637</v>
      </c>
      <c r="FO43" s="5">
        <v>3257</v>
      </c>
      <c r="FP43" s="5">
        <v>24476</v>
      </c>
      <c r="FQ43" s="5">
        <v>51954</v>
      </c>
      <c r="FR43" s="5"/>
      <c r="FS43" s="11">
        <v>45536</v>
      </c>
      <c r="FT43" s="5">
        <v>522</v>
      </c>
      <c r="FU43" s="5">
        <v>126</v>
      </c>
      <c r="FV43" s="5">
        <v>89</v>
      </c>
      <c r="FW43" s="5">
        <v>62</v>
      </c>
      <c r="FX43" s="5">
        <v>267</v>
      </c>
      <c r="FY43" s="5">
        <v>1272</v>
      </c>
      <c r="FZ43" s="5">
        <v>249</v>
      </c>
      <c r="GA43" s="5">
        <v>894</v>
      </c>
      <c r="GB43" s="5">
        <v>238</v>
      </c>
      <c r="GC43" s="5">
        <v>3606</v>
      </c>
      <c r="GE43" s="11">
        <v>45536</v>
      </c>
      <c r="GF43" s="5">
        <v>625</v>
      </c>
      <c r="GG43" s="5">
        <v>219</v>
      </c>
      <c r="GH43" s="5">
        <v>67</v>
      </c>
      <c r="GI43" s="5">
        <v>95</v>
      </c>
      <c r="GJ43" s="5">
        <v>198</v>
      </c>
      <c r="GK43" s="5">
        <v>1668</v>
      </c>
      <c r="GL43" s="5">
        <v>114</v>
      </c>
      <c r="GM43" s="5">
        <v>1380</v>
      </c>
      <c r="GN43" s="5">
        <v>177</v>
      </c>
      <c r="GO43" s="5">
        <v>4543</v>
      </c>
      <c r="GQ43" s="11">
        <v>45536</v>
      </c>
      <c r="HC43" s="11">
        <v>45536</v>
      </c>
      <c r="HD43" s="5">
        <f t="shared" ref="HD43:HD63" si="82">CZ43+DL43+BM43</f>
        <v>1378581</v>
      </c>
      <c r="HE43" s="5">
        <f t="shared" ref="HE43:HE63" si="83">DA43+DM43+BP43</f>
        <v>33140</v>
      </c>
      <c r="HF43" s="5">
        <f t="shared" ref="HF43:HF63" si="84">DB43+DN43+BQ43</f>
        <v>219671</v>
      </c>
      <c r="HG43" s="5">
        <f t="shared" ref="HG43:HG63" si="85">DC43+DO43+BR43</f>
        <v>272743</v>
      </c>
      <c r="HH43" s="5">
        <f t="shared" ref="HH43:HH63" si="86">DD43+DP43+BS43</f>
        <v>46450</v>
      </c>
      <c r="HI43" s="5">
        <f t="shared" ref="HI43:HI63" si="87">DE43+DQ43+BT43</f>
        <v>22202</v>
      </c>
      <c r="HJ43" s="5">
        <f t="shared" ref="HJ43:HJ63" si="88">DF43+DR43+BU43</f>
        <v>25107</v>
      </c>
      <c r="HK43" s="5">
        <f t="shared" ref="HK43:HK63" si="89">DG43+DS43+BV43</f>
        <v>9259</v>
      </c>
      <c r="HL43" s="5">
        <f t="shared" ref="HL43:HL63" si="90">DH43+DT43+BW43</f>
        <v>41209</v>
      </c>
      <c r="HM43" s="5">
        <f t="shared" ref="HM43:HM63" si="91">DI43+DU43+BX43</f>
        <v>127193</v>
      </c>
      <c r="HO43" s="11">
        <v>45536</v>
      </c>
      <c r="HP43" s="5">
        <f t="shared" si="71"/>
        <v>0</v>
      </c>
      <c r="HQ43" s="5">
        <f t="shared" si="72"/>
        <v>0</v>
      </c>
      <c r="HR43" s="5">
        <f t="shared" si="73"/>
        <v>0</v>
      </c>
      <c r="HS43" s="5">
        <f t="shared" si="74"/>
        <v>0</v>
      </c>
      <c r="HT43" s="5">
        <f t="shared" si="75"/>
        <v>0</v>
      </c>
      <c r="HU43" s="5">
        <f t="shared" si="76"/>
        <v>0</v>
      </c>
      <c r="HV43" s="5">
        <f t="shared" si="77"/>
        <v>0</v>
      </c>
      <c r="HW43" s="5">
        <f t="shared" si="78"/>
        <v>0</v>
      </c>
      <c r="HX43" s="5">
        <f t="shared" si="79"/>
        <v>0</v>
      </c>
      <c r="HY43" s="5">
        <f t="shared" si="80"/>
        <v>0</v>
      </c>
    </row>
    <row r="44" spans="2:233">
      <c r="B44" s="11">
        <v>45566</v>
      </c>
      <c r="C44" s="5">
        <v>44</v>
      </c>
      <c r="D44" s="5">
        <v>154</v>
      </c>
      <c r="E44" s="5">
        <v>673</v>
      </c>
      <c r="F44" s="5">
        <v>267</v>
      </c>
      <c r="G44" s="5">
        <v>178</v>
      </c>
      <c r="H44" s="5">
        <v>203</v>
      </c>
      <c r="I44" s="5">
        <v>2301</v>
      </c>
      <c r="J44" s="5">
        <v>1864</v>
      </c>
      <c r="K44" s="5">
        <v>256</v>
      </c>
      <c r="L44" s="5">
        <f t="shared" si="57"/>
        <v>5940</v>
      </c>
      <c r="N44" s="11">
        <v>45566</v>
      </c>
      <c r="O44" s="5">
        <v>44</v>
      </c>
      <c r="P44" s="5">
        <v>154</v>
      </c>
      <c r="Q44" s="5">
        <v>673</v>
      </c>
      <c r="R44" s="5">
        <v>267</v>
      </c>
      <c r="S44" s="5">
        <v>178</v>
      </c>
      <c r="T44" s="5">
        <v>203</v>
      </c>
      <c r="U44" s="5">
        <v>2301</v>
      </c>
      <c r="V44" s="5">
        <v>1864</v>
      </c>
      <c r="W44" s="5">
        <v>256</v>
      </c>
      <c r="X44" s="5">
        <f t="shared" si="58"/>
        <v>5940</v>
      </c>
      <c r="Y44" s="5"/>
      <c r="Z44" s="11">
        <v>45566</v>
      </c>
      <c r="AA44" s="12"/>
      <c r="AB44" s="12"/>
      <c r="AC44" s="12"/>
      <c r="AD44" s="12"/>
      <c r="AE44" s="12"/>
      <c r="AF44" s="12"/>
      <c r="AG44" s="12"/>
      <c r="AH44" s="12"/>
      <c r="AI44" s="12"/>
      <c r="AJ44" s="206"/>
      <c r="AL44" s="11">
        <v>45566</v>
      </c>
      <c r="AM44" s="5">
        <v>137764</v>
      </c>
      <c r="AN44" s="5">
        <v>726990</v>
      </c>
      <c r="AO44" s="5">
        <v>955686</v>
      </c>
      <c r="AP44" s="5">
        <v>63306</v>
      </c>
      <c r="AQ44" s="5">
        <v>125407</v>
      </c>
      <c r="AR44" s="5">
        <v>51853</v>
      </c>
      <c r="AS44" s="5">
        <v>35184</v>
      </c>
      <c r="AT44" s="5">
        <v>128116</v>
      </c>
      <c r="AU44" s="5">
        <v>410194</v>
      </c>
      <c r="AV44" s="5">
        <f t="shared" si="59"/>
        <v>2634500</v>
      </c>
      <c r="AW44" s="5"/>
      <c r="AX44" s="11">
        <v>45566</v>
      </c>
      <c r="AY44" s="5">
        <v>103990</v>
      </c>
      <c r="AZ44" s="5">
        <v>565438</v>
      </c>
      <c r="BA44" s="5">
        <v>767165</v>
      </c>
      <c r="BB44" s="5">
        <v>36332</v>
      </c>
      <c r="BC44" s="5">
        <v>102586</v>
      </c>
      <c r="BD44" s="5">
        <v>30813</v>
      </c>
      <c r="BE44" s="5">
        <v>23169</v>
      </c>
      <c r="BF44" s="5">
        <v>82987</v>
      </c>
      <c r="BG44" s="5">
        <v>316982</v>
      </c>
      <c r="BH44" s="5">
        <f t="shared" si="70"/>
        <v>2029462</v>
      </c>
      <c r="BI44" s="8"/>
      <c r="BJ44" s="11">
        <v>45566</v>
      </c>
      <c r="BK44" s="5">
        <f t="shared" si="81"/>
        <v>2420254</v>
      </c>
      <c r="BL44" s="8"/>
      <c r="BM44" s="5">
        <v>1476882</v>
      </c>
      <c r="BN44" s="12"/>
      <c r="BO44" s="5">
        <v>943372</v>
      </c>
      <c r="BP44" s="5">
        <v>43579</v>
      </c>
      <c r="BQ44" s="5">
        <v>251630</v>
      </c>
      <c r="BR44" s="5">
        <v>302146</v>
      </c>
      <c r="BS44" s="5">
        <v>58438</v>
      </c>
      <c r="BT44" s="5">
        <v>30068</v>
      </c>
      <c r="BU44" s="5">
        <v>33540</v>
      </c>
      <c r="BV44" s="5">
        <v>12067</v>
      </c>
      <c r="BW44" s="5">
        <v>48929</v>
      </c>
      <c r="BX44" s="5">
        <v>148078</v>
      </c>
      <c r="BY44" s="5">
        <v>14722</v>
      </c>
      <c r="BZ44" s="12"/>
      <c r="CA44" s="11">
        <v>45566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11">
        <v>45566</v>
      </c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8"/>
      <c r="CY44" s="11">
        <v>45566</v>
      </c>
      <c r="CZ44" s="5">
        <v>75876</v>
      </c>
      <c r="DA44" s="5"/>
      <c r="DB44" s="5"/>
      <c r="DC44" s="5"/>
      <c r="DD44" s="5"/>
      <c r="DE44" s="5"/>
      <c r="DF44" s="5"/>
      <c r="DG44" s="5"/>
      <c r="DH44" s="5"/>
      <c r="DI44" s="5"/>
      <c r="DJ44" s="8"/>
      <c r="DK44" s="11">
        <v>45566</v>
      </c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8"/>
      <c r="DW44" s="11">
        <v>45566</v>
      </c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8"/>
      <c r="EI44" s="11">
        <v>45566</v>
      </c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8"/>
      <c r="EU44" s="11">
        <v>45566</v>
      </c>
      <c r="EV44" s="5">
        <v>786666</v>
      </c>
      <c r="EW44" s="5">
        <v>35260</v>
      </c>
      <c r="EX44" s="5">
        <v>166807</v>
      </c>
      <c r="EY44" s="5">
        <v>170394</v>
      </c>
      <c r="EZ44" s="5">
        <v>36944</v>
      </c>
      <c r="FA44" s="5">
        <v>18437</v>
      </c>
      <c r="FB44" s="5">
        <v>21820</v>
      </c>
      <c r="FC44" s="5">
        <v>9216</v>
      </c>
      <c r="FD44" s="5">
        <v>31215</v>
      </c>
      <c r="FE44" s="5">
        <v>93792</v>
      </c>
      <c r="FF44" s="13"/>
      <c r="FG44" s="11">
        <v>45566</v>
      </c>
      <c r="FH44" s="5">
        <v>504217</v>
      </c>
      <c r="FI44" s="5">
        <v>21182</v>
      </c>
      <c r="FJ44" s="5">
        <v>113137</v>
      </c>
      <c r="FK44" s="5">
        <v>113390</v>
      </c>
      <c r="FL44" s="5">
        <v>20975</v>
      </c>
      <c r="FM44" s="5">
        <v>10977</v>
      </c>
      <c r="FN44" s="5">
        <v>12304</v>
      </c>
      <c r="FO44" s="5">
        <v>5556</v>
      </c>
      <c r="FP44" s="5">
        <v>19649</v>
      </c>
      <c r="FQ44" s="5">
        <v>56983</v>
      </c>
      <c r="FR44" s="5"/>
      <c r="FS44" s="11">
        <v>45566</v>
      </c>
      <c r="FT44" s="5">
        <v>611</v>
      </c>
      <c r="FU44" s="5">
        <v>135</v>
      </c>
      <c r="FV44" s="5">
        <v>108</v>
      </c>
      <c r="FW44" s="5">
        <v>71</v>
      </c>
      <c r="FX44" s="5">
        <v>243</v>
      </c>
      <c r="FY44" s="5">
        <v>1287</v>
      </c>
      <c r="FZ44" s="5">
        <v>200</v>
      </c>
      <c r="GA44" s="5">
        <v>976</v>
      </c>
      <c r="GB44" s="5">
        <v>209</v>
      </c>
      <c r="GC44" s="5">
        <v>3726</v>
      </c>
      <c r="GE44" s="11">
        <v>45566</v>
      </c>
      <c r="GF44" s="5">
        <v>553</v>
      </c>
      <c r="GG44" s="5">
        <v>214</v>
      </c>
      <c r="GH44" s="5">
        <v>36</v>
      </c>
      <c r="GI44" s="5">
        <v>107</v>
      </c>
      <c r="GJ44" s="5">
        <v>186</v>
      </c>
      <c r="GK44" s="5">
        <v>1977</v>
      </c>
      <c r="GL44" s="5">
        <v>147</v>
      </c>
      <c r="GM44" s="5">
        <v>1267</v>
      </c>
      <c r="GN44" s="5">
        <v>186</v>
      </c>
      <c r="GO44" s="5">
        <v>4673</v>
      </c>
      <c r="GQ44" s="11">
        <v>45566</v>
      </c>
      <c r="HC44" s="11">
        <v>45566</v>
      </c>
      <c r="HD44" s="5">
        <f t="shared" si="82"/>
        <v>1552758</v>
      </c>
      <c r="HE44" s="5">
        <f t="shared" si="83"/>
        <v>43579</v>
      </c>
      <c r="HF44" s="5">
        <f t="shared" si="84"/>
        <v>251630</v>
      </c>
      <c r="HG44" s="5">
        <f t="shared" si="85"/>
        <v>302146</v>
      </c>
      <c r="HH44" s="5">
        <f t="shared" si="86"/>
        <v>58438</v>
      </c>
      <c r="HI44" s="5">
        <f t="shared" si="87"/>
        <v>30068</v>
      </c>
      <c r="HJ44" s="5">
        <f t="shared" si="88"/>
        <v>33540</v>
      </c>
      <c r="HK44" s="5">
        <f t="shared" si="89"/>
        <v>12067</v>
      </c>
      <c r="HL44" s="5">
        <f t="shared" si="90"/>
        <v>48929</v>
      </c>
      <c r="HM44" s="5">
        <f t="shared" si="91"/>
        <v>148078</v>
      </c>
      <c r="HO44" s="11">
        <v>45566</v>
      </c>
      <c r="HP44" s="5">
        <f t="shared" si="71"/>
        <v>0</v>
      </c>
      <c r="HQ44" s="5">
        <f t="shared" si="72"/>
        <v>0</v>
      </c>
      <c r="HR44" s="5">
        <f t="shared" si="73"/>
        <v>0</v>
      </c>
      <c r="HS44" s="5">
        <f t="shared" si="74"/>
        <v>0</v>
      </c>
      <c r="HT44" s="5">
        <f t="shared" si="75"/>
        <v>0</v>
      </c>
      <c r="HU44" s="5">
        <f t="shared" si="76"/>
        <v>0</v>
      </c>
      <c r="HV44" s="5">
        <f t="shared" si="77"/>
        <v>0</v>
      </c>
      <c r="HW44" s="5">
        <f t="shared" si="78"/>
        <v>0</v>
      </c>
      <c r="HX44" s="5">
        <f t="shared" si="79"/>
        <v>0</v>
      </c>
      <c r="HY44" s="5">
        <f t="shared" si="80"/>
        <v>0</v>
      </c>
    </row>
    <row r="45" spans="2:233">
      <c r="B45" s="11">
        <v>45597</v>
      </c>
      <c r="C45" s="5">
        <v>27</v>
      </c>
      <c r="D45" s="5">
        <v>149</v>
      </c>
      <c r="E45" s="5">
        <v>737</v>
      </c>
      <c r="F45" s="5">
        <v>337</v>
      </c>
      <c r="G45" s="5">
        <v>150</v>
      </c>
      <c r="H45" s="5">
        <v>285</v>
      </c>
      <c r="I45" s="5">
        <v>2782</v>
      </c>
      <c r="J45" s="5">
        <v>1797</v>
      </c>
      <c r="K45" s="5">
        <v>268</v>
      </c>
      <c r="L45" s="5">
        <f t="shared" si="57"/>
        <v>6532</v>
      </c>
      <c r="N45" s="11">
        <v>45597</v>
      </c>
      <c r="O45" s="5">
        <v>27</v>
      </c>
      <c r="P45" s="5">
        <v>149</v>
      </c>
      <c r="Q45" s="5">
        <v>737</v>
      </c>
      <c r="R45" s="5">
        <v>337</v>
      </c>
      <c r="S45" s="5">
        <v>150</v>
      </c>
      <c r="T45" s="5">
        <v>285</v>
      </c>
      <c r="U45" s="5">
        <v>2782</v>
      </c>
      <c r="V45" s="5">
        <v>1797</v>
      </c>
      <c r="W45" s="5">
        <v>268</v>
      </c>
      <c r="X45" s="5">
        <f t="shared" si="58"/>
        <v>6532</v>
      </c>
      <c r="Y45" s="5"/>
      <c r="Z45" s="11">
        <v>45597</v>
      </c>
      <c r="AA45" s="12"/>
      <c r="AB45" s="12"/>
      <c r="AC45" s="12"/>
      <c r="AD45" s="12"/>
      <c r="AE45" s="12"/>
      <c r="AF45" s="12"/>
      <c r="AG45" s="12"/>
      <c r="AH45" s="12"/>
      <c r="AI45" s="12"/>
      <c r="AJ45" s="206"/>
      <c r="AL45" s="11">
        <v>45597</v>
      </c>
      <c r="AM45" s="5">
        <v>102545</v>
      </c>
      <c r="AN45" s="5">
        <v>737600</v>
      </c>
      <c r="AO45" s="5">
        <v>906319</v>
      </c>
      <c r="AP45" s="5">
        <v>65190</v>
      </c>
      <c r="AQ45" s="5">
        <v>108161</v>
      </c>
      <c r="AR45" s="5">
        <v>50874</v>
      </c>
      <c r="AS45" s="5">
        <v>24359</v>
      </c>
      <c r="AT45" s="5">
        <v>127872</v>
      </c>
      <c r="AU45" s="5">
        <v>356293</v>
      </c>
      <c r="AV45" s="5">
        <f t="shared" si="59"/>
        <v>2479213</v>
      </c>
      <c r="AW45" s="5"/>
      <c r="AX45" s="11">
        <v>45597</v>
      </c>
      <c r="AY45" s="5">
        <v>74318</v>
      </c>
      <c r="AZ45" s="5">
        <v>540073</v>
      </c>
      <c r="BA45" s="5">
        <v>765412</v>
      </c>
      <c r="BB45" s="5">
        <v>33973</v>
      </c>
      <c r="BC45" s="5">
        <v>82606</v>
      </c>
      <c r="BD45" s="5">
        <v>30565</v>
      </c>
      <c r="BE45" s="5">
        <v>14270</v>
      </c>
      <c r="BF45" s="5">
        <v>73649</v>
      </c>
      <c r="BG45" s="5">
        <v>283119</v>
      </c>
      <c r="BH45" s="5">
        <f t="shared" si="70"/>
        <v>1897985</v>
      </c>
      <c r="BI45" s="8"/>
      <c r="BJ45" s="11">
        <v>45597</v>
      </c>
      <c r="BK45" s="5">
        <f t="shared" si="81"/>
        <v>2731669</v>
      </c>
      <c r="BL45" s="8"/>
      <c r="BM45" s="5">
        <v>1680780</v>
      </c>
      <c r="BN45" s="12"/>
      <c r="BO45" s="5">
        <v>1050889</v>
      </c>
      <c r="BP45" s="5">
        <v>44755</v>
      </c>
      <c r="BQ45" s="5">
        <v>278517</v>
      </c>
      <c r="BR45" s="5">
        <v>358538</v>
      </c>
      <c r="BS45" s="5">
        <v>67035</v>
      </c>
      <c r="BT45" s="5">
        <v>32228</v>
      </c>
      <c r="BU45" s="5">
        <v>36954</v>
      </c>
      <c r="BV45" s="5">
        <v>8656</v>
      </c>
      <c r="BW45" s="5">
        <v>51926</v>
      </c>
      <c r="BX45" s="5">
        <v>162710</v>
      </c>
      <c r="BY45" s="5">
        <v>9451</v>
      </c>
      <c r="BZ45" s="12"/>
      <c r="CA45" s="11">
        <v>45597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11">
        <v>45597</v>
      </c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8"/>
      <c r="CY45" s="11">
        <v>45597</v>
      </c>
      <c r="CZ45" s="5">
        <v>77565</v>
      </c>
      <c r="DA45" s="5"/>
      <c r="DB45" s="5"/>
      <c r="DC45" s="5"/>
      <c r="DD45" s="5"/>
      <c r="DE45" s="5"/>
      <c r="DF45" s="5"/>
      <c r="DG45" s="5"/>
      <c r="DH45" s="5"/>
      <c r="DI45" s="5"/>
      <c r="DJ45" s="8"/>
      <c r="DK45" s="11">
        <v>45597</v>
      </c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8"/>
      <c r="DW45" s="11">
        <v>45597</v>
      </c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8"/>
      <c r="EI45" s="11">
        <v>45597</v>
      </c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8"/>
      <c r="EU45" s="11">
        <v>45597</v>
      </c>
      <c r="EV45" s="5">
        <v>867280</v>
      </c>
      <c r="EW45" s="5">
        <v>29664</v>
      </c>
      <c r="EX45" s="5">
        <v>171287</v>
      </c>
      <c r="EY45" s="5">
        <v>199834</v>
      </c>
      <c r="EZ45" s="5">
        <v>41608</v>
      </c>
      <c r="FA45" s="5">
        <v>16355</v>
      </c>
      <c r="FB45" s="5">
        <v>23460</v>
      </c>
      <c r="FC45" s="5">
        <v>6031</v>
      </c>
      <c r="FD45" s="5">
        <v>33568</v>
      </c>
      <c r="FE45" s="5">
        <v>89904</v>
      </c>
      <c r="FF45" s="13"/>
      <c r="FG45" s="11">
        <v>45597</v>
      </c>
      <c r="FH45" s="5">
        <v>570099</v>
      </c>
      <c r="FI45" s="5">
        <v>17826</v>
      </c>
      <c r="FJ45" s="5">
        <v>117728</v>
      </c>
      <c r="FK45" s="5">
        <v>142084</v>
      </c>
      <c r="FL45" s="5">
        <v>23473</v>
      </c>
      <c r="FM45" s="5">
        <v>9267</v>
      </c>
      <c r="FN45" s="5">
        <v>13519</v>
      </c>
      <c r="FO45" s="5">
        <v>3106</v>
      </c>
      <c r="FP45" s="5">
        <v>20751</v>
      </c>
      <c r="FQ45" s="5">
        <v>63618</v>
      </c>
      <c r="FR45" s="5"/>
      <c r="FS45" s="11">
        <v>45597</v>
      </c>
      <c r="FT45" s="5">
        <v>596</v>
      </c>
      <c r="FU45" s="5">
        <v>146</v>
      </c>
      <c r="FV45" s="5">
        <v>96</v>
      </c>
      <c r="FW45" s="5">
        <v>95</v>
      </c>
      <c r="FX45" s="5">
        <v>359</v>
      </c>
      <c r="FY45" s="5">
        <v>1515</v>
      </c>
      <c r="FZ45" s="5">
        <v>248</v>
      </c>
      <c r="GA45" s="5">
        <v>1083</v>
      </c>
      <c r="GB45" s="5">
        <v>222</v>
      </c>
      <c r="GC45" s="5">
        <v>4203</v>
      </c>
      <c r="GE45" s="11">
        <v>45597</v>
      </c>
      <c r="GF45" s="5">
        <v>546</v>
      </c>
      <c r="GG45" s="5">
        <v>241</v>
      </c>
      <c r="GH45" s="5">
        <v>43</v>
      </c>
      <c r="GI45" s="5">
        <v>93</v>
      </c>
      <c r="GJ45" s="5">
        <v>229</v>
      </c>
      <c r="GK45" s="5">
        <v>2248</v>
      </c>
      <c r="GL45" s="5">
        <v>157</v>
      </c>
      <c r="GM45" s="5">
        <v>1193</v>
      </c>
      <c r="GN45" s="5">
        <v>178</v>
      </c>
      <c r="GO45" s="5">
        <v>4928</v>
      </c>
      <c r="GQ45" s="11">
        <v>45597</v>
      </c>
      <c r="HC45" s="11">
        <v>45597</v>
      </c>
      <c r="HD45" s="5">
        <f t="shared" si="82"/>
        <v>1758345</v>
      </c>
      <c r="HE45" s="5">
        <f t="shared" si="83"/>
        <v>44755</v>
      </c>
      <c r="HF45" s="5">
        <f t="shared" si="84"/>
        <v>278517</v>
      </c>
      <c r="HG45" s="5">
        <f t="shared" si="85"/>
        <v>358538</v>
      </c>
      <c r="HH45" s="5">
        <f t="shared" si="86"/>
        <v>67035</v>
      </c>
      <c r="HI45" s="5">
        <f t="shared" si="87"/>
        <v>32228</v>
      </c>
      <c r="HJ45" s="5">
        <f t="shared" si="88"/>
        <v>36954</v>
      </c>
      <c r="HK45" s="5">
        <f t="shared" si="89"/>
        <v>8656</v>
      </c>
      <c r="HL45" s="5">
        <f t="shared" si="90"/>
        <v>51926</v>
      </c>
      <c r="HM45" s="5">
        <f t="shared" si="91"/>
        <v>162710</v>
      </c>
      <c r="HO45" s="11">
        <v>45597</v>
      </c>
      <c r="HP45" s="5">
        <f t="shared" si="71"/>
        <v>0</v>
      </c>
      <c r="HQ45" s="5">
        <f t="shared" si="72"/>
        <v>0</v>
      </c>
      <c r="HR45" s="5">
        <f t="shared" si="73"/>
        <v>0</v>
      </c>
      <c r="HS45" s="5">
        <f t="shared" si="74"/>
        <v>0</v>
      </c>
      <c r="HT45" s="5">
        <f t="shared" si="75"/>
        <v>0</v>
      </c>
      <c r="HU45" s="5">
        <f t="shared" si="76"/>
        <v>0</v>
      </c>
      <c r="HV45" s="5">
        <f t="shared" si="77"/>
        <v>0</v>
      </c>
      <c r="HW45" s="5">
        <f t="shared" si="78"/>
        <v>0</v>
      </c>
      <c r="HX45" s="5">
        <f t="shared" si="79"/>
        <v>0</v>
      </c>
      <c r="HY45" s="5">
        <f t="shared" si="80"/>
        <v>0</v>
      </c>
    </row>
    <row r="46" spans="2:233">
      <c r="B46" s="11">
        <v>45627</v>
      </c>
      <c r="C46" s="5">
        <v>29</v>
      </c>
      <c r="D46" s="5">
        <v>330</v>
      </c>
      <c r="E46" s="5">
        <v>820</v>
      </c>
      <c r="F46" s="5">
        <v>315</v>
      </c>
      <c r="G46" s="5">
        <v>158</v>
      </c>
      <c r="H46" s="5">
        <v>380</v>
      </c>
      <c r="I46" s="5">
        <v>2913</v>
      </c>
      <c r="J46" s="5">
        <v>2141</v>
      </c>
      <c r="K46" s="5">
        <v>272</v>
      </c>
      <c r="L46" s="5">
        <f t="shared" si="57"/>
        <v>7358</v>
      </c>
      <c r="N46" s="11">
        <v>45627</v>
      </c>
      <c r="O46" s="5">
        <v>29</v>
      </c>
      <c r="P46" s="5">
        <v>330</v>
      </c>
      <c r="Q46" s="5">
        <v>820</v>
      </c>
      <c r="R46" s="5">
        <v>315</v>
      </c>
      <c r="S46" s="5">
        <v>158</v>
      </c>
      <c r="T46" s="5">
        <v>380</v>
      </c>
      <c r="U46" s="5">
        <v>2913</v>
      </c>
      <c r="V46" s="5">
        <v>2141</v>
      </c>
      <c r="W46" s="5">
        <v>272</v>
      </c>
      <c r="X46" s="5">
        <f t="shared" si="58"/>
        <v>7358</v>
      </c>
      <c r="Y46" s="5"/>
      <c r="Z46" s="11">
        <v>45627</v>
      </c>
      <c r="AA46" s="12"/>
      <c r="AB46" s="12"/>
      <c r="AC46" s="12"/>
      <c r="AD46" s="12"/>
      <c r="AE46" s="12"/>
      <c r="AF46" s="12"/>
      <c r="AG46" s="12"/>
      <c r="AH46" s="12"/>
      <c r="AI46" s="12"/>
      <c r="AJ46" s="206"/>
      <c r="AL46" s="11">
        <v>45627</v>
      </c>
      <c r="AM46" s="5">
        <v>95301</v>
      </c>
      <c r="AN46" s="5">
        <v>613247</v>
      </c>
      <c r="AO46" s="5">
        <v>1049479</v>
      </c>
      <c r="AP46" s="5">
        <v>50224</v>
      </c>
      <c r="AQ46" s="5">
        <v>97258</v>
      </c>
      <c r="AR46" s="5">
        <v>43629</v>
      </c>
      <c r="AS46" s="5">
        <v>19663</v>
      </c>
      <c r="AT46" s="5">
        <v>105157</v>
      </c>
      <c r="AU46" s="5">
        <v>326162</v>
      </c>
      <c r="AV46" s="5">
        <f t="shared" si="59"/>
        <v>2400120</v>
      </c>
      <c r="AW46" s="5"/>
      <c r="AX46" s="11">
        <v>45627</v>
      </c>
      <c r="AY46" s="5">
        <v>72656</v>
      </c>
      <c r="AZ46" s="5">
        <v>440762</v>
      </c>
      <c r="BA46" s="5">
        <v>841628</v>
      </c>
      <c r="BB46" s="5">
        <v>26067</v>
      </c>
      <c r="BC46" s="5">
        <v>73045</v>
      </c>
      <c r="BD46" s="5">
        <v>23045</v>
      </c>
      <c r="BE46" s="5">
        <v>10955</v>
      </c>
      <c r="BF46" s="5">
        <v>55294</v>
      </c>
      <c r="BG46" s="5">
        <v>232779</v>
      </c>
      <c r="BH46" s="5">
        <f>SUM(AY46:BG46)</f>
        <v>1776231</v>
      </c>
      <c r="BI46" s="8"/>
      <c r="BJ46" s="11">
        <v>45627</v>
      </c>
      <c r="BK46" s="5">
        <f t="shared" si="81"/>
        <v>2799092</v>
      </c>
      <c r="BL46" s="8"/>
      <c r="BM46" s="5">
        <v>1708285</v>
      </c>
      <c r="BN46" s="8"/>
      <c r="BO46" s="5">
        <v>1090807</v>
      </c>
      <c r="BP46" s="5">
        <v>51231</v>
      </c>
      <c r="BQ46" s="5">
        <v>307113</v>
      </c>
      <c r="BR46" s="5">
        <v>351293</v>
      </c>
      <c r="BS46" s="5">
        <v>70665</v>
      </c>
      <c r="BT46" s="5">
        <v>43669</v>
      </c>
      <c r="BU46" s="5">
        <v>36941</v>
      </c>
      <c r="BV46" s="5">
        <v>8225</v>
      </c>
      <c r="BW46" s="5">
        <v>49187</v>
      </c>
      <c r="BX46" s="5">
        <v>163252</v>
      </c>
      <c r="BY46" s="5">
        <v>9203</v>
      </c>
      <c r="BZ46" s="12"/>
      <c r="CA46" s="11">
        <v>45627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11">
        <v>45627</v>
      </c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8"/>
      <c r="CY46" s="11">
        <v>45627</v>
      </c>
      <c r="CZ46" s="5">
        <v>104838</v>
      </c>
      <c r="DA46" s="5"/>
      <c r="DB46" s="5"/>
      <c r="DC46" s="5"/>
      <c r="DD46" s="5"/>
      <c r="DE46" s="5"/>
      <c r="DF46" s="5"/>
      <c r="DG46" s="5"/>
      <c r="DH46" s="5"/>
      <c r="DI46" s="5"/>
      <c r="DJ46" s="8"/>
      <c r="DK46" s="11">
        <v>45627</v>
      </c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8"/>
      <c r="DW46" s="11">
        <v>45627</v>
      </c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8"/>
      <c r="EI46" s="11">
        <v>45627</v>
      </c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8"/>
      <c r="EU46" s="11">
        <v>45627</v>
      </c>
      <c r="EV46" s="5">
        <v>977937</v>
      </c>
      <c r="EW46" s="5">
        <v>27058</v>
      </c>
      <c r="EX46" s="5">
        <v>174542</v>
      </c>
      <c r="EY46" s="5">
        <v>188705</v>
      </c>
      <c r="EZ46" s="5">
        <v>32844</v>
      </c>
      <c r="FA46" s="5">
        <v>14839</v>
      </c>
      <c r="FB46" s="5">
        <v>20105</v>
      </c>
      <c r="FC46" s="5">
        <v>3917</v>
      </c>
      <c r="FD46" s="5">
        <v>26444</v>
      </c>
      <c r="FE46" s="5">
        <v>68058</v>
      </c>
      <c r="FF46" s="13"/>
      <c r="FG46" s="11">
        <v>45627</v>
      </c>
      <c r="FH46" s="5">
        <v>533955</v>
      </c>
      <c r="FI46" s="5">
        <v>15625</v>
      </c>
      <c r="FJ46" s="5">
        <v>122342</v>
      </c>
      <c r="FK46" s="5">
        <v>128205</v>
      </c>
      <c r="FL46" s="5">
        <v>18122</v>
      </c>
      <c r="FM46" s="5">
        <v>7989</v>
      </c>
      <c r="FN46" s="5">
        <v>10336</v>
      </c>
      <c r="FO46" s="5">
        <v>1803</v>
      </c>
      <c r="FP46" s="5">
        <v>15101</v>
      </c>
      <c r="FQ46" s="5">
        <v>45110</v>
      </c>
      <c r="FR46" s="5"/>
      <c r="FS46" s="11">
        <v>45627</v>
      </c>
      <c r="FT46" s="5">
        <v>372</v>
      </c>
      <c r="FU46" s="5">
        <v>153</v>
      </c>
      <c r="FV46" s="5">
        <v>73</v>
      </c>
      <c r="FW46" s="5">
        <v>96</v>
      </c>
      <c r="FX46" s="5">
        <v>284</v>
      </c>
      <c r="FY46" s="5">
        <v>1235</v>
      </c>
      <c r="FZ46" s="5">
        <v>247</v>
      </c>
      <c r="GA46" s="5">
        <v>821</v>
      </c>
      <c r="GB46" s="5">
        <v>188</v>
      </c>
      <c r="GC46" s="5">
        <v>3334</v>
      </c>
      <c r="GE46" s="11">
        <v>45627</v>
      </c>
      <c r="GF46" s="5">
        <v>650</v>
      </c>
      <c r="GG46" s="5">
        <v>182</v>
      </c>
      <c r="GH46" s="5">
        <v>36</v>
      </c>
      <c r="GI46" s="5">
        <v>75</v>
      </c>
      <c r="GJ46" s="5">
        <v>299</v>
      </c>
      <c r="GK46" s="5">
        <v>2535</v>
      </c>
      <c r="GL46" s="5">
        <v>289</v>
      </c>
      <c r="GM46" s="5">
        <v>1647</v>
      </c>
      <c r="GN46" s="5">
        <v>187</v>
      </c>
      <c r="GO46" s="5">
        <v>5900</v>
      </c>
      <c r="GQ46" s="11">
        <v>45627</v>
      </c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11">
        <v>45627</v>
      </c>
      <c r="HD46" s="5">
        <f t="shared" si="82"/>
        <v>1813123</v>
      </c>
      <c r="HE46" s="5">
        <f t="shared" si="83"/>
        <v>51231</v>
      </c>
      <c r="HF46" s="5">
        <f t="shared" si="84"/>
        <v>307113</v>
      </c>
      <c r="HG46" s="5">
        <f t="shared" si="85"/>
        <v>351293</v>
      </c>
      <c r="HH46" s="5">
        <f t="shared" si="86"/>
        <v>70665</v>
      </c>
      <c r="HI46" s="5">
        <f t="shared" si="87"/>
        <v>43669</v>
      </c>
      <c r="HJ46" s="5">
        <f t="shared" si="88"/>
        <v>36941</v>
      </c>
      <c r="HK46" s="5">
        <f t="shared" si="89"/>
        <v>8225</v>
      </c>
      <c r="HL46" s="5">
        <f t="shared" si="90"/>
        <v>49187</v>
      </c>
      <c r="HM46" s="5">
        <f t="shared" si="91"/>
        <v>163252</v>
      </c>
      <c r="HO46" s="11">
        <v>45627</v>
      </c>
      <c r="HP46" s="5">
        <f t="shared" si="71"/>
        <v>0</v>
      </c>
      <c r="HQ46" s="5">
        <f t="shared" si="72"/>
        <v>0</v>
      </c>
      <c r="HR46" s="5">
        <f t="shared" si="73"/>
        <v>0</v>
      </c>
      <c r="HS46" s="5">
        <f t="shared" si="74"/>
        <v>0</v>
      </c>
      <c r="HT46" s="5">
        <f t="shared" si="75"/>
        <v>0</v>
      </c>
      <c r="HU46" s="5">
        <f t="shared" si="76"/>
        <v>0</v>
      </c>
      <c r="HV46" s="5">
        <f t="shared" si="77"/>
        <v>0</v>
      </c>
      <c r="HW46" s="5">
        <f t="shared" si="78"/>
        <v>0</v>
      </c>
      <c r="HX46" s="5">
        <f t="shared" si="79"/>
        <v>0</v>
      </c>
      <c r="HY46" s="5">
        <f t="shared" si="80"/>
        <v>0</v>
      </c>
    </row>
    <row r="47" spans="2:233">
      <c r="B47" s="11">
        <v>45658</v>
      </c>
      <c r="C47" s="8">
        <v>20</v>
      </c>
      <c r="D47" s="8">
        <v>195</v>
      </c>
      <c r="E47" s="8">
        <v>448</v>
      </c>
      <c r="F47" s="8">
        <v>256</v>
      </c>
      <c r="G47" s="8">
        <v>119</v>
      </c>
      <c r="H47" s="8">
        <v>189</v>
      </c>
      <c r="I47" s="8">
        <v>1718</v>
      </c>
      <c r="J47" s="8">
        <v>1382</v>
      </c>
      <c r="K47" s="8">
        <v>220</v>
      </c>
      <c r="L47" s="8">
        <f t="shared" si="57"/>
        <v>4547</v>
      </c>
      <c r="N47" s="11">
        <v>45658</v>
      </c>
      <c r="O47" s="8">
        <v>20</v>
      </c>
      <c r="P47" s="8">
        <v>195</v>
      </c>
      <c r="Q47" s="8">
        <v>448</v>
      </c>
      <c r="R47" s="8">
        <v>256</v>
      </c>
      <c r="S47" s="8">
        <v>119</v>
      </c>
      <c r="T47" s="8">
        <v>189</v>
      </c>
      <c r="U47" s="8">
        <v>1718</v>
      </c>
      <c r="V47" s="8">
        <v>1382</v>
      </c>
      <c r="W47" s="8">
        <v>220</v>
      </c>
      <c r="X47" s="8">
        <f t="shared" si="58"/>
        <v>4547</v>
      </c>
      <c r="Y47" s="8"/>
      <c r="Z47" s="11">
        <v>45658</v>
      </c>
      <c r="AA47" s="207">
        <v>117157</v>
      </c>
      <c r="AB47" s="207">
        <v>485876</v>
      </c>
      <c r="AC47" s="208">
        <v>601830</v>
      </c>
      <c r="AD47" s="208">
        <v>46235</v>
      </c>
      <c r="AE47" s="208">
        <v>90494</v>
      </c>
      <c r="AF47" s="208">
        <v>34864</v>
      </c>
      <c r="AG47" s="208">
        <v>17339</v>
      </c>
      <c r="AH47" s="208">
        <v>60513</v>
      </c>
      <c r="AI47" s="208">
        <v>253651</v>
      </c>
      <c r="AJ47" s="209">
        <v>2221670</v>
      </c>
      <c r="AL47" s="11">
        <v>45658</v>
      </c>
      <c r="AM47" s="5">
        <v>117157</v>
      </c>
      <c r="AN47" s="5">
        <v>485876</v>
      </c>
      <c r="AO47" s="5">
        <v>601830</v>
      </c>
      <c r="AP47" s="5">
        <v>46235</v>
      </c>
      <c r="AQ47" s="5">
        <v>90494</v>
      </c>
      <c r="AR47" s="5">
        <v>34864</v>
      </c>
      <c r="AS47" s="5">
        <v>17339</v>
      </c>
      <c r="AT47" s="5">
        <v>60513</v>
      </c>
      <c r="AU47" s="5">
        <v>253651</v>
      </c>
      <c r="AV47" s="5">
        <f t="shared" si="59"/>
        <v>1707959</v>
      </c>
      <c r="AW47" s="5"/>
      <c r="AX47" s="11">
        <v>45658</v>
      </c>
      <c r="AY47" s="5">
        <v>98012</v>
      </c>
      <c r="AZ47" s="5">
        <v>383810</v>
      </c>
      <c r="BA47" s="5">
        <v>480386</v>
      </c>
      <c r="BB47" s="5">
        <v>22003</v>
      </c>
      <c r="BC47" s="5">
        <v>62489</v>
      </c>
      <c r="BD47" s="5">
        <v>15018</v>
      </c>
      <c r="BE47" s="5">
        <v>8821</v>
      </c>
      <c r="BF47" s="5">
        <v>38552</v>
      </c>
      <c r="BG47" s="5">
        <v>210066</v>
      </c>
      <c r="BH47" s="5">
        <f>SUM(AY47:BG47)</f>
        <v>1319157</v>
      </c>
      <c r="BI47" s="8"/>
      <c r="BJ47" s="11">
        <v>45658</v>
      </c>
      <c r="BK47" s="8">
        <f t="shared" si="81"/>
        <v>2667199</v>
      </c>
      <c r="BL47" s="8"/>
      <c r="BM47" s="8">
        <v>1659038</v>
      </c>
      <c r="BN47" s="8"/>
      <c r="BO47" s="8">
        <v>1008161</v>
      </c>
      <c r="BP47" s="8">
        <v>53117</v>
      </c>
      <c r="BQ47" s="8">
        <v>288769</v>
      </c>
      <c r="BR47" s="8">
        <v>318683</v>
      </c>
      <c r="BS47" s="8">
        <v>66013</v>
      </c>
      <c r="BT47" s="8">
        <v>35816</v>
      </c>
      <c r="BU47" s="8">
        <v>36519</v>
      </c>
      <c r="BV47" s="8">
        <v>6883</v>
      </c>
      <c r="BW47" s="8">
        <v>46849</v>
      </c>
      <c r="BX47" s="8">
        <v>155512</v>
      </c>
      <c r="BY47" s="8">
        <v>8911</v>
      </c>
      <c r="BZ47" s="12"/>
      <c r="CA47" s="11">
        <v>45658</v>
      </c>
      <c r="CB47" s="5">
        <v>93487</v>
      </c>
      <c r="CC47" s="5">
        <v>3641</v>
      </c>
      <c r="CD47" s="5">
        <v>14571</v>
      </c>
      <c r="CE47" s="5">
        <v>16403</v>
      </c>
      <c r="CF47" s="5">
        <v>4879</v>
      </c>
      <c r="CG47" s="5">
        <v>1909</v>
      </c>
      <c r="CH47" s="5">
        <v>1336</v>
      </c>
      <c r="CI47" s="5">
        <v>271</v>
      </c>
      <c r="CJ47" s="5">
        <v>2034</v>
      </c>
      <c r="CK47" s="5">
        <v>7701</v>
      </c>
      <c r="CL47" s="5"/>
      <c r="CM47" s="11">
        <v>45658</v>
      </c>
      <c r="CN47" s="5">
        <f>CZ47+DL47</f>
        <v>128664</v>
      </c>
      <c r="CO47" s="5">
        <f t="shared" ref="CO47:CW47" si="92">DA47+DM47</f>
        <v>5629</v>
      </c>
      <c r="CP47" s="5">
        <f t="shared" si="92"/>
        <v>20597</v>
      </c>
      <c r="CQ47" s="5">
        <f t="shared" si="92"/>
        <v>24148</v>
      </c>
      <c r="CR47" s="5">
        <f t="shared" si="92"/>
        <v>6398</v>
      </c>
      <c r="CS47" s="5">
        <f t="shared" si="92"/>
        <v>3331</v>
      </c>
      <c r="CT47" s="5">
        <f t="shared" si="92"/>
        <v>2153</v>
      </c>
      <c r="CU47" s="5">
        <f t="shared" si="92"/>
        <v>555</v>
      </c>
      <c r="CV47" s="5">
        <f t="shared" si="92"/>
        <v>3642</v>
      </c>
      <c r="CW47" s="5">
        <f t="shared" si="92"/>
        <v>10826</v>
      </c>
      <c r="CX47" s="8"/>
      <c r="CY47" s="11">
        <v>45658</v>
      </c>
      <c r="CZ47" s="20">
        <v>64501</v>
      </c>
      <c r="DA47" s="5">
        <v>943</v>
      </c>
      <c r="DB47" s="5">
        <v>3180</v>
      </c>
      <c r="DC47" s="5">
        <v>4802</v>
      </c>
      <c r="DD47" s="5">
        <v>913</v>
      </c>
      <c r="DE47" s="5">
        <v>573</v>
      </c>
      <c r="DF47" s="5">
        <v>337</v>
      </c>
      <c r="DG47" s="5">
        <v>147</v>
      </c>
      <c r="DH47" s="5">
        <v>624</v>
      </c>
      <c r="DI47" s="5">
        <v>1597</v>
      </c>
      <c r="DJ47" s="8"/>
      <c r="DK47" s="11">
        <v>45658</v>
      </c>
      <c r="DL47" s="5">
        <f>SUM(DM47:DU47)</f>
        <v>64163</v>
      </c>
      <c r="DM47" s="5">
        <v>4686</v>
      </c>
      <c r="DN47" s="5">
        <v>17417</v>
      </c>
      <c r="DO47" s="5">
        <v>19346</v>
      </c>
      <c r="DP47" s="5">
        <v>5485</v>
      </c>
      <c r="DQ47" s="5">
        <v>2758</v>
      </c>
      <c r="DR47" s="5">
        <v>1816</v>
      </c>
      <c r="DS47" s="5">
        <v>408</v>
      </c>
      <c r="DT47" s="5">
        <v>3018</v>
      </c>
      <c r="DU47" s="5">
        <v>9229</v>
      </c>
      <c r="DV47" s="8"/>
      <c r="DW47" s="11">
        <v>45658</v>
      </c>
      <c r="DX47" s="8">
        <v>402930</v>
      </c>
      <c r="DY47" s="8">
        <v>27561</v>
      </c>
      <c r="DZ47" s="8">
        <v>94779</v>
      </c>
      <c r="EA47" s="8">
        <v>110821</v>
      </c>
      <c r="EB47" s="8">
        <v>20895</v>
      </c>
      <c r="EC47" s="8">
        <v>15920</v>
      </c>
      <c r="ED47" s="8">
        <v>12435</v>
      </c>
      <c r="EE47" s="8">
        <v>3482</v>
      </c>
      <c r="EF47" s="8">
        <v>17363</v>
      </c>
      <c r="EG47" s="8">
        <v>41914</v>
      </c>
      <c r="EH47" s="8"/>
      <c r="EI47" s="11">
        <v>45658</v>
      </c>
      <c r="EJ47" s="5">
        <v>252118</v>
      </c>
      <c r="EK47" s="5">
        <v>17997</v>
      </c>
      <c r="EL47" s="5">
        <v>62770</v>
      </c>
      <c r="EM47" s="5">
        <v>74327</v>
      </c>
      <c r="EN47" s="5">
        <v>11584</v>
      </c>
      <c r="EO47" s="5">
        <v>9611</v>
      </c>
      <c r="EP47" s="5">
        <v>6005</v>
      </c>
      <c r="EQ47" s="5">
        <v>1747</v>
      </c>
      <c r="ER47" s="5">
        <v>9660</v>
      </c>
      <c r="ES47" s="5">
        <v>28244</v>
      </c>
      <c r="ET47" s="8"/>
      <c r="EU47" s="11">
        <v>45658</v>
      </c>
      <c r="EV47" s="5">
        <v>789075</v>
      </c>
      <c r="EW47" s="5">
        <v>26306</v>
      </c>
      <c r="EX47" s="5">
        <v>154954</v>
      </c>
      <c r="EY47" s="5">
        <v>156492</v>
      </c>
      <c r="EZ47" s="5">
        <v>40756</v>
      </c>
      <c r="FA47" s="5">
        <v>14717</v>
      </c>
      <c r="FB47" s="5">
        <v>16879</v>
      </c>
      <c r="FC47" s="5">
        <v>3662</v>
      </c>
      <c r="FD47" s="5">
        <v>22216</v>
      </c>
      <c r="FE47" s="5">
        <v>61283</v>
      </c>
      <c r="FF47" s="13"/>
      <c r="FG47" s="11">
        <v>45658</v>
      </c>
      <c r="FH47" s="5">
        <v>493977</v>
      </c>
      <c r="FI47" s="5">
        <v>15710</v>
      </c>
      <c r="FJ47" s="5">
        <v>111874</v>
      </c>
      <c r="FK47" s="5">
        <v>106549</v>
      </c>
      <c r="FL47" s="5">
        <v>27977</v>
      </c>
      <c r="FM47" s="5">
        <v>8088</v>
      </c>
      <c r="FN47" s="5">
        <v>8457</v>
      </c>
      <c r="FO47" s="5">
        <v>1685</v>
      </c>
      <c r="FP47" s="5">
        <v>12256</v>
      </c>
      <c r="FQ47" s="5">
        <v>42222</v>
      </c>
      <c r="FR47" s="5"/>
      <c r="FS47" s="21">
        <v>45658</v>
      </c>
      <c r="FT47" s="20">
        <v>240</v>
      </c>
      <c r="FU47" s="20">
        <v>116</v>
      </c>
      <c r="FV47" s="20">
        <v>43</v>
      </c>
      <c r="FW47" s="20">
        <v>54</v>
      </c>
      <c r="FX47" s="20">
        <v>200</v>
      </c>
      <c r="FY47" s="20">
        <v>723</v>
      </c>
      <c r="FZ47" s="20">
        <v>236</v>
      </c>
      <c r="GA47" s="20">
        <v>656</v>
      </c>
      <c r="GB47" s="20">
        <v>163</v>
      </c>
      <c r="GC47" s="20">
        <v>2357</v>
      </c>
      <c r="GD47" s="549" t="s">
        <v>170</v>
      </c>
      <c r="GE47" s="11">
        <v>45658</v>
      </c>
      <c r="GF47" s="5">
        <v>408</v>
      </c>
      <c r="GG47" s="5">
        <v>171</v>
      </c>
      <c r="GH47" s="5">
        <v>25</v>
      </c>
      <c r="GI47" s="5">
        <v>63</v>
      </c>
      <c r="GJ47" s="5">
        <v>209</v>
      </c>
      <c r="GK47" s="5">
        <v>1677</v>
      </c>
      <c r="GL47" s="5">
        <v>209</v>
      </c>
      <c r="GM47" s="5">
        <v>1159</v>
      </c>
      <c r="GN47" s="5">
        <v>139</v>
      </c>
      <c r="GO47" s="5">
        <v>4060</v>
      </c>
      <c r="GQ47" s="21">
        <v>45658</v>
      </c>
      <c r="GR47" s="20">
        <v>1161</v>
      </c>
      <c r="GS47" s="20">
        <v>3122</v>
      </c>
      <c r="GT47" s="20">
        <v>22507</v>
      </c>
      <c r="GU47" s="20">
        <v>15593</v>
      </c>
      <c r="GV47" s="20">
        <v>13084</v>
      </c>
      <c r="GW47" s="20">
        <v>6237</v>
      </c>
      <c r="GX47" s="20">
        <v>40313</v>
      </c>
      <c r="GY47" s="20">
        <v>53154</v>
      </c>
      <c r="GZ47" s="20">
        <v>825</v>
      </c>
      <c r="HA47" s="20">
        <v>155996</v>
      </c>
      <c r="HB47" s="550" t="s">
        <v>171</v>
      </c>
      <c r="HC47" s="11">
        <v>45658</v>
      </c>
      <c r="HD47" s="5">
        <f t="shared" si="82"/>
        <v>1787702</v>
      </c>
      <c r="HE47" s="5">
        <f t="shared" si="83"/>
        <v>58746</v>
      </c>
      <c r="HF47" s="5">
        <f t="shared" si="84"/>
        <v>309366</v>
      </c>
      <c r="HG47" s="5">
        <f t="shared" si="85"/>
        <v>342831</v>
      </c>
      <c r="HH47" s="5">
        <f t="shared" si="86"/>
        <v>72411</v>
      </c>
      <c r="HI47" s="5">
        <f t="shared" si="87"/>
        <v>39147</v>
      </c>
      <c r="HJ47" s="5">
        <f t="shared" si="88"/>
        <v>38672</v>
      </c>
      <c r="HK47" s="5">
        <f t="shared" si="89"/>
        <v>7438</v>
      </c>
      <c r="HL47" s="5">
        <f t="shared" si="90"/>
        <v>50491</v>
      </c>
      <c r="HM47" s="5">
        <f t="shared" si="91"/>
        <v>166338</v>
      </c>
      <c r="HO47" s="11">
        <v>45658</v>
      </c>
      <c r="HP47" s="5">
        <f>DX47+HA47</f>
        <v>558926</v>
      </c>
      <c r="HQ47" s="5">
        <f t="shared" si="72"/>
        <v>28386</v>
      </c>
      <c r="HR47" s="5">
        <f t="shared" si="73"/>
        <v>147933</v>
      </c>
      <c r="HS47" s="5">
        <f t="shared" si="74"/>
        <v>151134</v>
      </c>
      <c r="HT47" s="5">
        <f t="shared" si="75"/>
        <v>36488</v>
      </c>
      <c r="HU47" s="5">
        <f t="shared" si="76"/>
        <v>19042</v>
      </c>
      <c r="HV47" s="5">
        <f t="shared" si="77"/>
        <v>25519</v>
      </c>
      <c r="HW47" s="5">
        <f t="shared" si="78"/>
        <v>4643</v>
      </c>
      <c r="HX47" s="5">
        <f t="shared" si="79"/>
        <v>23600</v>
      </c>
      <c r="HY47" s="5">
        <f t="shared" si="80"/>
        <v>64421</v>
      </c>
    </row>
    <row r="48" spans="2:233" ht="15" customHeight="1">
      <c r="B48" s="11">
        <v>45689</v>
      </c>
      <c r="C48" s="8">
        <v>12</v>
      </c>
      <c r="D48" s="8">
        <v>180</v>
      </c>
      <c r="E48" s="8">
        <v>523</v>
      </c>
      <c r="F48" s="8">
        <v>331</v>
      </c>
      <c r="G48" s="8">
        <v>122</v>
      </c>
      <c r="H48" s="8">
        <v>224</v>
      </c>
      <c r="I48" s="8">
        <v>1952</v>
      </c>
      <c r="J48" s="8">
        <v>1476</v>
      </c>
      <c r="K48" s="8">
        <v>276</v>
      </c>
      <c r="L48" s="8">
        <f t="shared" si="57"/>
        <v>5096</v>
      </c>
      <c r="N48" s="11">
        <v>45689</v>
      </c>
      <c r="O48" s="8">
        <v>12</v>
      </c>
      <c r="P48" s="8">
        <v>180</v>
      </c>
      <c r="Q48" s="8">
        <v>523</v>
      </c>
      <c r="R48" s="8">
        <v>331</v>
      </c>
      <c r="S48" s="8">
        <v>122</v>
      </c>
      <c r="T48" s="8">
        <v>224</v>
      </c>
      <c r="U48" s="8">
        <v>1952</v>
      </c>
      <c r="V48" s="8">
        <v>1476</v>
      </c>
      <c r="W48" s="8">
        <v>276</v>
      </c>
      <c r="X48" s="8">
        <f t="shared" si="58"/>
        <v>5096</v>
      </c>
      <c r="Y48" s="8"/>
      <c r="Z48" s="11">
        <v>45689</v>
      </c>
      <c r="AA48" s="207">
        <v>106155</v>
      </c>
      <c r="AB48" s="207">
        <v>461339</v>
      </c>
      <c r="AC48" s="207">
        <v>554746</v>
      </c>
      <c r="AD48" s="207">
        <v>39585</v>
      </c>
      <c r="AE48" s="207">
        <v>89581</v>
      </c>
      <c r="AF48" s="207">
        <v>33628</v>
      </c>
      <c r="AG48" s="207">
        <v>17112</v>
      </c>
      <c r="AH48" s="207">
        <v>59200</v>
      </c>
      <c r="AI48" s="207">
        <v>254980</v>
      </c>
      <c r="AJ48" s="209">
        <v>2151985</v>
      </c>
      <c r="AL48" s="11">
        <v>45689</v>
      </c>
      <c r="AM48" s="5">
        <v>106115</v>
      </c>
      <c r="AN48" s="5">
        <v>461339</v>
      </c>
      <c r="AO48" s="5">
        <v>554746</v>
      </c>
      <c r="AP48" s="5">
        <v>39585</v>
      </c>
      <c r="AQ48" s="5">
        <v>89581</v>
      </c>
      <c r="AR48" s="5">
        <v>33628</v>
      </c>
      <c r="AS48" s="5">
        <v>17112</v>
      </c>
      <c r="AT48" s="5">
        <v>59200</v>
      </c>
      <c r="AU48" s="5">
        <v>254980</v>
      </c>
      <c r="AV48" s="5">
        <f t="shared" si="59"/>
        <v>1616286</v>
      </c>
      <c r="AW48" s="549" t="s">
        <v>172</v>
      </c>
      <c r="AX48" s="11">
        <v>45689</v>
      </c>
      <c r="AY48" s="5">
        <v>86114</v>
      </c>
      <c r="AZ48" s="5">
        <v>341545</v>
      </c>
      <c r="BA48" s="5">
        <v>384418</v>
      </c>
      <c r="BB48" s="5">
        <v>18179</v>
      </c>
      <c r="BC48" s="5">
        <v>58681</v>
      </c>
      <c r="BD48" s="5">
        <v>14033</v>
      </c>
      <c r="BE48" s="5">
        <v>8553</v>
      </c>
      <c r="BF48" s="5">
        <v>39062</v>
      </c>
      <c r="BG48" s="5">
        <v>201911</v>
      </c>
      <c r="BH48" s="5">
        <v>1152496</v>
      </c>
      <c r="BI48" s="8"/>
      <c r="BJ48" s="11">
        <v>45689</v>
      </c>
      <c r="BK48" s="8">
        <f t="shared" si="81"/>
        <v>2563676</v>
      </c>
      <c r="BL48" s="8"/>
      <c r="BM48" s="8">
        <v>1576643</v>
      </c>
      <c r="BN48" s="8"/>
      <c r="BO48" s="8">
        <v>987033</v>
      </c>
      <c r="BP48" s="8">
        <v>54981</v>
      </c>
      <c r="BQ48" s="8">
        <v>279382</v>
      </c>
      <c r="BR48" s="8">
        <v>325127</v>
      </c>
      <c r="BS48" s="8">
        <v>59288</v>
      </c>
      <c r="BT48" s="8">
        <v>36641</v>
      </c>
      <c r="BU48" s="8">
        <v>33384</v>
      </c>
      <c r="BV48" s="8">
        <v>5181</v>
      </c>
      <c r="BW48" s="8">
        <v>45668</v>
      </c>
      <c r="BX48" s="8">
        <v>147381</v>
      </c>
      <c r="BY48" s="8">
        <v>9168</v>
      </c>
      <c r="BZ48" s="18"/>
      <c r="CA48" s="11">
        <v>45689</v>
      </c>
      <c r="CB48" s="5">
        <v>94778</v>
      </c>
      <c r="CC48" s="5">
        <v>3398</v>
      </c>
      <c r="CD48" s="5">
        <v>14794</v>
      </c>
      <c r="CE48" s="5">
        <v>17266</v>
      </c>
      <c r="CF48" s="5">
        <v>3374</v>
      </c>
      <c r="CG48" s="5">
        <v>1812</v>
      </c>
      <c r="CH48" s="5">
        <v>1220</v>
      </c>
      <c r="CI48" s="5">
        <v>268</v>
      </c>
      <c r="CJ48" s="5">
        <v>2427</v>
      </c>
      <c r="CK48" s="5">
        <v>8707</v>
      </c>
      <c r="CL48" s="5"/>
      <c r="CM48" s="11">
        <v>45689</v>
      </c>
      <c r="CN48" s="5">
        <f t="shared" ref="CN48:CN59" si="93">CZ48+DL48</f>
        <v>126696</v>
      </c>
      <c r="CO48" s="5">
        <f t="shared" ref="CO48:CO59" si="94">DA48+DM48</f>
        <v>5242</v>
      </c>
      <c r="CP48" s="5">
        <f t="shared" ref="CP48:CP59" si="95">DB48+DN48</f>
        <v>20978</v>
      </c>
      <c r="CQ48" s="5">
        <f t="shared" ref="CQ48:CQ59" si="96">DC48+DO48</f>
        <v>25358</v>
      </c>
      <c r="CR48" s="5">
        <f t="shared" ref="CR48:CR59" si="97">DD48+DP48</f>
        <v>4732</v>
      </c>
      <c r="CS48" s="5">
        <f t="shared" ref="CS48:CS59" si="98">DE48+DQ48</f>
        <v>3216</v>
      </c>
      <c r="CT48" s="5">
        <f t="shared" ref="CT48:CT59" si="99">DF48+DR48</f>
        <v>2053</v>
      </c>
      <c r="CU48" s="5">
        <f t="shared" ref="CU48:CU59" si="100">DG48+DS48</f>
        <v>515</v>
      </c>
      <c r="CV48" s="5">
        <f t="shared" ref="CV48:CV59" si="101">DH48+DT48</f>
        <v>4014</v>
      </c>
      <c r="CW48" s="5">
        <f t="shared" ref="CW48:CW59" si="102">DI48+DU48</f>
        <v>12095</v>
      </c>
      <c r="CX48" s="8"/>
      <c r="CY48" s="11">
        <v>45689</v>
      </c>
      <c r="CZ48" s="20">
        <v>62062</v>
      </c>
      <c r="DA48" s="8">
        <v>912</v>
      </c>
      <c r="DB48" s="8">
        <v>3390</v>
      </c>
      <c r="DC48" s="8">
        <v>5231</v>
      </c>
      <c r="DD48" s="8">
        <v>728</v>
      </c>
      <c r="DE48" s="8">
        <v>576</v>
      </c>
      <c r="DF48" s="8">
        <v>327</v>
      </c>
      <c r="DG48" s="8">
        <v>118</v>
      </c>
      <c r="DH48" s="8">
        <v>633</v>
      </c>
      <c r="DI48" s="8">
        <v>1654</v>
      </c>
      <c r="DJ48" s="8"/>
      <c r="DK48" s="11">
        <v>45689</v>
      </c>
      <c r="DL48" s="5">
        <f t="shared" ref="DL48:DL59" si="103">SUM(DM48:DU48)</f>
        <v>64634</v>
      </c>
      <c r="DM48" s="8">
        <v>4330</v>
      </c>
      <c r="DN48" s="8">
        <v>17588</v>
      </c>
      <c r="DO48" s="8">
        <v>20127</v>
      </c>
      <c r="DP48" s="8">
        <v>4004</v>
      </c>
      <c r="DQ48" s="8">
        <v>2640</v>
      </c>
      <c r="DR48" s="8">
        <v>1726</v>
      </c>
      <c r="DS48" s="8">
        <v>397</v>
      </c>
      <c r="DT48" s="8">
        <v>3381</v>
      </c>
      <c r="DU48" s="8">
        <v>10441</v>
      </c>
      <c r="DV48" s="8"/>
      <c r="DW48" s="11">
        <v>45689</v>
      </c>
      <c r="DX48" s="8">
        <v>399692</v>
      </c>
      <c r="DY48" s="8">
        <v>25875</v>
      </c>
      <c r="DZ48" s="8">
        <v>87629</v>
      </c>
      <c r="EA48" s="8">
        <v>112151</v>
      </c>
      <c r="EB48" s="8">
        <v>17674</v>
      </c>
      <c r="EC48" s="8">
        <v>15054</v>
      </c>
      <c r="ED48" s="8">
        <v>11431</v>
      </c>
      <c r="EE48" s="8">
        <v>3143</v>
      </c>
      <c r="EF48" s="8">
        <v>16765</v>
      </c>
      <c r="EG48" s="8">
        <v>38939</v>
      </c>
      <c r="EH48" s="8"/>
      <c r="EI48" s="11">
        <v>45689</v>
      </c>
      <c r="EJ48" s="5">
        <v>251939</v>
      </c>
      <c r="EK48" s="5">
        <v>16748</v>
      </c>
      <c r="EL48" s="5">
        <v>57584</v>
      </c>
      <c r="EM48" s="5">
        <v>76122</v>
      </c>
      <c r="EN48" s="5">
        <v>9802</v>
      </c>
      <c r="EO48" s="5">
        <v>8820</v>
      </c>
      <c r="EP48" s="5">
        <v>5470</v>
      </c>
      <c r="EQ48" s="5">
        <v>1583</v>
      </c>
      <c r="ER48" s="5">
        <v>9851</v>
      </c>
      <c r="ES48" s="5">
        <v>25600</v>
      </c>
      <c r="ET48" s="8"/>
      <c r="EU48" s="11">
        <v>45689</v>
      </c>
      <c r="EV48" s="5">
        <v>809987</v>
      </c>
      <c r="EW48" s="5">
        <v>35107</v>
      </c>
      <c r="EX48" s="5">
        <v>157496</v>
      </c>
      <c r="EY48" s="5">
        <v>155467</v>
      </c>
      <c r="EZ48" s="5">
        <v>32255</v>
      </c>
      <c r="FA48" s="5">
        <v>17703</v>
      </c>
      <c r="FB48" s="5">
        <v>15059</v>
      </c>
      <c r="FC48" s="5">
        <v>3657</v>
      </c>
      <c r="FD48" s="5">
        <v>23336</v>
      </c>
      <c r="FE48" s="5">
        <v>57393</v>
      </c>
      <c r="FF48" s="13"/>
      <c r="FG48" s="11">
        <v>45689</v>
      </c>
      <c r="FH48" s="5">
        <v>503557</v>
      </c>
      <c r="FI48" s="5">
        <v>21868</v>
      </c>
      <c r="FJ48" s="5">
        <v>114976</v>
      </c>
      <c r="FK48" s="5">
        <v>97207</v>
      </c>
      <c r="FL48" s="5">
        <v>21181</v>
      </c>
      <c r="FM48" s="5">
        <v>9616</v>
      </c>
      <c r="FN48" s="5">
        <v>7161</v>
      </c>
      <c r="FO48" s="5">
        <v>1691</v>
      </c>
      <c r="FP48" s="5">
        <v>13655</v>
      </c>
      <c r="FQ48" s="5">
        <v>38795</v>
      </c>
      <c r="FR48" s="5"/>
      <c r="FS48" s="21">
        <v>45689</v>
      </c>
      <c r="FT48" s="20">
        <v>214</v>
      </c>
      <c r="FU48" s="20">
        <v>90</v>
      </c>
      <c r="FV48" s="20">
        <v>55</v>
      </c>
      <c r="FW48" s="20">
        <v>36</v>
      </c>
      <c r="FX48" s="20">
        <v>208</v>
      </c>
      <c r="FY48" s="20">
        <v>638</v>
      </c>
      <c r="FZ48" s="20">
        <v>228</v>
      </c>
      <c r="GA48" s="20">
        <v>597</v>
      </c>
      <c r="GB48" s="20">
        <v>127</v>
      </c>
      <c r="GC48" s="20">
        <v>2109</v>
      </c>
      <c r="GD48" s="549"/>
      <c r="GE48" s="11">
        <v>45689</v>
      </c>
      <c r="GF48" s="5">
        <v>423</v>
      </c>
      <c r="GG48" s="5">
        <v>121</v>
      </c>
      <c r="GH48" s="5">
        <v>16</v>
      </c>
      <c r="GI48" s="5">
        <v>33</v>
      </c>
      <c r="GJ48" s="5">
        <v>216</v>
      </c>
      <c r="GK48" s="5">
        <v>1648</v>
      </c>
      <c r="GL48" s="5">
        <v>193</v>
      </c>
      <c r="GM48" s="5">
        <v>1191</v>
      </c>
      <c r="GN48" s="5">
        <v>192</v>
      </c>
      <c r="GO48" s="5">
        <v>4033</v>
      </c>
      <c r="GQ48" s="21">
        <v>45689</v>
      </c>
      <c r="GR48" s="20">
        <v>882</v>
      </c>
      <c r="GS48" s="20">
        <v>2844</v>
      </c>
      <c r="GT48" s="20">
        <v>22639</v>
      </c>
      <c r="GU48" s="20">
        <v>15116</v>
      </c>
      <c r="GV48" s="20">
        <v>12696</v>
      </c>
      <c r="GW48" s="20">
        <v>5996</v>
      </c>
      <c r="GX48" s="20">
        <v>43479</v>
      </c>
      <c r="GY48" s="20">
        <v>52429</v>
      </c>
      <c r="GZ48" s="20">
        <v>713</v>
      </c>
      <c r="HA48" s="20">
        <v>156794</v>
      </c>
      <c r="HB48" s="550"/>
      <c r="HC48" s="11">
        <v>45689</v>
      </c>
      <c r="HD48" s="5">
        <f t="shared" si="82"/>
        <v>1703339</v>
      </c>
      <c r="HE48" s="5">
        <f t="shared" si="83"/>
        <v>60223</v>
      </c>
      <c r="HF48" s="5">
        <f t="shared" si="84"/>
        <v>300360</v>
      </c>
      <c r="HG48" s="5">
        <f t="shared" si="85"/>
        <v>350485</v>
      </c>
      <c r="HH48" s="5">
        <f t="shared" si="86"/>
        <v>64020</v>
      </c>
      <c r="HI48" s="5">
        <f t="shared" si="87"/>
        <v>39857</v>
      </c>
      <c r="HJ48" s="5">
        <f t="shared" si="88"/>
        <v>35437</v>
      </c>
      <c r="HK48" s="5">
        <f t="shared" si="89"/>
        <v>5696</v>
      </c>
      <c r="HL48" s="5">
        <f t="shared" si="90"/>
        <v>49682</v>
      </c>
      <c r="HM48" s="5">
        <f t="shared" si="91"/>
        <v>159476</v>
      </c>
      <c r="HO48" s="11">
        <v>45689</v>
      </c>
      <c r="HP48" s="5">
        <f>DX48+HA48</f>
        <v>556486</v>
      </c>
      <c r="HQ48" s="5">
        <f t="shared" si="72"/>
        <v>26588</v>
      </c>
      <c r="HR48" s="5">
        <f t="shared" si="73"/>
        <v>140058</v>
      </c>
      <c r="HS48" s="5">
        <f t="shared" si="74"/>
        <v>155630</v>
      </c>
      <c r="HT48" s="5">
        <f t="shared" si="75"/>
        <v>32790</v>
      </c>
      <c r="HU48" s="5">
        <f t="shared" si="76"/>
        <v>17898</v>
      </c>
      <c r="HV48" s="5">
        <f t="shared" si="77"/>
        <v>24127</v>
      </c>
      <c r="HW48" s="5">
        <f t="shared" si="78"/>
        <v>4025</v>
      </c>
      <c r="HX48" s="5">
        <f t="shared" si="79"/>
        <v>22761</v>
      </c>
      <c r="HY48" s="5">
        <f t="shared" si="80"/>
        <v>61578</v>
      </c>
    </row>
    <row r="49" spans="2:233" ht="15" customHeight="1">
      <c r="B49" s="11">
        <v>45717</v>
      </c>
      <c r="C49" s="2">
        <v>19</v>
      </c>
      <c r="D49" s="2">
        <v>337</v>
      </c>
      <c r="E49" s="2">
        <v>801</v>
      </c>
      <c r="F49" s="2">
        <v>299</v>
      </c>
      <c r="G49" s="2">
        <v>99</v>
      </c>
      <c r="H49" s="2">
        <v>320</v>
      </c>
      <c r="I49" s="2">
        <v>2552</v>
      </c>
      <c r="J49" s="2">
        <v>2083</v>
      </c>
      <c r="K49" s="2">
        <v>327</v>
      </c>
      <c r="L49" s="8">
        <f t="shared" si="57"/>
        <v>6837</v>
      </c>
      <c r="N49" s="11">
        <v>45717</v>
      </c>
      <c r="O49" s="2">
        <v>19</v>
      </c>
      <c r="P49" s="2">
        <v>337</v>
      </c>
      <c r="Q49" s="2">
        <v>801</v>
      </c>
      <c r="R49" s="2">
        <v>299</v>
      </c>
      <c r="S49" s="2">
        <v>99</v>
      </c>
      <c r="T49" s="2">
        <v>320</v>
      </c>
      <c r="U49" s="2">
        <v>2552</v>
      </c>
      <c r="V49" s="2">
        <v>2083</v>
      </c>
      <c r="W49" s="2">
        <v>327</v>
      </c>
      <c r="X49" s="8">
        <f t="shared" si="58"/>
        <v>6837</v>
      </c>
      <c r="Y49" s="8"/>
      <c r="Z49" s="11">
        <v>45717</v>
      </c>
      <c r="AA49" s="207">
        <v>121688</v>
      </c>
      <c r="AB49" s="207">
        <v>594551</v>
      </c>
      <c r="AC49" s="207">
        <v>850888</v>
      </c>
      <c r="AD49" s="207">
        <v>44079</v>
      </c>
      <c r="AE49" s="207">
        <v>97915</v>
      </c>
      <c r="AF49" s="207">
        <v>35426</v>
      </c>
      <c r="AG49" s="207">
        <v>20623</v>
      </c>
      <c r="AH49" s="207">
        <v>73150</v>
      </c>
      <c r="AI49" s="207">
        <v>295670</v>
      </c>
      <c r="AJ49" s="209">
        <v>2872891</v>
      </c>
      <c r="AL49" s="11">
        <v>45717</v>
      </c>
      <c r="AM49" s="5">
        <v>121688</v>
      </c>
      <c r="AN49" s="5">
        <v>594551</v>
      </c>
      <c r="AO49" s="5">
        <v>850888</v>
      </c>
      <c r="AP49" s="5">
        <v>44079</v>
      </c>
      <c r="AQ49" s="5">
        <v>97915</v>
      </c>
      <c r="AR49" s="5">
        <v>35426</v>
      </c>
      <c r="AS49" s="5">
        <v>20623</v>
      </c>
      <c r="AT49" s="5">
        <v>73150</v>
      </c>
      <c r="AU49" s="5">
        <v>295670</v>
      </c>
      <c r="AV49" s="5">
        <v>2133990</v>
      </c>
      <c r="AW49" s="549"/>
      <c r="AX49" s="11">
        <v>45717</v>
      </c>
      <c r="AY49" s="5">
        <v>101746</v>
      </c>
      <c r="AZ49" s="5">
        <v>474956</v>
      </c>
      <c r="BA49" s="5">
        <v>715636</v>
      </c>
      <c r="BB49" s="5">
        <v>23723</v>
      </c>
      <c r="BC49" s="5">
        <v>70167</v>
      </c>
      <c r="BD49" s="5">
        <v>17330</v>
      </c>
      <c r="BE49" s="5">
        <v>11277</v>
      </c>
      <c r="BF49" s="5">
        <v>50658</v>
      </c>
      <c r="BG49" s="5">
        <v>236276</v>
      </c>
      <c r="BH49" s="5">
        <v>1701769</v>
      </c>
      <c r="BI49" s="8"/>
      <c r="BJ49" s="11">
        <v>45717</v>
      </c>
      <c r="BK49" s="8">
        <f t="shared" si="81"/>
        <v>2881731</v>
      </c>
      <c r="BL49" s="8"/>
      <c r="BM49" s="8">
        <v>1768416</v>
      </c>
      <c r="BN49" s="8"/>
      <c r="BO49" s="8">
        <v>1113315</v>
      </c>
      <c r="BP49" s="8">
        <v>62527</v>
      </c>
      <c r="BQ49" s="8">
        <v>307269</v>
      </c>
      <c r="BR49" s="8">
        <v>352274</v>
      </c>
      <c r="BS49" s="8">
        <v>70843</v>
      </c>
      <c r="BT49" s="8">
        <v>44737</v>
      </c>
      <c r="BU49" s="8">
        <v>36570</v>
      </c>
      <c r="BV49" s="8">
        <v>5374</v>
      </c>
      <c r="BW49" s="8">
        <v>51140</v>
      </c>
      <c r="BX49" s="8">
        <v>182581</v>
      </c>
      <c r="BY49" s="8">
        <v>6937</v>
      </c>
      <c r="BZ49" s="18"/>
      <c r="CA49" s="11">
        <v>45717</v>
      </c>
      <c r="CB49" s="5">
        <v>137832</v>
      </c>
      <c r="CC49" s="5">
        <v>4357</v>
      </c>
      <c r="CD49" s="5">
        <v>19391</v>
      </c>
      <c r="CE49" s="5">
        <v>25817</v>
      </c>
      <c r="CF49" s="5">
        <v>5398</v>
      </c>
      <c r="CG49" s="5">
        <v>2921</v>
      </c>
      <c r="CH49" s="5">
        <v>1562</v>
      </c>
      <c r="CI49" s="5">
        <v>578</v>
      </c>
      <c r="CJ49" s="5">
        <v>3766</v>
      </c>
      <c r="CK49" s="5">
        <v>18203</v>
      </c>
      <c r="CL49" s="5"/>
      <c r="CM49" s="11">
        <v>45717</v>
      </c>
      <c r="CN49" s="5">
        <f t="shared" si="93"/>
        <v>177219</v>
      </c>
      <c r="CO49" s="5">
        <f t="shared" si="94"/>
        <v>6668</v>
      </c>
      <c r="CP49" s="5">
        <f t="shared" si="95"/>
        <v>26457</v>
      </c>
      <c r="CQ49" s="5">
        <f t="shared" si="96"/>
        <v>37121</v>
      </c>
      <c r="CR49" s="5">
        <f t="shared" si="97"/>
        <v>7000</v>
      </c>
      <c r="CS49" s="5">
        <f t="shared" si="98"/>
        <v>5051</v>
      </c>
      <c r="CT49" s="5">
        <f t="shared" si="99"/>
        <v>2431</v>
      </c>
      <c r="CU49" s="5">
        <f t="shared" si="100"/>
        <v>899</v>
      </c>
      <c r="CV49" s="5">
        <f t="shared" si="101"/>
        <v>6015</v>
      </c>
      <c r="CW49" s="5">
        <f t="shared" si="102"/>
        <v>23651</v>
      </c>
      <c r="CX49" s="8"/>
      <c r="CY49" s="11">
        <v>45717</v>
      </c>
      <c r="CZ49" s="20">
        <v>80095</v>
      </c>
      <c r="DA49" s="8">
        <v>1079</v>
      </c>
      <c r="DB49" s="8">
        <v>4072</v>
      </c>
      <c r="DC49" s="8">
        <v>7087</v>
      </c>
      <c r="DD49" s="8">
        <v>860</v>
      </c>
      <c r="DE49" s="8">
        <v>1044</v>
      </c>
      <c r="DF49" s="8">
        <v>297</v>
      </c>
      <c r="DG49" s="8">
        <v>142</v>
      </c>
      <c r="DH49" s="8">
        <v>947</v>
      </c>
      <c r="DI49" s="8">
        <v>2641</v>
      </c>
      <c r="DJ49" s="8"/>
      <c r="DK49" s="11">
        <v>45717</v>
      </c>
      <c r="DL49" s="5">
        <f t="shared" si="103"/>
        <v>97124</v>
      </c>
      <c r="DM49" s="8">
        <v>5589</v>
      </c>
      <c r="DN49" s="8">
        <v>22385</v>
      </c>
      <c r="DO49" s="8">
        <v>30034</v>
      </c>
      <c r="DP49" s="8">
        <v>6140</v>
      </c>
      <c r="DQ49" s="8">
        <v>4007</v>
      </c>
      <c r="DR49" s="8">
        <v>2134</v>
      </c>
      <c r="DS49" s="8">
        <v>757</v>
      </c>
      <c r="DT49" s="8">
        <v>5068</v>
      </c>
      <c r="DU49" s="8">
        <v>21010</v>
      </c>
      <c r="DV49" s="8"/>
      <c r="DW49" s="11">
        <v>45717</v>
      </c>
      <c r="DX49" s="8">
        <v>560782</v>
      </c>
      <c r="DY49" s="8">
        <v>30164</v>
      </c>
      <c r="DZ49" s="8">
        <v>117868</v>
      </c>
      <c r="EA49" s="8">
        <v>172061</v>
      </c>
      <c r="EB49" s="8">
        <v>21426</v>
      </c>
      <c r="EC49" s="8">
        <v>20571</v>
      </c>
      <c r="ED49" s="8">
        <v>12497</v>
      </c>
      <c r="EE49" s="8">
        <v>3609</v>
      </c>
      <c r="EF49" s="8">
        <v>23353</v>
      </c>
      <c r="EG49" s="8">
        <v>61359</v>
      </c>
      <c r="EH49" s="8"/>
      <c r="EI49" s="11">
        <v>45717</v>
      </c>
      <c r="EJ49" s="5">
        <v>388128</v>
      </c>
      <c r="EK49" s="5">
        <v>20735</v>
      </c>
      <c r="EL49" s="5">
        <v>85994</v>
      </c>
      <c r="EM49" s="5">
        <v>125296</v>
      </c>
      <c r="EN49" s="5">
        <v>13345</v>
      </c>
      <c r="EO49" s="5">
        <v>13153</v>
      </c>
      <c r="EP49" s="5">
        <v>6663</v>
      </c>
      <c r="EQ49" s="5">
        <v>1925</v>
      </c>
      <c r="ER49" s="5">
        <v>14378</v>
      </c>
      <c r="ES49" s="5">
        <v>45082</v>
      </c>
      <c r="ET49" s="8"/>
      <c r="EU49" s="11">
        <v>45717</v>
      </c>
      <c r="EV49" s="5">
        <v>1032474</v>
      </c>
      <c r="EW49" s="5">
        <v>40093</v>
      </c>
      <c r="EX49" s="5">
        <v>160433</v>
      </c>
      <c r="EY49" s="5">
        <v>225028</v>
      </c>
      <c r="EZ49" s="5">
        <v>42592</v>
      </c>
      <c r="FA49" s="5">
        <v>23019</v>
      </c>
      <c r="FB49" s="5">
        <v>16566</v>
      </c>
      <c r="FC49" s="5">
        <v>4207</v>
      </c>
      <c r="FD49" s="5">
        <v>30454</v>
      </c>
      <c r="FE49" s="5">
        <v>76581</v>
      </c>
      <c r="FF49" s="549" t="s">
        <v>173</v>
      </c>
      <c r="FG49" s="11">
        <v>45717</v>
      </c>
      <c r="FH49" s="5">
        <v>699619</v>
      </c>
      <c r="FI49" s="5">
        <v>25995</v>
      </c>
      <c r="FJ49" s="5">
        <v>115674</v>
      </c>
      <c r="FK49" s="5">
        <v>157749</v>
      </c>
      <c r="FL49" s="5">
        <v>30873</v>
      </c>
      <c r="FM49" s="5">
        <v>13450</v>
      </c>
      <c r="FN49" s="5">
        <v>8468</v>
      </c>
      <c r="FO49" s="5">
        <v>2074</v>
      </c>
      <c r="FP49" s="5">
        <v>18566</v>
      </c>
      <c r="FQ49" s="5">
        <v>53276</v>
      </c>
      <c r="FR49" s="549" t="s">
        <v>173</v>
      </c>
      <c r="FS49" s="21">
        <v>45717</v>
      </c>
      <c r="FT49" s="20">
        <v>417</v>
      </c>
      <c r="FU49" s="20">
        <v>111</v>
      </c>
      <c r="FV49" s="20">
        <v>73</v>
      </c>
      <c r="FW49" s="20">
        <v>51</v>
      </c>
      <c r="FX49" s="20">
        <v>333</v>
      </c>
      <c r="FY49" s="20">
        <v>1263</v>
      </c>
      <c r="FZ49" s="20">
        <v>403</v>
      </c>
      <c r="GA49" s="20">
        <v>877</v>
      </c>
      <c r="GB49" s="20">
        <v>218</v>
      </c>
      <c r="GC49" s="20">
        <v>3632</v>
      </c>
      <c r="GD49" s="549"/>
      <c r="GE49" s="11">
        <v>45717</v>
      </c>
      <c r="GF49" s="5">
        <v>592</v>
      </c>
      <c r="GG49" s="5">
        <v>206</v>
      </c>
      <c r="GH49" s="5">
        <v>10</v>
      </c>
      <c r="GI49" s="5">
        <v>59</v>
      </c>
      <c r="GJ49" s="5">
        <v>339</v>
      </c>
      <c r="GK49" s="5">
        <v>2063</v>
      </c>
      <c r="GL49" s="5">
        <v>345</v>
      </c>
      <c r="GM49" s="5">
        <v>1783</v>
      </c>
      <c r="GN49" s="5">
        <v>207</v>
      </c>
      <c r="GO49" s="5">
        <v>5604</v>
      </c>
      <c r="GQ49" s="21">
        <v>45717</v>
      </c>
      <c r="GR49" s="20">
        <v>901</v>
      </c>
      <c r="GS49" s="20">
        <v>3549</v>
      </c>
      <c r="GT49" s="20">
        <v>27188</v>
      </c>
      <c r="GU49" s="20">
        <v>17685</v>
      </c>
      <c r="GV49" s="20">
        <v>14496</v>
      </c>
      <c r="GW49" s="20">
        <v>6422</v>
      </c>
      <c r="GX49" s="20">
        <v>47981</v>
      </c>
      <c r="GY49" s="20">
        <v>56675</v>
      </c>
      <c r="GZ49" s="20">
        <v>713</v>
      </c>
      <c r="HA49" s="20">
        <v>175610</v>
      </c>
      <c r="HB49" s="550"/>
      <c r="HC49" s="11">
        <v>45717</v>
      </c>
      <c r="HD49" s="5">
        <f t="shared" si="82"/>
        <v>1945635</v>
      </c>
      <c r="HE49" s="5">
        <f t="shared" si="83"/>
        <v>69195</v>
      </c>
      <c r="HF49" s="5">
        <f t="shared" si="84"/>
        <v>333726</v>
      </c>
      <c r="HG49" s="5">
        <f t="shared" si="85"/>
        <v>389395</v>
      </c>
      <c r="HH49" s="5">
        <f t="shared" si="86"/>
        <v>77843</v>
      </c>
      <c r="HI49" s="5">
        <f t="shared" si="87"/>
        <v>49788</v>
      </c>
      <c r="HJ49" s="5">
        <f t="shared" si="88"/>
        <v>39001</v>
      </c>
      <c r="HK49" s="5">
        <f t="shared" si="89"/>
        <v>6273</v>
      </c>
      <c r="HL49" s="5">
        <f t="shared" si="90"/>
        <v>57155</v>
      </c>
      <c r="HM49" s="5">
        <f t="shared" si="91"/>
        <v>206232</v>
      </c>
      <c r="HO49" s="11">
        <v>45717</v>
      </c>
      <c r="HP49" s="5">
        <f t="shared" si="71"/>
        <v>736392</v>
      </c>
      <c r="HQ49" s="5">
        <f t="shared" si="72"/>
        <v>30877</v>
      </c>
      <c r="HR49" s="5">
        <f t="shared" si="73"/>
        <v>174543</v>
      </c>
      <c r="HS49" s="5">
        <f t="shared" si="74"/>
        <v>220042</v>
      </c>
      <c r="HT49" s="5">
        <f t="shared" si="75"/>
        <v>39111</v>
      </c>
      <c r="HU49" s="5">
        <f t="shared" si="76"/>
        <v>24120</v>
      </c>
      <c r="HV49" s="5">
        <f t="shared" si="77"/>
        <v>26993</v>
      </c>
      <c r="HW49" s="5">
        <f t="shared" si="78"/>
        <v>4510</v>
      </c>
      <c r="HX49" s="5">
        <f t="shared" si="79"/>
        <v>29775</v>
      </c>
      <c r="HY49" s="5">
        <f t="shared" si="80"/>
        <v>88547</v>
      </c>
    </row>
    <row r="50" spans="2:233">
      <c r="B50" s="11">
        <v>45748</v>
      </c>
      <c r="C50" s="2">
        <v>0</v>
      </c>
      <c r="D50" s="2">
        <v>130</v>
      </c>
      <c r="E50" s="2">
        <v>679</v>
      </c>
      <c r="F50" s="2">
        <v>317</v>
      </c>
      <c r="G50" s="2">
        <v>116</v>
      </c>
      <c r="H50" s="2">
        <v>192</v>
      </c>
      <c r="I50" s="2">
        <v>2205</v>
      </c>
      <c r="J50" s="2">
        <v>1775</v>
      </c>
      <c r="K50" s="2">
        <v>322</v>
      </c>
      <c r="L50" s="8">
        <f t="shared" si="57"/>
        <v>5736</v>
      </c>
      <c r="N50" s="11">
        <v>45748</v>
      </c>
      <c r="O50" s="2">
        <v>0</v>
      </c>
      <c r="P50" s="2">
        <v>130</v>
      </c>
      <c r="Q50" s="2">
        <v>679</v>
      </c>
      <c r="R50" s="2">
        <v>317</v>
      </c>
      <c r="S50" s="2">
        <v>116</v>
      </c>
      <c r="T50" s="2">
        <v>192</v>
      </c>
      <c r="U50" s="2">
        <v>2205</v>
      </c>
      <c r="V50" s="2">
        <v>1775</v>
      </c>
      <c r="W50" s="2">
        <v>322</v>
      </c>
      <c r="X50" s="8">
        <f t="shared" si="58"/>
        <v>5736</v>
      </c>
      <c r="Y50" s="8"/>
      <c r="Z50" s="11">
        <v>45748</v>
      </c>
      <c r="AA50" s="207">
        <v>116523</v>
      </c>
      <c r="AB50" s="207">
        <v>702314</v>
      </c>
      <c r="AC50" s="210">
        <v>606916</v>
      </c>
      <c r="AD50" s="210">
        <v>44158</v>
      </c>
      <c r="AE50" s="210">
        <v>90559</v>
      </c>
      <c r="AF50" s="210">
        <v>40197</v>
      </c>
      <c r="AG50" s="210">
        <v>19912</v>
      </c>
      <c r="AH50" s="210">
        <v>57053</v>
      </c>
      <c r="AI50" s="210">
        <v>255358</v>
      </c>
      <c r="AJ50" s="210">
        <v>2965512</v>
      </c>
      <c r="AL50" s="11">
        <v>45748</v>
      </c>
      <c r="AM50" s="8">
        <v>116517</v>
      </c>
      <c r="AN50" s="8">
        <v>702314</v>
      </c>
      <c r="AO50" s="8">
        <v>606916</v>
      </c>
      <c r="AP50" s="8">
        <v>44158</v>
      </c>
      <c r="AQ50" s="8">
        <v>90559</v>
      </c>
      <c r="AR50" s="8">
        <v>40197</v>
      </c>
      <c r="AS50" s="8">
        <v>19912</v>
      </c>
      <c r="AT50" s="8">
        <v>57053</v>
      </c>
      <c r="AU50" s="8">
        <v>255358</v>
      </c>
      <c r="AV50" s="8">
        <v>1932984</v>
      </c>
      <c r="AW50" s="549"/>
      <c r="AX50" s="11">
        <v>45748</v>
      </c>
      <c r="AY50" s="5">
        <v>93707</v>
      </c>
      <c r="AZ50" s="5">
        <v>577415</v>
      </c>
      <c r="BA50" s="5">
        <v>485778</v>
      </c>
      <c r="BB50" s="5">
        <v>21252</v>
      </c>
      <c r="BC50" s="5">
        <v>69533</v>
      </c>
      <c r="BD50" s="5">
        <v>19262</v>
      </c>
      <c r="BE50" s="5">
        <v>10268</v>
      </c>
      <c r="BF50" s="5">
        <v>37818</v>
      </c>
      <c r="BG50" s="5">
        <v>166095</v>
      </c>
      <c r="BH50" s="5">
        <v>1481128</v>
      </c>
      <c r="BI50" s="8"/>
      <c r="BJ50" s="11">
        <v>45748</v>
      </c>
      <c r="BK50" s="8">
        <f t="shared" si="81"/>
        <v>2750499</v>
      </c>
      <c r="BL50" s="8"/>
      <c r="BM50" s="8">
        <v>1679030</v>
      </c>
      <c r="BN50" s="8"/>
      <c r="BO50" s="8">
        <v>1071469</v>
      </c>
      <c r="BP50" s="8">
        <v>62269</v>
      </c>
      <c r="BQ50" s="8">
        <v>303568</v>
      </c>
      <c r="BR50" s="8">
        <v>347587</v>
      </c>
      <c r="BS50" s="8">
        <v>71931</v>
      </c>
      <c r="BT50" s="8">
        <v>30864</v>
      </c>
      <c r="BU50" s="8">
        <v>35372</v>
      </c>
      <c r="BV50" s="8">
        <v>4069</v>
      </c>
      <c r="BW50" s="8">
        <v>41954</v>
      </c>
      <c r="BX50" s="8">
        <v>173855</v>
      </c>
      <c r="BY50" s="8">
        <v>234</v>
      </c>
      <c r="CA50" s="11">
        <v>45748</v>
      </c>
      <c r="CB50" s="5">
        <v>114316</v>
      </c>
      <c r="CC50" s="5">
        <v>3900</v>
      </c>
      <c r="CD50" s="5">
        <v>14380</v>
      </c>
      <c r="CE50" s="5">
        <v>18845</v>
      </c>
      <c r="CF50" s="5">
        <v>3785</v>
      </c>
      <c r="CG50" s="5">
        <v>1818</v>
      </c>
      <c r="CH50" s="5">
        <v>1992</v>
      </c>
      <c r="CI50" s="5">
        <v>923</v>
      </c>
      <c r="CJ50" s="5">
        <v>2575</v>
      </c>
      <c r="CK50" s="5">
        <v>16585</v>
      </c>
      <c r="CL50" s="5"/>
      <c r="CM50" s="11">
        <v>45748</v>
      </c>
      <c r="CN50" s="5">
        <f t="shared" si="93"/>
        <v>151750</v>
      </c>
      <c r="CO50" s="5">
        <f t="shared" si="94"/>
        <v>6128</v>
      </c>
      <c r="CP50" s="5">
        <f t="shared" si="95"/>
        <v>21258</v>
      </c>
      <c r="CQ50" s="5">
        <f t="shared" si="96"/>
        <v>30004</v>
      </c>
      <c r="CR50" s="5">
        <f t="shared" si="97"/>
        <v>5741</v>
      </c>
      <c r="CS50" s="5">
        <f t="shared" si="98"/>
        <v>3026</v>
      </c>
      <c r="CT50" s="5">
        <f t="shared" si="99"/>
        <v>3069</v>
      </c>
      <c r="CU50" s="5">
        <f t="shared" si="100"/>
        <v>1328</v>
      </c>
      <c r="CV50" s="5">
        <f t="shared" si="101"/>
        <v>4545</v>
      </c>
      <c r="CW50" s="5">
        <f t="shared" si="102"/>
        <v>22875</v>
      </c>
      <c r="CX50" s="8"/>
      <c r="CY50" s="11">
        <v>45748</v>
      </c>
      <c r="CZ50" s="20">
        <v>67847</v>
      </c>
      <c r="DA50" s="8">
        <v>962</v>
      </c>
      <c r="DB50" s="8">
        <v>2956</v>
      </c>
      <c r="DC50" s="8">
        <v>5473</v>
      </c>
      <c r="DD50" s="8">
        <v>732</v>
      </c>
      <c r="DE50" s="8">
        <v>491</v>
      </c>
      <c r="DF50" s="8">
        <v>343</v>
      </c>
      <c r="DG50" s="8">
        <v>140</v>
      </c>
      <c r="DH50" s="8">
        <v>733</v>
      </c>
      <c r="DI50" s="8">
        <v>2241</v>
      </c>
      <c r="DJ50" s="8"/>
      <c r="DK50" s="11">
        <v>45748</v>
      </c>
      <c r="DL50" s="5">
        <f t="shared" si="103"/>
        <v>83903</v>
      </c>
      <c r="DM50" s="8">
        <v>5166</v>
      </c>
      <c r="DN50" s="8">
        <v>18302</v>
      </c>
      <c r="DO50" s="8">
        <v>24531</v>
      </c>
      <c r="DP50" s="8">
        <v>5009</v>
      </c>
      <c r="DQ50" s="8">
        <v>2535</v>
      </c>
      <c r="DR50" s="8">
        <v>2726</v>
      </c>
      <c r="DS50" s="8">
        <v>1188</v>
      </c>
      <c r="DT50" s="8">
        <v>3812</v>
      </c>
      <c r="DU50" s="8">
        <v>20634</v>
      </c>
      <c r="DV50" s="8"/>
      <c r="DW50" s="11">
        <v>45748</v>
      </c>
      <c r="DX50" s="8">
        <v>485874</v>
      </c>
      <c r="DY50" s="8">
        <v>31451</v>
      </c>
      <c r="DZ50" s="8">
        <v>122207</v>
      </c>
      <c r="EA50" s="8">
        <v>122316</v>
      </c>
      <c r="EB50" s="8">
        <v>21906</v>
      </c>
      <c r="EC50" s="8">
        <v>14313</v>
      </c>
      <c r="ED50" s="8">
        <v>15905</v>
      </c>
      <c r="EE50" s="8">
        <v>3485</v>
      </c>
      <c r="EF50" s="8">
        <v>17167</v>
      </c>
      <c r="EG50" s="8">
        <v>54648</v>
      </c>
      <c r="EH50" s="8"/>
      <c r="EI50" s="11">
        <v>45748</v>
      </c>
      <c r="EJ50" s="5">
        <v>309111</v>
      </c>
      <c r="EK50" s="5">
        <v>20696</v>
      </c>
      <c r="EL50" s="5">
        <v>87724</v>
      </c>
      <c r="EM50" s="5">
        <v>78705</v>
      </c>
      <c r="EN50" s="5">
        <v>11903</v>
      </c>
      <c r="EO50" s="5">
        <v>9043</v>
      </c>
      <c r="EP50" s="5">
        <v>8137</v>
      </c>
      <c r="EQ50" s="5">
        <v>1754</v>
      </c>
      <c r="ER50" s="5">
        <v>9928</v>
      </c>
      <c r="ES50" s="5">
        <v>35738</v>
      </c>
      <c r="ET50" s="8"/>
      <c r="EU50" s="11">
        <v>45748</v>
      </c>
      <c r="EV50" s="5">
        <v>1038151</v>
      </c>
      <c r="EW50" s="5">
        <v>41855</v>
      </c>
      <c r="EX50" s="5">
        <v>173673</v>
      </c>
      <c r="EY50" s="5">
        <v>265936</v>
      </c>
      <c r="EZ50" s="5">
        <v>34196</v>
      </c>
      <c r="FA50" s="5">
        <v>20047</v>
      </c>
      <c r="FB50" s="5">
        <v>21872</v>
      </c>
      <c r="FC50" s="5">
        <v>4300</v>
      </c>
      <c r="FD50" s="5">
        <v>23847</v>
      </c>
      <c r="FE50" s="5">
        <v>79919</v>
      </c>
      <c r="FF50" s="549"/>
      <c r="FG50" s="11">
        <v>45748</v>
      </c>
      <c r="FH50" s="5">
        <v>684596</v>
      </c>
      <c r="FI50" s="5">
        <v>25927</v>
      </c>
      <c r="FJ50" s="5">
        <v>122097</v>
      </c>
      <c r="FK50" s="5">
        <v>197663</v>
      </c>
      <c r="FL50" s="5">
        <v>19912</v>
      </c>
      <c r="FM50" s="5">
        <v>13141</v>
      </c>
      <c r="FN50" s="5">
        <v>11087</v>
      </c>
      <c r="FO50" s="5">
        <v>2062</v>
      </c>
      <c r="FP50" s="5">
        <v>14068</v>
      </c>
      <c r="FQ50" s="5">
        <v>52186</v>
      </c>
      <c r="FR50" s="549"/>
      <c r="FS50" s="21">
        <v>45748</v>
      </c>
      <c r="FT50" s="20">
        <v>313</v>
      </c>
      <c r="FU50" s="20">
        <v>100</v>
      </c>
      <c r="FV50" s="20">
        <v>71</v>
      </c>
      <c r="FW50" s="20">
        <v>47</v>
      </c>
      <c r="FX50" s="20">
        <v>190</v>
      </c>
      <c r="FY50" s="20">
        <v>930</v>
      </c>
      <c r="FZ50" s="20">
        <v>176</v>
      </c>
      <c r="GA50" s="20">
        <v>749</v>
      </c>
      <c r="GB50" s="20">
        <v>206</v>
      </c>
      <c r="GC50" s="20">
        <v>2649</v>
      </c>
      <c r="GD50" s="549"/>
      <c r="GE50" s="11">
        <v>45748</v>
      </c>
      <c r="GF50" s="5">
        <v>593</v>
      </c>
      <c r="GG50" s="5">
        <v>200</v>
      </c>
      <c r="GH50" s="5">
        <v>13</v>
      </c>
      <c r="GI50" s="5">
        <v>61</v>
      </c>
      <c r="GJ50" s="5">
        <v>191</v>
      </c>
      <c r="GK50" s="5">
        <v>1534</v>
      </c>
      <c r="GL50" s="5">
        <v>109</v>
      </c>
      <c r="GM50" s="5">
        <v>1446</v>
      </c>
      <c r="GN50" s="5">
        <v>215</v>
      </c>
      <c r="GO50" s="5">
        <v>4362</v>
      </c>
      <c r="GQ50" s="21">
        <v>45748</v>
      </c>
      <c r="GR50" s="20">
        <v>850</v>
      </c>
      <c r="GS50" s="20">
        <v>2664</v>
      </c>
      <c r="GT50" s="20">
        <v>24517</v>
      </c>
      <c r="GU50" s="20">
        <v>15595</v>
      </c>
      <c r="GV50" s="20">
        <v>14759</v>
      </c>
      <c r="GW50" s="20">
        <v>5522</v>
      </c>
      <c r="GX50" s="20">
        <v>41521</v>
      </c>
      <c r="GY50" s="20">
        <v>48750</v>
      </c>
      <c r="GZ50" s="20">
        <v>559</v>
      </c>
      <c r="HA50" s="20">
        <v>154737</v>
      </c>
      <c r="HB50" s="550"/>
      <c r="HC50" s="11">
        <v>45748</v>
      </c>
      <c r="HD50" s="5">
        <f t="shared" si="82"/>
        <v>1830780</v>
      </c>
      <c r="HE50" s="5">
        <f t="shared" si="83"/>
        <v>68397</v>
      </c>
      <c r="HF50" s="5">
        <f t="shared" si="84"/>
        <v>324826</v>
      </c>
      <c r="HG50" s="5">
        <f t="shared" si="85"/>
        <v>377591</v>
      </c>
      <c r="HH50" s="5">
        <f t="shared" si="86"/>
        <v>77672</v>
      </c>
      <c r="HI50" s="5">
        <f t="shared" si="87"/>
        <v>33890</v>
      </c>
      <c r="HJ50" s="5">
        <f t="shared" si="88"/>
        <v>38441</v>
      </c>
      <c r="HK50" s="5">
        <f t="shared" si="89"/>
        <v>5397</v>
      </c>
      <c r="HL50" s="5">
        <f t="shared" si="90"/>
        <v>46499</v>
      </c>
      <c r="HM50" s="5">
        <f t="shared" si="91"/>
        <v>196730</v>
      </c>
      <c r="HO50" s="11">
        <v>45748</v>
      </c>
      <c r="HP50" s="5">
        <f>DX50+HA50</f>
        <v>640611</v>
      </c>
      <c r="HQ50" s="5">
        <f t="shared" si="72"/>
        <v>32010</v>
      </c>
      <c r="HR50" s="5">
        <f t="shared" si="73"/>
        <v>170957</v>
      </c>
      <c r="HS50" s="5">
        <f t="shared" si="74"/>
        <v>163837</v>
      </c>
      <c r="HT50" s="5">
        <f t="shared" si="75"/>
        <v>37501</v>
      </c>
      <c r="HU50" s="5">
        <f t="shared" si="76"/>
        <v>16977</v>
      </c>
      <c r="HV50" s="5">
        <f t="shared" si="77"/>
        <v>30664</v>
      </c>
      <c r="HW50" s="5">
        <f t="shared" si="78"/>
        <v>4335</v>
      </c>
      <c r="HX50" s="5">
        <f t="shared" si="79"/>
        <v>22689</v>
      </c>
      <c r="HY50" s="5">
        <f t="shared" si="80"/>
        <v>79165</v>
      </c>
    </row>
    <row r="51" spans="2:233" ht="16" customHeight="1">
      <c r="B51" s="11">
        <v>45778</v>
      </c>
      <c r="C51" s="2">
        <v>14</v>
      </c>
      <c r="D51" s="2">
        <v>161</v>
      </c>
      <c r="E51" s="2">
        <v>747</v>
      </c>
      <c r="F51" s="2">
        <v>279</v>
      </c>
      <c r="G51" s="2">
        <v>119</v>
      </c>
      <c r="H51" s="2">
        <v>148</v>
      </c>
      <c r="I51" s="2">
        <v>2716</v>
      </c>
      <c r="J51" s="2">
        <v>1823</v>
      </c>
      <c r="K51" s="2">
        <v>316</v>
      </c>
      <c r="L51" s="8">
        <f t="shared" si="57"/>
        <v>6323</v>
      </c>
      <c r="N51" s="11">
        <v>45778</v>
      </c>
      <c r="O51" s="2">
        <v>14</v>
      </c>
      <c r="P51" s="2">
        <v>161</v>
      </c>
      <c r="Q51" s="2">
        <v>747</v>
      </c>
      <c r="R51" s="2">
        <v>279</v>
      </c>
      <c r="S51" s="2">
        <v>119</v>
      </c>
      <c r="T51" s="2">
        <v>148</v>
      </c>
      <c r="U51" s="2">
        <v>2716</v>
      </c>
      <c r="V51" s="2">
        <v>1823</v>
      </c>
      <c r="W51" s="2">
        <v>316</v>
      </c>
      <c r="X51" s="8">
        <f t="shared" si="58"/>
        <v>6323</v>
      </c>
      <c r="Y51" s="8"/>
      <c r="Z51" s="11">
        <v>45778</v>
      </c>
      <c r="AA51" s="207">
        <v>169155</v>
      </c>
      <c r="AB51" s="207">
        <v>824324</v>
      </c>
      <c r="AC51" s="210">
        <v>1135306</v>
      </c>
      <c r="AD51" s="210">
        <v>41127</v>
      </c>
      <c r="AE51" s="210">
        <v>174173</v>
      </c>
      <c r="AF51" s="210">
        <v>44993</v>
      </c>
      <c r="AG51" s="210">
        <v>18569</v>
      </c>
      <c r="AH51" s="210">
        <v>48011</v>
      </c>
      <c r="AI51" s="210">
        <v>395369</v>
      </c>
      <c r="AJ51" s="210">
        <v>3578763</v>
      </c>
      <c r="AL51" s="11">
        <v>45778</v>
      </c>
      <c r="AM51" s="20">
        <v>128587</v>
      </c>
      <c r="AN51" s="20">
        <v>677294</v>
      </c>
      <c r="AO51" s="20">
        <v>941151</v>
      </c>
      <c r="AP51" s="20">
        <v>41096</v>
      </c>
      <c r="AQ51" s="20">
        <v>134877</v>
      </c>
      <c r="AR51" s="20">
        <v>44984</v>
      </c>
      <c r="AS51" s="20">
        <v>18542</v>
      </c>
      <c r="AT51" s="20">
        <v>47979</v>
      </c>
      <c r="AU51" s="20">
        <v>329452</v>
      </c>
      <c r="AV51" s="20">
        <v>2363962</v>
      </c>
      <c r="AW51" s="549"/>
      <c r="AX51" s="11">
        <v>45778</v>
      </c>
      <c r="AY51" s="20">
        <v>110526</v>
      </c>
      <c r="AZ51" s="20">
        <v>575594</v>
      </c>
      <c r="BA51" s="20">
        <v>765590</v>
      </c>
      <c r="BB51" s="20">
        <v>19131</v>
      </c>
      <c r="BC51" s="20">
        <v>110949</v>
      </c>
      <c r="BD51" s="20">
        <v>25496</v>
      </c>
      <c r="BE51" s="20">
        <v>9889</v>
      </c>
      <c r="BF51" s="20">
        <v>29753</v>
      </c>
      <c r="BG51" s="20">
        <v>238667</v>
      </c>
      <c r="BH51" s="20">
        <v>1885595</v>
      </c>
      <c r="BI51" s="8"/>
      <c r="BJ51" s="11">
        <v>45778</v>
      </c>
      <c r="BK51" s="8">
        <f t="shared" si="81"/>
        <v>2680239</v>
      </c>
      <c r="BL51" s="8"/>
      <c r="BM51" s="8">
        <v>1631665</v>
      </c>
      <c r="BN51" s="8"/>
      <c r="BO51" s="8">
        <v>1048574</v>
      </c>
      <c r="BP51" s="8">
        <v>61439</v>
      </c>
      <c r="BQ51" s="8">
        <v>288270</v>
      </c>
      <c r="BR51" s="8">
        <v>348839</v>
      </c>
      <c r="BS51" s="8">
        <v>70372</v>
      </c>
      <c r="BT51" s="8">
        <v>34138</v>
      </c>
      <c r="BU51" s="8">
        <v>36339</v>
      </c>
      <c r="BV51" s="8">
        <v>2903</v>
      </c>
      <c r="BW51" s="8">
        <v>36862</v>
      </c>
      <c r="BX51" s="8">
        <v>169412</v>
      </c>
      <c r="BY51" s="8">
        <v>196</v>
      </c>
      <c r="CA51" s="11">
        <v>45778</v>
      </c>
      <c r="CB51" s="5">
        <v>121775</v>
      </c>
      <c r="CC51" s="5">
        <v>3376</v>
      </c>
      <c r="CD51" s="5">
        <v>12366</v>
      </c>
      <c r="CE51" s="5">
        <v>19638</v>
      </c>
      <c r="CF51" s="5">
        <v>3735</v>
      </c>
      <c r="CG51" s="5">
        <v>2581</v>
      </c>
      <c r="CH51" s="5">
        <v>2146</v>
      </c>
      <c r="CI51" s="5">
        <v>679</v>
      </c>
      <c r="CJ51" s="5">
        <v>2170</v>
      </c>
      <c r="CK51" s="5">
        <v>20841</v>
      </c>
      <c r="CL51" s="5"/>
      <c r="CM51" s="11">
        <v>45778</v>
      </c>
      <c r="CN51" s="5">
        <f t="shared" si="93"/>
        <v>148370</v>
      </c>
      <c r="CO51" s="5">
        <f t="shared" si="94"/>
        <v>5220</v>
      </c>
      <c r="CP51" s="5">
        <f t="shared" si="95"/>
        <v>18069</v>
      </c>
      <c r="CQ51" s="5">
        <f>DC51+DO51</f>
        <v>29662</v>
      </c>
      <c r="CR51" s="5">
        <f t="shared" si="97"/>
        <v>5200</v>
      </c>
      <c r="CS51" s="5">
        <f t="shared" si="98"/>
        <v>3889</v>
      </c>
      <c r="CT51" s="5">
        <f t="shared" si="99"/>
        <v>3034</v>
      </c>
      <c r="CU51" s="5">
        <f t="shared" si="100"/>
        <v>984</v>
      </c>
      <c r="CV51" s="5">
        <f t="shared" si="101"/>
        <v>3508</v>
      </c>
      <c r="CW51" s="5">
        <f t="shared" si="102"/>
        <v>25538</v>
      </c>
      <c r="CX51" s="8"/>
      <c r="CY51" s="11">
        <v>45778</v>
      </c>
      <c r="CZ51" s="20">
        <v>66120</v>
      </c>
      <c r="DA51" s="8">
        <v>851</v>
      </c>
      <c r="DB51" s="8">
        <v>2680</v>
      </c>
      <c r="DC51" s="8">
        <v>4943</v>
      </c>
      <c r="DD51" s="8">
        <v>613</v>
      </c>
      <c r="DE51" s="8">
        <v>544</v>
      </c>
      <c r="DF51" s="8">
        <v>362</v>
      </c>
      <c r="DG51" s="8">
        <v>102</v>
      </c>
      <c r="DH51" s="8">
        <v>539</v>
      </c>
      <c r="DI51" s="8">
        <v>2220</v>
      </c>
      <c r="DJ51" s="8"/>
      <c r="DK51" s="11">
        <v>45778</v>
      </c>
      <c r="DL51" s="5">
        <f t="shared" si="103"/>
        <v>82250</v>
      </c>
      <c r="DM51" s="8">
        <v>4369</v>
      </c>
      <c r="DN51" s="8">
        <v>15389</v>
      </c>
      <c r="DO51" s="8">
        <v>24719</v>
      </c>
      <c r="DP51" s="8">
        <v>4587</v>
      </c>
      <c r="DQ51" s="8">
        <v>3345</v>
      </c>
      <c r="DR51" s="8">
        <v>2672</v>
      </c>
      <c r="DS51" s="8">
        <v>882</v>
      </c>
      <c r="DT51" s="8">
        <v>2969</v>
      </c>
      <c r="DU51" s="8">
        <v>23318</v>
      </c>
      <c r="DV51" s="8"/>
      <c r="DW51" s="11">
        <v>45778</v>
      </c>
      <c r="DX51" s="8">
        <v>511368</v>
      </c>
      <c r="DY51" s="8">
        <v>31474</v>
      </c>
      <c r="DZ51" s="8">
        <v>120791</v>
      </c>
      <c r="EA51" s="8">
        <v>156103</v>
      </c>
      <c r="EB51" s="8">
        <v>20331</v>
      </c>
      <c r="EC51" s="8">
        <v>18281</v>
      </c>
      <c r="ED51" s="8">
        <v>14156</v>
      </c>
      <c r="EE51" s="8">
        <v>3124</v>
      </c>
      <c r="EF51" s="8">
        <v>15581</v>
      </c>
      <c r="EG51" s="8">
        <v>58193</v>
      </c>
      <c r="EH51" s="8"/>
      <c r="EI51" s="11">
        <v>45778</v>
      </c>
      <c r="EJ51" s="5">
        <v>341772</v>
      </c>
      <c r="EK51" s="5">
        <v>22213</v>
      </c>
      <c r="EL51" s="5">
        <v>89331</v>
      </c>
      <c r="EM51" s="5">
        <v>108828</v>
      </c>
      <c r="EN51" s="5">
        <v>11241</v>
      </c>
      <c r="EO51" s="5">
        <v>11964</v>
      </c>
      <c r="EP51" s="5">
        <v>7693</v>
      </c>
      <c r="EQ51" s="5">
        <v>1673</v>
      </c>
      <c r="ER51" s="5">
        <v>9061</v>
      </c>
      <c r="ES51" s="5">
        <v>38357</v>
      </c>
      <c r="ET51" s="8"/>
      <c r="EU51" s="21">
        <v>45778</v>
      </c>
      <c r="EV51" s="20">
        <v>1027563.03</v>
      </c>
      <c r="EW51" s="20">
        <v>38983.872883019176</v>
      </c>
      <c r="EX51" s="20">
        <v>141603.92184691501</v>
      </c>
      <c r="EY51" s="20">
        <v>203702.04247086725</v>
      </c>
      <c r="EZ51" s="20">
        <v>28530.049082062396</v>
      </c>
      <c r="FA51" s="20">
        <v>24109.535501492413</v>
      </c>
      <c r="FB51" s="20">
        <v>18481.042059533058</v>
      </c>
      <c r="FC51" s="20">
        <v>4237.5279282005149</v>
      </c>
      <c r="FD51" s="20">
        <v>19208.757610500063</v>
      </c>
      <c r="FE51" s="20">
        <v>72987.293230159048</v>
      </c>
      <c r="FF51" s="549"/>
      <c r="FG51" s="21">
        <v>45778</v>
      </c>
      <c r="FH51" s="20">
        <v>677235.03</v>
      </c>
      <c r="FI51" s="20">
        <v>25472.872883019176</v>
      </c>
      <c r="FJ51" s="20">
        <v>97483.921846914993</v>
      </c>
      <c r="FK51" s="20">
        <v>134875.04247086725</v>
      </c>
      <c r="FL51" s="20">
        <v>15965.049082062395</v>
      </c>
      <c r="FM51" s="20">
        <v>15850.535501492415</v>
      </c>
      <c r="FN51" s="20">
        <v>9691.0420595330579</v>
      </c>
      <c r="FO51" s="20">
        <v>2068.5279282005154</v>
      </c>
      <c r="FP51" s="20">
        <v>10882.757610500061</v>
      </c>
      <c r="FQ51" s="20">
        <v>45512.293230159055</v>
      </c>
      <c r="FR51" s="549"/>
      <c r="FS51" s="21">
        <v>45778</v>
      </c>
      <c r="FT51" s="20">
        <v>280</v>
      </c>
      <c r="FU51" s="20">
        <v>92</v>
      </c>
      <c r="FV51" s="20">
        <v>195</v>
      </c>
      <c r="FW51" s="20">
        <v>50</v>
      </c>
      <c r="FX51" s="20">
        <v>188</v>
      </c>
      <c r="FY51" s="20">
        <v>929</v>
      </c>
      <c r="FZ51" s="20">
        <v>229</v>
      </c>
      <c r="GA51" s="20">
        <v>583</v>
      </c>
      <c r="GB51" s="20">
        <v>173</v>
      </c>
      <c r="GC51" s="20">
        <v>2605</v>
      </c>
      <c r="GD51" s="549"/>
      <c r="GE51" s="11">
        <v>45778</v>
      </c>
      <c r="GF51" s="5">
        <v>642</v>
      </c>
      <c r="GG51" s="5">
        <v>200</v>
      </c>
      <c r="GH51" s="5">
        <v>18</v>
      </c>
      <c r="GI51" s="5">
        <v>67</v>
      </c>
      <c r="GJ51" s="5">
        <v>154</v>
      </c>
      <c r="GK51" s="5">
        <v>1464</v>
      </c>
      <c r="GL51" s="5">
        <v>148</v>
      </c>
      <c r="GM51" s="5">
        <v>1381</v>
      </c>
      <c r="GN51" s="5">
        <v>206</v>
      </c>
      <c r="GO51" s="5">
        <v>4280</v>
      </c>
      <c r="GQ51" s="21">
        <v>45778</v>
      </c>
      <c r="GR51" s="20">
        <v>644</v>
      </c>
      <c r="GS51" s="20">
        <v>2749</v>
      </c>
      <c r="GT51" s="20">
        <v>24665</v>
      </c>
      <c r="GU51" s="20">
        <v>15813</v>
      </c>
      <c r="GV51" s="20">
        <v>14582</v>
      </c>
      <c r="GW51" s="20">
        <v>4815</v>
      </c>
      <c r="GX51" s="20">
        <v>42505</v>
      </c>
      <c r="GY51" s="20">
        <v>47401</v>
      </c>
      <c r="GZ51" s="20">
        <v>554</v>
      </c>
      <c r="HA51" s="20">
        <v>153728</v>
      </c>
      <c r="HB51" s="550"/>
      <c r="HC51" s="11">
        <v>45778</v>
      </c>
      <c r="HD51" s="5">
        <f t="shared" si="82"/>
        <v>1780035</v>
      </c>
      <c r="HE51" s="5">
        <f t="shared" si="83"/>
        <v>66659</v>
      </c>
      <c r="HF51" s="5">
        <f t="shared" si="84"/>
        <v>306339</v>
      </c>
      <c r="HG51" s="5">
        <f t="shared" si="85"/>
        <v>378501</v>
      </c>
      <c r="HH51" s="5">
        <f t="shared" si="86"/>
        <v>75572</v>
      </c>
      <c r="HI51" s="5">
        <f t="shared" si="87"/>
        <v>38027</v>
      </c>
      <c r="HJ51" s="5">
        <f t="shared" si="88"/>
        <v>39373</v>
      </c>
      <c r="HK51" s="5">
        <f t="shared" si="89"/>
        <v>3887</v>
      </c>
      <c r="HL51" s="5">
        <f t="shared" si="90"/>
        <v>40370</v>
      </c>
      <c r="HM51" s="5">
        <f t="shared" si="91"/>
        <v>194950</v>
      </c>
      <c r="HO51" s="11">
        <v>45778</v>
      </c>
      <c r="HP51" s="5">
        <f t="shared" si="71"/>
        <v>665096</v>
      </c>
      <c r="HQ51" s="5">
        <f t="shared" si="72"/>
        <v>32028</v>
      </c>
      <c r="HR51" s="5">
        <f t="shared" si="73"/>
        <v>168192</v>
      </c>
      <c r="HS51" s="5">
        <f t="shared" si="74"/>
        <v>198608</v>
      </c>
      <c r="HT51" s="5">
        <f t="shared" si="75"/>
        <v>36144</v>
      </c>
      <c r="HU51" s="5">
        <f t="shared" si="76"/>
        <v>21030</v>
      </c>
      <c r="HV51" s="5">
        <f t="shared" si="77"/>
        <v>28738</v>
      </c>
      <c r="HW51" s="5">
        <f t="shared" si="78"/>
        <v>3768</v>
      </c>
      <c r="HX51" s="5">
        <f t="shared" si="79"/>
        <v>20396</v>
      </c>
      <c r="HY51" s="5">
        <f t="shared" si="80"/>
        <v>82858</v>
      </c>
    </row>
    <row r="52" spans="2:233" ht="15" customHeight="1">
      <c r="B52" s="11">
        <v>45809</v>
      </c>
      <c r="C52" s="2">
        <v>12</v>
      </c>
      <c r="D52" s="2">
        <v>176</v>
      </c>
      <c r="E52" s="2">
        <v>718</v>
      </c>
      <c r="F52" s="2">
        <v>290</v>
      </c>
      <c r="G52" s="2">
        <v>130</v>
      </c>
      <c r="H52" s="2">
        <v>119</v>
      </c>
      <c r="I52" s="2">
        <v>2552</v>
      </c>
      <c r="J52" s="2">
        <v>1566</v>
      </c>
      <c r="K52" s="2">
        <v>260</v>
      </c>
      <c r="L52" s="8">
        <f t="shared" si="57"/>
        <v>5823</v>
      </c>
      <c r="N52" s="11">
        <v>45809</v>
      </c>
      <c r="O52" s="2">
        <v>12</v>
      </c>
      <c r="P52" s="2">
        <v>176</v>
      </c>
      <c r="Q52" s="2">
        <v>718</v>
      </c>
      <c r="R52" s="2">
        <v>290</v>
      </c>
      <c r="S52" s="2">
        <v>130</v>
      </c>
      <c r="T52" s="2">
        <v>119</v>
      </c>
      <c r="U52" s="2">
        <v>2552</v>
      </c>
      <c r="V52" s="2">
        <v>1566</v>
      </c>
      <c r="W52" s="2">
        <v>260</v>
      </c>
      <c r="X52" s="8">
        <f t="shared" si="58"/>
        <v>5823</v>
      </c>
      <c r="Y52" s="8"/>
      <c r="Z52" s="11">
        <v>45809</v>
      </c>
      <c r="AA52" s="207">
        <v>120615</v>
      </c>
      <c r="AB52" s="207">
        <v>674982</v>
      </c>
      <c r="AC52" s="210">
        <v>1002022</v>
      </c>
      <c r="AD52" s="210">
        <v>38489</v>
      </c>
      <c r="AE52" s="210">
        <v>80428</v>
      </c>
      <c r="AF52" s="210">
        <v>34474</v>
      </c>
      <c r="AG52" s="210">
        <v>16891</v>
      </c>
      <c r="AH52" s="210">
        <v>44467</v>
      </c>
      <c r="AI52" s="210">
        <v>275650</v>
      </c>
      <c r="AJ52" s="210">
        <v>3105918</v>
      </c>
      <c r="AL52" s="11">
        <v>45809</v>
      </c>
      <c r="AM52" s="5">
        <v>120610</v>
      </c>
      <c r="AN52" s="5">
        <v>674982</v>
      </c>
      <c r="AO52" s="5">
        <v>1002022</v>
      </c>
      <c r="AP52" s="5">
        <v>38489</v>
      </c>
      <c r="AQ52" s="5">
        <v>80428</v>
      </c>
      <c r="AR52" s="5">
        <v>34474</v>
      </c>
      <c r="AS52" s="5">
        <v>16891</v>
      </c>
      <c r="AT52" s="5">
        <v>44467</v>
      </c>
      <c r="AU52" s="5">
        <v>275650</v>
      </c>
      <c r="AV52" s="5">
        <v>2288013</v>
      </c>
      <c r="AX52" s="11">
        <v>45809</v>
      </c>
      <c r="AY52" s="5">
        <v>102434</v>
      </c>
      <c r="AZ52" s="5">
        <v>577619</v>
      </c>
      <c r="BA52" s="5">
        <v>853594</v>
      </c>
      <c r="BB52" s="5">
        <v>17905</v>
      </c>
      <c r="BC52" s="5">
        <v>56462</v>
      </c>
      <c r="BD52" s="5">
        <v>15631</v>
      </c>
      <c r="BE52" s="5">
        <v>8525</v>
      </c>
      <c r="BF52" s="5">
        <v>26836</v>
      </c>
      <c r="BG52" s="5">
        <v>186873</v>
      </c>
      <c r="BH52" s="5">
        <v>1845879</v>
      </c>
      <c r="BI52" s="8"/>
      <c r="BJ52" s="11">
        <v>45809</v>
      </c>
      <c r="BK52" s="8">
        <f t="shared" si="81"/>
        <v>2632877</v>
      </c>
      <c r="BL52" s="8"/>
      <c r="BM52" s="8">
        <v>1600333</v>
      </c>
      <c r="BN52" s="8"/>
      <c r="BO52" s="8">
        <v>1032544</v>
      </c>
      <c r="BP52" s="8">
        <v>70020</v>
      </c>
      <c r="BQ52" s="8">
        <v>276173</v>
      </c>
      <c r="BR52" s="8">
        <v>319156</v>
      </c>
      <c r="BS52" s="8">
        <v>69567</v>
      </c>
      <c r="BT52" s="8">
        <v>34537</v>
      </c>
      <c r="BU52" s="8">
        <v>37140</v>
      </c>
      <c r="BV52" s="8">
        <v>2816</v>
      </c>
      <c r="BW52" s="8">
        <v>39052</v>
      </c>
      <c r="BX52" s="8">
        <v>184083</v>
      </c>
      <c r="BY52" s="8">
        <v>112</v>
      </c>
      <c r="CA52" s="11">
        <v>45809</v>
      </c>
      <c r="CB52" s="5">
        <v>126946</v>
      </c>
      <c r="CC52" s="5">
        <v>3293</v>
      </c>
      <c r="CD52" s="5">
        <v>14009</v>
      </c>
      <c r="CE52" s="5">
        <v>21426</v>
      </c>
      <c r="CF52" s="5">
        <v>3668</v>
      </c>
      <c r="CG52" s="5">
        <v>2059</v>
      </c>
      <c r="CH52" s="5">
        <v>1566</v>
      </c>
      <c r="CI52" s="5">
        <v>544</v>
      </c>
      <c r="CJ52" s="5">
        <v>2175</v>
      </c>
      <c r="CK52" s="5">
        <v>25029</v>
      </c>
      <c r="CL52" s="5"/>
      <c r="CM52" s="11">
        <v>45809</v>
      </c>
      <c r="CN52" s="5">
        <f t="shared" si="93"/>
        <v>144020</v>
      </c>
      <c r="CO52" s="5">
        <f t="shared" si="94"/>
        <v>5087</v>
      </c>
      <c r="CP52" s="5">
        <f t="shared" si="95"/>
        <v>20134</v>
      </c>
      <c r="CQ52" s="5">
        <f t="shared" si="96"/>
        <v>29935</v>
      </c>
      <c r="CR52" s="5">
        <f t="shared" si="97"/>
        <v>5297</v>
      </c>
      <c r="CS52" s="5">
        <f t="shared" si="98"/>
        <v>3856</v>
      </c>
      <c r="CT52" s="5">
        <f t="shared" si="99"/>
        <v>2515</v>
      </c>
      <c r="CU52" s="5">
        <f t="shared" si="100"/>
        <v>796</v>
      </c>
      <c r="CV52" s="5">
        <f t="shared" si="101"/>
        <v>3578</v>
      </c>
      <c r="CW52" s="5">
        <f t="shared" si="102"/>
        <v>30300</v>
      </c>
      <c r="CX52" s="8"/>
      <c r="CY52" s="11">
        <v>45809</v>
      </c>
      <c r="CZ52" s="20">
        <v>55560</v>
      </c>
      <c r="DA52" s="8">
        <v>725</v>
      </c>
      <c r="DB52" s="8">
        <v>2951</v>
      </c>
      <c r="DC52" s="8">
        <v>4475</v>
      </c>
      <c r="DD52" s="8">
        <v>655</v>
      </c>
      <c r="DE52" s="8">
        <v>715</v>
      </c>
      <c r="DF52" s="8">
        <v>294</v>
      </c>
      <c r="DG52" s="8">
        <v>69</v>
      </c>
      <c r="DH52" s="8">
        <v>465</v>
      </c>
      <c r="DI52" s="8">
        <v>2689</v>
      </c>
      <c r="DJ52" s="8"/>
      <c r="DK52" s="11">
        <v>45809</v>
      </c>
      <c r="DL52" s="5">
        <f t="shared" si="103"/>
        <v>88460</v>
      </c>
      <c r="DM52" s="8">
        <v>4362</v>
      </c>
      <c r="DN52" s="8">
        <v>17183</v>
      </c>
      <c r="DO52" s="8">
        <v>25460</v>
      </c>
      <c r="DP52" s="8">
        <v>4642</v>
      </c>
      <c r="DQ52" s="8">
        <v>3141</v>
      </c>
      <c r="DR52" s="8">
        <v>2221</v>
      </c>
      <c r="DS52" s="8">
        <v>727</v>
      </c>
      <c r="DT52" s="8">
        <v>3113</v>
      </c>
      <c r="DU52" s="8">
        <v>27611</v>
      </c>
      <c r="DV52" s="8"/>
      <c r="DW52" s="11">
        <v>45809</v>
      </c>
      <c r="DX52" s="8">
        <v>480646</v>
      </c>
      <c r="DY52" s="8">
        <v>29450</v>
      </c>
      <c r="DZ52" s="8">
        <v>119446</v>
      </c>
      <c r="EA52" s="8">
        <v>128720</v>
      </c>
      <c r="EB52" s="8">
        <v>19959</v>
      </c>
      <c r="EC52" s="8">
        <v>18908</v>
      </c>
      <c r="ED52" s="8">
        <v>13441</v>
      </c>
      <c r="EE52" s="8">
        <v>3068</v>
      </c>
      <c r="EF52" s="8">
        <v>14865</v>
      </c>
      <c r="EG52" s="8">
        <v>53803</v>
      </c>
      <c r="EH52" s="8"/>
      <c r="EI52" s="11">
        <v>45809</v>
      </c>
      <c r="EJ52" s="5">
        <v>318889</v>
      </c>
      <c r="EK52" s="5">
        <v>20047</v>
      </c>
      <c r="EL52" s="5">
        <v>88146</v>
      </c>
      <c r="EM52" s="5">
        <v>90848</v>
      </c>
      <c r="EN52" s="5">
        <v>10680</v>
      </c>
      <c r="EO52" s="5">
        <v>10490</v>
      </c>
      <c r="EP52" s="5">
        <v>6296</v>
      </c>
      <c r="EQ52" s="5">
        <v>1535</v>
      </c>
      <c r="ER52" s="5">
        <v>8407</v>
      </c>
      <c r="ES52" s="5">
        <v>34740</v>
      </c>
      <c r="ET52" s="8"/>
      <c r="EU52" s="21">
        <v>45809</v>
      </c>
      <c r="EV52" s="20">
        <v>809081.31</v>
      </c>
      <c r="EW52" s="20">
        <v>36781</v>
      </c>
      <c r="EX52" s="20">
        <v>141913.45000000001</v>
      </c>
      <c r="EY52" s="20">
        <v>174152.69</v>
      </c>
      <c r="EZ52" s="20">
        <v>26007.37</v>
      </c>
      <c r="FA52" s="20">
        <v>22013.39</v>
      </c>
      <c r="FB52" s="20">
        <v>17040.23</v>
      </c>
      <c r="FC52" s="20">
        <v>3996.62</v>
      </c>
      <c r="FD52" s="20">
        <v>19750.32</v>
      </c>
      <c r="FE52" s="20">
        <v>73559.680000000008</v>
      </c>
      <c r="FF52" s="549"/>
      <c r="FG52" s="21">
        <v>45809</v>
      </c>
      <c r="FH52" s="20">
        <v>414964.31</v>
      </c>
      <c r="FI52" s="20">
        <v>23390</v>
      </c>
      <c r="FJ52" s="20">
        <v>98542.45</v>
      </c>
      <c r="FK52" s="20">
        <v>122225.69</v>
      </c>
      <c r="FL52" s="20">
        <v>13702.37</v>
      </c>
      <c r="FM52" s="20">
        <v>11764.39</v>
      </c>
      <c r="FN52" s="20">
        <v>7823.2300000000005</v>
      </c>
      <c r="FO52" s="20">
        <v>1929.62</v>
      </c>
      <c r="FP52" s="20">
        <v>11390.32</v>
      </c>
      <c r="FQ52" s="20">
        <v>46993.68</v>
      </c>
      <c r="FR52" s="549"/>
      <c r="FS52" s="21">
        <v>45809</v>
      </c>
      <c r="FT52" s="20">
        <v>251</v>
      </c>
      <c r="FU52" s="20">
        <v>94</v>
      </c>
      <c r="FV52" s="20">
        <v>140</v>
      </c>
      <c r="FW52" s="20">
        <v>48</v>
      </c>
      <c r="FX52" s="20">
        <v>180</v>
      </c>
      <c r="FY52" s="20">
        <v>898</v>
      </c>
      <c r="FZ52" s="20">
        <v>193</v>
      </c>
      <c r="GA52" s="20">
        <v>575</v>
      </c>
      <c r="GB52" s="20">
        <v>160</v>
      </c>
      <c r="GC52" s="20">
        <v>2427</v>
      </c>
      <c r="GD52" s="549"/>
      <c r="GE52" s="11">
        <v>45809</v>
      </c>
      <c r="GF52" s="5">
        <v>610</v>
      </c>
      <c r="GG52" s="5">
        <v>204</v>
      </c>
      <c r="GH52" s="5">
        <v>22</v>
      </c>
      <c r="GI52" s="5">
        <v>77</v>
      </c>
      <c r="GJ52" s="5">
        <v>128</v>
      </c>
      <c r="GK52" s="5">
        <v>1395</v>
      </c>
      <c r="GL52" s="5">
        <v>158</v>
      </c>
      <c r="GM52" s="5">
        <v>1377</v>
      </c>
      <c r="GN52" s="5">
        <v>202</v>
      </c>
      <c r="GO52" s="5">
        <v>4173</v>
      </c>
      <c r="GQ52" s="21">
        <v>45809</v>
      </c>
      <c r="GR52" s="20">
        <v>516</v>
      </c>
      <c r="GS52" s="20">
        <v>2947</v>
      </c>
      <c r="GT52" s="20">
        <v>22790</v>
      </c>
      <c r="GU52" s="20">
        <v>14697</v>
      </c>
      <c r="GV52" s="20">
        <v>13855</v>
      </c>
      <c r="GW52" s="20">
        <v>4154</v>
      </c>
      <c r="GX52" s="20">
        <v>37293</v>
      </c>
      <c r="GY52" s="20">
        <v>43690</v>
      </c>
      <c r="GZ52" s="20">
        <v>538</v>
      </c>
      <c r="HA52" s="20">
        <v>140480</v>
      </c>
      <c r="HB52" s="550"/>
      <c r="HC52" s="11">
        <v>45809</v>
      </c>
      <c r="HD52" s="5">
        <f t="shared" si="82"/>
        <v>1744353</v>
      </c>
      <c r="HE52" s="5">
        <f t="shared" si="83"/>
        <v>75107</v>
      </c>
      <c r="HF52" s="5">
        <f t="shared" si="84"/>
        <v>296307</v>
      </c>
      <c r="HG52" s="5">
        <f t="shared" si="85"/>
        <v>349091</v>
      </c>
      <c r="HH52" s="5">
        <f t="shared" si="86"/>
        <v>74864</v>
      </c>
      <c r="HI52" s="5">
        <f t="shared" si="87"/>
        <v>38393</v>
      </c>
      <c r="HJ52" s="5">
        <f t="shared" si="88"/>
        <v>39655</v>
      </c>
      <c r="HK52" s="5">
        <f t="shared" si="89"/>
        <v>3612</v>
      </c>
      <c r="HL52" s="5">
        <f t="shared" si="90"/>
        <v>42630</v>
      </c>
      <c r="HM52" s="5">
        <f t="shared" si="91"/>
        <v>214383</v>
      </c>
      <c r="HO52" s="11">
        <v>45809</v>
      </c>
      <c r="HP52" s="5">
        <f t="shared" si="71"/>
        <v>621126</v>
      </c>
      <c r="HQ52" s="5">
        <f t="shared" si="72"/>
        <v>29988</v>
      </c>
      <c r="HR52" s="5">
        <f t="shared" si="73"/>
        <v>163136</v>
      </c>
      <c r="HS52" s="5">
        <f t="shared" si="74"/>
        <v>166013</v>
      </c>
      <c r="HT52" s="5">
        <f t="shared" si="75"/>
        <v>34656</v>
      </c>
      <c r="HU52" s="5">
        <f t="shared" si="76"/>
        <v>21855</v>
      </c>
      <c r="HV52" s="5">
        <f t="shared" si="77"/>
        <v>27296</v>
      </c>
      <c r="HW52" s="5">
        <f t="shared" si="78"/>
        <v>3584</v>
      </c>
      <c r="HX52" s="5">
        <f t="shared" si="79"/>
        <v>19019</v>
      </c>
      <c r="HY52" s="5">
        <f t="shared" si="80"/>
        <v>76593</v>
      </c>
    </row>
    <row r="53" spans="2:233">
      <c r="B53" s="11">
        <v>45839</v>
      </c>
      <c r="C53" s="2">
        <v>10</v>
      </c>
      <c r="D53" s="2">
        <v>176</v>
      </c>
      <c r="E53" s="2">
        <v>877</v>
      </c>
      <c r="F53" s="2">
        <v>251</v>
      </c>
      <c r="G53" s="2">
        <v>152</v>
      </c>
      <c r="H53" s="2">
        <v>97</v>
      </c>
      <c r="I53" s="2">
        <v>2544</v>
      </c>
      <c r="J53" s="2">
        <v>1693</v>
      </c>
      <c r="K53" s="2">
        <v>300</v>
      </c>
      <c r="L53" s="8">
        <f t="shared" si="57"/>
        <v>6100</v>
      </c>
      <c r="N53" s="11">
        <v>45839</v>
      </c>
      <c r="O53" s="2">
        <v>10</v>
      </c>
      <c r="P53" s="2">
        <v>176</v>
      </c>
      <c r="Q53" s="2">
        <v>877</v>
      </c>
      <c r="R53" s="2">
        <v>251</v>
      </c>
      <c r="S53" s="2">
        <v>152</v>
      </c>
      <c r="T53" s="2">
        <v>97</v>
      </c>
      <c r="U53" s="2">
        <v>2544</v>
      </c>
      <c r="V53" s="2">
        <v>1693</v>
      </c>
      <c r="W53" s="2">
        <v>300</v>
      </c>
      <c r="X53" s="8">
        <f t="shared" si="58"/>
        <v>6100</v>
      </c>
      <c r="Y53" s="8"/>
      <c r="Z53" s="11">
        <v>45839</v>
      </c>
      <c r="AA53" s="207">
        <v>134487</v>
      </c>
      <c r="AB53" s="207">
        <v>792472</v>
      </c>
      <c r="AC53" s="211">
        <v>1256387</v>
      </c>
      <c r="AD53" s="211">
        <v>42659</v>
      </c>
      <c r="AE53" s="211">
        <v>135423</v>
      </c>
      <c r="AF53" s="211">
        <v>35299</v>
      </c>
      <c r="AG53" s="210">
        <v>178</v>
      </c>
      <c r="AH53" s="210">
        <v>56167</v>
      </c>
      <c r="AI53" s="210">
        <v>310330</v>
      </c>
      <c r="AJ53" s="210">
        <v>3737699</v>
      </c>
      <c r="AL53" s="11">
        <v>45839</v>
      </c>
      <c r="AM53" s="5">
        <v>134487</v>
      </c>
      <c r="AN53" s="5">
        <v>792472</v>
      </c>
      <c r="AO53" s="5">
        <v>1256387</v>
      </c>
      <c r="AP53" s="5">
        <v>42659</v>
      </c>
      <c r="AQ53" s="5">
        <v>135423</v>
      </c>
      <c r="AR53" s="5">
        <v>35299</v>
      </c>
      <c r="AS53" s="5">
        <v>178</v>
      </c>
      <c r="AT53" s="5">
        <v>56167</v>
      </c>
      <c r="AU53" s="5">
        <v>310330</v>
      </c>
      <c r="AV53" s="5">
        <v>2763402</v>
      </c>
      <c r="AW53" s="23"/>
      <c r="AX53" s="11">
        <v>45839</v>
      </c>
      <c r="AY53" s="5">
        <v>110947</v>
      </c>
      <c r="AZ53" s="5">
        <v>656690</v>
      </c>
      <c r="BA53" s="5">
        <v>1091634</v>
      </c>
      <c r="BB53" s="5">
        <v>20821</v>
      </c>
      <c r="BC53" s="5">
        <v>103865</v>
      </c>
      <c r="BD53" s="5">
        <v>16378</v>
      </c>
      <c r="BE53" s="5">
        <v>71</v>
      </c>
      <c r="BF53" s="5">
        <v>31619</v>
      </c>
      <c r="BG53" s="5">
        <v>216027</v>
      </c>
      <c r="BH53" s="5">
        <v>2248052</v>
      </c>
      <c r="BI53" s="8"/>
      <c r="BJ53" s="11">
        <v>45839</v>
      </c>
      <c r="BK53" s="8">
        <f t="shared" si="81"/>
        <v>2932423</v>
      </c>
      <c r="BL53" s="8"/>
      <c r="BM53" s="8">
        <v>1774062</v>
      </c>
      <c r="BN53" s="8"/>
      <c r="BO53" s="8">
        <v>1158361</v>
      </c>
      <c r="BP53" s="8">
        <v>70428</v>
      </c>
      <c r="BQ53" s="8">
        <v>316203</v>
      </c>
      <c r="BR53" s="8">
        <v>379670</v>
      </c>
      <c r="BS53" s="8">
        <v>68097</v>
      </c>
      <c r="BT53" s="8">
        <v>41351</v>
      </c>
      <c r="BU53" s="8">
        <v>35576</v>
      </c>
      <c r="BV53" s="8">
        <v>2072</v>
      </c>
      <c r="BW53" s="8">
        <v>40425</v>
      </c>
      <c r="BX53" s="8">
        <v>204539</v>
      </c>
      <c r="BY53" s="8">
        <v>120</v>
      </c>
      <c r="BZ53" s="34"/>
      <c r="CA53" s="11">
        <v>45839</v>
      </c>
      <c r="CB53" s="5">
        <v>117570</v>
      </c>
      <c r="CC53" s="5">
        <v>2490</v>
      </c>
      <c r="CD53" s="5">
        <v>13402</v>
      </c>
      <c r="CE53" s="5">
        <v>16027</v>
      </c>
      <c r="CF53" s="5">
        <v>8126</v>
      </c>
      <c r="CG53" s="5">
        <v>4011</v>
      </c>
      <c r="CH53" s="5">
        <v>1293</v>
      </c>
      <c r="CI53" s="5">
        <v>15</v>
      </c>
      <c r="CJ53" s="5">
        <v>2932</v>
      </c>
      <c r="CK53" s="5">
        <v>14909</v>
      </c>
      <c r="CL53" s="5"/>
      <c r="CM53" s="11">
        <v>45839</v>
      </c>
      <c r="CN53" s="5">
        <f t="shared" si="93"/>
        <v>147149</v>
      </c>
      <c r="CO53" s="5">
        <f t="shared" si="94"/>
        <v>4051</v>
      </c>
      <c r="CP53" s="5">
        <f t="shared" si="95"/>
        <v>19701</v>
      </c>
      <c r="CQ53" s="5">
        <f t="shared" si="96"/>
        <v>24065</v>
      </c>
      <c r="CR53" s="5">
        <f t="shared" si="97"/>
        <v>10349</v>
      </c>
      <c r="CS53" s="5">
        <f t="shared" si="98"/>
        <v>6644</v>
      </c>
      <c r="CT53" s="5">
        <f t="shared" si="99"/>
        <v>2072</v>
      </c>
      <c r="CU53" s="5">
        <f t="shared" si="100"/>
        <v>22</v>
      </c>
      <c r="CV53" s="5">
        <f t="shared" si="101"/>
        <v>4852</v>
      </c>
      <c r="CW53" s="5">
        <f t="shared" si="102"/>
        <v>19762</v>
      </c>
      <c r="CX53" s="8"/>
      <c r="CY53" s="11">
        <v>45839</v>
      </c>
      <c r="CZ53" s="20">
        <v>67853</v>
      </c>
      <c r="DA53" s="8">
        <v>640</v>
      </c>
      <c r="DB53" s="8">
        <v>2631</v>
      </c>
      <c r="DC53" s="8">
        <v>4085</v>
      </c>
      <c r="DD53" s="8">
        <v>891</v>
      </c>
      <c r="DE53" s="8">
        <v>1025</v>
      </c>
      <c r="DF53" s="8">
        <v>263</v>
      </c>
      <c r="DG53" s="8">
        <v>5</v>
      </c>
      <c r="DH53" s="8">
        <v>640</v>
      </c>
      <c r="DI53" s="8">
        <v>2042</v>
      </c>
      <c r="DJ53" s="8"/>
      <c r="DK53" s="11">
        <v>45839</v>
      </c>
      <c r="DL53" s="5">
        <f t="shared" si="103"/>
        <v>79296</v>
      </c>
      <c r="DM53" s="8">
        <v>3411</v>
      </c>
      <c r="DN53" s="8">
        <v>17070</v>
      </c>
      <c r="DO53" s="8">
        <v>19980</v>
      </c>
      <c r="DP53" s="8">
        <v>9458</v>
      </c>
      <c r="DQ53" s="8">
        <v>5619</v>
      </c>
      <c r="DR53" s="8">
        <v>1809</v>
      </c>
      <c r="DS53" s="8">
        <v>17</v>
      </c>
      <c r="DT53" s="8">
        <v>4212</v>
      </c>
      <c r="DU53" s="8">
        <v>17720</v>
      </c>
      <c r="DV53" s="8"/>
      <c r="DW53" s="11">
        <v>45839</v>
      </c>
      <c r="DX53" s="8">
        <v>569448</v>
      </c>
      <c r="DY53" s="8">
        <v>30510</v>
      </c>
      <c r="DZ53" s="8">
        <v>128233</v>
      </c>
      <c r="EA53" s="8">
        <v>157260</v>
      </c>
      <c r="EB53" s="8">
        <v>22101</v>
      </c>
      <c r="EC53" s="8">
        <v>25568</v>
      </c>
      <c r="ED53" s="8">
        <v>14647</v>
      </c>
      <c r="EE53" s="8">
        <v>53</v>
      </c>
      <c r="EF53" s="8">
        <v>18526</v>
      </c>
      <c r="EG53" s="8">
        <v>62628</v>
      </c>
      <c r="EH53" s="8"/>
      <c r="EI53" s="11">
        <v>45839</v>
      </c>
      <c r="EJ53" s="5">
        <v>396559</v>
      </c>
      <c r="EK53" s="5">
        <v>20815</v>
      </c>
      <c r="EL53" s="5">
        <v>92980</v>
      </c>
      <c r="EM53" s="5">
        <v>116401</v>
      </c>
      <c r="EN53" s="5">
        <v>12507</v>
      </c>
      <c r="EO53" s="5">
        <v>15813</v>
      </c>
      <c r="EP53" s="5">
        <v>7930</v>
      </c>
      <c r="EQ53" s="5">
        <v>26</v>
      </c>
      <c r="ER53" s="5">
        <v>10566</v>
      </c>
      <c r="ES53" s="5">
        <v>42888</v>
      </c>
      <c r="ET53" s="8"/>
      <c r="EU53" s="21">
        <v>45839</v>
      </c>
      <c r="EV53" s="20">
        <v>947410.3</v>
      </c>
      <c r="EW53" s="20">
        <v>38516.269999999997</v>
      </c>
      <c r="EX53" s="20">
        <v>167920.8</v>
      </c>
      <c r="EY53" s="20">
        <v>197389.21000000002</v>
      </c>
      <c r="EZ53" s="20">
        <v>28634.66</v>
      </c>
      <c r="FA53" s="20">
        <v>29147.86</v>
      </c>
      <c r="FB53" s="20">
        <v>18863.650000000001</v>
      </c>
      <c r="FC53" s="20">
        <v>79</v>
      </c>
      <c r="FD53" s="20">
        <v>22533.75</v>
      </c>
      <c r="FE53" s="20">
        <v>89291.42</v>
      </c>
      <c r="FF53" s="549"/>
      <c r="FG53" s="21">
        <v>45839</v>
      </c>
      <c r="FH53" s="20">
        <v>462635.30000000005</v>
      </c>
      <c r="FI53" s="20">
        <v>24141.27</v>
      </c>
      <c r="FJ53" s="20">
        <v>116916.8</v>
      </c>
      <c r="FK53" s="20">
        <v>139173.21</v>
      </c>
      <c r="FL53" s="20">
        <v>15716.66</v>
      </c>
      <c r="FM53" s="20">
        <v>16851.86</v>
      </c>
      <c r="FN53" s="20">
        <v>9596.65</v>
      </c>
      <c r="FO53" s="20">
        <v>34</v>
      </c>
      <c r="FP53" s="20">
        <v>12222.75</v>
      </c>
      <c r="FQ53" s="20">
        <v>60224.42</v>
      </c>
      <c r="FR53" s="549"/>
      <c r="FS53" s="21">
        <v>45839</v>
      </c>
      <c r="FT53" s="20">
        <v>277</v>
      </c>
      <c r="FU53" s="20">
        <v>106</v>
      </c>
      <c r="FV53" s="20">
        <v>2</v>
      </c>
      <c r="FW53" s="20">
        <v>53</v>
      </c>
      <c r="FX53" s="20">
        <v>193</v>
      </c>
      <c r="FY53" s="20">
        <v>851</v>
      </c>
      <c r="FZ53" s="20">
        <v>221</v>
      </c>
      <c r="GA53" s="20">
        <v>609</v>
      </c>
      <c r="GB53" s="20">
        <v>164</v>
      </c>
      <c r="GC53" s="20">
        <v>2360</v>
      </c>
      <c r="GD53" s="549"/>
      <c r="GE53" s="11">
        <v>45839</v>
      </c>
      <c r="GF53" s="5">
        <v>663</v>
      </c>
      <c r="GG53" s="5">
        <v>195</v>
      </c>
      <c r="GH53" s="5"/>
      <c r="GI53" s="5">
        <v>61</v>
      </c>
      <c r="GJ53" s="5">
        <v>122</v>
      </c>
      <c r="GK53" s="5">
        <v>1774</v>
      </c>
      <c r="GL53" s="5">
        <v>169</v>
      </c>
      <c r="GM53" s="5">
        <v>1544</v>
      </c>
      <c r="GN53" s="5">
        <v>191</v>
      </c>
      <c r="GO53" s="5">
        <v>4719</v>
      </c>
      <c r="GQ53" s="21">
        <v>45839</v>
      </c>
      <c r="GR53" s="20">
        <v>356</v>
      </c>
      <c r="GS53" s="20">
        <v>3755</v>
      </c>
      <c r="GT53" s="20">
        <v>25285</v>
      </c>
      <c r="GU53" s="20">
        <v>16213</v>
      </c>
      <c r="GV53" s="20">
        <v>14958</v>
      </c>
      <c r="GW53" s="20">
        <v>4922</v>
      </c>
      <c r="GX53" s="20">
        <v>41635</v>
      </c>
      <c r="GY53" s="20">
        <v>47643</v>
      </c>
      <c r="GZ53" s="20">
        <v>2361</v>
      </c>
      <c r="HA53" s="20">
        <v>157128</v>
      </c>
      <c r="HB53" s="550"/>
      <c r="HC53" s="11">
        <v>45839</v>
      </c>
      <c r="HD53" s="5">
        <f t="shared" si="82"/>
        <v>1921211</v>
      </c>
      <c r="HE53" s="5">
        <f t="shared" si="83"/>
        <v>74479</v>
      </c>
      <c r="HF53" s="5">
        <f t="shared" si="84"/>
        <v>335904</v>
      </c>
      <c r="HG53" s="5">
        <f t="shared" si="85"/>
        <v>403735</v>
      </c>
      <c r="HH53" s="5">
        <f t="shared" si="86"/>
        <v>78446</v>
      </c>
      <c r="HI53" s="5">
        <f t="shared" si="87"/>
        <v>47995</v>
      </c>
      <c r="HJ53" s="5">
        <f t="shared" si="88"/>
        <v>37648</v>
      </c>
      <c r="HK53" s="5">
        <f t="shared" si="89"/>
        <v>2094</v>
      </c>
      <c r="HL53" s="5">
        <f t="shared" si="90"/>
        <v>45277</v>
      </c>
      <c r="HM53" s="5">
        <f t="shared" si="91"/>
        <v>224301</v>
      </c>
      <c r="HO53" s="11">
        <v>45839</v>
      </c>
      <c r="HP53" s="5">
        <f>DX53+HA53</f>
        <v>726576</v>
      </c>
      <c r="HQ53" s="5">
        <f t="shared" si="72"/>
        <v>32871</v>
      </c>
      <c r="HR53" s="5">
        <f t="shared" si="73"/>
        <v>175876</v>
      </c>
      <c r="HS53" s="5">
        <f t="shared" si="74"/>
        <v>198895</v>
      </c>
      <c r="HT53" s="5">
        <f t="shared" si="75"/>
        <v>38314</v>
      </c>
      <c r="HU53" s="5">
        <f t="shared" si="76"/>
        <v>29323</v>
      </c>
      <c r="HV53" s="5">
        <f t="shared" si="77"/>
        <v>29605</v>
      </c>
      <c r="HW53" s="5">
        <f t="shared" si="78"/>
        <v>409</v>
      </c>
      <c r="HX53" s="5">
        <f t="shared" si="79"/>
        <v>23448</v>
      </c>
      <c r="HY53" s="5">
        <f t="shared" si="80"/>
        <v>87913</v>
      </c>
    </row>
    <row r="54" spans="2:233">
      <c r="B54" s="11">
        <v>45870</v>
      </c>
      <c r="C54" s="2">
        <v>1</v>
      </c>
      <c r="D54" s="2">
        <v>249</v>
      </c>
      <c r="E54" s="2">
        <v>926</v>
      </c>
      <c r="F54" s="2">
        <v>321</v>
      </c>
      <c r="G54" s="2">
        <v>171</v>
      </c>
      <c r="H54" s="2">
        <v>175</v>
      </c>
      <c r="I54" s="2">
        <v>3065</v>
      </c>
      <c r="J54" s="2">
        <v>2087</v>
      </c>
      <c r="K54" s="2">
        <v>350</v>
      </c>
      <c r="L54" s="8">
        <v>7345</v>
      </c>
      <c r="N54" s="11">
        <v>45870</v>
      </c>
      <c r="O54" s="2">
        <v>1</v>
      </c>
      <c r="P54" s="2">
        <v>249</v>
      </c>
      <c r="Q54" s="2">
        <v>926</v>
      </c>
      <c r="R54" s="2">
        <v>321</v>
      </c>
      <c r="S54" s="2">
        <v>171</v>
      </c>
      <c r="T54" s="2">
        <v>175</v>
      </c>
      <c r="U54" s="2">
        <v>3065</v>
      </c>
      <c r="V54" s="2">
        <v>2087</v>
      </c>
      <c r="W54" s="2">
        <v>350</v>
      </c>
      <c r="X54" s="8">
        <v>7345</v>
      </c>
      <c r="Y54" s="8"/>
      <c r="Z54" s="11">
        <v>45870</v>
      </c>
      <c r="AA54" s="207">
        <v>157568</v>
      </c>
      <c r="AB54" s="207">
        <v>880183</v>
      </c>
      <c r="AC54" s="211">
        <v>1423670</v>
      </c>
      <c r="AD54" s="211">
        <v>49608</v>
      </c>
      <c r="AE54" s="211">
        <v>128785</v>
      </c>
      <c r="AF54" s="211">
        <v>41165</v>
      </c>
      <c r="AG54" s="210">
        <v>2</v>
      </c>
      <c r="AH54" s="210">
        <v>63126</v>
      </c>
      <c r="AI54" s="210">
        <v>372597</v>
      </c>
      <c r="AJ54" s="210">
        <v>3803561</v>
      </c>
      <c r="AL54" s="11">
        <v>45870</v>
      </c>
      <c r="AM54" s="5">
        <v>157568</v>
      </c>
      <c r="AN54" s="5">
        <v>880183</v>
      </c>
      <c r="AO54" s="5">
        <v>1423670</v>
      </c>
      <c r="AP54" s="5">
        <v>49608</v>
      </c>
      <c r="AQ54" s="5">
        <v>128785</v>
      </c>
      <c r="AR54" s="5">
        <v>41165</v>
      </c>
      <c r="AS54" s="5">
        <v>2</v>
      </c>
      <c r="AT54" s="5">
        <v>63126</v>
      </c>
      <c r="AU54" s="5">
        <v>372597</v>
      </c>
      <c r="AV54" s="5">
        <v>3116704</v>
      </c>
      <c r="AW54" s="23"/>
      <c r="AX54" s="11">
        <v>45870</v>
      </c>
      <c r="AY54" s="5">
        <v>112428</v>
      </c>
      <c r="AZ54" s="5">
        <v>702798</v>
      </c>
      <c r="BA54" s="5">
        <v>1204672</v>
      </c>
      <c r="BB54" s="5">
        <v>21612</v>
      </c>
      <c r="BC54" s="5">
        <v>101195</v>
      </c>
      <c r="BD54" s="5">
        <v>18204</v>
      </c>
      <c r="BE54" s="5">
        <v>0</v>
      </c>
      <c r="BF54" s="5">
        <v>42342</v>
      </c>
      <c r="BG54" s="5">
        <v>241913</v>
      </c>
      <c r="BH54" s="5">
        <v>2445164</v>
      </c>
      <c r="BI54" s="8"/>
      <c r="BJ54" s="11">
        <v>45870</v>
      </c>
      <c r="BK54" s="8">
        <f t="shared" si="81"/>
        <v>3051421</v>
      </c>
      <c r="BL54" s="8"/>
      <c r="BM54" s="8">
        <v>1840689</v>
      </c>
      <c r="BN54" s="8"/>
      <c r="BO54" s="8">
        <v>1210732</v>
      </c>
      <c r="BP54" s="8">
        <v>78156</v>
      </c>
      <c r="BQ54" s="8">
        <v>359925</v>
      </c>
      <c r="BR54" s="8">
        <v>382408</v>
      </c>
      <c r="BS54" s="8">
        <v>77063</v>
      </c>
      <c r="BT54" s="8">
        <v>38503</v>
      </c>
      <c r="BU54" s="8">
        <v>36023</v>
      </c>
      <c r="BV54" s="8">
        <v>1676</v>
      </c>
      <c r="BW54" s="8">
        <v>32423</v>
      </c>
      <c r="BX54" s="8">
        <v>204555</v>
      </c>
      <c r="BY54" s="8">
        <v>163</v>
      </c>
      <c r="BZ54" s="34"/>
      <c r="CA54" s="11">
        <v>45870</v>
      </c>
      <c r="CB54" s="5">
        <v>116537</v>
      </c>
      <c r="CC54" s="5">
        <v>3528</v>
      </c>
      <c r="CD54" s="5">
        <v>18319</v>
      </c>
      <c r="CE54" s="5">
        <v>25428</v>
      </c>
      <c r="CF54" s="5">
        <v>3499</v>
      </c>
      <c r="CG54" s="5">
        <v>3913</v>
      </c>
      <c r="CH54" s="5">
        <v>1826</v>
      </c>
      <c r="CI54" s="5">
        <v>0</v>
      </c>
      <c r="CJ54" s="5">
        <v>2642</v>
      </c>
      <c r="CK54" s="5">
        <v>14868</v>
      </c>
      <c r="CL54" s="5"/>
      <c r="CM54" s="11">
        <v>45870</v>
      </c>
      <c r="CN54" s="5">
        <f t="shared" si="93"/>
        <v>163738</v>
      </c>
      <c r="CO54" s="5">
        <f t="shared" si="94"/>
        <v>5920</v>
      </c>
      <c r="CP54" s="5">
        <f t="shared" si="95"/>
        <v>27391</v>
      </c>
      <c r="CQ54" s="5">
        <f t="shared" si="96"/>
        <v>37556</v>
      </c>
      <c r="CR54" s="5">
        <f t="shared" si="97"/>
        <v>5475</v>
      </c>
      <c r="CS54" s="5">
        <f t="shared" si="98"/>
        <v>6418</v>
      </c>
      <c r="CT54" s="5">
        <f t="shared" si="99"/>
        <v>2955</v>
      </c>
      <c r="CU54" s="5">
        <f t="shared" si="100"/>
        <v>0</v>
      </c>
      <c r="CV54" s="5">
        <f t="shared" si="101"/>
        <v>4325</v>
      </c>
      <c r="CW54" s="5">
        <f t="shared" si="102"/>
        <v>21462</v>
      </c>
      <c r="CX54" s="8"/>
      <c r="CY54" s="11">
        <v>45870</v>
      </c>
      <c r="CZ54" s="20">
        <v>69485</v>
      </c>
      <c r="DA54" s="8">
        <v>894</v>
      </c>
      <c r="DB54" s="8">
        <v>4126</v>
      </c>
      <c r="DC54" s="8">
        <v>6318</v>
      </c>
      <c r="DD54" s="8">
        <v>743</v>
      </c>
      <c r="DE54" s="8">
        <v>1266</v>
      </c>
      <c r="DF54" s="8">
        <v>359</v>
      </c>
      <c r="DG54" s="8">
        <v>0</v>
      </c>
      <c r="DH54" s="8">
        <v>710</v>
      </c>
      <c r="DI54" s="8">
        <v>2833</v>
      </c>
      <c r="DJ54" s="8"/>
      <c r="DK54" s="11">
        <v>45870</v>
      </c>
      <c r="DL54" s="5">
        <f t="shared" si="103"/>
        <v>94253</v>
      </c>
      <c r="DM54" s="8">
        <v>5026</v>
      </c>
      <c r="DN54" s="8">
        <v>23265</v>
      </c>
      <c r="DO54" s="8">
        <v>31238</v>
      </c>
      <c r="DP54" s="8">
        <v>4732</v>
      </c>
      <c r="DQ54" s="8">
        <v>5152</v>
      </c>
      <c r="DR54" s="8">
        <v>2596</v>
      </c>
      <c r="DS54" s="8">
        <v>0</v>
      </c>
      <c r="DT54" s="8">
        <v>3615</v>
      </c>
      <c r="DU54" s="8">
        <v>18629</v>
      </c>
      <c r="DV54" s="8"/>
      <c r="DW54" s="11">
        <v>45870</v>
      </c>
      <c r="DX54" s="8">
        <v>645165</v>
      </c>
      <c r="DY54" s="8">
        <v>36183</v>
      </c>
      <c r="DZ54" s="8">
        <v>143891</v>
      </c>
      <c r="EA54" s="8">
        <v>175527</v>
      </c>
      <c r="EB54" s="8">
        <v>24969</v>
      </c>
      <c r="EC54" s="8">
        <v>29729</v>
      </c>
      <c r="ED54" s="8">
        <v>18140</v>
      </c>
      <c r="EE54" s="8">
        <v>0</v>
      </c>
      <c r="EF54" s="8">
        <v>24590</v>
      </c>
      <c r="EG54" s="8">
        <v>67389</v>
      </c>
      <c r="EH54" s="8"/>
      <c r="EI54" s="11">
        <v>45870</v>
      </c>
      <c r="EJ54" s="5">
        <v>449832</v>
      </c>
      <c r="EK54" s="5">
        <v>22897</v>
      </c>
      <c r="EL54" s="5">
        <v>103355</v>
      </c>
      <c r="EM54" s="5">
        <v>133383</v>
      </c>
      <c r="EN54" s="5">
        <v>13826</v>
      </c>
      <c r="EO54" s="5">
        <v>18753</v>
      </c>
      <c r="EP54" s="5">
        <v>9502</v>
      </c>
      <c r="EQ54" s="5">
        <v>0</v>
      </c>
      <c r="ER54" s="5">
        <v>14410</v>
      </c>
      <c r="ES54" s="5">
        <v>47709</v>
      </c>
      <c r="ET54" s="8"/>
      <c r="EU54" s="11">
        <v>45870</v>
      </c>
      <c r="EV54" s="5">
        <v>964906</v>
      </c>
      <c r="EW54" s="5">
        <v>44456</v>
      </c>
      <c r="EX54" s="5">
        <v>178586</v>
      </c>
      <c r="EY54" s="5">
        <v>220019</v>
      </c>
      <c r="EZ54" s="5">
        <v>33489</v>
      </c>
      <c r="FA54" s="5">
        <v>34711</v>
      </c>
      <c r="FB54" s="5">
        <v>23934</v>
      </c>
      <c r="FC54" s="5">
        <v>0</v>
      </c>
      <c r="FD54" s="5">
        <v>29828</v>
      </c>
      <c r="FE54" s="5">
        <v>95518</v>
      </c>
      <c r="FG54" s="11">
        <v>45870</v>
      </c>
      <c r="FH54" s="5">
        <v>605234</v>
      </c>
      <c r="FI54" s="5">
        <v>26056</v>
      </c>
      <c r="FJ54" s="5">
        <v>119261</v>
      </c>
      <c r="FK54" s="5">
        <v>160742</v>
      </c>
      <c r="FL54" s="5">
        <v>18261</v>
      </c>
      <c r="FM54" s="5">
        <v>18774</v>
      </c>
      <c r="FN54" s="5">
        <v>12115</v>
      </c>
      <c r="FO54" s="5">
        <v>0</v>
      </c>
      <c r="FP54" s="5">
        <v>14115</v>
      </c>
      <c r="FQ54" s="5">
        <v>66768</v>
      </c>
      <c r="FS54" s="11">
        <v>45870</v>
      </c>
      <c r="FT54" s="5">
        <v>398</v>
      </c>
      <c r="FU54" s="5">
        <v>89</v>
      </c>
      <c r="FV54" s="5">
        <v>0</v>
      </c>
      <c r="FW54" s="5">
        <v>61</v>
      </c>
      <c r="FX54" s="5">
        <v>172</v>
      </c>
      <c r="FY54" s="5">
        <v>902</v>
      </c>
      <c r="FZ54" s="5">
        <v>242</v>
      </c>
      <c r="GA54" s="5">
        <v>868</v>
      </c>
      <c r="GB54" s="5">
        <v>194</v>
      </c>
      <c r="GC54" s="5">
        <v>2792</v>
      </c>
      <c r="GE54" s="11">
        <v>45870</v>
      </c>
      <c r="GF54" s="5">
        <v>686</v>
      </c>
      <c r="GG54" s="5">
        <v>198</v>
      </c>
      <c r="GH54" s="5"/>
      <c r="GI54" s="5">
        <v>87</v>
      </c>
      <c r="GJ54" s="5">
        <v>122</v>
      </c>
      <c r="GK54" s="5">
        <v>2060</v>
      </c>
      <c r="GL54" s="5">
        <v>181</v>
      </c>
      <c r="GM54" s="5">
        <v>1618</v>
      </c>
      <c r="GN54" s="5">
        <v>192</v>
      </c>
      <c r="GO54" s="5">
        <v>5144</v>
      </c>
      <c r="GQ54" s="21">
        <v>45870</v>
      </c>
      <c r="GR54" s="20">
        <v>314</v>
      </c>
      <c r="GS54" s="20">
        <v>3687</v>
      </c>
      <c r="GT54" s="20">
        <v>25826</v>
      </c>
      <c r="GU54" s="20">
        <v>15239</v>
      </c>
      <c r="GV54" s="20">
        <v>15187</v>
      </c>
      <c r="GW54" s="20">
        <v>5422</v>
      </c>
      <c r="GX54" s="20">
        <v>38926</v>
      </c>
      <c r="GY54" s="20">
        <v>46747</v>
      </c>
      <c r="GZ54" s="20">
        <v>9471</v>
      </c>
      <c r="HA54" s="20">
        <v>160819</v>
      </c>
      <c r="HB54" s="550"/>
      <c r="HC54" s="11">
        <v>45870</v>
      </c>
      <c r="HD54" s="5">
        <f t="shared" si="82"/>
        <v>2004427</v>
      </c>
      <c r="HE54" s="5">
        <f t="shared" si="83"/>
        <v>84076</v>
      </c>
      <c r="HF54" s="5">
        <f t="shared" si="84"/>
        <v>387316</v>
      </c>
      <c r="HG54" s="5">
        <f t="shared" si="85"/>
        <v>419964</v>
      </c>
      <c r="HH54" s="5">
        <f t="shared" si="86"/>
        <v>82538</v>
      </c>
      <c r="HI54" s="5">
        <f t="shared" si="87"/>
        <v>44921</v>
      </c>
      <c r="HJ54" s="5">
        <f t="shared" si="88"/>
        <v>38978</v>
      </c>
      <c r="HK54" s="5">
        <f t="shared" si="89"/>
        <v>1676</v>
      </c>
      <c r="HL54" s="5">
        <f t="shared" si="90"/>
        <v>36748</v>
      </c>
      <c r="HM54" s="5">
        <f t="shared" si="91"/>
        <v>226017</v>
      </c>
      <c r="HO54" s="11">
        <v>45870</v>
      </c>
      <c r="HP54" s="5">
        <f t="shared" si="71"/>
        <v>805984</v>
      </c>
      <c r="HQ54" s="5">
        <f t="shared" si="72"/>
        <v>45654</v>
      </c>
      <c r="HR54" s="5">
        <f t="shared" si="73"/>
        <v>190638</v>
      </c>
      <c r="HS54" s="5">
        <f t="shared" si="74"/>
        <v>214453</v>
      </c>
      <c r="HT54" s="5">
        <f t="shared" si="75"/>
        <v>40208</v>
      </c>
      <c r="HU54" s="5">
        <f t="shared" si="76"/>
        <v>33416</v>
      </c>
      <c r="HV54" s="5">
        <f t="shared" si="77"/>
        <v>33327</v>
      </c>
      <c r="HW54" s="5">
        <f t="shared" si="78"/>
        <v>314</v>
      </c>
      <c r="HX54" s="5">
        <f t="shared" si="79"/>
        <v>30012</v>
      </c>
      <c r="HY54" s="5">
        <f t="shared" si="80"/>
        <v>93215</v>
      </c>
    </row>
    <row r="55" spans="2:233">
      <c r="B55" s="11">
        <v>45901</v>
      </c>
      <c r="C55" s="2">
        <v>0</v>
      </c>
      <c r="D55" s="2">
        <v>248</v>
      </c>
      <c r="E55" s="2">
        <v>604</v>
      </c>
      <c r="F55" s="2">
        <v>306</v>
      </c>
      <c r="G55" s="2">
        <v>131</v>
      </c>
      <c r="H55" s="2">
        <v>264</v>
      </c>
      <c r="I55" s="2">
        <v>2410</v>
      </c>
      <c r="J55" s="2">
        <v>1667</v>
      </c>
      <c r="K55" s="2">
        <v>261</v>
      </c>
      <c r="L55" s="8">
        <f t="shared" ref="L55:L65" si="104">SUM(C55:K55)</f>
        <v>5891</v>
      </c>
      <c r="N55" s="11">
        <v>45901</v>
      </c>
      <c r="O55" s="2">
        <v>0</v>
      </c>
      <c r="P55" s="2">
        <v>248</v>
      </c>
      <c r="Q55" s="2">
        <v>604</v>
      </c>
      <c r="R55" s="2">
        <v>306</v>
      </c>
      <c r="S55" s="2">
        <v>131</v>
      </c>
      <c r="T55" s="2">
        <v>264</v>
      </c>
      <c r="U55" s="2">
        <v>2410</v>
      </c>
      <c r="V55" s="2">
        <v>1667</v>
      </c>
      <c r="W55" s="2">
        <v>261</v>
      </c>
      <c r="X55" s="8">
        <f t="shared" ref="X55:X65" si="105">SUM(O55:W55)</f>
        <v>5891</v>
      </c>
      <c r="Y55" s="8"/>
      <c r="Z55" s="11">
        <v>45901</v>
      </c>
      <c r="AA55" s="207">
        <v>107619</v>
      </c>
      <c r="AB55" s="207">
        <v>691243</v>
      </c>
      <c r="AC55" s="210">
        <v>860455</v>
      </c>
      <c r="AD55" s="210">
        <v>45228</v>
      </c>
      <c r="AE55" s="210">
        <v>94701</v>
      </c>
      <c r="AF55" s="210">
        <v>36589</v>
      </c>
      <c r="AG55" s="210">
        <v>1</v>
      </c>
      <c r="AH55" s="210">
        <v>117325</v>
      </c>
      <c r="AI55" s="210">
        <v>201833</v>
      </c>
      <c r="AJ55" s="210">
        <v>2581522</v>
      </c>
      <c r="AL55" s="11">
        <v>45901</v>
      </c>
      <c r="AM55" s="5">
        <v>107658</v>
      </c>
      <c r="AN55" s="5">
        <v>691594</v>
      </c>
      <c r="AO55" s="5">
        <v>860754</v>
      </c>
      <c r="AP55" s="5">
        <v>45247</v>
      </c>
      <c r="AQ55" s="5">
        <v>94749</v>
      </c>
      <c r="AR55" s="5">
        <v>36610</v>
      </c>
      <c r="AS55" s="5">
        <v>1</v>
      </c>
      <c r="AT55" s="5">
        <v>117379</v>
      </c>
      <c r="AU55" s="5">
        <v>201870</v>
      </c>
      <c r="AV55" s="5">
        <v>2155862</v>
      </c>
      <c r="AW55" s="5"/>
      <c r="AX55" s="11">
        <v>45901</v>
      </c>
      <c r="AY55" s="5">
        <v>84277</v>
      </c>
      <c r="AZ55" s="5">
        <v>558461</v>
      </c>
      <c r="BA55" s="5">
        <v>746543</v>
      </c>
      <c r="BB55" s="5">
        <v>22293</v>
      </c>
      <c r="BC55" s="5">
        <v>64168</v>
      </c>
      <c r="BD55" s="5">
        <v>16886</v>
      </c>
      <c r="BE55" s="5">
        <v>0</v>
      </c>
      <c r="BF55" s="5">
        <v>86117</v>
      </c>
      <c r="BG55" s="5">
        <v>113634</v>
      </c>
      <c r="BH55" s="5">
        <v>1692379</v>
      </c>
      <c r="BI55" s="8"/>
      <c r="BJ55" s="11">
        <v>45901</v>
      </c>
      <c r="BK55" s="8">
        <f t="shared" si="81"/>
        <v>2886868</v>
      </c>
      <c r="BL55" s="8"/>
      <c r="BM55" s="8">
        <v>1759334</v>
      </c>
      <c r="BN55" s="8"/>
      <c r="BO55" s="8">
        <v>1127534</v>
      </c>
      <c r="BP55" s="8">
        <v>77727</v>
      </c>
      <c r="BQ55" s="8">
        <v>335045</v>
      </c>
      <c r="BR55" s="8">
        <v>353469</v>
      </c>
      <c r="BS55" s="8">
        <v>73714</v>
      </c>
      <c r="BT55" s="8">
        <v>32544</v>
      </c>
      <c r="BU55" s="8">
        <v>41230</v>
      </c>
      <c r="BV55" s="8">
        <v>1142</v>
      </c>
      <c r="BW55" s="8">
        <v>33661</v>
      </c>
      <c r="BX55" s="8">
        <v>179002</v>
      </c>
      <c r="BY55" s="8">
        <v>85</v>
      </c>
      <c r="BZ55" s="35"/>
      <c r="CA55" s="11">
        <v>45901</v>
      </c>
      <c r="CB55" s="5">
        <v>84224</v>
      </c>
      <c r="CC55" s="5">
        <v>2908</v>
      </c>
      <c r="CD55" s="5">
        <v>12899</v>
      </c>
      <c r="CE55" s="5">
        <v>16651</v>
      </c>
      <c r="CF55" s="5">
        <v>2341</v>
      </c>
      <c r="CG55" s="5">
        <v>3345</v>
      </c>
      <c r="CH55" s="5">
        <v>1313</v>
      </c>
      <c r="CI55" s="5">
        <v>0</v>
      </c>
      <c r="CJ55" s="5">
        <v>3593</v>
      </c>
      <c r="CK55" s="5">
        <v>8098</v>
      </c>
      <c r="CL55" s="5"/>
      <c r="CM55" s="11">
        <v>45901</v>
      </c>
      <c r="CN55" s="5">
        <f t="shared" si="93"/>
        <v>134161</v>
      </c>
      <c r="CO55" s="5">
        <f t="shared" si="94"/>
        <v>4956</v>
      </c>
      <c r="CP55" s="5">
        <f t="shared" si="95"/>
        <v>20927</v>
      </c>
      <c r="CQ55" s="5">
        <f t="shared" si="96"/>
        <v>25823</v>
      </c>
      <c r="CR55" s="5">
        <f t="shared" si="97"/>
        <v>4342</v>
      </c>
      <c r="CS55" s="5">
        <f t="shared" si="98"/>
        <v>6124</v>
      </c>
      <c r="CT55" s="5">
        <f t="shared" si="99"/>
        <v>2409</v>
      </c>
      <c r="CU55" s="5">
        <f t="shared" si="100"/>
        <v>0</v>
      </c>
      <c r="CV55" s="5">
        <f t="shared" si="101"/>
        <v>6169</v>
      </c>
      <c r="CW55" s="5">
        <f t="shared" si="102"/>
        <v>13958</v>
      </c>
      <c r="CX55" s="8"/>
      <c r="CY55" s="11">
        <v>45901</v>
      </c>
      <c r="CZ55" s="20">
        <v>62950</v>
      </c>
      <c r="DA55" s="8">
        <v>819</v>
      </c>
      <c r="DB55" s="8">
        <v>3521</v>
      </c>
      <c r="DC55" s="8">
        <v>4220</v>
      </c>
      <c r="DD55" s="8">
        <v>672</v>
      </c>
      <c r="DE55" s="8">
        <v>1251</v>
      </c>
      <c r="DF55" s="8">
        <v>313</v>
      </c>
      <c r="DG55" s="8">
        <v>0</v>
      </c>
      <c r="DH55" s="8">
        <v>1106</v>
      </c>
      <c r="DI55" s="8">
        <v>1595</v>
      </c>
      <c r="DJ55" s="8"/>
      <c r="DK55" s="11">
        <v>45901</v>
      </c>
      <c r="DL55" s="5">
        <f t="shared" si="103"/>
        <v>71211</v>
      </c>
      <c r="DM55" s="8">
        <v>4137</v>
      </c>
      <c r="DN55" s="8">
        <v>17406</v>
      </c>
      <c r="DO55" s="8">
        <v>21603</v>
      </c>
      <c r="DP55" s="8">
        <v>3670</v>
      </c>
      <c r="DQ55" s="8">
        <v>4873</v>
      </c>
      <c r="DR55" s="8">
        <v>2096</v>
      </c>
      <c r="DS55" s="8">
        <v>0</v>
      </c>
      <c r="DT55" s="8">
        <v>5063</v>
      </c>
      <c r="DU55" s="8">
        <v>12363</v>
      </c>
      <c r="DV55" s="8"/>
      <c r="DW55" s="11">
        <v>45901</v>
      </c>
      <c r="DX55" s="8">
        <v>575834</v>
      </c>
      <c r="DY55" s="8">
        <v>31482</v>
      </c>
      <c r="DZ55" s="8">
        <v>137444</v>
      </c>
      <c r="EA55" s="8">
        <v>151931</v>
      </c>
      <c r="EB55" s="8">
        <v>23433</v>
      </c>
      <c r="EC55" s="8">
        <v>30292</v>
      </c>
      <c r="ED55" s="8">
        <v>16913</v>
      </c>
      <c r="EE55" s="8">
        <v>0</v>
      </c>
      <c r="EF55" s="8">
        <v>44763</v>
      </c>
      <c r="EG55" s="8">
        <v>49520</v>
      </c>
      <c r="EH55" s="8"/>
      <c r="EI55" s="11">
        <v>45901</v>
      </c>
      <c r="EJ55" s="5">
        <v>381617</v>
      </c>
      <c r="EK55" s="5">
        <v>20170</v>
      </c>
      <c r="EL55" s="5">
        <v>97630</v>
      </c>
      <c r="EM55" s="5">
        <v>112944</v>
      </c>
      <c r="EN55" s="5">
        <v>12242</v>
      </c>
      <c r="EO55" s="5">
        <v>16926</v>
      </c>
      <c r="EP55" s="5">
        <v>8579</v>
      </c>
      <c r="EQ55" s="5">
        <v>0</v>
      </c>
      <c r="ER55" s="5">
        <v>27518</v>
      </c>
      <c r="ES55" s="5">
        <v>28114</v>
      </c>
      <c r="ET55" s="8"/>
      <c r="EU55" s="11">
        <v>45901</v>
      </c>
      <c r="EV55" s="5">
        <v>850200</v>
      </c>
      <c r="EW55" s="5">
        <v>39353</v>
      </c>
      <c r="EX55" s="5">
        <v>167547</v>
      </c>
      <c r="EY55" s="5">
        <v>182083</v>
      </c>
      <c r="EZ55" s="5">
        <v>31041</v>
      </c>
      <c r="FA55" s="5">
        <v>36372</v>
      </c>
      <c r="FB55" s="5">
        <v>21558</v>
      </c>
      <c r="FC55" s="5">
        <v>1</v>
      </c>
      <c r="FD55" s="5">
        <v>50756</v>
      </c>
      <c r="FE55" s="5">
        <v>71796</v>
      </c>
      <c r="FG55" s="11">
        <v>45901</v>
      </c>
      <c r="FH55" s="5">
        <v>486774</v>
      </c>
      <c r="FI55" s="5">
        <v>23902</v>
      </c>
      <c r="FJ55" s="5">
        <v>106240</v>
      </c>
      <c r="FK55" s="5">
        <v>124946</v>
      </c>
      <c r="FL55" s="5">
        <v>15790</v>
      </c>
      <c r="FM55" s="5">
        <v>16320</v>
      </c>
      <c r="FN55" s="5">
        <v>10165</v>
      </c>
      <c r="FO55" s="5">
        <v>0</v>
      </c>
      <c r="FP55" s="5">
        <v>22363</v>
      </c>
      <c r="FQ55" s="5">
        <v>42601</v>
      </c>
      <c r="FS55" s="11">
        <v>45901</v>
      </c>
      <c r="FT55" s="5">
        <v>186</v>
      </c>
      <c r="FU55" s="5">
        <v>75</v>
      </c>
      <c r="FV55" s="5">
        <v>1</v>
      </c>
      <c r="FW55" s="5">
        <v>57</v>
      </c>
      <c r="FX55" s="5">
        <v>538</v>
      </c>
      <c r="FY55" s="5">
        <v>617</v>
      </c>
      <c r="FZ55" s="5">
        <v>336</v>
      </c>
      <c r="GA55" s="5">
        <v>677</v>
      </c>
      <c r="GB55" s="5">
        <v>135</v>
      </c>
      <c r="GC55" s="5">
        <v>2499</v>
      </c>
      <c r="GE55" s="11">
        <v>45901</v>
      </c>
      <c r="GF55" s="5">
        <v>415</v>
      </c>
      <c r="GG55" s="5">
        <v>203</v>
      </c>
      <c r="GH55" s="5"/>
      <c r="GI55" s="5">
        <v>87</v>
      </c>
      <c r="GJ55" s="5">
        <v>278</v>
      </c>
      <c r="GK55" s="5">
        <v>1763</v>
      </c>
      <c r="GL55" s="5">
        <v>221</v>
      </c>
      <c r="GM55" s="5">
        <v>1413</v>
      </c>
      <c r="GN55" s="5">
        <v>174</v>
      </c>
      <c r="GO55" s="5">
        <v>4554</v>
      </c>
      <c r="GQ55" s="21">
        <v>45901</v>
      </c>
      <c r="GR55" s="20">
        <v>247</v>
      </c>
      <c r="GS55" s="20">
        <v>4154</v>
      </c>
      <c r="GT55" s="20">
        <v>17914</v>
      </c>
      <c r="GU55" s="20">
        <v>14036</v>
      </c>
      <c r="GV55" s="20">
        <v>12520</v>
      </c>
      <c r="GW55" s="20">
        <v>6112</v>
      </c>
      <c r="GX55" s="20">
        <v>31897</v>
      </c>
      <c r="GY55" s="20">
        <v>42265</v>
      </c>
      <c r="GZ55" s="20">
        <v>7962</v>
      </c>
      <c r="HA55" s="20">
        <v>137107</v>
      </c>
      <c r="HB55" s="550"/>
      <c r="HC55" s="11">
        <v>45901</v>
      </c>
      <c r="HD55" s="5">
        <f t="shared" si="82"/>
        <v>1893495</v>
      </c>
      <c r="HE55" s="5">
        <f t="shared" si="83"/>
        <v>82683</v>
      </c>
      <c r="HF55" s="5">
        <f t="shared" si="84"/>
        <v>355972</v>
      </c>
      <c r="HG55" s="5">
        <f t="shared" si="85"/>
        <v>379292</v>
      </c>
      <c r="HH55" s="5">
        <f t="shared" si="86"/>
        <v>78056</v>
      </c>
      <c r="HI55" s="5">
        <f t="shared" si="87"/>
        <v>38668</v>
      </c>
      <c r="HJ55" s="5">
        <f t="shared" si="88"/>
        <v>43639</v>
      </c>
      <c r="HK55" s="5">
        <f t="shared" si="89"/>
        <v>1142</v>
      </c>
      <c r="HL55" s="5">
        <f t="shared" si="90"/>
        <v>39830</v>
      </c>
      <c r="HM55" s="5">
        <f t="shared" si="91"/>
        <v>192960</v>
      </c>
      <c r="HO55" s="11">
        <v>45901</v>
      </c>
      <c r="HP55" s="5">
        <f t="shared" si="71"/>
        <v>712941</v>
      </c>
      <c r="HQ55" s="5">
        <f t="shared" si="72"/>
        <v>39444</v>
      </c>
      <c r="HR55" s="5">
        <f t="shared" si="73"/>
        <v>179709</v>
      </c>
      <c r="HS55" s="5">
        <f t="shared" si="74"/>
        <v>183828</v>
      </c>
      <c r="HT55" s="5">
        <f t="shared" si="75"/>
        <v>37469</v>
      </c>
      <c r="HU55" s="5">
        <f t="shared" si="76"/>
        <v>34446</v>
      </c>
      <c r="HV55" s="5">
        <f t="shared" si="77"/>
        <v>29433</v>
      </c>
      <c r="HW55" s="5">
        <f t="shared" si="78"/>
        <v>247</v>
      </c>
      <c r="HX55" s="5">
        <f t="shared" si="79"/>
        <v>50875</v>
      </c>
      <c r="HY55" s="5">
        <f t="shared" si="80"/>
        <v>67434</v>
      </c>
    </row>
    <row r="56" spans="2:233">
      <c r="B56" s="11">
        <v>45931</v>
      </c>
      <c r="C56" s="2">
        <v>0</v>
      </c>
      <c r="D56" s="2">
        <v>15</v>
      </c>
      <c r="E56" s="2">
        <v>560</v>
      </c>
      <c r="F56" s="2">
        <v>307</v>
      </c>
      <c r="G56" s="2">
        <v>152</v>
      </c>
      <c r="H56" s="2">
        <v>93</v>
      </c>
      <c r="I56" s="2">
        <v>2456</v>
      </c>
      <c r="J56" s="2">
        <v>1815</v>
      </c>
      <c r="K56" s="2">
        <v>353</v>
      </c>
      <c r="L56" s="8">
        <f t="shared" si="104"/>
        <v>5751</v>
      </c>
      <c r="N56" s="11">
        <v>45931</v>
      </c>
      <c r="O56" s="2">
        <v>0</v>
      </c>
      <c r="P56" s="2">
        <v>15</v>
      </c>
      <c r="Q56" s="2">
        <v>560</v>
      </c>
      <c r="R56" s="2">
        <v>307</v>
      </c>
      <c r="S56" s="2">
        <v>152</v>
      </c>
      <c r="T56" s="2">
        <v>93</v>
      </c>
      <c r="U56" s="2">
        <v>2456</v>
      </c>
      <c r="V56" s="2">
        <v>1815</v>
      </c>
      <c r="W56" s="2">
        <v>353</v>
      </c>
      <c r="X56" s="8">
        <f t="shared" si="105"/>
        <v>5751</v>
      </c>
      <c r="Y56" s="8"/>
      <c r="Z56" s="11">
        <v>45931</v>
      </c>
      <c r="AA56" s="210">
        <v>147725</v>
      </c>
      <c r="AB56" s="210">
        <v>856888</v>
      </c>
      <c r="AC56" s="210">
        <v>1084580</v>
      </c>
      <c r="AD56" s="210">
        <v>40898</v>
      </c>
      <c r="AE56" s="210">
        <v>79725</v>
      </c>
      <c r="AF56" s="210">
        <v>35085</v>
      </c>
      <c r="AG56" s="210">
        <v>1</v>
      </c>
      <c r="AH56" s="210">
        <v>53425</v>
      </c>
      <c r="AI56" s="210">
        <v>303090</v>
      </c>
      <c r="AJ56" s="210">
        <v>3236889</v>
      </c>
      <c r="AL56" s="11">
        <v>45931</v>
      </c>
      <c r="AM56" s="5">
        <v>147725</v>
      </c>
      <c r="AN56" s="5">
        <v>856888</v>
      </c>
      <c r="AO56" s="5">
        <v>1084580</v>
      </c>
      <c r="AP56" s="5">
        <v>40898</v>
      </c>
      <c r="AQ56" s="5">
        <v>79725</v>
      </c>
      <c r="AR56" s="5">
        <v>35085</v>
      </c>
      <c r="AS56" s="5">
        <v>1</v>
      </c>
      <c r="AT56" s="5">
        <v>53425</v>
      </c>
      <c r="AU56" s="5">
        <v>303090</v>
      </c>
      <c r="AV56" s="5">
        <v>2601417</v>
      </c>
      <c r="AW56" s="10"/>
      <c r="AX56" s="11">
        <v>45931</v>
      </c>
      <c r="AY56" s="5">
        <v>126550</v>
      </c>
      <c r="AZ56" s="5">
        <v>745644</v>
      </c>
      <c r="BA56" s="5">
        <v>930849</v>
      </c>
      <c r="BB56" s="5">
        <v>20817</v>
      </c>
      <c r="BC56" s="5">
        <v>55887</v>
      </c>
      <c r="BD56" s="5">
        <v>15735</v>
      </c>
      <c r="BE56" s="5">
        <v>1</v>
      </c>
      <c r="BF56" s="5">
        <v>32258</v>
      </c>
      <c r="BG56" s="5">
        <v>249986</v>
      </c>
      <c r="BH56" s="5">
        <v>2177727</v>
      </c>
      <c r="BI56" s="8"/>
      <c r="BJ56" s="11">
        <v>45931</v>
      </c>
      <c r="BK56" s="8">
        <f t="shared" si="81"/>
        <v>2886582</v>
      </c>
      <c r="BL56" s="8"/>
      <c r="BM56" s="8">
        <v>1769582</v>
      </c>
      <c r="BN56" s="8"/>
      <c r="BO56" s="8">
        <v>1117000</v>
      </c>
      <c r="BP56" s="8">
        <v>85356</v>
      </c>
      <c r="BQ56" s="8">
        <v>358546</v>
      </c>
      <c r="BR56" s="8">
        <v>350017</v>
      </c>
      <c r="BS56" s="8">
        <v>76216</v>
      </c>
      <c r="BT56" s="8">
        <v>13912</v>
      </c>
      <c r="BU56" s="8">
        <v>46527</v>
      </c>
      <c r="BV56" s="8">
        <v>820</v>
      </c>
      <c r="BW56" s="8">
        <v>20554</v>
      </c>
      <c r="BX56" s="8">
        <v>165052</v>
      </c>
      <c r="BY56" s="8">
        <v>357</v>
      </c>
      <c r="BZ56" s="6"/>
      <c r="CA56" s="11">
        <v>45931</v>
      </c>
      <c r="CB56" s="5">
        <v>84869</v>
      </c>
      <c r="CC56" s="5">
        <v>3289</v>
      </c>
      <c r="CD56" s="5">
        <v>15404</v>
      </c>
      <c r="CE56" s="5">
        <v>17956</v>
      </c>
      <c r="CF56" s="5">
        <v>2469</v>
      </c>
      <c r="CG56" s="5">
        <v>1423</v>
      </c>
      <c r="CH56" s="5">
        <v>1267</v>
      </c>
      <c r="CI56" s="5">
        <v>0</v>
      </c>
      <c r="CJ56" s="5">
        <v>1501</v>
      </c>
      <c r="CK56" s="5">
        <v>9524</v>
      </c>
      <c r="CL56" s="5"/>
      <c r="CM56" s="11">
        <v>45931</v>
      </c>
      <c r="CN56" s="5">
        <f t="shared" si="93"/>
        <v>125618</v>
      </c>
      <c r="CO56" s="5">
        <f t="shared" si="94"/>
        <v>5282</v>
      </c>
      <c r="CP56" s="5">
        <f t="shared" si="95"/>
        <v>24058</v>
      </c>
      <c r="CQ56" s="5">
        <f t="shared" si="96"/>
        <v>27773</v>
      </c>
      <c r="CR56" s="5">
        <f t="shared" si="97"/>
        <v>4362</v>
      </c>
      <c r="CS56" s="5">
        <f t="shared" si="98"/>
        <v>2557</v>
      </c>
      <c r="CT56" s="5">
        <f t="shared" si="99"/>
        <v>2317</v>
      </c>
      <c r="CU56" s="5">
        <f t="shared" si="100"/>
        <v>2</v>
      </c>
      <c r="CV56" s="5">
        <f t="shared" si="101"/>
        <v>2967</v>
      </c>
      <c r="CW56" s="5">
        <f t="shared" si="102"/>
        <v>14568</v>
      </c>
      <c r="CX56" s="8"/>
      <c r="CY56" s="11">
        <v>45931</v>
      </c>
      <c r="CZ56" s="20">
        <v>54007</v>
      </c>
      <c r="DA56" s="8">
        <v>784</v>
      </c>
      <c r="DB56" s="8">
        <v>3603</v>
      </c>
      <c r="DC56" s="8">
        <v>4389</v>
      </c>
      <c r="DD56" s="8">
        <v>636</v>
      </c>
      <c r="DE56" s="8">
        <v>416</v>
      </c>
      <c r="DF56" s="8">
        <v>333</v>
      </c>
      <c r="DG56" s="8">
        <v>1</v>
      </c>
      <c r="DH56" s="8">
        <v>483</v>
      </c>
      <c r="DI56" s="8">
        <v>1630</v>
      </c>
      <c r="DJ56" s="8"/>
      <c r="DK56" s="11">
        <v>45931</v>
      </c>
      <c r="DL56" s="5">
        <f t="shared" si="103"/>
        <v>71611</v>
      </c>
      <c r="DM56" s="8">
        <v>4498</v>
      </c>
      <c r="DN56" s="8">
        <v>20455</v>
      </c>
      <c r="DO56" s="8">
        <v>23384</v>
      </c>
      <c r="DP56" s="8">
        <v>3726</v>
      </c>
      <c r="DQ56" s="8">
        <v>2141</v>
      </c>
      <c r="DR56" s="8">
        <v>1984</v>
      </c>
      <c r="DS56" s="8">
        <v>1</v>
      </c>
      <c r="DT56" s="8">
        <v>2484</v>
      </c>
      <c r="DU56" s="8">
        <v>12938</v>
      </c>
      <c r="DV56" s="8"/>
      <c r="DW56" s="11">
        <v>45931</v>
      </c>
      <c r="DX56" s="8">
        <v>552680</v>
      </c>
      <c r="DY56" s="8">
        <v>33092</v>
      </c>
      <c r="DZ56" s="8">
        <v>153880</v>
      </c>
      <c r="EA56" s="8">
        <v>139299</v>
      </c>
      <c r="EB56" s="8">
        <v>20947</v>
      </c>
      <c r="EC56" s="8">
        <v>14967</v>
      </c>
      <c r="ED56" s="8">
        <v>15193</v>
      </c>
      <c r="EE56" s="8">
        <v>0</v>
      </c>
      <c r="EF56" s="8">
        <v>17798</v>
      </c>
      <c r="EG56" s="8">
        <v>52299</v>
      </c>
      <c r="EH56" s="8"/>
      <c r="EI56" s="11">
        <v>45931</v>
      </c>
      <c r="EJ56" s="5">
        <v>383612</v>
      </c>
      <c r="EK56" s="5">
        <v>22476</v>
      </c>
      <c r="EL56" s="5">
        <v>115557</v>
      </c>
      <c r="EM56" s="5">
        <v>101030</v>
      </c>
      <c r="EN56" s="5">
        <v>10956</v>
      </c>
      <c r="EO56" s="5">
        <v>9140</v>
      </c>
      <c r="EP56" s="5">
        <v>7496</v>
      </c>
      <c r="EQ56" s="5">
        <v>0</v>
      </c>
      <c r="ER56" s="5">
        <v>9850</v>
      </c>
      <c r="ES56" s="5">
        <v>37273</v>
      </c>
      <c r="ET56" s="8"/>
      <c r="EU56" s="21">
        <v>45931</v>
      </c>
      <c r="EV56" s="20">
        <v>881010.88235294074</v>
      </c>
      <c r="EW56" s="20">
        <v>41755.083333333343</v>
      </c>
      <c r="EX56" s="20">
        <v>191347.54545454553</v>
      </c>
      <c r="EY56" s="20">
        <v>176824</v>
      </c>
      <c r="EZ56" s="20">
        <v>27569.166666666668</v>
      </c>
      <c r="FA56" s="20">
        <v>17049.100000000002</v>
      </c>
      <c r="FB56" s="20">
        <v>19458.368421052641</v>
      </c>
      <c r="FC56" s="20">
        <v>1</v>
      </c>
      <c r="FD56" s="20">
        <v>20222.333333333339</v>
      </c>
      <c r="FE56" s="20">
        <v>74694.300000000047</v>
      </c>
      <c r="FF56" s="549" t="s">
        <v>173</v>
      </c>
      <c r="FG56" s="21">
        <v>45931</v>
      </c>
      <c r="FH56" s="20">
        <v>596611.8823529412</v>
      </c>
      <c r="FI56" s="20">
        <v>26851.083333333318</v>
      </c>
      <c r="FJ56" s="20">
        <v>133135.54545454535</v>
      </c>
      <c r="FK56" s="20">
        <v>121692</v>
      </c>
      <c r="FL56" s="20">
        <v>14072.166666666664</v>
      </c>
      <c r="FM56" s="20">
        <v>9791.1000000000076</v>
      </c>
      <c r="FN56" s="20">
        <v>9097.3684210526299</v>
      </c>
      <c r="FO56" s="24" t="s">
        <v>174</v>
      </c>
      <c r="FP56" s="20">
        <v>11136.235294117649</v>
      </c>
      <c r="FQ56" s="20">
        <v>50648.300000000039</v>
      </c>
      <c r="FR56" s="549" t="s">
        <v>173</v>
      </c>
      <c r="FS56" s="11">
        <v>45931</v>
      </c>
      <c r="FT56" s="5">
        <v>214</v>
      </c>
      <c r="FU56" s="5">
        <v>76</v>
      </c>
      <c r="FV56" s="5">
        <v>0</v>
      </c>
      <c r="FW56" s="5">
        <v>48</v>
      </c>
      <c r="FX56" s="5">
        <v>106</v>
      </c>
      <c r="FY56" s="5">
        <v>649</v>
      </c>
      <c r="FZ56" s="5">
        <v>129</v>
      </c>
      <c r="GA56" s="5">
        <v>747</v>
      </c>
      <c r="GB56" s="5">
        <v>144</v>
      </c>
      <c r="GC56" s="5">
        <v>2015</v>
      </c>
      <c r="GE56" s="11">
        <v>45931</v>
      </c>
      <c r="GF56" s="5">
        <v>499</v>
      </c>
      <c r="GG56" s="5">
        <v>191</v>
      </c>
      <c r="GH56" s="5"/>
      <c r="GI56" s="5">
        <v>86</v>
      </c>
      <c r="GJ56" s="5">
        <v>42</v>
      </c>
      <c r="GK56" s="5">
        <v>1835</v>
      </c>
      <c r="GL56" s="5">
        <v>10</v>
      </c>
      <c r="GM56" s="5">
        <v>1429</v>
      </c>
      <c r="GN56" s="5">
        <v>213</v>
      </c>
      <c r="GO56" s="5">
        <v>4305</v>
      </c>
      <c r="GQ56" s="21">
        <v>45931</v>
      </c>
      <c r="GR56" s="20">
        <v>203</v>
      </c>
      <c r="GS56" s="20">
        <v>2621</v>
      </c>
      <c r="GT56" s="20">
        <v>18674</v>
      </c>
      <c r="GU56" s="20">
        <v>14992</v>
      </c>
      <c r="GV56" s="20">
        <v>13576</v>
      </c>
      <c r="GW56" s="20">
        <v>4338</v>
      </c>
      <c r="GX56" s="20">
        <v>32808</v>
      </c>
      <c r="GY56" s="20">
        <v>50252</v>
      </c>
      <c r="GZ56" s="20">
        <v>8827</v>
      </c>
      <c r="HA56" s="20">
        <v>146291</v>
      </c>
      <c r="HB56" s="550"/>
      <c r="HC56" s="11">
        <v>45931</v>
      </c>
      <c r="HD56" s="5">
        <f t="shared" si="82"/>
        <v>1895200</v>
      </c>
      <c r="HE56" s="5">
        <f t="shared" si="83"/>
        <v>90638</v>
      </c>
      <c r="HF56" s="5">
        <f t="shared" si="84"/>
        <v>382604</v>
      </c>
      <c r="HG56" s="5">
        <f t="shared" si="85"/>
        <v>377790</v>
      </c>
      <c r="HH56" s="5">
        <f t="shared" si="86"/>
        <v>80578</v>
      </c>
      <c r="HI56" s="5">
        <f t="shared" si="87"/>
        <v>16469</v>
      </c>
      <c r="HJ56" s="5">
        <f t="shared" si="88"/>
        <v>48844</v>
      </c>
      <c r="HK56" s="5">
        <f t="shared" si="89"/>
        <v>822</v>
      </c>
      <c r="HL56" s="5">
        <f t="shared" si="90"/>
        <v>23521</v>
      </c>
      <c r="HM56" s="5">
        <f t="shared" si="91"/>
        <v>179620</v>
      </c>
      <c r="HO56" s="11">
        <v>45931</v>
      </c>
      <c r="HP56" s="5">
        <f t="shared" si="71"/>
        <v>698971</v>
      </c>
      <c r="HQ56" s="5">
        <f t="shared" si="72"/>
        <v>41919</v>
      </c>
      <c r="HR56" s="5">
        <f t="shared" si="73"/>
        <v>204132</v>
      </c>
      <c r="HS56" s="5">
        <f t="shared" si="74"/>
        <v>172107</v>
      </c>
      <c r="HT56" s="5">
        <f t="shared" si="75"/>
        <v>35939</v>
      </c>
      <c r="HU56" s="5">
        <f t="shared" si="76"/>
        <v>17588</v>
      </c>
      <c r="HV56" s="5">
        <f t="shared" si="77"/>
        <v>28769</v>
      </c>
      <c r="HW56" s="5">
        <f t="shared" si="78"/>
        <v>203</v>
      </c>
      <c r="HX56" s="5">
        <f t="shared" si="79"/>
        <v>22136</v>
      </c>
      <c r="HY56" s="5">
        <f t="shared" si="80"/>
        <v>70973</v>
      </c>
    </row>
    <row r="57" spans="2:233">
      <c r="B57" s="11">
        <v>45962</v>
      </c>
      <c r="C57" s="2">
        <v>0</v>
      </c>
      <c r="D57" s="2">
        <v>25</v>
      </c>
      <c r="E57" s="2">
        <v>648</v>
      </c>
      <c r="F57" s="2">
        <v>394</v>
      </c>
      <c r="G57" s="2">
        <v>156</v>
      </c>
      <c r="H57" s="2">
        <v>31</v>
      </c>
      <c r="I57" s="2">
        <v>2909</v>
      </c>
      <c r="J57" s="2">
        <v>2159</v>
      </c>
      <c r="K57" s="2">
        <v>410</v>
      </c>
      <c r="L57" s="8">
        <f t="shared" si="104"/>
        <v>6732</v>
      </c>
      <c r="N57" s="11">
        <v>45962</v>
      </c>
      <c r="O57" s="2">
        <v>0</v>
      </c>
      <c r="P57" s="2">
        <v>25</v>
      </c>
      <c r="Q57" s="2">
        <v>648</v>
      </c>
      <c r="R57" s="2">
        <v>394</v>
      </c>
      <c r="S57" s="2">
        <v>156</v>
      </c>
      <c r="T57" s="2">
        <v>31</v>
      </c>
      <c r="U57" s="2">
        <v>2909</v>
      </c>
      <c r="V57" s="2">
        <v>2159</v>
      </c>
      <c r="W57" s="2">
        <v>410</v>
      </c>
      <c r="X57" s="8">
        <f t="shared" si="105"/>
        <v>6732</v>
      </c>
      <c r="Y57" s="8"/>
      <c r="Z57" s="11">
        <v>45962</v>
      </c>
      <c r="AA57" s="210">
        <v>153762</v>
      </c>
      <c r="AB57" s="210">
        <v>711636</v>
      </c>
      <c r="AC57" s="210">
        <v>1164983</v>
      </c>
      <c r="AD57" s="210">
        <v>42633</v>
      </c>
      <c r="AE57" s="210">
        <v>56180</v>
      </c>
      <c r="AF57" s="210">
        <v>45792</v>
      </c>
      <c r="AG57" s="210">
        <v>0</v>
      </c>
      <c r="AH57" s="210">
        <v>48158</v>
      </c>
      <c r="AI57" s="210">
        <v>313408</v>
      </c>
      <c r="AJ57" s="210">
        <v>3281361</v>
      </c>
      <c r="AL57" s="11">
        <v>45962</v>
      </c>
      <c r="AM57" s="5">
        <v>153762</v>
      </c>
      <c r="AN57" s="5">
        <v>711636</v>
      </c>
      <c r="AO57" s="5">
        <v>1164983</v>
      </c>
      <c r="AP57" s="5">
        <v>42633</v>
      </c>
      <c r="AQ57" s="5">
        <v>56180</v>
      </c>
      <c r="AR57" s="5">
        <v>45792</v>
      </c>
      <c r="AS57" s="5">
        <v>0</v>
      </c>
      <c r="AT57" s="5">
        <v>48158</v>
      </c>
      <c r="AU57" s="5">
        <v>313408</v>
      </c>
      <c r="AV57" s="5">
        <v>2536552</v>
      </c>
      <c r="AX57" s="11">
        <v>45962</v>
      </c>
      <c r="AY57" s="5">
        <v>112540</v>
      </c>
      <c r="AZ57" s="5">
        <v>567562</v>
      </c>
      <c r="BA57" s="5">
        <v>997706</v>
      </c>
      <c r="BB57" s="5">
        <v>22151</v>
      </c>
      <c r="BC57" s="5">
        <v>36377</v>
      </c>
      <c r="BD57" s="5">
        <v>17675</v>
      </c>
      <c r="BE57" s="5">
        <v>0</v>
      </c>
      <c r="BF57" s="5">
        <v>24601</v>
      </c>
      <c r="BG57" s="5">
        <v>262500</v>
      </c>
      <c r="BH57" s="5">
        <v>2041112</v>
      </c>
      <c r="BI57" s="8"/>
      <c r="BJ57" s="11">
        <v>45962</v>
      </c>
      <c r="BK57" s="5">
        <f>BM57+BO57</f>
        <v>2930881</v>
      </c>
      <c r="BL57" s="8"/>
      <c r="BM57" s="8">
        <v>1799571</v>
      </c>
      <c r="BN57" s="8"/>
      <c r="BO57" s="5">
        <v>1131310</v>
      </c>
      <c r="BP57" s="5">
        <v>85976</v>
      </c>
      <c r="BQ57" s="5">
        <v>355864</v>
      </c>
      <c r="BR57" s="5">
        <v>356184</v>
      </c>
      <c r="BS57" s="5">
        <v>75029</v>
      </c>
      <c r="BT57" s="5">
        <v>11007</v>
      </c>
      <c r="BU57" s="5">
        <v>65591</v>
      </c>
      <c r="BV57" s="5">
        <v>738</v>
      </c>
      <c r="BW57" s="5">
        <v>16084</v>
      </c>
      <c r="BX57" s="5">
        <v>164837</v>
      </c>
      <c r="BY57" s="5">
        <v>366</v>
      </c>
      <c r="BZ57" s="6"/>
      <c r="CA57" s="11">
        <v>45962</v>
      </c>
      <c r="CB57" s="5">
        <v>81373</v>
      </c>
      <c r="CC57" s="5">
        <v>2992</v>
      </c>
      <c r="CD57" s="5">
        <v>14862</v>
      </c>
      <c r="CE57" s="5">
        <v>19098</v>
      </c>
      <c r="CF57" s="5">
        <v>2009</v>
      </c>
      <c r="CG57" s="5">
        <v>1262</v>
      </c>
      <c r="CH57" s="5">
        <v>1222</v>
      </c>
      <c r="CI57" s="5">
        <v>0</v>
      </c>
      <c r="CJ57" s="5">
        <v>924</v>
      </c>
      <c r="CK57" s="5">
        <v>8981</v>
      </c>
      <c r="CL57" s="5"/>
      <c r="CM57" s="11">
        <v>45962</v>
      </c>
      <c r="CN57" s="5">
        <f t="shared" si="93"/>
        <v>124179</v>
      </c>
      <c r="CO57" s="5">
        <f t="shared" si="94"/>
        <v>5049</v>
      </c>
      <c r="CP57" s="5">
        <f t="shared" si="95"/>
        <v>24328</v>
      </c>
      <c r="CQ57" s="5">
        <f t="shared" si="96"/>
        <v>29278</v>
      </c>
      <c r="CR57" s="5">
        <f t="shared" si="97"/>
        <v>3909</v>
      </c>
      <c r="CS57" s="5">
        <f t="shared" si="98"/>
        <v>2333</v>
      </c>
      <c r="CT57" s="5">
        <f t="shared" si="99"/>
        <v>2406</v>
      </c>
      <c r="CU57" s="5">
        <f t="shared" si="100"/>
        <v>0</v>
      </c>
      <c r="CV57" s="5">
        <f t="shared" si="101"/>
        <v>2055</v>
      </c>
      <c r="CW57" s="5">
        <f t="shared" si="102"/>
        <v>14208</v>
      </c>
      <c r="CX57" s="8"/>
      <c r="CY57" s="11">
        <v>45962</v>
      </c>
      <c r="CZ57" s="20">
        <v>53663</v>
      </c>
      <c r="DA57" s="8">
        <v>817</v>
      </c>
      <c r="DB57" s="8">
        <v>4262</v>
      </c>
      <c r="DC57" s="8">
        <v>4576</v>
      </c>
      <c r="DD57" s="8">
        <v>592</v>
      </c>
      <c r="DE57" s="8">
        <v>420</v>
      </c>
      <c r="DF57" s="8">
        <v>364</v>
      </c>
      <c r="DG57" s="8">
        <v>0</v>
      </c>
      <c r="DH57" s="8">
        <v>334</v>
      </c>
      <c r="DI57" s="8">
        <v>1685</v>
      </c>
      <c r="DJ57" s="8"/>
      <c r="DK57" s="11">
        <v>45962</v>
      </c>
      <c r="DL57" s="5">
        <f t="shared" si="103"/>
        <v>70516</v>
      </c>
      <c r="DM57" s="8">
        <v>4232</v>
      </c>
      <c r="DN57" s="8">
        <v>20066</v>
      </c>
      <c r="DO57" s="8">
        <v>24702</v>
      </c>
      <c r="DP57" s="8">
        <v>3317</v>
      </c>
      <c r="DQ57" s="8">
        <v>1913</v>
      </c>
      <c r="DR57" s="8">
        <v>2042</v>
      </c>
      <c r="DS57" s="8">
        <v>0</v>
      </c>
      <c r="DT57" s="8">
        <v>1721</v>
      </c>
      <c r="DU57" s="8">
        <v>12523</v>
      </c>
      <c r="DV57" s="8"/>
      <c r="DW57" s="11">
        <v>45962</v>
      </c>
      <c r="DX57" s="8">
        <v>549955</v>
      </c>
      <c r="DY57" s="8">
        <v>31232</v>
      </c>
      <c r="DZ57" s="8">
        <v>138042</v>
      </c>
      <c r="EA57" s="8">
        <v>137643</v>
      </c>
      <c r="EB57" s="8">
        <v>20215</v>
      </c>
      <c r="EC57" s="8">
        <v>11652</v>
      </c>
      <c r="ED57" s="8">
        <v>17599</v>
      </c>
      <c r="EE57" s="8">
        <v>0</v>
      </c>
      <c r="EF57" s="8">
        <v>16316</v>
      </c>
      <c r="EG57" s="8">
        <v>58351</v>
      </c>
      <c r="EH57" s="8"/>
      <c r="EI57" s="11">
        <v>45962</v>
      </c>
      <c r="EJ57" s="5">
        <v>374370</v>
      </c>
      <c r="EK57" s="5">
        <v>19707</v>
      </c>
      <c r="EL57" s="5">
        <v>98624</v>
      </c>
      <c r="EM57" s="5">
        <v>101459</v>
      </c>
      <c r="EN57" s="5">
        <v>9867</v>
      </c>
      <c r="EO57" s="5">
        <v>6407</v>
      </c>
      <c r="EP57" s="5">
        <v>7502</v>
      </c>
      <c r="EQ57" s="5">
        <v>0</v>
      </c>
      <c r="ER57" s="5">
        <v>8075</v>
      </c>
      <c r="ES57" s="5">
        <v>41774</v>
      </c>
      <c r="ET57" s="8"/>
      <c r="EU57" s="11">
        <v>45962</v>
      </c>
      <c r="EV57" s="5">
        <v>938780</v>
      </c>
      <c r="EW57" s="5">
        <v>41501</v>
      </c>
      <c r="EX57" s="5">
        <v>188233</v>
      </c>
      <c r="EY57" s="5">
        <v>205810</v>
      </c>
      <c r="EZ57" s="5">
        <v>27508</v>
      </c>
      <c r="FA57" s="5">
        <v>14133</v>
      </c>
      <c r="FB57" s="5">
        <v>22463</v>
      </c>
      <c r="FC57" s="5">
        <v>0</v>
      </c>
      <c r="FD57" s="5">
        <v>17559</v>
      </c>
      <c r="FE57" s="5">
        <v>79579</v>
      </c>
      <c r="FF57" s="549"/>
      <c r="FG57" s="11">
        <v>45962</v>
      </c>
      <c r="FH57" s="5">
        <v>653593</v>
      </c>
      <c r="FI57" s="5">
        <v>26250</v>
      </c>
      <c r="FJ57" s="5">
        <v>131045</v>
      </c>
      <c r="FK57" s="5">
        <v>155779</v>
      </c>
      <c r="FL57" s="5">
        <v>13556</v>
      </c>
      <c r="FM57" s="5">
        <v>7578</v>
      </c>
      <c r="FN57" s="5">
        <v>9202</v>
      </c>
      <c r="FO57" s="5">
        <v>0</v>
      </c>
      <c r="FP57" s="5">
        <v>7570</v>
      </c>
      <c r="FQ57" s="5">
        <v>54860</v>
      </c>
      <c r="FR57" s="549"/>
      <c r="FS57" s="11">
        <v>45962</v>
      </c>
      <c r="FT57" s="5">
        <v>336</v>
      </c>
      <c r="FU57" s="5">
        <v>92</v>
      </c>
      <c r="FV57" s="5" t="s">
        <v>174</v>
      </c>
      <c r="FW57" s="5">
        <v>54</v>
      </c>
      <c r="FX57" s="5">
        <v>118</v>
      </c>
      <c r="FY57" s="5">
        <v>898</v>
      </c>
      <c r="FZ57" s="5">
        <v>105</v>
      </c>
      <c r="GA57" s="5">
        <v>935</v>
      </c>
      <c r="GB57" s="5">
        <v>208</v>
      </c>
      <c r="GC57" s="5">
        <v>2636</v>
      </c>
      <c r="GE57" s="11">
        <v>45962</v>
      </c>
      <c r="GF57" s="5">
        <v>575</v>
      </c>
      <c r="GG57" s="5">
        <v>182</v>
      </c>
      <c r="GH57" s="5"/>
      <c r="GI57" s="5">
        <v>86</v>
      </c>
      <c r="GJ57" s="5">
        <v>13</v>
      </c>
      <c r="GK57" s="5">
        <v>2540</v>
      </c>
      <c r="GL57" s="5">
        <v>17</v>
      </c>
      <c r="GM57" s="5">
        <v>1970</v>
      </c>
      <c r="GN57" s="5">
        <v>329</v>
      </c>
      <c r="GO57" s="5">
        <v>5712</v>
      </c>
      <c r="GQ57" s="21">
        <v>45962</v>
      </c>
      <c r="GR57" s="20">
        <v>223</v>
      </c>
      <c r="GS57" s="20">
        <v>2615</v>
      </c>
      <c r="GT57" s="20">
        <v>19163</v>
      </c>
      <c r="GU57" s="20">
        <v>15163</v>
      </c>
      <c r="GV57" s="20">
        <v>19785</v>
      </c>
      <c r="GW57" s="20">
        <v>4007</v>
      </c>
      <c r="GX57" s="20">
        <v>34233</v>
      </c>
      <c r="GY57" s="20">
        <v>52600</v>
      </c>
      <c r="GZ57" s="20">
        <v>9521</v>
      </c>
      <c r="HA57" s="20">
        <v>157310</v>
      </c>
      <c r="HB57" s="550"/>
      <c r="HC57" s="11">
        <v>45962</v>
      </c>
      <c r="HD57" s="5">
        <f t="shared" si="82"/>
        <v>1923750</v>
      </c>
      <c r="HE57" s="5">
        <f t="shared" si="83"/>
        <v>91025</v>
      </c>
      <c r="HF57" s="5">
        <f t="shared" si="84"/>
        <v>380192</v>
      </c>
      <c r="HG57" s="5">
        <f t="shared" si="85"/>
        <v>385462</v>
      </c>
      <c r="HH57" s="5">
        <f t="shared" si="86"/>
        <v>78938</v>
      </c>
      <c r="HI57" s="5">
        <f t="shared" si="87"/>
        <v>13340</v>
      </c>
      <c r="HJ57" s="5">
        <f t="shared" si="88"/>
        <v>67997</v>
      </c>
      <c r="HK57" s="5">
        <f t="shared" si="89"/>
        <v>738</v>
      </c>
      <c r="HL57" s="5">
        <f t="shared" si="90"/>
        <v>18139</v>
      </c>
      <c r="HM57" s="5">
        <f t="shared" si="91"/>
        <v>179045</v>
      </c>
      <c r="HO57" s="11">
        <v>45962</v>
      </c>
      <c r="HP57" s="5">
        <f t="shared" si="71"/>
        <v>707265</v>
      </c>
      <c r="HQ57" s="5">
        <f t="shared" si="72"/>
        <v>40753</v>
      </c>
      <c r="HR57" s="5">
        <f t="shared" si="73"/>
        <v>190642</v>
      </c>
      <c r="HS57" s="5">
        <f t="shared" si="74"/>
        <v>171876</v>
      </c>
      <c r="HT57" s="5">
        <f t="shared" si="75"/>
        <v>35378</v>
      </c>
      <c r="HU57" s="5">
        <f t="shared" si="76"/>
        <v>14267</v>
      </c>
      <c r="HV57" s="5">
        <f t="shared" si="77"/>
        <v>37384</v>
      </c>
      <c r="HW57" s="5">
        <f t="shared" si="78"/>
        <v>223</v>
      </c>
      <c r="HX57" s="5">
        <f t="shared" si="79"/>
        <v>20323</v>
      </c>
      <c r="HY57" s="5">
        <f t="shared" si="80"/>
        <v>77514</v>
      </c>
    </row>
    <row r="58" spans="2:233">
      <c r="B58" s="11">
        <v>45992</v>
      </c>
      <c r="C58" s="2">
        <v>4</v>
      </c>
      <c r="D58" s="2">
        <v>25</v>
      </c>
      <c r="E58" s="2">
        <v>762</v>
      </c>
      <c r="F58" s="2">
        <v>302</v>
      </c>
      <c r="G58" s="2">
        <v>137</v>
      </c>
      <c r="H58" s="2">
        <v>21</v>
      </c>
      <c r="I58" s="2">
        <v>3478</v>
      </c>
      <c r="J58" s="2">
        <v>2695</v>
      </c>
      <c r="K58" s="2">
        <v>479</v>
      </c>
      <c r="L58" s="8">
        <f t="shared" si="104"/>
        <v>7903</v>
      </c>
      <c r="N58" s="11">
        <v>45992</v>
      </c>
      <c r="O58" s="2">
        <v>4</v>
      </c>
      <c r="P58" s="2">
        <v>25</v>
      </c>
      <c r="Q58" s="2">
        <v>762</v>
      </c>
      <c r="R58" s="2">
        <v>302</v>
      </c>
      <c r="S58" s="2">
        <v>137</v>
      </c>
      <c r="T58" s="2">
        <v>21</v>
      </c>
      <c r="U58" s="2">
        <v>3478</v>
      </c>
      <c r="V58" s="2">
        <v>2695</v>
      </c>
      <c r="W58" s="2">
        <v>479</v>
      </c>
      <c r="X58" s="8">
        <f t="shared" si="105"/>
        <v>7903</v>
      </c>
      <c r="Y58" s="22"/>
      <c r="Z58" s="11">
        <v>45992</v>
      </c>
      <c r="AA58" s="55">
        <v>152337</v>
      </c>
      <c r="AB58" s="55">
        <v>686659</v>
      </c>
      <c r="AC58" s="55">
        <v>1202151</v>
      </c>
      <c r="AD58" s="55">
        <v>44343</v>
      </c>
      <c r="AE58" s="55">
        <v>59883</v>
      </c>
      <c r="AF58" s="55">
        <v>40332</v>
      </c>
      <c r="AG58" s="55">
        <v>2</v>
      </c>
      <c r="AH58" s="55">
        <v>43341</v>
      </c>
      <c r="AI58" s="55">
        <v>275005</v>
      </c>
      <c r="AJ58" s="55">
        <v>3168892</v>
      </c>
      <c r="AL58" s="11">
        <v>45992</v>
      </c>
      <c r="AM58" s="5">
        <v>152337</v>
      </c>
      <c r="AN58" s="5">
        <v>686659</v>
      </c>
      <c r="AO58" s="5">
        <v>1202151</v>
      </c>
      <c r="AP58" s="5">
        <v>44343</v>
      </c>
      <c r="AQ58" s="5">
        <v>59883</v>
      </c>
      <c r="AR58" s="5">
        <v>40332</v>
      </c>
      <c r="AS58" s="5">
        <v>2</v>
      </c>
      <c r="AT58" s="5">
        <v>43341</v>
      </c>
      <c r="AU58" s="5">
        <v>275005</v>
      </c>
      <c r="AV58" s="5">
        <v>2504053</v>
      </c>
      <c r="AW58" s="5"/>
      <c r="AX58" s="11">
        <v>45992</v>
      </c>
      <c r="AY58" s="5">
        <v>117165</v>
      </c>
      <c r="AZ58" s="5">
        <v>524137</v>
      </c>
      <c r="BA58" s="5">
        <v>1060193</v>
      </c>
      <c r="BB58" s="5">
        <v>26421</v>
      </c>
      <c r="BC58" s="5">
        <v>42117</v>
      </c>
      <c r="BD58" s="5">
        <v>20507</v>
      </c>
      <c r="BE58" s="5">
        <v>0</v>
      </c>
      <c r="BF58" s="5">
        <v>23817</v>
      </c>
      <c r="BG58" s="5">
        <v>205826</v>
      </c>
      <c r="BH58" s="5">
        <v>2020183</v>
      </c>
      <c r="BI58" s="8"/>
      <c r="BJ58" s="11">
        <v>45992</v>
      </c>
      <c r="BK58" s="8">
        <f t="shared" si="81"/>
        <v>3071150</v>
      </c>
      <c r="BL58" s="8"/>
      <c r="BM58" s="8">
        <v>1899900</v>
      </c>
      <c r="BN58" s="8"/>
      <c r="BO58" s="5">
        <v>1171250</v>
      </c>
      <c r="BP58" s="5">
        <v>97854</v>
      </c>
      <c r="BQ58" s="5">
        <v>373381</v>
      </c>
      <c r="BR58" s="5">
        <v>361818</v>
      </c>
      <c r="BS58" s="5">
        <v>77149</v>
      </c>
      <c r="BT58" s="5">
        <v>10639</v>
      </c>
      <c r="BU58" s="5">
        <v>57644</v>
      </c>
      <c r="BV58" s="8">
        <v>609</v>
      </c>
      <c r="BW58" s="8">
        <v>18329</v>
      </c>
      <c r="BX58" s="8">
        <v>173827</v>
      </c>
      <c r="BY58" s="8">
        <v>1695</v>
      </c>
      <c r="BZ58" s="6"/>
      <c r="CA58" s="11">
        <v>45992</v>
      </c>
      <c r="CB58" s="5">
        <v>110633</v>
      </c>
      <c r="CC58" s="5">
        <v>4395</v>
      </c>
      <c r="CD58" s="5">
        <v>21014</v>
      </c>
      <c r="CE58" s="5">
        <v>31346</v>
      </c>
      <c r="CF58" s="5">
        <v>2667</v>
      </c>
      <c r="CG58" s="5">
        <v>1842</v>
      </c>
      <c r="CH58" s="5">
        <v>1780</v>
      </c>
      <c r="CI58" s="5">
        <v>0</v>
      </c>
      <c r="CJ58" s="5">
        <v>1060</v>
      </c>
      <c r="CK58" s="5">
        <v>11844</v>
      </c>
      <c r="CL58" s="5"/>
      <c r="CM58" s="11">
        <v>45992</v>
      </c>
      <c r="CN58" s="5">
        <f t="shared" si="93"/>
        <v>157197</v>
      </c>
      <c r="CO58" s="5">
        <f t="shared" si="94"/>
        <v>6853</v>
      </c>
      <c r="CP58" s="5">
        <f t="shared" si="95"/>
        <v>30783</v>
      </c>
      <c r="CQ58" s="5">
        <f t="shared" si="96"/>
        <v>42310</v>
      </c>
      <c r="CR58" s="5">
        <f t="shared" si="97"/>
        <v>4478</v>
      </c>
      <c r="CS58" s="5">
        <f t="shared" si="98"/>
        <v>2959</v>
      </c>
      <c r="CT58" s="5">
        <f t="shared" si="99"/>
        <v>2898</v>
      </c>
      <c r="CU58" s="5">
        <f t="shared" si="100"/>
        <v>0</v>
      </c>
      <c r="CV58" s="5">
        <f t="shared" si="101"/>
        <v>2067</v>
      </c>
      <c r="CW58" s="5">
        <f t="shared" si="102"/>
        <v>17411</v>
      </c>
      <c r="CX58" s="8"/>
      <c r="CY58" s="11">
        <v>45992</v>
      </c>
      <c r="CZ58" s="20">
        <v>64597</v>
      </c>
      <c r="DA58" s="5">
        <v>1161</v>
      </c>
      <c r="DB58" s="5">
        <v>5453</v>
      </c>
      <c r="DC58" s="5">
        <v>6495</v>
      </c>
      <c r="DD58" s="5">
        <v>616</v>
      </c>
      <c r="DE58" s="5">
        <v>489</v>
      </c>
      <c r="DF58" s="5">
        <v>424</v>
      </c>
      <c r="DG58" s="5">
        <v>0</v>
      </c>
      <c r="DH58" s="5">
        <v>316</v>
      </c>
      <c r="DI58" s="5">
        <v>2205</v>
      </c>
      <c r="DJ58" s="8"/>
      <c r="DK58" s="11">
        <v>45992</v>
      </c>
      <c r="DL58" s="5">
        <f t="shared" si="103"/>
        <v>92600</v>
      </c>
      <c r="DM58" s="5">
        <v>5692</v>
      </c>
      <c r="DN58" s="5">
        <v>25330</v>
      </c>
      <c r="DO58" s="5">
        <v>35815</v>
      </c>
      <c r="DP58" s="5">
        <v>3862</v>
      </c>
      <c r="DQ58" s="5">
        <v>2470</v>
      </c>
      <c r="DR58" s="5">
        <v>2474</v>
      </c>
      <c r="DS58" s="5">
        <v>0</v>
      </c>
      <c r="DT58" s="5">
        <v>1751</v>
      </c>
      <c r="DU58" s="5">
        <v>15206</v>
      </c>
      <c r="DV58" s="8"/>
      <c r="DW58" s="11">
        <v>45992</v>
      </c>
      <c r="DX58" s="8">
        <v>639940</v>
      </c>
      <c r="DY58" s="8">
        <v>36611</v>
      </c>
      <c r="DZ58" s="8">
        <v>160396</v>
      </c>
      <c r="EA58" s="8">
        <v>180178</v>
      </c>
      <c r="EB58" s="8">
        <v>23401</v>
      </c>
      <c r="EC58" s="8">
        <v>14071</v>
      </c>
      <c r="ED58" s="8">
        <v>17311</v>
      </c>
      <c r="EE58" s="8">
        <v>1</v>
      </c>
      <c r="EF58" s="8">
        <v>15491</v>
      </c>
      <c r="EG58" s="8">
        <v>63398</v>
      </c>
      <c r="EH58" s="8"/>
      <c r="EI58" s="11">
        <v>45992</v>
      </c>
      <c r="EJ58" s="5">
        <v>475577</v>
      </c>
      <c r="EK58" s="5">
        <v>26024</v>
      </c>
      <c r="EL58" s="5">
        <v>123617</v>
      </c>
      <c r="EM58" s="5">
        <v>145460</v>
      </c>
      <c r="EN58" s="5">
        <v>14301</v>
      </c>
      <c r="EO58" s="5">
        <v>9360</v>
      </c>
      <c r="EP58" s="5">
        <v>9812</v>
      </c>
      <c r="EQ58" s="5">
        <v>0</v>
      </c>
      <c r="ER58" s="5">
        <v>8550</v>
      </c>
      <c r="ES58" s="5">
        <v>48178</v>
      </c>
      <c r="ET58" s="8"/>
      <c r="EU58" s="11">
        <v>45992</v>
      </c>
      <c r="EV58" s="5">
        <v>1038706</v>
      </c>
      <c r="EW58" s="5">
        <v>48686</v>
      </c>
      <c r="EX58" s="5">
        <v>210914</v>
      </c>
      <c r="EY58" s="5">
        <v>256347</v>
      </c>
      <c r="EZ58" s="5">
        <v>31182</v>
      </c>
      <c r="FA58" s="5">
        <v>17060</v>
      </c>
      <c r="FB58" s="5">
        <v>22810</v>
      </c>
      <c r="FC58" s="5">
        <v>3</v>
      </c>
      <c r="FD58" s="5">
        <v>18030</v>
      </c>
      <c r="FE58" s="5">
        <v>77612</v>
      </c>
      <c r="FG58" s="11">
        <v>45992</v>
      </c>
      <c r="FH58" s="5">
        <v>766216</v>
      </c>
      <c r="FI58" s="5">
        <v>33724</v>
      </c>
      <c r="FJ58" s="5">
        <v>155511</v>
      </c>
      <c r="FK58" s="5">
        <v>207249</v>
      </c>
      <c r="FL58" s="5">
        <v>18212</v>
      </c>
      <c r="FM58" s="5">
        <v>10822</v>
      </c>
      <c r="FN58" s="5">
        <v>12097</v>
      </c>
      <c r="FO58" s="5">
        <v>3</v>
      </c>
      <c r="FP58" s="5">
        <v>9316</v>
      </c>
      <c r="FQ58" s="5">
        <v>53943</v>
      </c>
      <c r="FS58" s="11">
        <v>45992</v>
      </c>
      <c r="FT58" s="5">
        <v>330</v>
      </c>
      <c r="FU58" s="5">
        <v>83</v>
      </c>
      <c r="FV58" s="5">
        <v>0</v>
      </c>
      <c r="FW58" s="5">
        <v>46</v>
      </c>
      <c r="FX58" s="5">
        <v>100</v>
      </c>
      <c r="FY58" s="5">
        <v>1022</v>
      </c>
      <c r="FZ58" s="5">
        <v>118</v>
      </c>
      <c r="GA58" s="5">
        <v>1090</v>
      </c>
      <c r="GB58" s="5">
        <v>191</v>
      </c>
      <c r="GC58" s="5">
        <v>2873</v>
      </c>
      <c r="GE58" s="11">
        <v>45992</v>
      </c>
      <c r="GF58" s="5">
        <v>294</v>
      </c>
      <c r="GG58" s="5">
        <v>65</v>
      </c>
      <c r="GH58" s="5"/>
      <c r="GI58" s="5">
        <v>47</v>
      </c>
      <c r="GJ58" s="5">
        <v>6</v>
      </c>
      <c r="GK58" s="5">
        <v>1171</v>
      </c>
      <c r="GL58" s="5">
        <v>10</v>
      </c>
      <c r="GM58" s="5">
        <v>908</v>
      </c>
      <c r="GN58" s="5">
        <v>160</v>
      </c>
      <c r="GO58" s="5">
        <v>2661</v>
      </c>
      <c r="GQ58" s="21">
        <v>45992</v>
      </c>
      <c r="GR58" s="20">
        <v>185</v>
      </c>
      <c r="GS58" s="20">
        <v>2410</v>
      </c>
      <c r="GT58" s="20">
        <v>18733</v>
      </c>
      <c r="GU58" s="20">
        <v>15118</v>
      </c>
      <c r="GV58" s="20">
        <v>15892</v>
      </c>
      <c r="GW58" s="20">
        <v>4264</v>
      </c>
      <c r="GX58" s="20">
        <v>35630</v>
      </c>
      <c r="GY58" s="20">
        <v>54629</v>
      </c>
      <c r="GZ58" s="20">
        <v>9816</v>
      </c>
      <c r="HA58" s="20">
        <v>156677</v>
      </c>
      <c r="HB58" s="550"/>
      <c r="HC58" s="11">
        <v>45992</v>
      </c>
      <c r="HD58" s="5">
        <f t="shared" si="82"/>
        <v>2057097</v>
      </c>
      <c r="HE58" s="5">
        <f t="shared" si="83"/>
        <v>104707</v>
      </c>
      <c r="HF58" s="5">
        <f t="shared" si="84"/>
        <v>404164</v>
      </c>
      <c r="HG58" s="5">
        <f t="shared" si="85"/>
        <v>404128</v>
      </c>
      <c r="HH58" s="5">
        <f t="shared" si="86"/>
        <v>81627</v>
      </c>
      <c r="HI58" s="5">
        <f t="shared" si="87"/>
        <v>13598</v>
      </c>
      <c r="HJ58" s="5">
        <f t="shared" si="88"/>
        <v>60542</v>
      </c>
      <c r="HK58" s="5">
        <f t="shared" si="89"/>
        <v>609</v>
      </c>
      <c r="HL58" s="5">
        <f t="shared" si="90"/>
        <v>20396</v>
      </c>
      <c r="HM58" s="5">
        <f t="shared" si="91"/>
        <v>191238</v>
      </c>
      <c r="HO58" s="11">
        <v>45992</v>
      </c>
      <c r="HP58" s="5">
        <f t="shared" ref="HP58" si="106">DX58+HA58</f>
        <v>796617</v>
      </c>
      <c r="HQ58" s="5">
        <f t="shared" ref="HQ58" si="107">DY58+GZ58</f>
        <v>46427</v>
      </c>
      <c r="HR58" s="5">
        <f t="shared" ref="HR58" si="108">DZ58+GY58</f>
        <v>215025</v>
      </c>
      <c r="HS58" s="5">
        <f t="shared" ref="HS58" si="109">EA58+GX58</f>
        <v>215808</v>
      </c>
      <c r="HT58" s="5">
        <f t="shared" ref="HT58" si="110">EB58+GU58</f>
        <v>38519</v>
      </c>
      <c r="HU58" s="5">
        <f t="shared" ref="HU58" si="111">EC58+GS58</f>
        <v>16481</v>
      </c>
      <c r="HV58" s="5">
        <f t="shared" ref="HV58" si="112">ED58+GV58</f>
        <v>33203</v>
      </c>
      <c r="HW58" s="5">
        <f t="shared" ref="HW58" si="113">EE58+GR58</f>
        <v>186</v>
      </c>
      <c r="HX58" s="5">
        <f t="shared" ref="HX58" si="114">EF58+GW58</f>
        <v>19755</v>
      </c>
      <c r="HY58" s="5">
        <f t="shared" ref="HY58" si="115">EG58+GT58</f>
        <v>82131</v>
      </c>
    </row>
    <row r="59" spans="2:233">
      <c r="B59" s="11">
        <v>46023</v>
      </c>
      <c r="C59" s="2">
        <v>0</v>
      </c>
      <c r="D59" s="2">
        <v>17</v>
      </c>
      <c r="E59" s="2">
        <v>649</v>
      </c>
      <c r="F59" s="2">
        <v>243</v>
      </c>
      <c r="G59" s="2">
        <v>73</v>
      </c>
      <c r="H59" s="2">
        <v>11</v>
      </c>
      <c r="I59" s="2">
        <v>2159</v>
      </c>
      <c r="J59" s="2">
        <v>1591</v>
      </c>
      <c r="K59" s="2">
        <v>307</v>
      </c>
      <c r="L59" s="8">
        <f t="shared" si="104"/>
        <v>5050</v>
      </c>
      <c r="N59" s="11">
        <v>46023</v>
      </c>
      <c r="O59" s="2">
        <v>0</v>
      </c>
      <c r="P59" s="2">
        <v>17</v>
      </c>
      <c r="Q59" s="2">
        <v>649</v>
      </c>
      <c r="R59" s="2">
        <v>243</v>
      </c>
      <c r="S59" s="2">
        <v>73</v>
      </c>
      <c r="T59" s="2">
        <v>11</v>
      </c>
      <c r="U59" s="2">
        <v>2159</v>
      </c>
      <c r="V59" s="2">
        <v>1591</v>
      </c>
      <c r="W59" s="2">
        <v>307</v>
      </c>
      <c r="X59" s="8">
        <f t="shared" si="105"/>
        <v>5050</v>
      </c>
      <c r="Y59" s="22"/>
      <c r="Z59" s="11">
        <v>46023</v>
      </c>
      <c r="AA59" s="22"/>
      <c r="AB59" s="22"/>
      <c r="AC59" s="22"/>
      <c r="AD59" s="22"/>
      <c r="AE59" s="22"/>
      <c r="AF59" s="22"/>
      <c r="AJ59" s="210">
        <v>2524097</v>
      </c>
      <c r="AL59" s="11">
        <v>46023</v>
      </c>
      <c r="AM59" s="5">
        <v>132135</v>
      </c>
      <c r="AN59" s="5">
        <v>633378</v>
      </c>
      <c r="AO59" s="5">
        <v>769661</v>
      </c>
      <c r="AP59" s="5">
        <v>42380</v>
      </c>
      <c r="AQ59" s="5">
        <v>75827</v>
      </c>
      <c r="AR59" s="5">
        <v>35696</v>
      </c>
      <c r="AS59" s="5">
        <v>0</v>
      </c>
      <c r="AT59" s="5">
        <v>40316</v>
      </c>
      <c r="AU59" s="5">
        <v>225764</v>
      </c>
      <c r="AV59" s="5">
        <v>1955157</v>
      </c>
      <c r="AW59" s="5"/>
      <c r="AX59" s="11">
        <v>46023</v>
      </c>
      <c r="AY59" s="5">
        <v>114914</v>
      </c>
      <c r="AZ59" s="5">
        <v>470530</v>
      </c>
      <c r="BA59" s="5">
        <v>687542</v>
      </c>
      <c r="BB59" s="5">
        <v>24083</v>
      </c>
      <c r="BC59" s="5">
        <v>55602</v>
      </c>
      <c r="BD59" s="5">
        <v>17857</v>
      </c>
      <c r="BE59" s="5">
        <v>0</v>
      </c>
      <c r="BF59" s="5">
        <v>21354</v>
      </c>
      <c r="BG59" s="5">
        <v>197856</v>
      </c>
      <c r="BH59" s="5">
        <v>1589738</v>
      </c>
      <c r="BI59" s="8"/>
      <c r="BJ59" s="11">
        <v>46023</v>
      </c>
      <c r="BK59" s="8">
        <f t="shared" si="81"/>
        <v>3229386</v>
      </c>
      <c r="BL59" s="6"/>
      <c r="BM59" s="8">
        <v>2016293</v>
      </c>
      <c r="BN59" s="8"/>
      <c r="BO59" s="5">
        <v>1213093</v>
      </c>
      <c r="BP59" s="5">
        <v>105850</v>
      </c>
      <c r="BQ59" s="5">
        <v>373374</v>
      </c>
      <c r="BR59" s="5">
        <v>375343</v>
      </c>
      <c r="BS59" s="5">
        <v>89910</v>
      </c>
      <c r="BT59" s="5">
        <v>9190</v>
      </c>
      <c r="BU59" s="5">
        <v>52503</v>
      </c>
      <c r="BV59" s="8">
        <v>433</v>
      </c>
      <c r="BW59" s="8">
        <v>13092</v>
      </c>
      <c r="BX59" s="8">
        <v>193398</v>
      </c>
      <c r="BY59" s="8">
        <v>14349</v>
      </c>
      <c r="BZ59" s="6"/>
      <c r="CA59" s="11">
        <v>46023</v>
      </c>
      <c r="CB59" s="5">
        <v>86609</v>
      </c>
      <c r="CC59" s="5">
        <v>4062</v>
      </c>
      <c r="CD59" s="5">
        <v>16776</v>
      </c>
      <c r="CE59" s="5">
        <v>21393</v>
      </c>
      <c r="CF59" s="5">
        <v>2411</v>
      </c>
      <c r="CG59" s="5">
        <v>1799</v>
      </c>
      <c r="CH59" s="5">
        <v>1341</v>
      </c>
      <c r="CI59" s="5">
        <v>0</v>
      </c>
      <c r="CJ59" s="5">
        <v>965</v>
      </c>
      <c r="CK59" s="5">
        <v>10068</v>
      </c>
      <c r="CL59" s="5"/>
      <c r="CM59" s="11">
        <v>46023</v>
      </c>
      <c r="CN59" s="5">
        <f t="shared" si="93"/>
        <v>128462</v>
      </c>
      <c r="CO59" s="5">
        <f t="shared" si="94"/>
        <v>6123</v>
      </c>
      <c r="CP59" s="5">
        <f t="shared" si="95"/>
        <v>24238</v>
      </c>
      <c r="CQ59" s="5">
        <f t="shared" si="96"/>
        <v>30554</v>
      </c>
      <c r="CR59" s="5">
        <f t="shared" si="97"/>
        <v>3878</v>
      </c>
      <c r="CS59" s="5">
        <f t="shared" si="98"/>
        <v>2666</v>
      </c>
      <c r="CT59" s="5">
        <f t="shared" si="99"/>
        <v>2233</v>
      </c>
      <c r="CU59" s="5">
        <f t="shared" si="100"/>
        <v>1</v>
      </c>
      <c r="CV59" s="5">
        <f t="shared" si="101"/>
        <v>1769</v>
      </c>
      <c r="CW59" s="5">
        <f t="shared" si="102"/>
        <v>14754</v>
      </c>
      <c r="CX59" s="8"/>
      <c r="CY59" s="11">
        <v>46023</v>
      </c>
      <c r="CZ59" s="5">
        <v>56247</v>
      </c>
      <c r="DA59" s="5">
        <v>1050</v>
      </c>
      <c r="DB59" s="5">
        <v>4135</v>
      </c>
      <c r="DC59" s="5">
        <v>5351</v>
      </c>
      <c r="DD59" s="5">
        <v>545</v>
      </c>
      <c r="DE59" s="5">
        <v>399</v>
      </c>
      <c r="DF59" s="5">
        <v>372</v>
      </c>
      <c r="DG59" s="2">
        <v>1</v>
      </c>
      <c r="DH59" s="2">
        <v>259</v>
      </c>
      <c r="DI59" s="5">
        <v>1889</v>
      </c>
      <c r="DJ59" s="8"/>
      <c r="DK59" s="11">
        <v>46023</v>
      </c>
      <c r="DL59" s="5">
        <f t="shared" si="103"/>
        <v>72215</v>
      </c>
      <c r="DM59" s="5">
        <v>5073</v>
      </c>
      <c r="DN59" s="5">
        <v>20103</v>
      </c>
      <c r="DO59" s="5">
        <v>25203</v>
      </c>
      <c r="DP59" s="5">
        <v>3333</v>
      </c>
      <c r="DQ59" s="5">
        <v>2267</v>
      </c>
      <c r="DR59" s="5">
        <v>1861</v>
      </c>
      <c r="DS59" s="2">
        <v>0</v>
      </c>
      <c r="DT59" s="2">
        <v>1510</v>
      </c>
      <c r="DU59" s="5">
        <v>12865</v>
      </c>
      <c r="DV59" s="8"/>
      <c r="DW59" s="11">
        <v>46023</v>
      </c>
      <c r="DX59" s="8">
        <v>556309</v>
      </c>
      <c r="DY59" s="8">
        <v>34213</v>
      </c>
      <c r="DZ59" s="8">
        <v>140052</v>
      </c>
      <c r="EA59" s="8">
        <v>149873</v>
      </c>
      <c r="EB59" s="8">
        <v>22873</v>
      </c>
      <c r="EC59" s="8">
        <v>15328</v>
      </c>
      <c r="ED59" s="8">
        <v>16528</v>
      </c>
      <c r="EE59" s="8">
        <v>4</v>
      </c>
      <c r="EF59" s="8">
        <v>15020</v>
      </c>
      <c r="EG59" s="8">
        <v>60570</v>
      </c>
      <c r="EH59" s="8"/>
      <c r="EI59" s="11">
        <v>46023</v>
      </c>
      <c r="EJ59" s="5">
        <v>404951</v>
      </c>
      <c r="EK59" s="5">
        <v>25215</v>
      </c>
      <c r="EL59" s="5">
        <v>108243</v>
      </c>
      <c r="EM59" s="5">
        <v>115825</v>
      </c>
      <c r="EN59" s="5">
        <v>13721</v>
      </c>
      <c r="EO59" s="5">
        <v>10449</v>
      </c>
      <c r="EP59" s="5">
        <v>9372</v>
      </c>
      <c r="EQ59" s="5">
        <v>0</v>
      </c>
      <c r="ER59" s="5">
        <v>8279</v>
      </c>
      <c r="ES59" s="5">
        <v>45057</v>
      </c>
      <c r="ET59" s="8"/>
      <c r="EU59" s="11">
        <v>46023</v>
      </c>
      <c r="EV59" s="5"/>
      <c r="EW59" s="5"/>
      <c r="EX59" s="5"/>
      <c r="EY59" s="5"/>
      <c r="EZ59" s="5"/>
      <c r="FA59" s="5"/>
      <c r="FB59" s="5"/>
      <c r="FE59" s="5"/>
      <c r="FG59" s="11">
        <v>46023</v>
      </c>
      <c r="FH59" s="5"/>
      <c r="FI59" s="5"/>
      <c r="FJ59" s="5"/>
      <c r="FK59" s="5"/>
      <c r="FL59" s="5"/>
      <c r="FM59" s="5"/>
      <c r="FN59" s="5"/>
      <c r="FO59" s="5"/>
      <c r="FP59" s="5"/>
      <c r="FQ59" s="5"/>
      <c r="FS59" s="11">
        <v>46023</v>
      </c>
      <c r="FT59" s="5">
        <v>253</v>
      </c>
      <c r="FU59" s="5">
        <v>41</v>
      </c>
      <c r="FV59" s="5">
        <v>0</v>
      </c>
      <c r="FW59" s="5">
        <v>45</v>
      </c>
      <c r="FX59" s="5">
        <v>112</v>
      </c>
      <c r="FY59" s="5">
        <v>746</v>
      </c>
      <c r="FZ59" s="5">
        <v>113</v>
      </c>
      <c r="GA59" s="5">
        <v>590</v>
      </c>
      <c r="GB59" s="5">
        <v>208</v>
      </c>
      <c r="GC59" s="5">
        <v>2061</v>
      </c>
      <c r="GE59" s="11">
        <v>46023</v>
      </c>
      <c r="GQ59" s="21">
        <v>46023</v>
      </c>
      <c r="GR59" s="20">
        <v>189.85714285714286</v>
      </c>
      <c r="GS59" s="20">
        <v>2247.4285714285716</v>
      </c>
      <c r="GT59" s="20">
        <v>20407.571428571428</v>
      </c>
      <c r="GU59" s="20">
        <v>15227.285714285714</v>
      </c>
      <c r="GV59" s="20">
        <v>15534</v>
      </c>
      <c r="GW59" s="20">
        <v>3463.1428571428569</v>
      </c>
      <c r="GX59" s="20">
        <v>34081.571428571428</v>
      </c>
      <c r="GY59" s="20">
        <v>48756.714285714283</v>
      </c>
      <c r="GZ59" s="20">
        <v>7846.5714285714284</v>
      </c>
      <c r="HA59" s="20">
        <v>147754.14285714284</v>
      </c>
      <c r="HB59" s="550"/>
      <c r="HC59" s="11">
        <v>46023</v>
      </c>
      <c r="HD59" s="5">
        <f t="shared" si="82"/>
        <v>2144755</v>
      </c>
      <c r="HE59" s="5">
        <f t="shared" si="83"/>
        <v>111973</v>
      </c>
      <c r="HF59" s="5">
        <f t="shared" si="84"/>
        <v>397612</v>
      </c>
      <c r="HG59" s="5">
        <f t="shared" si="85"/>
        <v>405897</v>
      </c>
      <c r="HH59" s="5">
        <f t="shared" si="86"/>
        <v>93788</v>
      </c>
      <c r="HI59" s="5">
        <f t="shared" si="87"/>
        <v>11856</v>
      </c>
      <c r="HJ59" s="5">
        <f t="shared" si="88"/>
        <v>54736</v>
      </c>
      <c r="HK59" s="5">
        <f t="shared" si="89"/>
        <v>434</v>
      </c>
      <c r="HL59" s="5">
        <f t="shared" si="90"/>
        <v>14861</v>
      </c>
      <c r="HM59" s="5">
        <f t="shared" si="91"/>
        <v>208152</v>
      </c>
      <c r="HO59" s="11">
        <v>46023</v>
      </c>
      <c r="HP59" s="5">
        <f t="shared" ref="HP59:HP64" si="116">DX59+HA59</f>
        <v>704063.14285714284</v>
      </c>
      <c r="HQ59" s="5">
        <f t="shared" ref="HQ59" si="117">DY59+GZ59</f>
        <v>42059.571428571428</v>
      </c>
      <c r="HR59" s="5">
        <f t="shared" ref="HR59" si="118">DZ59+GY59</f>
        <v>188808.71428571429</v>
      </c>
      <c r="HS59" s="5">
        <f t="shared" ref="HS59" si="119">EA59+GX59</f>
        <v>183954.57142857142</v>
      </c>
      <c r="HT59" s="5">
        <f t="shared" ref="HT59" si="120">EB59+GU59</f>
        <v>38100.28571428571</v>
      </c>
      <c r="HU59" s="5">
        <f t="shared" ref="HU59" si="121">EC59+GS59</f>
        <v>17575.428571428572</v>
      </c>
      <c r="HV59" s="5">
        <f t="shared" ref="HV59" si="122">ED59+GV59</f>
        <v>32062</v>
      </c>
      <c r="HW59" s="5">
        <f t="shared" ref="HW59" si="123">EE59+GR59</f>
        <v>193.85714285714286</v>
      </c>
      <c r="HX59" s="5">
        <f t="shared" ref="HX59" si="124">EF59+GW59</f>
        <v>18483.142857142855</v>
      </c>
      <c r="HY59" s="5">
        <f t="shared" ref="HY59" si="125">EG59+GT59</f>
        <v>80977.57142857142</v>
      </c>
    </row>
    <row r="60" spans="2:233">
      <c r="B60" s="11">
        <v>46054</v>
      </c>
      <c r="C60" s="2">
        <v>0</v>
      </c>
      <c r="D60" s="2">
        <v>13</v>
      </c>
      <c r="E60" s="2">
        <v>609</v>
      </c>
      <c r="F60" s="2">
        <v>271</v>
      </c>
      <c r="G60" s="2">
        <v>106</v>
      </c>
      <c r="H60" s="2">
        <v>34</v>
      </c>
      <c r="I60" s="2">
        <v>2483</v>
      </c>
      <c r="J60" s="2">
        <v>1405</v>
      </c>
      <c r="K60" s="2">
        <v>307</v>
      </c>
      <c r="L60" s="8">
        <f t="shared" si="104"/>
        <v>5228</v>
      </c>
      <c r="N60" s="11">
        <v>46054</v>
      </c>
      <c r="O60" s="2">
        <v>0</v>
      </c>
      <c r="P60" s="2">
        <v>13</v>
      </c>
      <c r="Q60" s="2">
        <v>609</v>
      </c>
      <c r="R60" s="2">
        <v>271</v>
      </c>
      <c r="S60" s="2">
        <v>106</v>
      </c>
      <c r="T60" s="2">
        <v>34</v>
      </c>
      <c r="U60" s="2">
        <v>2483</v>
      </c>
      <c r="V60" s="2">
        <v>1405</v>
      </c>
      <c r="W60" s="2">
        <v>307</v>
      </c>
      <c r="X60" s="8">
        <f t="shared" si="105"/>
        <v>5228</v>
      </c>
      <c r="Y60" s="22"/>
      <c r="Z60" s="11">
        <v>46054</v>
      </c>
      <c r="AA60" s="55"/>
      <c r="AB60" s="55"/>
      <c r="AC60" s="55"/>
      <c r="AD60" s="55"/>
      <c r="AE60" s="55"/>
      <c r="AF60" s="55"/>
      <c r="AG60" s="55"/>
      <c r="AH60" s="55"/>
      <c r="AI60" s="55"/>
      <c r="AJ60" s="55">
        <v>2512501</v>
      </c>
      <c r="AL60" s="11">
        <v>46054</v>
      </c>
      <c r="AM60" s="5">
        <v>105153</v>
      </c>
      <c r="AN60" s="5">
        <v>625287</v>
      </c>
      <c r="AO60" s="5">
        <v>743903</v>
      </c>
      <c r="AP60" s="5">
        <v>38911</v>
      </c>
      <c r="AQ60" s="5">
        <v>77790</v>
      </c>
      <c r="AR60" s="5">
        <v>34423</v>
      </c>
      <c r="AS60" s="5">
        <v>2</v>
      </c>
      <c r="AT60" s="5">
        <v>39039</v>
      </c>
      <c r="AU60" s="5">
        <v>204691</v>
      </c>
      <c r="AV60" s="5">
        <v>1869199</v>
      </c>
      <c r="AW60" s="5"/>
      <c r="AX60" s="11">
        <v>46054</v>
      </c>
      <c r="AY60" s="5">
        <v>89366</v>
      </c>
      <c r="AZ60" s="5">
        <v>470027</v>
      </c>
      <c r="BA60" s="5">
        <v>682992</v>
      </c>
      <c r="BB60" s="5">
        <v>21614</v>
      </c>
      <c r="BC60" s="5">
        <v>59728</v>
      </c>
      <c r="BD60" s="5">
        <v>17095</v>
      </c>
      <c r="BE60" s="5">
        <v>0</v>
      </c>
      <c r="BF60" s="5">
        <v>20700</v>
      </c>
      <c r="BG60" s="5">
        <v>179760</v>
      </c>
      <c r="BH60" s="5">
        <v>1541282</v>
      </c>
      <c r="BI60" s="8"/>
      <c r="BJ60" s="11">
        <v>46054</v>
      </c>
      <c r="BK60" s="8">
        <f>BM60+BO60</f>
        <v>2904850</v>
      </c>
      <c r="BL60" s="6"/>
      <c r="BM60" s="8">
        <v>1821723</v>
      </c>
      <c r="BN60" s="8"/>
      <c r="BO60" s="5">
        <f t="shared" ref="BO60:BO65" si="126">SUM(BP60:BX60)</f>
        <v>1083127</v>
      </c>
      <c r="BP60" s="5">
        <v>87391</v>
      </c>
      <c r="BQ60" s="5">
        <v>327209</v>
      </c>
      <c r="BR60" s="5">
        <v>348219</v>
      </c>
      <c r="BS60" s="5">
        <v>79824</v>
      </c>
      <c r="BT60" s="5">
        <v>7771</v>
      </c>
      <c r="BU60" s="5">
        <v>50730</v>
      </c>
      <c r="BV60" s="8">
        <v>435</v>
      </c>
      <c r="BW60" s="8">
        <v>13672</v>
      </c>
      <c r="BX60" s="8">
        <v>167876</v>
      </c>
      <c r="BY60" s="8">
        <v>4501</v>
      </c>
      <c r="BZ60" s="6"/>
      <c r="CA60" s="11">
        <v>46054</v>
      </c>
      <c r="CB60" s="5">
        <v>86529</v>
      </c>
      <c r="CC60" s="5">
        <v>3956</v>
      </c>
      <c r="CD60" s="5">
        <v>16186</v>
      </c>
      <c r="CE60" s="5">
        <v>20383</v>
      </c>
      <c r="CF60" s="5">
        <v>2393</v>
      </c>
      <c r="CG60" s="5">
        <v>1891</v>
      </c>
      <c r="CH60" s="5">
        <v>1483</v>
      </c>
      <c r="CI60" s="5">
        <v>0</v>
      </c>
      <c r="CJ60" s="5">
        <v>1155</v>
      </c>
      <c r="CK60" s="5">
        <v>11306</v>
      </c>
      <c r="CL60" s="5"/>
      <c r="CM60" s="11">
        <v>46054</v>
      </c>
      <c r="CN60" s="5">
        <f t="shared" ref="CN60:CN61" si="127">CZ60+DL60</f>
        <v>124497</v>
      </c>
      <c r="CO60" s="5">
        <f t="shared" ref="CO60:CO61" si="128">DA60+DM60</f>
        <v>5905</v>
      </c>
      <c r="CP60" s="5">
        <f t="shared" ref="CP60:CP61" si="129">DB60+DN60</f>
        <v>22589</v>
      </c>
      <c r="CQ60" s="5">
        <f t="shared" ref="CQ60:CQ61" si="130">DC60+DO60</f>
        <v>28179</v>
      </c>
      <c r="CR60" s="5">
        <f t="shared" ref="CR60:CR61" si="131">DD60+DP60</f>
        <v>3843</v>
      </c>
      <c r="CS60" s="5">
        <f t="shared" ref="CS60:CS61" si="132">DE60+DQ60</f>
        <v>2710</v>
      </c>
      <c r="CT60" s="5">
        <f t="shared" ref="CT60:CT61" si="133">DF60+DR60</f>
        <v>2370</v>
      </c>
      <c r="CU60" s="5">
        <f t="shared" ref="CU60:CU61" si="134">DG60+DS60</f>
        <v>0</v>
      </c>
      <c r="CV60" s="5">
        <f t="shared" ref="CV60:CV61" si="135">DH60+DT60</f>
        <v>1998</v>
      </c>
      <c r="CW60" s="5">
        <f t="shared" ref="CW60:CW61" si="136">DI60+DU60</f>
        <v>15936</v>
      </c>
      <c r="CX60" s="8"/>
      <c r="CY60" s="11">
        <v>46054</v>
      </c>
      <c r="CZ60" s="5">
        <v>53214</v>
      </c>
      <c r="DA60" s="5">
        <v>956</v>
      </c>
      <c r="DB60" s="5">
        <v>3515</v>
      </c>
      <c r="DC60" s="5">
        <v>4466</v>
      </c>
      <c r="DD60" s="5">
        <v>598</v>
      </c>
      <c r="DE60" s="5">
        <v>386</v>
      </c>
      <c r="DF60" s="5">
        <v>294</v>
      </c>
      <c r="DG60" s="2">
        <v>0</v>
      </c>
      <c r="DH60" s="2">
        <v>263</v>
      </c>
      <c r="DI60" s="5">
        <v>1769</v>
      </c>
      <c r="DJ60" s="8"/>
      <c r="DK60" s="11">
        <v>46054</v>
      </c>
      <c r="DL60" s="9">
        <v>71283</v>
      </c>
      <c r="DM60" s="5">
        <v>4949</v>
      </c>
      <c r="DN60" s="5">
        <v>19074</v>
      </c>
      <c r="DO60" s="5">
        <v>23713</v>
      </c>
      <c r="DP60" s="5">
        <v>3245</v>
      </c>
      <c r="DQ60" s="5">
        <v>2324</v>
      </c>
      <c r="DR60" s="5">
        <v>2076</v>
      </c>
      <c r="DS60" s="5">
        <v>0</v>
      </c>
      <c r="DT60" s="5">
        <v>1735</v>
      </c>
      <c r="DU60" s="5">
        <v>14167</v>
      </c>
      <c r="DV60" s="8"/>
      <c r="DW60" s="11">
        <v>46054</v>
      </c>
      <c r="DX60" s="8">
        <v>506092</v>
      </c>
      <c r="DY60" s="8">
        <v>31433</v>
      </c>
      <c r="DZ60" s="8">
        <v>127351</v>
      </c>
      <c r="EA60" s="8">
        <v>139234</v>
      </c>
      <c r="EB60" s="8">
        <v>21023</v>
      </c>
      <c r="EC60" s="8">
        <v>14649</v>
      </c>
      <c r="ED60" s="8">
        <v>14748</v>
      </c>
      <c r="EE60" s="8">
        <v>0</v>
      </c>
      <c r="EF60" s="8">
        <v>14320</v>
      </c>
      <c r="EG60" s="8">
        <v>52827</v>
      </c>
      <c r="EH60" s="8"/>
      <c r="EI60" s="11">
        <v>46054</v>
      </c>
      <c r="EJ60" s="5">
        <v>376945</v>
      </c>
      <c r="EK60" s="5">
        <v>23502</v>
      </c>
      <c r="EL60" s="5">
        <v>100383</v>
      </c>
      <c r="EM60" s="5">
        <v>110371</v>
      </c>
      <c r="EN60" s="5">
        <v>13098</v>
      </c>
      <c r="EO60" s="5">
        <v>10485</v>
      </c>
      <c r="EP60" s="5">
        <v>8789</v>
      </c>
      <c r="EQ60" s="5">
        <v>0</v>
      </c>
      <c r="ER60" s="5">
        <v>8140</v>
      </c>
      <c r="ES60" s="5">
        <v>39342</v>
      </c>
      <c r="ET60" s="8"/>
      <c r="EU60" s="5"/>
      <c r="EV60" s="5"/>
      <c r="EW60" s="5"/>
      <c r="EX60" s="5"/>
      <c r="EY60" s="5"/>
      <c r="EZ60" s="5"/>
      <c r="FA60" s="5"/>
      <c r="FB60" s="5"/>
      <c r="FE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S60" s="11">
        <v>46054</v>
      </c>
      <c r="FT60" s="5">
        <v>177</v>
      </c>
      <c r="FU60" s="5">
        <v>48</v>
      </c>
      <c r="FV60" s="5">
        <v>0</v>
      </c>
      <c r="FW60" s="5">
        <v>34</v>
      </c>
      <c r="FX60" s="5">
        <v>76</v>
      </c>
      <c r="FY60" s="5">
        <v>549</v>
      </c>
      <c r="FZ60" s="5">
        <v>88</v>
      </c>
      <c r="GA60" s="5">
        <v>459</v>
      </c>
      <c r="GB60" s="5">
        <v>74</v>
      </c>
      <c r="GC60" s="5">
        <v>1477</v>
      </c>
      <c r="GE60" s="11">
        <v>46054</v>
      </c>
      <c r="GQ60" s="21">
        <v>46054</v>
      </c>
      <c r="GR60" s="20">
        <v>169.85714285714286</v>
      </c>
      <c r="GS60" s="20">
        <v>1500.8571428571429</v>
      </c>
      <c r="GT60" s="20">
        <v>18290.857142857141</v>
      </c>
      <c r="GU60" s="20">
        <v>15426.571428571429</v>
      </c>
      <c r="GV60" s="20">
        <v>12917.571428571429</v>
      </c>
      <c r="GW60" s="20">
        <v>2813.1428571428569</v>
      </c>
      <c r="GX60" s="20">
        <v>30763.142857142855</v>
      </c>
      <c r="GY60" s="20">
        <v>40259.714285714283</v>
      </c>
      <c r="GZ60" s="20">
        <v>6189.8571428571431</v>
      </c>
      <c r="HA60" s="20">
        <v>128331.57142857143</v>
      </c>
      <c r="HB60" s="550"/>
      <c r="HC60" s="11">
        <v>46054</v>
      </c>
      <c r="HD60" s="5">
        <f t="shared" si="82"/>
        <v>1946220</v>
      </c>
      <c r="HE60" s="5">
        <f t="shared" si="83"/>
        <v>93296</v>
      </c>
      <c r="HF60" s="5">
        <f t="shared" si="84"/>
        <v>349798</v>
      </c>
      <c r="HG60" s="5">
        <f t="shared" si="85"/>
        <v>376398</v>
      </c>
      <c r="HH60" s="5">
        <f t="shared" si="86"/>
        <v>83667</v>
      </c>
      <c r="HI60" s="5">
        <f t="shared" si="87"/>
        <v>10481</v>
      </c>
      <c r="HJ60" s="5">
        <f t="shared" si="88"/>
        <v>53100</v>
      </c>
      <c r="HK60" s="5">
        <f t="shared" si="89"/>
        <v>435</v>
      </c>
      <c r="HL60" s="5">
        <f t="shared" si="90"/>
        <v>15670</v>
      </c>
      <c r="HM60" s="5">
        <f t="shared" si="91"/>
        <v>183812</v>
      </c>
      <c r="HO60" s="11">
        <v>46054</v>
      </c>
      <c r="HP60" s="5">
        <f t="shared" si="116"/>
        <v>634423.57142857148</v>
      </c>
      <c r="HQ60" s="5">
        <f t="shared" ref="HQ60" si="137">DY60+GZ60</f>
        <v>37622.857142857145</v>
      </c>
      <c r="HR60" s="5">
        <f t="shared" ref="HR60:HR61" si="138">DZ60+GY60</f>
        <v>167610.71428571429</v>
      </c>
      <c r="HS60" s="5">
        <f t="shared" ref="HS60:HS61" si="139">EA60+GX60</f>
        <v>169997.14285714284</v>
      </c>
      <c r="HT60" s="5">
        <f t="shared" ref="HT60:HT61" si="140">EB60+GU60</f>
        <v>36449.571428571428</v>
      </c>
      <c r="HU60" s="5">
        <f t="shared" ref="HU60:HU61" si="141">EC60+GS60</f>
        <v>16149.857142857143</v>
      </c>
      <c r="HV60" s="5">
        <f t="shared" ref="HV60:HV61" si="142">ED60+GV60</f>
        <v>27665.571428571428</v>
      </c>
      <c r="HW60" s="5">
        <f t="shared" ref="HW60:HW61" si="143">EE60+GR60</f>
        <v>169.85714285714286</v>
      </c>
      <c r="HX60" s="5">
        <f t="shared" ref="HX60:HX61" si="144">EF60+GW60</f>
        <v>17133.142857142855</v>
      </c>
      <c r="HY60" s="5">
        <f t="shared" ref="HY60:HY61" si="145">EG60+GT60</f>
        <v>71117.857142857145</v>
      </c>
    </row>
    <row r="61" spans="2:233">
      <c r="B61" s="11">
        <v>46082</v>
      </c>
      <c r="C61" s="2">
        <v>0</v>
      </c>
      <c r="D61" s="2">
        <v>17</v>
      </c>
      <c r="E61" s="2">
        <v>809</v>
      </c>
      <c r="F61" s="2">
        <v>318</v>
      </c>
      <c r="G61" s="2">
        <v>133</v>
      </c>
      <c r="H61" s="2">
        <v>72</v>
      </c>
      <c r="I61" s="2">
        <v>3201</v>
      </c>
      <c r="J61" s="2">
        <v>2037</v>
      </c>
      <c r="K61" s="2">
        <v>279</v>
      </c>
      <c r="L61" s="8">
        <f t="shared" si="104"/>
        <v>6866</v>
      </c>
      <c r="N61" s="11">
        <v>46082</v>
      </c>
      <c r="O61" s="2">
        <v>0</v>
      </c>
      <c r="P61" s="2">
        <v>17</v>
      </c>
      <c r="Q61" s="2">
        <v>809</v>
      </c>
      <c r="R61" s="2">
        <v>318</v>
      </c>
      <c r="S61" s="2">
        <v>133</v>
      </c>
      <c r="T61" s="2">
        <v>72</v>
      </c>
      <c r="U61" s="2">
        <v>3201</v>
      </c>
      <c r="V61" s="2">
        <v>2037</v>
      </c>
      <c r="W61" s="2">
        <v>279</v>
      </c>
      <c r="X61" s="8">
        <f t="shared" si="105"/>
        <v>6866</v>
      </c>
      <c r="Y61" s="22"/>
      <c r="Z61" s="11">
        <v>46082</v>
      </c>
      <c r="AA61" s="54"/>
      <c r="AB61" s="22"/>
      <c r="AC61" s="22"/>
      <c r="AD61" s="22"/>
      <c r="AE61" s="22"/>
      <c r="AF61" s="22"/>
      <c r="AJ61" s="55">
        <v>2875240</v>
      </c>
      <c r="AL61" s="11">
        <v>46082</v>
      </c>
      <c r="AM61" s="5">
        <v>123274</v>
      </c>
      <c r="AN61" s="5">
        <v>665802</v>
      </c>
      <c r="AO61" s="5">
        <v>972877</v>
      </c>
      <c r="AP61" s="5">
        <v>41821</v>
      </c>
      <c r="AQ61" s="5">
        <v>69204</v>
      </c>
      <c r="AR61" s="5">
        <v>36045</v>
      </c>
      <c r="AS61" s="5">
        <v>2</v>
      </c>
      <c r="AT61" s="5">
        <v>44087</v>
      </c>
      <c r="AU61" s="5">
        <v>277642</v>
      </c>
      <c r="AV61" s="5">
        <v>2230754</v>
      </c>
      <c r="AW61" s="5"/>
      <c r="AX61" s="11">
        <v>46082</v>
      </c>
      <c r="AY61" s="5">
        <v>107773</v>
      </c>
      <c r="AZ61" s="5">
        <v>516629</v>
      </c>
      <c r="BA61" s="5">
        <v>893336</v>
      </c>
      <c r="BB61" s="5">
        <v>24029</v>
      </c>
      <c r="BC61" s="5">
        <v>50827</v>
      </c>
      <c r="BD61" s="5">
        <v>18303</v>
      </c>
      <c r="BE61" s="5">
        <v>1</v>
      </c>
      <c r="BF61" s="5">
        <v>24764</v>
      </c>
      <c r="BG61" s="5">
        <v>248926</v>
      </c>
      <c r="BH61" s="5">
        <v>1884588</v>
      </c>
      <c r="BI61" s="8"/>
      <c r="BJ61" s="11">
        <v>46082</v>
      </c>
      <c r="BK61" s="8">
        <f>BM61+BO61</f>
        <v>3196204</v>
      </c>
      <c r="BL61" s="6"/>
      <c r="BM61" s="8">
        <v>2020230</v>
      </c>
      <c r="BN61" s="8"/>
      <c r="BO61" s="5">
        <f t="shared" si="126"/>
        <v>1175974</v>
      </c>
      <c r="BP61" s="5">
        <v>90168</v>
      </c>
      <c r="BQ61" s="5">
        <v>348547</v>
      </c>
      <c r="BR61" s="5">
        <v>380389</v>
      </c>
      <c r="BS61" s="5">
        <v>83442</v>
      </c>
      <c r="BT61" s="5">
        <v>7460</v>
      </c>
      <c r="BU61" s="5">
        <v>54002</v>
      </c>
      <c r="BV61" s="8">
        <v>751</v>
      </c>
      <c r="BW61" s="8">
        <v>19777</v>
      </c>
      <c r="BX61" s="8">
        <v>191438</v>
      </c>
      <c r="BY61" s="8">
        <v>1202</v>
      </c>
      <c r="BZ61" s="5"/>
      <c r="CA61" s="11">
        <v>46082</v>
      </c>
      <c r="CB61" s="5">
        <v>104741</v>
      </c>
      <c r="CC61" s="5">
        <v>4153</v>
      </c>
      <c r="CD61" s="5">
        <v>18129</v>
      </c>
      <c r="CE61" s="5">
        <v>25683</v>
      </c>
      <c r="CF61" s="5">
        <v>2965</v>
      </c>
      <c r="CG61" s="5">
        <v>2473</v>
      </c>
      <c r="CH61" s="5">
        <v>1926</v>
      </c>
      <c r="CI61" s="5">
        <v>0</v>
      </c>
      <c r="CJ61" s="5">
        <v>2454</v>
      </c>
      <c r="CK61" s="5">
        <v>14341</v>
      </c>
      <c r="CM61" s="11">
        <v>46082</v>
      </c>
      <c r="CN61" s="5">
        <f t="shared" si="127"/>
        <v>146311</v>
      </c>
      <c r="CO61" s="5">
        <f t="shared" si="128"/>
        <v>5969</v>
      </c>
      <c r="CP61" s="5">
        <f t="shared" si="129"/>
        <v>24669</v>
      </c>
      <c r="CQ61" s="5">
        <f t="shared" si="130"/>
        <v>34292</v>
      </c>
      <c r="CR61" s="5">
        <f t="shared" si="131"/>
        <v>4560</v>
      </c>
      <c r="CS61" s="5">
        <f t="shared" si="132"/>
        <v>3602</v>
      </c>
      <c r="CT61" s="5">
        <f t="shared" si="133"/>
        <v>2859</v>
      </c>
      <c r="CU61" s="5">
        <f t="shared" si="134"/>
        <v>0</v>
      </c>
      <c r="CV61" s="5">
        <f t="shared" si="135"/>
        <v>3990</v>
      </c>
      <c r="CW61" s="5">
        <f t="shared" si="136"/>
        <v>19758</v>
      </c>
      <c r="CY61" s="11">
        <v>46082</v>
      </c>
      <c r="CZ61" s="5">
        <v>61315</v>
      </c>
      <c r="DA61" s="5">
        <v>797</v>
      </c>
      <c r="DB61" s="5">
        <v>3982</v>
      </c>
      <c r="DC61" s="5">
        <v>5697</v>
      </c>
      <c r="DD61" s="5">
        <v>613</v>
      </c>
      <c r="DE61" s="5">
        <v>569</v>
      </c>
      <c r="DF61" s="5">
        <v>374</v>
      </c>
      <c r="DG61" s="2">
        <v>0</v>
      </c>
      <c r="DH61" s="2">
        <v>637</v>
      </c>
      <c r="DI61" s="5">
        <v>2034</v>
      </c>
      <c r="DJ61" s="5"/>
      <c r="DK61" s="11">
        <v>46082</v>
      </c>
      <c r="DL61" s="9">
        <v>84996</v>
      </c>
      <c r="DM61" s="5">
        <v>5172</v>
      </c>
      <c r="DN61" s="5">
        <v>20687</v>
      </c>
      <c r="DO61" s="5">
        <v>28595</v>
      </c>
      <c r="DP61" s="5">
        <v>3947</v>
      </c>
      <c r="DQ61" s="5">
        <v>3033</v>
      </c>
      <c r="DR61" s="5">
        <v>2485</v>
      </c>
      <c r="DS61" s="5">
        <v>0</v>
      </c>
      <c r="DT61" s="5">
        <v>3353</v>
      </c>
      <c r="DU61" s="5">
        <v>17724</v>
      </c>
      <c r="DW61" s="11">
        <v>46082</v>
      </c>
      <c r="DX61" s="8">
        <v>573530</v>
      </c>
      <c r="DY61" s="8">
        <v>30340</v>
      </c>
      <c r="DZ61" s="8">
        <v>137111</v>
      </c>
      <c r="EA61" s="8">
        <v>166449</v>
      </c>
      <c r="EB61" s="8">
        <v>22180</v>
      </c>
      <c r="EC61" s="8">
        <v>16859</v>
      </c>
      <c r="ED61" s="8">
        <v>15179</v>
      </c>
      <c r="EE61" s="8">
        <v>3</v>
      </c>
      <c r="EF61" s="8">
        <v>16810</v>
      </c>
      <c r="EG61" s="8">
        <v>64619</v>
      </c>
      <c r="EH61" s="11"/>
      <c r="EI61" s="11">
        <v>46082</v>
      </c>
      <c r="EJ61" s="5">
        <v>436366</v>
      </c>
      <c r="EK61" s="5">
        <v>22733</v>
      </c>
      <c r="EL61" s="5">
        <v>110133</v>
      </c>
      <c r="EM61" s="5">
        <v>135594</v>
      </c>
      <c r="EN61" s="5">
        <v>14044</v>
      </c>
      <c r="EO61" s="5">
        <v>11802</v>
      </c>
      <c r="EP61" s="5">
        <v>9056</v>
      </c>
      <c r="EQ61" s="5">
        <v>1</v>
      </c>
      <c r="ER61" s="5">
        <v>9904</v>
      </c>
      <c r="ES61" s="5">
        <v>49877</v>
      </c>
      <c r="FG61" s="11"/>
      <c r="FH61" s="14"/>
      <c r="FI61" s="26"/>
      <c r="FJ61" s="5"/>
      <c r="FK61" s="5"/>
      <c r="FL61" s="5"/>
      <c r="FM61" s="5"/>
      <c r="FN61" s="5"/>
      <c r="FO61" s="5"/>
      <c r="FP61" s="5"/>
      <c r="FQ61" s="5"/>
      <c r="FS61" s="11">
        <v>46082</v>
      </c>
      <c r="FT61" s="5">
        <v>315</v>
      </c>
      <c r="FU61" s="5">
        <v>76</v>
      </c>
      <c r="FV61" s="5">
        <v>0</v>
      </c>
      <c r="FW61" s="5">
        <v>45</v>
      </c>
      <c r="FX61" s="5">
        <v>110</v>
      </c>
      <c r="FY61" s="5">
        <v>852</v>
      </c>
      <c r="FZ61" s="5">
        <v>141</v>
      </c>
      <c r="GA61" s="5">
        <v>647</v>
      </c>
      <c r="GB61" s="5">
        <v>97</v>
      </c>
      <c r="GC61" s="5">
        <v>2230</v>
      </c>
      <c r="GQ61" s="11">
        <v>46082</v>
      </c>
      <c r="GR61" s="5">
        <v>216</v>
      </c>
      <c r="GS61" s="5">
        <v>1849</v>
      </c>
      <c r="GT61" s="5">
        <v>20828</v>
      </c>
      <c r="GU61" s="5">
        <v>15085</v>
      </c>
      <c r="GV61" s="5">
        <v>14101</v>
      </c>
      <c r="GW61" s="5">
        <v>4245</v>
      </c>
      <c r="GX61" s="5">
        <v>32967</v>
      </c>
      <c r="GY61" s="5">
        <v>41003</v>
      </c>
      <c r="GZ61" s="5">
        <v>7586</v>
      </c>
      <c r="HA61" s="5">
        <f t="shared" ref="HA61" si="146">SUM(GR61:GZ61)</f>
        <v>137880</v>
      </c>
      <c r="HC61" s="11">
        <v>46082</v>
      </c>
      <c r="HD61" s="5">
        <f t="shared" si="82"/>
        <v>2166541</v>
      </c>
      <c r="HE61" s="5">
        <f t="shared" si="83"/>
        <v>96137</v>
      </c>
      <c r="HF61" s="5">
        <f t="shared" si="84"/>
        <v>373216</v>
      </c>
      <c r="HG61" s="5">
        <f t="shared" si="85"/>
        <v>414681</v>
      </c>
      <c r="HH61" s="5">
        <f t="shared" si="86"/>
        <v>88002</v>
      </c>
      <c r="HI61" s="5">
        <f t="shared" si="87"/>
        <v>11062</v>
      </c>
      <c r="HJ61" s="5">
        <f t="shared" si="88"/>
        <v>56861</v>
      </c>
      <c r="HK61" s="5">
        <f t="shared" si="89"/>
        <v>751</v>
      </c>
      <c r="HL61" s="5">
        <f t="shared" si="90"/>
        <v>23767</v>
      </c>
      <c r="HM61" s="5">
        <f t="shared" si="91"/>
        <v>211196</v>
      </c>
      <c r="HO61" s="11">
        <v>46082</v>
      </c>
      <c r="HP61" s="5">
        <f t="shared" si="116"/>
        <v>711410</v>
      </c>
      <c r="HQ61" s="5">
        <f>DY61+GZ61</f>
        <v>37926</v>
      </c>
      <c r="HR61" s="5">
        <f t="shared" si="138"/>
        <v>178114</v>
      </c>
      <c r="HS61" s="5">
        <f t="shared" si="139"/>
        <v>199416</v>
      </c>
      <c r="HT61" s="5">
        <f t="shared" si="140"/>
        <v>37265</v>
      </c>
      <c r="HU61" s="5">
        <f t="shared" si="141"/>
        <v>18708</v>
      </c>
      <c r="HV61" s="5">
        <f t="shared" si="142"/>
        <v>29280</v>
      </c>
      <c r="HW61" s="5">
        <f t="shared" si="143"/>
        <v>219</v>
      </c>
      <c r="HX61" s="5">
        <f t="shared" si="144"/>
        <v>21055</v>
      </c>
      <c r="HY61" s="5">
        <f t="shared" si="145"/>
        <v>85447</v>
      </c>
    </row>
    <row r="62" spans="2:233">
      <c r="B62" s="11">
        <v>46113</v>
      </c>
      <c r="C62" s="2">
        <v>0</v>
      </c>
      <c r="D62" s="2">
        <v>7</v>
      </c>
      <c r="E62" s="2">
        <v>669</v>
      </c>
      <c r="F62" s="2">
        <v>264</v>
      </c>
      <c r="G62" s="2">
        <v>29</v>
      </c>
      <c r="H62" s="2">
        <v>89</v>
      </c>
      <c r="I62" s="2">
        <v>2512</v>
      </c>
      <c r="J62" s="2">
        <v>1571</v>
      </c>
      <c r="K62" s="2">
        <v>332</v>
      </c>
      <c r="L62" s="8">
        <f t="shared" si="104"/>
        <v>5473</v>
      </c>
      <c r="N62" s="11">
        <v>46113</v>
      </c>
      <c r="O62" s="2">
        <v>0</v>
      </c>
      <c r="P62" s="2">
        <v>7</v>
      </c>
      <c r="Q62" s="2">
        <v>669</v>
      </c>
      <c r="R62" s="2">
        <v>264</v>
      </c>
      <c r="S62" s="2">
        <v>29</v>
      </c>
      <c r="T62" s="2">
        <v>89</v>
      </c>
      <c r="U62" s="2">
        <v>2512</v>
      </c>
      <c r="V62" s="2">
        <v>1571</v>
      </c>
      <c r="W62" s="2">
        <v>332</v>
      </c>
      <c r="X62" s="8">
        <f t="shared" si="105"/>
        <v>5473</v>
      </c>
      <c r="Y62" s="22"/>
      <c r="Z62" s="11">
        <v>46113</v>
      </c>
      <c r="AA62" s="54"/>
      <c r="AB62" s="22"/>
      <c r="AC62" s="22"/>
      <c r="AD62" s="22"/>
      <c r="AE62" s="22"/>
      <c r="AF62" s="22"/>
      <c r="AJ62" s="55">
        <v>3388854</v>
      </c>
      <c r="AL62" s="11">
        <v>46113</v>
      </c>
      <c r="AM62" s="5">
        <v>135126</v>
      </c>
      <c r="AN62" s="5">
        <v>621734</v>
      </c>
      <c r="AO62" s="5">
        <v>1664575</v>
      </c>
      <c r="AP62" s="5">
        <v>41958</v>
      </c>
      <c r="AQ62" s="5">
        <v>103267</v>
      </c>
      <c r="AR62" s="5">
        <v>40826</v>
      </c>
      <c r="AS62" s="5">
        <v>6</v>
      </c>
      <c r="AT62" s="5">
        <v>44713</v>
      </c>
      <c r="AU62" s="5">
        <v>273038</v>
      </c>
      <c r="AV62" s="5">
        <v>2925243</v>
      </c>
      <c r="AW62" s="5"/>
      <c r="AX62" s="11">
        <v>46113</v>
      </c>
      <c r="AY62" s="5">
        <v>120533</v>
      </c>
      <c r="AZ62" s="5">
        <v>526579</v>
      </c>
      <c r="BA62" s="5">
        <v>1554443</v>
      </c>
      <c r="BB62" s="5">
        <v>24704</v>
      </c>
      <c r="BC62" s="5">
        <v>80385</v>
      </c>
      <c r="BD62" s="5">
        <v>21162</v>
      </c>
      <c r="BE62" s="5">
        <v>0</v>
      </c>
      <c r="BF62" s="5">
        <v>25536</v>
      </c>
      <c r="BG62" s="5">
        <v>248390</v>
      </c>
      <c r="BH62" s="5">
        <v>2601732</v>
      </c>
      <c r="BI62" s="8"/>
      <c r="BJ62" s="11">
        <v>46113</v>
      </c>
      <c r="BK62" s="8">
        <f>BM62+BO62</f>
        <v>3091457</v>
      </c>
      <c r="BL62" s="6"/>
      <c r="BM62" s="8">
        <v>1972931</v>
      </c>
      <c r="BN62" s="8"/>
      <c r="BO62" s="5">
        <f t="shared" si="126"/>
        <v>1118526</v>
      </c>
      <c r="BP62" s="5">
        <v>84484</v>
      </c>
      <c r="BQ62" s="5">
        <v>318661</v>
      </c>
      <c r="BR62" s="5">
        <v>363259</v>
      </c>
      <c r="BS62" s="5">
        <v>80706</v>
      </c>
      <c r="BT62" s="5">
        <v>7354</v>
      </c>
      <c r="BU62" s="5">
        <v>53957</v>
      </c>
      <c r="BV62" s="8">
        <v>629</v>
      </c>
      <c r="BW62" s="8">
        <v>24824</v>
      </c>
      <c r="BX62" s="8">
        <v>184652</v>
      </c>
      <c r="BY62" s="8">
        <v>1911</v>
      </c>
      <c r="BZ62" s="5"/>
      <c r="CA62" s="11">
        <v>46113</v>
      </c>
      <c r="CB62" s="5">
        <v>79363</v>
      </c>
      <c r="CC62" s="5">
        <v>4067</v>
      </c>
      <c r="CD62" s="5">
        <v>15221</v>
      </c>
      <c r="CE62" s="5">
        <v>20836</v>
      </c>
      <c r="CF62" s="5">
        <v>2530</v>
      </c>
      <c r="CG62" s="5">
        <v>2200</v>
      </c>
      <c r="CH62" s="5">
        <v>1511</v>
      </c>
      <c r="CI62" s="5">
        <v>0</v>
      </c>
      <c r="CJ62" s="5">
        <v>2173</v>
      </c>
      <c r="CK62" s="5">
        <v>11557</v>
      </c>
      <c r="CM62" s="11">
        <v>46113</v>
      </c>
      <c r="CN62" s="5">
        <f>CZ62+DL62</f>
        <v>115872</v>
      </c>
      <c r="CO62" s="5">
        <f t="shared" ref="CO62:CO64" si="147">DA62+DM62</f>
        <v>5505</v>
      </c>
      <c r="CP62" s="5">
        <f t="shared" ref="CP62:CP64" si="148">DB62+DN62</f>
        <v>20545</v>
      </c>
      <c r="CQ62" s="5">
        <f t="shared" ref="CQ62:CQ64" si="149">DC62+DO62</f>
        <v>27986</v>
      </c>
      <c r="CR62" s="5">
        <f t="shared" ref="CR62:CR64" si="150">DD62+DP62</f>
        <v>3827</v>
      </c>
      <c r="CS62" s="5">
        <f t="shared" ref="CS62:CS64" si="151">DE62+DQ62</f>
        <v>3082</v>
      </c>
      <c r="CT62" s="5">
        <f t="shared" ref="CT62:CT64" si="152">DF62+DR62</f>
        <v>2275</v>
      </c>
      <c r="CU62" s="5">
        <f t="shared" ref="CU62:CU64" si="153">DG62+DS62</f>
        <v>0</v>
      </c>
      <c r="CV62" s="5">
        <f t="shared" ref="CV62:CV64" si="154">DH62+DT62</f>
        <v>3792</v>
      </c>
      <c r="CW62" s="5">
        <f t="shared" ref="CW62:CW64" si="155">DI62+DU62</f>
        <v>15896</v>
      </c>
      <c r="CY62" s="11">
        <v>46113</v>
      </c>
      <c r="CZ62" s="5">
        <v>44525</v>
      </c>
      <c r="DA62" s="5">
        <v>720</v>
      </c>
      <c r="DB62" s="5">
        <v>3108</v>
      </c>
      <c r="DC62" s="5">
        <v>4177</v>
      </c>
      <c r="DD62" s="5">
        <v>595</v>
      </c>
      <c r="DE62" s="5">
        <v>385</v>
      </c>
      <c r="DF62" s="5">
        <v>269</v>
      </c>
      <c r="DG62" s="2">
        <v>0</v>
      </c>
      <c r="DH62" s="2">
        <v>637</v>
      </c>
      <c r="DI62" s="5">
        <v>1670</v>
      </c>
      <c r="DK62" s="11">
        <v>46113</v>
      </c>
      <c r="DL62" s="9">
        <v>71347</v>
      </c>
      <c r="DM62" s="5">
        <v>4785</v>
      </c>
      <c r="DN62" s="5">
        <v>17437</v>
      </c>
      <c r="DO62" s="5">
        <v>23809</v>
      </c>
      <c r="DP62" s="5">
        <v>3232</v>
      </c>
      <c r="DQ62" s="5">
        <v>2697</v>
      </c>
      <c r="DR62" s="5">
        <v>2006</v>
      </c>
      <c r="DS62" s="5">
        <v>0</v>
      </c>
      <c r="DT62" s="5">
        <v>3155</v>
      </c>
      <c r="DU62" s="5">
        <v>14226</v>
      </c>
      <c r="DV62" s="5"/>
      <c r="DW62" s="11">
        <v>46113</v>
      </c>
      <c r="DX62" s="8">
        <v>564240</v>
      </c>
      <c r="DY62" s="8">
        <v>35785</v>
      </c>
      <c r="DZ62" s="8">
        <v>131466</v>
      </c>
      <c r="EA62" s="8">
        <v>159784</v>
      </c>
      <c r="EB62" s="8">
        <v>23019</v>
      </c>
      <c r="EC62" s="8">
        <v>20340</v>
      </c>
      <c r="ED62" s="8">
        <v>16982</v>
      </c>
      <c r="EE62" s="8">
        <v>2</v>
      </c>
      <c r="EF62" s="8">
        <v>18302</v>
      </c>
      <c r="EG62" s="8">
        <v>60255</v>
      </c>
      <c r="EH62" s="5"/>
      <c r="EI62" s="11">
        <v>46113</v>
      </c>
      <c r="EJ62" s="5">
        <v>440108</v>
      </c>
      <c r="EK62" s="5">
        <v>28536</v>
      </c>
      <c r="EL62" s="5">
        <v>108280</v>
      </c>
      <c r="EM62" s="5">
        <v>132742</v>
      </c>
      <c r="EN62" s="5">
        <v>15451</v>
      </c>
      <c r="EO62" s="5">
        <v>15065</v>
      </c>
      <c r="EP62" s="5">
        <v>10661</v>
      </c>
      <c r="EQ62" s="5">
        <v>0</v>
      </c>
      <c r="ER62" s="5">
        <v>11233</v>
      </c>
      <c r="ES62" s="5">
        <v>46877</v>
      </c>
      <c r="ET62" s="8"/>
      <c r="FG62" s="11"/>
      <c r="FH62" s="14"/>
      <c r="FI62" s="26"/>
      <c r="FJ62" s="5"/>
      <c r="FK62" s="5"/>
      <c r="FL62" s="5"/>
      <c r="FM62" s="5"/>
      <c r="FN62" s="5"/>
      <c r="FO62" s="5"/>
      <c r="FP62" s="5"/>
      <c r="FQ62" s="5"/>
      <c r="FS62" s="11">
        <v>46113</v>
      </c>
      <c r="FT62" s="5">
        <v>209</v>
      </c>
      <c r="FU62" s="5">
        <v>71</v>
      </c>
      <c r="FV62" s="5">
        <v>0</v>
      </c>
      <c r="FW62" s="5">
        <v>40</v>
      </c>
      <c r="FX62" s="5">
        <v>123</v>
      </c>
      <c r="FY62" s="5">
        <v>662</v>
      </c>
      <c r="FZ62" s="5">
        <v>161</v>
      </c>
      <c r="GA62" s="5">
        <v>571</v>
      </c>
      <c r="GB62" s="5">
        <v>92</v>
      </c>
      <c r="GC62" s="5">
        <v>1871</v>
      </c>
      <c r="GD62" s="5"/>
      <c r="GQ62" s="11">
        <v>46113</v>
      </c>
      <c r="GR62" s="5">
        <v>522.85714285714289</v>
      </c>
      <c r="GS62" s="5">
        <v>1702.7261904761906</v>
      </c>
      <c r="GT62" s="5">
        <v>20884.542717086835</v>
      </c>
      <c r="GU62" s="5">
        <v>13744.80462184874</v>
      </c>
      <c r="GV62" s="5">
        <v>16299.336134453783</v>
      </c>
      <c r="GW62" s="5">
        <v>6330.8858543417373</v>
      </c>
      <c r="GX62" s="5">
        <v>27873.323529411766</v>
      </c>
      <c r="GY62" s="5">
        <v>38906.598039215685</v>
      </c>
      <c r="GZ62" s="5">
        <v>8615.7857142857138</v>
      </c>
      <c r="HA62" s="5">
        <v>134880.85994397759</v>
      </c>
      <c r="HB62" s="5"/>
      <c r="HC62" s="11">
        <v>46113</v>
      </c>
      <c r="HD62" s="5">
        <f t="shared" si="82"/>
        <v>2088803</v>
      </c>
      <c r="HE62" s="5">
        <f t="shared" si="83"/>
        <v>89989</v>
      </c>
      <c r="HF62" s="5">
        <f t="shared" si="84"/>
        <v>339206</v>
      </c>
      <c r="HG62" s="5">
        <f t="shared" si="85"/>
        <v>391245</v>
      </c>
      <c r="HH62" s="5">
        <f t="shared" si="86"/>
        <v>84533</v>
      </c>
      <c r="HI62" s="5">
        <f t="shared" si="87"/>
        <v>10436</v>
      </c>
      <c r="HJ62" s="5">
        <f t="shared" si="88"/>
        <v>56232</v>
      </c>
      <c r="HK62" s="5">
        <f t="shared" si="89"/>
        <v>629</v>
      </c>
      <c r="HL62" s="5">
        <f t="shared" si="90"/>
        <v>28616</v>
      </c>
      <c r="HM62" s="5">
        <f t="shared" si="91"/>
        <v>200548</v>
      </c>
      <c r="HO62" s="11">
        <v>46113</v>
      </c>
      <c r="HP62" s="5">
        <f t="shared" si="116"/>
        <v>699120.85994397756</v>
      </c>
      <c r="HQ62" s="5">
        <f t="shared" ref="HQ62" si="156">DY62+GZ62</f>
        <v>44400.78571428571</v>
      </c>
      <c r="HR62" s="5">
        <f t="shared" ref="HR62:HR63" si="157">DZ62+GY62</f>
        <v>170372.59803921569</v>
      </c>
      <c r="HS62" s="5">
        <f t="shared" ref="HS62:HS63" si="158">EA62+GX62</f>
        <v>187657.32352941178</v>
      </c>
      <c r="HT62" s="5">
        <f t="shared" ref="HT62:HT63" si="159">EB62+GU62</f>
        <v>36763.804621848743</v>
      </c>
      <c r="HU62" s="5">
        <f t="shared" ref="HU62:HU63" si="160">EC62+GS62</f>
        <v>22042.726190476191</v>
      </c>
      <c r="HV62" s="5">
        <f t="shared" ref="HV62:HV63" si="161">ED62+GV62</f>
        <v>33281.336134453784</v>
      </c>
      <c r="HW62" s="5">
        <f t="shared" ref="HW62:HW63" si="162">EE62+GR62</f>
        <v>524.85714285714289</v>
      </c>
      <c r="HX62" s="5">
        <f t="shared" ref="HX62:HX63" si="163">EF62+GW62</f>
        <v>24632.885854341737</v>
      </c>
      <c r="HY62" s="5">
        <f t="shared" ref="HY62:HY63" si="164">EG62+GT62</f>
        <v>81139.542717086835</v>
      </c>
    </row>
    <row r="63" spans="2:233">
      <c r="B63" s="11">
        <v>46143</v>
      </c>
      <c r="C63" s="2">
        <v>0</v>
      </c>
      <c r="D63" s="2">
        <v>12</v>
      </c>
      <c r="E63" s="2">
        <v>804</v>
      </c>
      <c r="F63" s="2">
        <v>278</v>
      </c>
      <c r="G63" s="2">
        <v>151</v>
      </c>
      <c r="H63" s="2">
        <v>132</v>
      </c>
      <c r="I63" s="2">
        <v>3158</v>
      </c>
      <c r="J63" s="2">
        <v>1784</v>
      </c>
      <c r="K63" s="2">
        <v>303</v>
      </c>
      <c r="L63" s="8">
        <f t="shared" si="104"/>
        <v>6622</v>
      </c>
      <c r="N63" s="11">
        <v>46143</v>
      </c>
      <c r="O63" s="2">
        <v>0</v>
      </c>
      <c r="P63" s="2">
        <v>12</v>
      </c>
      <c r="Q63" s="2">
        <v>804</v>
      </c>
      <c r="R63" s="2">
        <v>278</v>
      </c>
      <c r="S63" s="2">
        <v>151</v>
      </c>
      <c r="T63" s="2">
        <v>132</v>
      </c>
      <c r="U63" s="2">
        <v>3158</v>
      </c>
      <c r="V63" s="2">
        <v>1784</v>
      </c>
      <c r="W63" s="2">
        <v>303</v>
      </c>
      <c r="X63" s="8">
        <f t="shared" si="105"/>
        <v>6622</v>
      </c>
      <c r="Z63" s="11">
        <v>46143</v>
      </c>
      <c r="AA63" s="54"/>
      <c r="AJ63" s="55">
        <v>2864914</v>
      </c>
      <c r="AL63" s="11">
        <v>46143</v>
      </c>
      <c r="AM63" s="5">
        <v>127668</v>
      </c>
      <c r="AN63" s="5">
        <v>540467</v>
      </c>
      <c r="AO63" s="5">
        <v>1306215</v>
      </c>
      <c r="AP63" s="5">
        <v>42189</v>
      </c>
      <c r="AQ63" s="5">
        <v>104172</v>
      </c>
      <c r="AR63" s="5">
        <v>34365</v>
      </c>
      <c r="AS63" s="5">
        <v>26</v>
      </c>
      <c r="AT63" s="5">
        <v>41955</v>
      </c>
      <c r="AU63" s="5">
        <v>294389</v>
      </c>
      <c r="AV63" s="5">
        <v>2491446</v>
      </c>
      <c r="AW63" s="5"/>
      <c r="AX63" s="11">
        <v>46143</v>
      </c>
      <c r="AY63" s="5">
        <v>114996</v>
      </c>
      <c r="AZ63" s="5">
        <v>472449</v>
      </c>
      <c r="BA63" s="5">
        <v>1085554</v>
      </c>
      <c r="BB63" s="5">
        <v>24615</v>
      </c>
      <c r="BC63" s="5">
        <v>81172</v>
      </c>
      <c r="BD63" s="5">
        <v>18793</v>
      </c>
      <c r="BE63" s="5">
        <v>0</v>
      </c>
      <c r="BF63" s="5">
        <v>23090</v>
      </c>
      <c r="BG63" s="5">
        <v>269797</v>
      </c>
      <c r="BH63" s="5">
        <v>2090466</v>
      </c>
      <c r="BI63" s="8"/>
      <c r="BJ63" s="11">
        <v>46143</v>
      </c>
      <c r="BK63" s="8">
        <f>BM63+BO63</f>
        <v>3098903</v>
      </c>
      <c r="BM63" s="8">
        <v>1979341</v>
      </c>
      <c r="BO63" s="5">
        <f t="shared" si="126"/>
        <v>1119562</v>
      </c>
      <c r="BP63" s="5">
        <v>85006</v>
      </c>
      <c r="BQ63" s="5">
        <v>312983</v>
      </c>
      <c r="BR63" s="5">
        <v>385188</v>
      </c>
      <c r="BS63" s="5">
        <v>78647</v>
      </c>
      <c r="BT63" s="5">
        <v>6423</v>
      </c>
      <c r="BU63" s="5">
        <v>51108</v>
      </c>
      <c r="BV63" s="8">
        <v>123</v>
      </c>
      <c r="BW63" s="8">
        <v>31081</v>
      </c>
      <c r="BX63" s="8">
        <v>169003</v>
      </c>
      <c r="BY63" s="8">
        <v>4323</v>
      </c>
      <c r="BZ63" s="5"/>
      <c r="CA63" s="11">
        <v>46143</v>
      </c>
      <c r="CB63" s="5">
        <v>80676</v>
      </c>
      <c r="CC63" s="5">
        <v>4006</v>
      </c>
      <c r="CD63" s="5">
        <v>14056</v>
      </c>
      <c r="CE63" s="5">
        <v>21165</v>
      </c>
      <c r="CF63" s="5">
        <v>2664</v>
      </c>
      <c r="CG63" s="5">
        <v>2336</v>
      </c>
      <c r="CH63" s="5">
        <v>1929</v>
      </c>
      <c r="CI63" s="5">
        <v>0</v>
      </c>
      <c r="CJ63" s="5">
        <v>2698</v>
      </c>
      <c r="CK63" s="5">
        <v>12479</v>
      </c>
      <c r="CM63" s="11">
        <v>46143</v>
      </c>
      <c r="CN63" s="5">
        <f>CZ63+DL63</f>
        <v>119435</v>
      </c>
      <c r="CO63" s="5">
        <f t="shared" si="147"/>
        <v>5518</v>
      </c>
      <c r="CP63" s="5">
        <f t="shared" si="148"/>
        <v>19194</v>
      </c>
      <c r="CQ63" s="5">
        <f t="shared" si="149"/>
        <v>28630</v>
      </c>
      <c r="CR63" s="5">
        <f t="shared" si="150"/>
        <v>4029</v>
      </c>
      <c r="CS63" s="5">
        <f t="shared" si="151"/>
        <v>3296</v>
      </c>
      <c r="CT63" s="5">
        <f t="shared" si="152"/>
        <v>2752</v>
      </c>
      <c r="CU63" s="5">
        <f t="shared" si="153"/>
        <v>1</v>
      </c>
      <c r="CV63" s="5">
        <f t="shared" si="154"/>
        <v>4666</v>
      </c>
      <c r="CW63" s="5">
        <f t="shared" si="155"/>
        <v>16860</v>
      </c>
      <c r="CY63" s="11">
        <v>46143</v>
      </c>
      <c r="CZ63" s="5">
        <v>46307</v>
      </c>
      <c r="DA63" s="5">
        <v>841</v>
      </c>
      <c r="DB63" s="5">
        <v>2843</v>
      </c>
      <c r="DC63" s="5">
        <v>4378</v>
      </c>
      <c r="DD63" s="5">
        <v>487</v>
      </c>
      <c r="DE63" s="5">
        <v>420</v>
      </c>
      <c r="DF63" s="5">
        <v>313</v>
      </c>
      <c r="DG63" s="2">
        <v>1</v>
      </c>
      <c r="DH63" s="2">
        <v>803</v>
      </c>
      <c r="DI63" s="5">
        <v>1732</v>
      </c>
      <c r="DK63" s="11">
        <v>46143</v>
      </c>
      <c r="DL63" s="9">
        <v>73128</v>
      </c>
      <c r="DM63" s="5">
        <v>4677</v>
      </c>
      <c r="DN63" s="5">
        <v>16351</v>
      </c>
      <c r="DO63" s="5">
        <v>24252</v>
      </c>
      <c r="DP63" s="5">
        <v>3542</v>
      </c>
      <c r="DQ63" s="5">
        <v>2876</v>
      </c>
      <c r="DR63" s="5">
        <v>2439</v>
      </c>
      <c r="DS63" s="5">
        <v>0</v>
      </c>
      <c r="DT63" s="5">
        <v>3863</v>
      </c>
      <c r="DU63" s="5">
        <v>15128</v>
      </c>
      <c r="DW63" s="11">
        <v>46143</v>
      </c>
      <c r="DX63" s="8">
        <v>531056</v>
      </c>
      <c r="DY63" s="8">
        <v>31015</v>
      </c>
      <c r="DZ63" s="8">
        <v>114347</v>
      </c>
      <c r="EA63" s="8">
        <v>155916</v>
      </c>
      <c r="EB63" s="8">
        <v>22909</v>
      </c>
      <c r="EC63" s="8">
        <v>19119</v>
      </c>
      <c r="ED63" s="8">
        <v>15385</v>
      </c>
      <c r="EE63" s="8">
        <v>1</v>
      </c>
      <c r="EF63" s="8">
        <v>19428</v>
      </c>
      <c r="EG63" s="8">
        <v>58738</v>
      </c>
      <c r="EI63" s="11">
        <v>46143</v>
      </c>
      <c r="EJ63" s="5">
        <v>409785</v>
      </c>
      <c r="EK63" s="5">
        <v>24653</v>
      </c>
      <c r="EL63" s="5">
        <v>91889</v>
      </c>
      <c r="EM63" s="5">
        <v>128830</v>
      </c>
      <c r="EN63" s="5">
        <v>15371</v>
      </c>
      <c r="EO63" s="5">
        <v>13991</v>
      </c>
      <c r="EP63" s="5">
        <v>10006</v>
      </c>
      <c r="EQ63" s="5">
        <v>0</v>
      </c>
      <c r="ER63" s="5">
        <v>11747</v>
      </c>
      <c r="ES63" s="5">
        <v>45520</v>
      </c>
      <c r="ET63" s="8"/>
      <c r="FG63" s="11"/>
      <c r="FH63" s="14"/>
      <c r="FI63" s="26"/>
      <c r="FJ63" s="5"/>
      <c r="FK63" s="5"/>
      <c r="FL63" s="5"/>
      <c r="FM63" s="5"/>
      <c r="FN63" s="5"/>
      <c r="FO63" s="5"/>
      <c r="FP63" s="5"/>
      <c r="FQ63" s="5"/>
      <c r="FS63" s="11">
        <v>46143</v>
      </c>
      <c r="FT63" s="5">
        <v>256</v>
      </c>
      <c r="FU63" s="5">
        <v>64</v>
      </c>
      <c r="FV63" s="5">
        <v>1</v>
      </c>
      <c r="FW63" s="5">
        <v>41</v>
      </c>
      <c r="FX63" s="5">
        <v>143</v>
      </c>
      <c r="FY63" s="5">
        <v>696</v>
      </c>
      <c r="FZ63" s="5">
        <v>169</v>
      </c>
      <c r="GA63" s="5">
        <v>494</v>
      </c>
      <c r="GB63" s="5">
        <v>102</v>
      </c>
      <c r="GC63" s="5">
        <v>1901</v>
      </c>
      <c r="GD63" s="5"/>
      <c r="GQ63" s="11">
        <v>46143</v>
      </c>
      <c r="GR63" s="5">
        <v>188.14285714285714</v>
      </c>
      <c r="GS63" s="5">
        <v>2173.8571428571431</v>
      </c>
      <c r="GT63" s="5">
        <v>22147.285714285714</v>
      </c>
      <c r="GU63" s="5">
        <v>14687.857142857143</v>
      </c>
      <c r="GV63" s="5">
        <v>15239.428571428571</v>
      </c>
      <c r="GW63" s="5">
        <v>7331.2857142857147</v>
      </c>
      <c r="GX63" s="5">
        <v>32862</v>
      </c>
      <c r="GY63" s="5">
        <v>38044</v>
      </c>
      <c r="GZ63" s="5">
        <v>7683.7142857142853</v>
      </c>
      <c r="HA63" s="5">
        <v>140357.57142857142</v>
      </c>
      <c r="HC63" s="11">
        <v>46143</v>
      </c>
      <c r="HD63" s="5">
        <f t="shared" si="82"/>
        <v>2098776</v>
      </c>
      <c r="HE63" s="5">
        <f t="shared" si="83"/>
        <v>90524</v>
      </c>
      <c r="HF63" s="5">
        <f t="shared" si="84"/>
        <v>332177</v>
      </c>
      <c r="HG63" s="5">
        <f t="shared" si="85"/>
        <v>413818</v>
      </c>
      <c r="HH63" s="5">
        <f t="shared" si="86"/>
        <v>82676</v>
      </c>
      <c r="HI63" s="5">
        <f t="shared" si="87"/>
        <v>9719</v>
      </c>
      <c r="HJ63" s="5">
        <f t="shared" si="88"/>
        <v>53860</v>
      </c>
      <c r="HK63" s="5">
        <f t="shared" si="89"/>
        <v>124</v>
      </c>
      <c r="HL63" s="5">
        <f t="shared" si="90"/>
        <v>35747</v>
      </c>
      <c r="HM63" s="5">
        <f t="shared" si="91"/>
        <v>185863</v>
      </c>
      <c r="HO63" s="11">
        <v>46143</v>
      </c>
      <c r="HP63" s="5">
        <f t="shared" si="116"/>
        <v>671413.57142857136</v>
      </c>
      <c r="HQ63" s="5">
        <f>DY63+GZ63</f>
        <v>38698.714285714283</v>
      </c>
      <c r="HR63" s="5">
        <f t="shared" si="157"/>
        <v>152391</v>
      </c>
      <c r="HS63" s="5">
        <f t="shared" si="158"/>
        <v>188778</v>
      </c>
      <c r="HT63" s="5">
        <f t="shared" si="159"/>
        <v>37596.857142857145</v>
      </c>
      <c r="HU63" s="5">
        <f t="shared" si="160"/>
        <v>21292.857142857145</v>
      </c>
      <c r="HV63" s="5">
        <f t="shared" si="161"/>
        <v>30624.428571428572</v>
      </c>
      <c r="HW63" s="5">
        <f t="shared" si="162"/>
        <v>189.14285714285714</v>
      </c>
      <c r="HX63" s="5">
        <f t="shared" si="163"/>
        <v>26759.285714285714</v>
      </c>
      <c r="HY63" s="5">
        <f t="shared" si="164"/>
        <v>80885.28571428571</v>
      </c>
    </row>
    <row r="64" spans="2:233" ht="16">
      <c r="B64" s="11">
        <v>46174</v>
      </c>
      <c r="C64" s="2">
        <v>0</v>
      </c>
      <c r="D64" s="2">
        <v>5</v>
      </c>
      <c r="E64" s="2">
        <v>733</v>
      </c>
      <c r="F64" s="2">
        <v>219</v>
      </c>
      <c r="G64" s="2">
        <v>126</v>
      </c>
      <c r="H64" s="2">
        <v>147</v>
      </c>
      <c r="I64" s="2">
        <v>3186</v>
      </c>
      <c r="J64" s="2">
        <v>1886</v>
      </c>
      <c r="K64" s="2">
        <v>299</v>
      </c>
      <c r="L64" s="8">
        <f t="shared" si="104"/>
        <v>6601</v>
      </c>
      <c r="N64" s="11">
        <v>46174</v>
      </c>
      <c r="O64" s="2">
        <v>0</v>
      </c>
      <c r="P64" s="2">
        <v>5</v>
      </c>
      <c r="Q64" s="2">
        <v>733</v>
      </c>
      <c r="R64" s="2">
        <v>219</v>
      </c>
      <c r="S64" s="2">
        <v>126</v>
      </c>
      <c r="T64" s="2">
        <v>147</v>
      </c>
      <c r="U64" s="2">
        <v>3186</v>
      </c>
      <c r="V64" s="2">
        <v>1886</v>
      </c>
      <c r="W64" s="2">
        <v>299</v>
      </c>
      <c r="X64" s="8">
        <f t="shared" si="105"/>
        <v>6601</v>
      </c>
      <c r="Y64" s="30"/>
      <c r="Z64" s="11">
        <v>46174</v>
      </c>
      <c r="AA64" s="54"/>
      <c r="AB64" s="30"/>
      <c r="AD64" s="30"/>
      <c r="AE64" s="30"/>
      <c r="AF64" s="30"/>
      <c r="AG64" s="30"/>
      <c r="AJ64" s="55">
        <v>2693692</v>
      </c>
      <c r="AL64" s="11">
        <v>46174</v>
      </c>
      <c r="AM64" s="5">
        <v>85894</v>
      </c>
      <c r="AN64" s="5">
        <v>649274</v>
      </c>
      <c r="AO64" s="5">
        <v>1043947</v>
      </c>
      <c r="AP64" s="5">
        <v>42532</v>
      </c>
      <c r="AQ64" s="5">
        <v>92527</v>
      </c>
      <c r="AR64" s="5">
        <v>32834</v>
      </c>
      <c r="AS64" s="5">
        <v>0</v>
      </c>
      <c r="AT64" s="5">
        <v>40275</v>
      </c>
      <c r="AU64" s="5">
        <v>198337</v>
      </c>
      <c r="AV64" s="5">
        <v>2185620</v>
      </c>
      <c r="AW64" s="5"/>
      <c r="AX64" s="11">
        <v>46174</v>
      </c>
      <c r="AY64" s="5">
        <v>73764</v>
      </c>
      <c r="AZ64" s="5">
        <v>577786</v>
      </c>
      <c r="BA64" s="5">
        <v>804710</v>
      </c>
      <c r="BB64" s="5">
        <v>24410</v>
      </c>
      <c r="BC64" s="5">
        <v>71420</v>
      </c>
      <c r="BD64" s="5">
        <v>17122</v>
      </c>
      <c r="BE64" s="5">
        <v>0</v>
      </c>
      <c r="BF64" s="5">
        <v>21520</v>
      </c>
      <c r="BG64" s="5">
        <v>174045</v>
      </c>
      <c r="BH64" s="5">
        <v>1764777</v>
      </c>
      <c r="BI64" s="8"/>
      <c r="BJ64" s="11">
        <v>46174</v>
      </c>
      <c r="BK64" s="8">
        <f>BM64+BO64</f>
        <v>3005724</v>
      </c>
      <c r="BL64" s="30"/>
      <c r="BM64" s="8">
        <v>1946573</v>
      </c>
      <c r="BO64" s="5">
        <f t="shared" si="126"/>
        <v>1059151</v>
      </c>
      <c r="BP64" s="5">
        <v>78449</v>
      </c>
      <c r="BQ64" s="5">
        <v>300185</v>
      </c>
      <c r="BR64" s="5">
        <v>359336</v>
      </c>
      <c r="BS64" s="5">
        <v>69737</v>
      </c>
      <c r="BT64" s="5">
        <v>3637</v>
      </c>
      <c r="BU64" s="5">
        <v>51051</v>
      </c>
      <c r="BV64" s="8">
        <v>132</v>
      </c>
      <c r="BW64" s="8">
        <v>28088</v>
      </c>
      <c r="BX64" s="8">
        <v>168536</v>
      </c>
      <c r="BY64" s="8"/>
      <c r="BZ64"/>
      <c r="CA64" s="11">
        <v>46174</v>
      </c>
      <c r="CB64" s="5">
        <v>82315</v>
      </c>
      <c r="CC64" s="5">
        <v>4118</v>
      </c>
      <c r="CD64" s="5">
        <v>17086</v>
      </c>
      <c r="CE64" s="5">
        <v>22572</v>
      </c>
      <c r="CF64" s="5">
        <v>2610</v>
      </c>
      <c r="CG64" s="5">
        <v>2370</v>
      </c>
      <c r="CH64" s="5">
        <v>2173</v>
      </c>
      <c r="CI64" s="5">
        <v>0</v>
      </c>
      <c r="CJ64" s="5">
        <v>2931</v>
      </c>
      <c r="CK64" s="5">
        <v>12937</v>
      </c>
      <c r="CM64" s="11">
        <v>46174</v>
      </c>
      <c r="CN64" s="5">
        <f>CZ64+DL64</f>
        <v>123336</v>
      </c>
      <c r="CO64" s="5">
        <f t="shared" si="147"/>
        <v>5685</v>
      </c>
      <c r="CP64" s="5">
        <f t="shared" si="148"/>
        <v>23566</v>
      </c>
      <c r="CQ64" s="5">
        <f t="shared" si="149"/>
        <v>30545</v>
      </c>
      <c r="CR64" s="5">
        <f t="shared" si="150"/>
        <v>3955</v>
      </c>
      <c r="CS64" s="5">
        <f t="shared" si="151"/>
        <v>3280</v>
      </c>
      <c r="CT64" s="5">
        <f t="shared" si="152"/>
        <v>3088</v>
      </c>
      <c r="CU64" s="5">
        <f t="shared" si="153"/>
        <v>0</v>
      </c>
      <c r="CV64" s="5">
        <f t="shared" si="154"/>
        <v>5373</v>
      </c>
      <c r="CW64" s="5">
        <f t="shared" si="155"/>
        <v>17863</v>
      </c>
      <c r="CY64" s="11">
        <v>46174</v>
      </c>
      <c r="CZ64" s="5">
        <v>42249</v>
      </c>
      <c r="DA64" s="8">
        <v>657</v>
      </c>
      <c r="DB64" s="8">
        <v>3372</v>
      </c>
      <c r="DC64" s="8">
        <v>4357</v>
      </c>
      <c r="DD64" s="8">
        <v>466</v>
      </c>
      <c r="DE64" s="8">
        <v>366</v>
      </c>
      <c r="DF64" s="8">
        <v>394</v>
      </c>
      <c r="DG64" s="8">
        <v>0</v>
      </c>
      <c r="DH64" s="8">
        <v>891</v>
      </c>
      <c r="DI64" s="8">
        <v>1765</v>
      </c>
      <c r="DJ64" s="5"/>
      <c r="DK64" s="11">
        <v>46174</v>
      </c>
      <c r="DL64" s="9">
        <v>81087</v>
      </c>
      <c r="DM64" s="5">
        <v>5028</v>
      </c>
      <c r="DN64" s="5">
        <v>20194</v>
      </c>
      <c r="DO64" s="5">
        <v>26188</v>
      </c>
      <c r="DP64" s="5">
        <v>3489</v>
      </c>
      <c r="DQ64" s="5">
        <v>2914</v>
      </c>
      <c r="DR64" s="5">
        <v>2694</v>
      </c>
      <c r="DS64" s="5">
        <v>0</v>
      </c>
      <c r="DT64" s="5">
        <v>4482</v>
      </c>
      <c r="DU64" s="5">
        <v>16098</v>
      </c>
      <c r="DW64" s="11">
        <v>46174</v>
      </c>
      <c r="DX64" s="8">
        <v>523360</v>
      </c>
      <c r="DY64" s="8">
        <v>25635</v>
      </c>
      <c r="DZ64" s="8">
        <v>128773</v>
      </c>
      <c r="EA64" s="8">
        <v>151315</v>
      </c>
      <c r="EB64" s="8">
        <v>23316</v>
      </c>
      <c r="EC64" s="8">
        <v>17282</v>
      </c>
      <c r="ED64" s="8">
        <v>14712</v>
      </c>
      <c r="EE64" s="8">
        <v>0</v>
      </c>
      <c r="EF64" s="8">
        <v>19349</v>
      </c>
      <c r="EG64" s="8">
        <v>55629</v>
      </c>
      <c r="EI64" s="11">
        <v>46174</v>
      </c>
      <c r="EJ64" s="5">
        <v>400447</v>
      </c>
      <c r="EK64" s="5">
        <v>19398</v>
      </c>
      <c r="EL64" s="5">
        <v>104330</v>
      </c>
      <c r="EM64" s="5">
        <v>124114</v>
      </c>
      <c r="EN64" s="5">
        <v>15271</v>
      </c>
      <c r="EO64" s="5">
        <v>12429</v>
      </c>
      <c r="EP64" s="5">
        <v>9284</v>
      </c>
      <c r="EQ64" s="5">
        <v>0</v>
      </c>
      <c r="ER64" s="5">
        <v>11147</v>
      </c>
      <c r="ES64" s="5">
        <v>42331</v>
      </c>
      <c r="FG64" s="11"/>
      <c r="FH64" s="14"/>
      <c r="FI64" s="26"/>
      <c r="FS64" s="11">
        <v>46174</v>
      </c>
      <c r="FT64" s="5">
        <v>206</v>
      </c>
      <c r="FU64" s="5">
        <v>57</v>
      </c>
      <c r="FV64" s="5">
        <v>0</v>
      </c>
      <c r="FW64" s="5">
        <v>47</v>
      </c>
      <c r="FX64" s="5">
        <v>114</v>
      </c>
      <c r="FY64" s="5">
        <v>633</v>
      </c>
      <c r="FZ64" s="5">
        <v>141</v>
      </c>
      <c r="GA64" s="5">
        <v>550</v>
      </c>
      <c r="GB64" s="5">
        <v>70</v>
      </c>
      <c r="GC64" s="5">
        <v>1750</v>
      </c>
      <c r="GD64" s="5"/>
      <c r="GQ64" s="11">
        <v>46174</v>
      </c>
      <c r="GR64" s="5">
        <v>51.571428571428569</v>
      </c>
      <c r="GS64" s="5">
        <v>1533.5714285714287</v>
      </c>
      <c r="GT64" s="5">
        <v>23530.714285714286</v>
      </c>
      <c r="GU64" s="5">
        <v>12855.571428571429</v>
      </c>
      <c r="GV64" s="5">
        <v>14233</v>
      </c>
      <c r="GW64" s="5">
        <v>7138.1428571428569</v>
      </c>
      <c r="GX64" s="5">
        <v>31262</v>
      </c>
      <c r="GY64" s="5">
        <v>38663.714285714283</v>
      </c>
      <c r="GZ64" s="5">
        <v>6735.2857142857147</v>
      </c>
      <c r="HA64" s="5">
        <v>136003.57142857142</v>
      </c>
      <c r="HB64" s="11"/>
      <c r="HC64" s="11">
        <v>46174</v>
      </c>
      <c r="HD64" s="5">
        <f t="shared" ref="HD64" si="165">CZ64+DL64+BM64</f>
        <v>2069909</v>
      </c>
      <c r="HE64" s="5">
        <f t="shared" ref="HE64" si="166">DA64+DM64+BP64</f>
        <v>84134</v>
      </c>
      <c r="HF64" s="5">
        <f t="shared" ref="HF64" si="167">DB64+DN64+BQ64</f>
        <v>323751</v>
      </c>
      <c r="HG64" s="5">
        <f t="shared" ref="HG64" si="168">DC64+DO64+BR64</f>
        <v>389881</v>
      </c>
      <c r="HH64" s="5">
        <f t="shared" ref="HH64" si="169">DD64+DP64+BS64</f>
        <v>73692</v>
      </c>
      <c r="HI64" s="5">
        <f t="shared" ref="HI64" si="170">DE64+DQ64+BT64</f>
        <v>6917</v>
      </c>
      <c r="HJ64" s="5">
        <f t="shared" ref="HJ64" si="171">DF64+DR64+BU64</f>
        <v>54139</v>
      </c>
      <c r="HK64" s="5">
        <f t="shared" ref="HK64" si="172">DG64+DS64+BV64</f>
        <v>132</v>
      </c>
      <c r="HL64" s="5">
        <f t="shared" ref="HL64" si="173">DH64+DT64+BW64</f>
        <v>33461</v>
      </c>
      <c r="HM64" s="5">
        <f t="shared" ref="HM64" si="174">DI64+DU64+BX64</f>
        <v>186399</v>
      </c>
      <c r="HO64" s="11">
        <v>46174</v>
      </c>
      <c r="HP64" s="5">
        <f t="shared" si="116"/>
        <v>659363.57142857136</v>
      </c>
      <c r="HQ64" s="5">
        <f>DY64+GZ64</f>
        <v>32370.285714285714</v>
      </c>
      <c r="HR64" s="5">
        <f t="shared" ref="HR64" si="175">DZ64+GY64</f>
        <v>167436.71428571429</v>
      </c>
      <c r="HS64" s="5">
        <f t="shared" ref="HS64" si="176">EA64+GX64</f>
        <v>182577</v>
      </c>
      <c r="HT64" s="5">
        <f t="shared" ref="HT64" si="177">EB64+GU64</f>
        <v>36171.571428571428</v>
      </c>
      <c r="HU64" s="5">
        <f t="shared" ref="HU64" si="178">EC64+GS64</f>
        <v>18815.571428571428</v>
      </c>
      <c r="HV64" s="5">
        <f t="shared" ref="HV64" si="179">ED64+GV64</f>
        <v>28945</v>
      </c>
      <c r="HW64" s="5">
        <f t="shared" ref="HW64" si="180">EE64+GR64</f>
        <v>51.571428571428569</v>
      </c>
      <c r="HX64" s="5">
        <f t="shared" ref="HX64" si="181">EF64+GW64</f>
        <v>26487.142857142855</v>
      </c>
      <c r="HY64" s="5">
        <f t="shared" ref="HY64" si="182">EG64+GT64</f>
        <v>79159.71428571429</v>
      </c>
    </row>
    <row r="65" spans="2:233" ht="16">
      <c r="B65" s="11">
        <v>46204</v>
      </c>
      <c r="C65" s="2">
        <v>0</v>
      </c>
      <c r="D65" s="2">
        <v>7</v>
      </c>
      <c r="E65" s="2">
        <v>659</v>
      </c>
      <c r="F65" s="2">
        <v>252</v>
      </c>
      <c r="G65" s="2">
        <v>135</v>
      </c>
      <c r="H65" s="2">
        <f>108+5</f>
        <v>113</v>
      </c>
      <c r="I65" s="2">
        <v>2711</v>
      </c>
      <c r="J65" s="2">
        <v>1708</v>
      </c>
      <c r="K65" s="2">
        <v>328</v>
      </c>
      <c r="L65" s="8">
        <f t="shared" si="104"/>
        <v>5913</v>
      </c>
      <c r="N65" s="11">
        <v>46204</v>
      </c>
      <c r="O65" s="2">
        <v>0</v>
      </c>
      <c r="P65" s="2">
        <v>7</v>
      </c>
      <c r="Q65" s="2">
        <v>659</v>
      </c>
      <c r="R65" s="2">
        <v>252</v>
      </c>
      <c r="S65" s="2">
        <v>135</v>
      </c>
      <c r="T65" s="2">
        <f>108+5</f>
        <v>113</v>
      </c>
      <c r="U65" s="2">
        <v>2711</v>
      </c>
      <c r="V65" s="2">
        <v>1708</v>
      </c>
      <c r="W65" s="2">
        <v>328</v>
      </c>
      <c r="X65" s="8">
        <f t="shared" si="105"/>
        <v>5913</v>
      </c>
      <c r="Z65" s="11">
        <v>46204</v>
      </c>
      <c r="AA65" s="54"/>
      <c r="AC65" s="5"/>
      <c r="AD65" s="5"/>
      <c r="AE65" s="5"/>
      <c r="AJ65" s="55">
        <v>2973825</v>
      </c>
      <c r="AL65" s="11">
        <v>46204</v>
      </c>
      <c r="AM65" s="5">
        <v>149316</v>
      </c>
      <c r="AN65" s="5">
        <v>770135</v>
      </c>
      <c r="AO65" s="5">
        <v>1106026</v>
      </c>
      <c r="AP65" s="5">
        <v>54803</v>
      </c>
      <c r="AQ65" s="5">
        <v>86246</v>
      </c>
      <c r="AR65" s="5">
        <v>36490</v>
      </c>
      <c r="AS65" s="5">
        <v>6</v>
      </c>
      <c r="AT65" s="5">
        <v>50761</v>
      </c>
      <c r="AU65" s="5">
        <v>290178</v>
      </c>
      <c r="AV65" s="5">
        <v>2543961</v>
      </c>
      <c r="AW65" s="5"/>
      <c r="AX65" s="11">
        <v>46204</v>
      </c>
      <c r="AY65" s="5">
        <v>135282</v>
      </c>
      <c r="AZ65" s="5">
        <v>689401</v>
      </c>
      <c r="BA65" s="5">
        <v>885164</v>
      </c>
      <c r="BB65" s="5">
        <v>33600</v>
      </c>
      <c r="BC65" s="5">
        <v>64385</v>
      </c>
      <c r="BD65" s="5">
        <v>20442</v>
      </c>
      <c r="BE65" s="5">
        <v>0</v>
      </c>
      <c r="BF65" s="5">
        <v>27854</v>
      </c>
      <c r="BG65" s="5">
        <v>264691</v>
      </c>
      <c r="BH65" s="5">
        <v>2120819</v>
      </c>
      <c r="BI65" s="8"/>
      <c r="BJ65" s="11">
        <v>46204</v>
      </c>
      <c r="BK65" s="8">
        <f t="shared" ref="BK65:BK66" si="183">BM65+BO65</f>
        <v>3250631</v>
      </c>
      <c r="BM65" s="8">
        <v>2108899</v>
      </c>
      <c r="BO65" s="5">
        <f t="shared" si="126"/>
        <v>1141732</v>
      </c>
      <c r="BP65" s="5">
        <v>73903</v>
      </c>
      <c r="BQ65" s="5">
        <v>331067</v>
      </c>
      <c r="BR65" s="5">
        <v>406790</v>
      </c>
      <c r="BS65" s="5">
        <v>69882</v>
      </c>
      <c r="BT65" s="5">
        <v>2634</v>
      </c>
      <c r="BU65" s="5">
        <v>53257</v>
      </c>
      <c r="BV65" s="8">
        <v>132</v>
      </c>
      <c r="BW65" s="8">
        <v>23471</v>
      </c>
      <c r="BX65" s="8">
        <v>180596</v>
      </c>
      <c r="BY65" s="8">
        <v>3843</v>
      </c>
      <c r="BZ65"/>
      <c r="CA65" s="11">
        <v>46204</v>
      </c>
      <c r="CB65" s="5">
        <v>104503</v>
      </c>
      <c r="CC65" s="5">
        <v>6113</v>
      </c>
      <c r="CD65" s="5">
        <v>23294</v>
      </c>
      <c r="CE65" s="5">
        <v>31640</v>
      </c>
      <c r="CF65" s="5">
        <v>3598</v>
      </c>
      <c r="CG65" s="5">
        <v>2252</v>
      </c>
      <c r="CH65" s="5">
        <v>2420</v>
      </c>
      <c r="CI65" s="5">
        <v>0</v>
      </c>
      <c r="CJ65" s="5">
        <v>3492</v>
      </c>
      <c r="CK65" s="5">
        <v>16654</v>
      </c>
      <c r="CM65" s="11">
        <v>46204</v>
      </c>
      <c r="CN65" s="5">
        <f t="shared" ref="CN65:CN66" si="184">CZ65+DL65</f>
        <v>152697</v>
      </c>
      <c r="CO65" s="5">
        <f t="shared" ref="CO65:CO66" si="185">DA65+DM65</f>
        <v>8267</v>
      </c>
      <c r="CP65" s="5">
        <f t="shared" ref="CP65:CP66" si="186">DB65+DN65</f>
        <v>31025</v>
      </c>
      <c r="CQ65" s="5">
        <f t="shared" ref="CQ65:CQ66" si="187">DC65+DO65</f>
        <v>41486</v>
      </c>
      <c r="CR65" s="5">
        <f t="shared" ref="CR65:CR66" si="188">DD65+DP65</f>
        <v>5437</v>
      </c>
      <c r="CS65" s="5">
        <f t="shared" ref="CS65:CS66" si="189">DE65+DQ65</f>
        <v>3296</v>
      </c>
      <c r="CT65" s="5">
        <f t="shared" ref="CT65:CT66" si="190">DF65+DR65</f>
        <v>3443</v>
      </c>
      <c r="CU65" s="5">
        <f t="shared" ref="CU65:CU66" si="191">DG65+DS65</f>
        <v>1</v>
      </c>
      <c r="CV65" s="5">
        <f t="shared" ref="CV65:CV66" si="192">DH65+DT65</f>
        <v>6026</v>
      </c>
      <c r="CW65" s="5">
        <f t="shared" ref="CW65:CW66" si="193">DI65+DU65</f>
        <v>22609</v>
      </c>
      <c r="CY65" s="11">
        <v>46204</v>
      </c>
      <c r="CZ65" s="5">
        <v>45935</v>
      </c>
      <c r="DA65" s="8">
        <v>981</v>
      </c>
      <c r="DB65" s="8">
        <v>4217</v>
      </c>
      <c r="DC65" s="8">
        <v>5225</v>
      </c>
      <c r="DD65" s="8">
        <v>612</v>
      </c>
      <c r="DE65" s="8">
        <v>388</v>
      </c>
      <c r="DF65" s="8">
        <v>420</v>
      </c>
      <c r="DG65" s="8">
        <v>0</v>
      </c>
      <c r="DH65" s="8">
        <v>798</v>
      </c>
      <c r="DI65" s="8">
        <v>2187</v>
      </c>
      <c r="DK65" s="11">
        <v>46204</v>
      </c>
      <c r="DL65" s="9">
        <v>106762</v>
      </c>
      <c r="DM65" s="5">
        <v>7286</v>
      </c>
      <c r="DN65" s="5">
        <v>26808</v>
      </c>
      <c r="DO65" s="5">
        <v>36261</v>
      </c>
      <c r="DP65" s="5">
        <v>4825</v>
      </c>
      <c r="DQ65" s="5">
        <v>2908</v>
      </c>
      <c r="DR65" s="5">
        <v>3023</v>
      </c>
      <c r="DS65" s="5">
        <v>1</v>
      </c>
      <c r="DT65" s="5">
        <v>5228</v>
      </c>
      <c r="DU65" s="5">
        <v>20422</v>
      </c>
      <c r="DW65" s="11">
        <v>46204</v>
      </c>
      <c r="DX65" s="8">
        <v>681417</v>
      </c>
      <c r="DY65" s="8">
        <v>37500</v>
      </c>
      <c r="DZ65" s="8">
        <v>172030</v>
      </c>
      <c r="EA65" s="8">
        <v>202070</v>
      </c>
      <c r="EB65" s="8">
        <v>29433</v>
      </c>
      <c r="EC65" s="8">
        <v>18195</v>
      </c>
      <c r="ED65" s="8">
        <v>17265</v>
      </c>
      <c r="EE65" s="8">
        <v>0</v>
      </c>
      <c r="EF65" s="8">
        <v>24671</v>
      </c>
      <c r="EG65" s="8">
        <v>74549</v>
      </c>
      <c r="EI65" s="11">
        <v>46204</v>
      </c>
      <c r="EJ65" s="5">
        <v>538494</v>
      </c>
      <c r="EK65" s="5">
        <v>30335</v>
      </c>
      <c r="EL65" s="5">
        <v>143409</v>
      </c>
      <c r="EM65" s="5">
        <v>166704</v>
      </c>
      <c r="EN65" s="5">
        <v>20040</v>
      </c>
      <c r="EO65" s="5">
        <v>13286</v>
      </c>
      <c r="EP65" s="5">
        <v>11461</v>
      </c>
      <c r="EQ65" s="5">
        <v>0</v>
      </c>
      <c r="ER65" s="5">
        <v>15225</v>
      </c>
      <c r="ES65" s="5">
        <v>59914</v>
      </c>
      <c r="ET65" s="8"/>
      <c r="FG65" s="11"/>
      <c r="FH65" s="14"/>
      <c r="FI65" s="26"/>
      <c r="FS65" s="11">
        <v>46204</v>
      </c>
      <c r="FT65" s="5">
        <v>244</v>
      </c>
      <c r="FU65" s="5">
        <v>71</v>
      </c>
      <c r="FV65" s="5">
        <v>0</v>
      </c>
      <c r="FW65" s="5">
        <v>30</v>
      </c>
      <c r="FX65" s="5">
        <v>127</v>
      </c>
      <c r="FY65" s="5">
        <v>694</v>
      </c>
      <c r="FZ65" s="5">
        <v>122</v>
      </c>
      <c r="GA65" s="5">
        <v>626</v>
      </c>
      <c r="GB65" s="5">
        <v>86</v>
      </c>
      <c r="GC65" s="5">
        <v>1951</v>
      </c>
      <c r="GD65" s="5"/>
      <c r="GQ65" s="11">
        <v>46204</v>
      </c>
      <c r="GR65" s="5">
        <v>35.857142857142861</v>
      </c>
      <c r="GS65" s="5">
        <v>1390.1428571428571</v>
      </c>
      <c r="GT65" s="5">
        <v>24000.142857142859</v>
      </c>
      <c r="GU65" s="5">
        <v>14239.714285714286</v>
      </c>
      <c r="GV65" s="5">
        <v>15842.857142857143</v>
      </c>
      <c r="GW65" s="5">
        <v>7332</v>
      </c>
      <c r="GX65" s="5">
        <v>33433.571428571428</v>
      </c>
      <c r="GY65" s="5">
        <v>44008.285714285717</v>
      </c>
      <c r="GZ65" s="5">
        <v>7305</v>
      </c>
      <c r="HA65" s="5">
        <v>147587.57142857142</v>
      </c>
      <c r="HB65" s="11"/>
      <c r="HC65" s="11">
        <v>46204</v>
      </c>
      <c r="HD65" s="5">
        <f t="shared" ref="HD65" si="194">CZ65+DL65+BM65</f>
        <v>2261596</v>
      </c>
      <c r="HE65" s="5">
        <f t="shared" ref="HE65" si="195">DA65+DM65+BP65</f>
        <v>82170</v>
      </c>
      <c r="HF65" s="5">
        <f t="shared" ref="HF65" si="196">DB65+DN65+BQ65</f>
        <v>362092</v>
      </c>
      <c r="HG65" s="5">
        <f t="shared" ref="HG65" si="197">DC65+DO65+BR65</f>
        <v>448276</v>
      </c>
      <c r="HH65" s="5">
        <f t="shared" ref="HH65" si="198">DD65+DP65+BS65</f>
        <v>75319</v>
      </c>
      <c r="HI65" s="5">
        <f t="shared" ref="HI65" si="199">DE65+DQ65+BT65</f>
        <v>5930</v>
      </c>
      <c r="HJ65" s="5">
        <f t="shared" ref="HJ65" si="200">DF65+DR65+BU65</f>
        <v>56700</v>
      </c>
      <c r="HK65" s="5">
        <f t="shared" ref="HK65" si="201">DG65+DS65+BV65</f>
        <v>133</v>
      </c>
      <c r="HL65" s="5">
        <f t="shared" ref="HL65" si="202">DH65+DT65+BW65</f>
        <v>29497</v>
      </c>
      <c r="HM65" s="5">
        <f t="shared" ref="HM65" si="203">DI65+DU65+BX65</f>
        <v>203205</v>
      </c>
      <c r="HO65" s="11">
        <v>46204</v>
      </c>
      <c r="HP65" s="5">
        <f>DX65+HA65</f>
        <v>829004.57142857136</v>
      </c>
      <c r="HQ65" s="5">
        <f>DY65+GZ65</f>
        <v>44805</v>
      </c>
      <c r="HR65" s="5">
        <f t="shared" ref="HR65" si="204">DZ65+GY65</f>
        <v>216038.28571428571</v>
      </c>
      <c r="HS65" s="5">
        <f t="shared" ref="HS65" si="205">EA65+GX65</f>
        <v>235503.57142857142</v>
      </c>
      <c r="HT65" s="5">
        <f t="shared" ref="HT65" si="206">EB65+GU65</f>
        <v>43672.71428571429</v>
      </c>
      <c r="HU65" s="5">
        <f t="shared" ref="HU65" si="207">EC65+GS65</f>
        <v>19585.142857142859</v>
      </c>
      <c r="HV65" s="5">
        <f t="shared" ref="HV65" si="208">ED65+GV65</f>
        <v>33107.857142857145</v>
      </c>
      <c r="HW65" s="5">
        <f t="shared" ref="HW65" si="209">EE65+GR65</f>
        <v>35.857142857142861</v>
      </c>
      <c r="HX65" s="5">
        <f t="shared" ref="HX65" si="210">EF65+GW65</f>
        <v>32003</v>
      </c>
      <c r="HY65" s="5">
        <f t="shared" ref="HY65" si="211">EG65+GT65</f>
        <v>98549.142857142855</v>
      </c>
    </row>
    <row r="66" spans="2:233" ht="16">
      <c r="B66" s="11">
        <v>46235</v>
      </c>
      <c r="L66" s="8"/>
      <c r="N66" s="11">
        <v>46235</v>
      </c>
      <c r="O66" s="5"/>
      <c r="P66" s="1"/>
      <c r="Q66" s="1"/>
      <c r="T66" s="29"/>
      <c r="U66" s="5"/>
      <c r="V66" s="529"/>
      <c r="Z66" s="11">
        <v>46235</v>
      </c>
      <c r="AA66" s="54"/>
      <c r="AC66" s="5"/>
      <c r="AD66" s="5"/>
      <c r="AE66" s="5"/>
      <c r="AL66" s="11">
        <v>46235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11">
        <v>46235</v>
      </c>
      <c r="AY66" s="5"/>
      <c r="AZ66" s="5"/>
      <c r="BA66" s="5"/>
      <c r="BB66" s="5"/>
      <c r="BC66" s="5"/>
      <c r="BD66" s="5"/>
      <c r="BE66" s="5"/>
      <c r="BF66" s="5"/>
      <c r="BG66" s="5"/>
      <c r="BH66" s="128"/>
      <c r="BI66" s="8"/>
      <c r="BJ66" s="11">
        <v>46235</v>
      </c>
      <c r="BK66" s="8">
        <f t="shared" si="183"/>
        <v>0</v>
      </c>
      <c r="BM66" s="8"/>
      <c r="BO66" s="8"/>
      <c r="BP66"/>
      <c r="BQ66"/>
      <c r="BR66"/>
      <c r="BS66"/>
      <c r="BT66"/>
      <c r="BU66"/>
      <c r="BV66"/>
      <c r="BW66"/>
      <c r="BX66"/>
      <c r="BY66" s="8"/>
      <c r="BZ66"/>
      <c r="CA66" s="11">
        <v>46235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M66" s="11">
        <v>46235</v>
      </c>
      <c r="CN66" s="5">
        <f t="shared" si="184"/>
        <v>0</v>
      </c>
      <c r="CO66" s="5">
        <f t="shared" si="185"/>
        <v>0</v>
      </c>
      <c r="CP66" s="5">
        <f t="shared" si="186"/>
        <v>0</v>
      </c>
      <c r="CQ66" s="5">
        <f t="shared" si="187"/>
        <v>0</v>
      </c>
      <c r="CR66" s="5">
        <f t="shared" si="188"/>
        <v>0</v>
      </c>
      <c r="CS66" s="5">
        <f t="shared" si="189"/>
        <v>0</v>
      </c>
      <c r="CT66" s="5">
        <f t="shared" si="190"/>
        <v>0</v>
      </c>
      <c r="CU66" s="5">
        <f t="shared" si="191"/>
        <v>0</v>
      </c>
      <c r="CV66" s="5">
        <f t="shared" si="192"/>
        <v>0</v>
      </c>
      <c r="CW66" s="5">
        <f t="shared" si="193"/>
        <v>0</v>
      </c>
      <c r="CY66" s="11">
        <v>46235</v>
      </c>
      <c r="CZ66" s="5"/>
      <c r="DA66" s="8"/>
      <c r="DB66" s="8"/>
      <c r="DC66" s="8"/>
      <c r="DD66" s="8"/>
      <c r="DE66" s="8"/>
      <c r="DF66" s="8"/>
      <c r="DG66" s="8"/>
      <c r="DH66" s="8"/>
      <c r="DI66" s="8"/>
      <c r="DK66" s="11">
        <v>46235</v>
      </c>
      <c r="DL66" s="9"/>
      <c r="DM66" s="5"/>
      <c r="DN66" s="5"/>
      <c r="DO66" s="5"/>
      <c r="DP66" s="5"/>
      <c r="DQ66" s="5"/>
      <c r="DR66" s="5"/>
      <c r="DS66" s="5"/>
      <c r="DT66" s="5"/>
      <c r="DU66" s="5"/>
      <c r="DW66" s="11">
        <v>46235</v>
      </c>
      <c r="DX66" s="8"/>
      <c r="DY66" s="8"/>
      <c r="DZ66" s="8"/>
      <c r="EA66" s="8"/>
      <c r="EB66" s="8"/>
      <c r="EC66" s="8"/>
      <c r="ED66" s="8"/>
      <c r="EE66" s="8"/>
      <c r="EF66" s="8"/>
      <c r="EG66" s="8"/>
      <c r="EI66" s="11">
        <v>46235</v>
      </c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8"/>
      <c r="FG66" s="11"/>
      <c r="FH66" s="14"/>
      <c r="FI66" s="26"/>
      <c r="FS66" s="11">
        <v>46235</v>
      </c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Q66" s="11">
        <v>46235</v>
      </c>
      <c r="GW66"/>
      <c r="GX66"/>
      <c r="GY66"/>
      <c r="HB66" s="11"/>
      <c r="HC66" s="11">
        <v>46235</v>
      </c>
      <c r="HD66" s="9"/>
      <c r="HG66" s="11"/>
      <c r="HO66" s="11">
        <v>46235</v>
      </c>
    </row>
    <row r="67" spans="2:233" ht="16">
      <c r="B67" s="11"/>
      <c r="L67" s="8"/>
      <c r="N67" s="11"/>
      <c r="O67" s="5"/>
      <c r="P67" s="1"/>
      <c r="Q67" s="1"/>
      <c r="T67" s="29"/>
      <c r="U67" s="5"/>
      <c r="V67" s="529"/>
      <c r="Z67" s="11"/>
      <c r="AA67" s="54"/>
      <c r="AC67" s="5"/>
      <c r="AD67" s="5"/>
      <c r="AE67" s="5"/>
      <c r="AL67" s="11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11"/>
      <c r="AY67" s="5"/>
      <c r="AZ67" s="5"/>
      <c r="BA67" s="5"/>
      <c r="BB67" s="5"/>
      <c r="BC67" s="5"/>
      <c r="BD67" s="5"/>
      <c r="BE67" s="5"/>
      <c r="BF67" s="5"/>
      <c r="BG67" s="5"/>
      <c r="BH67" s="128"/>
      <c r="BI67" s="8"/>
      <c r="BJ67" s="11"/>
      <c r="BO67" s="8"/>
      <c r="BP67"/>
      <c r="BQ67"/>
      <c r="BR67"/>
      <c r="BS67"/>
      <c r="BT67"/>
      <c r="BU67"/>
      <c r="BV67"/>
      <c r="BW67"/>
      <c r="BX67"/>
      <c r="BY67" s="8"/>
      <c r="BZ67"/>
      <c r="CA67" s="11"/>
      <c r="CB67" s="5"/>
      <c r="CC67" s="5"/>
      <c r="CD67" s="5"/>
      <c r="CE67" s="5"/>
      <c r="CF67" s="5"/>
      <c r="CG67" s="5"/>
      <c r="CH67" s="5"/>
      <c r="CI67" s="5"/>
      <c r="CJ67" s="5"/>
      <c r="CK67" s="5"/>
      <c r="CM67" s="11"/>
      <c r="CN67" s="5"/>
      <c r="CO67" s="5"/>
      <c r="CP67" s="5"/>
      <c r="CQ67" s="54"/>
      <c r="CR67" s="5"/>
      <c r="CS67" s="5"/>
      <c r="CT67" s="5"/>
      <c r="CU67" s="5"/>
      <c r="CV67" s="5"/>
      <c r="CW67" s="5"/>
      <c r="CY67" s="11"/>
      <c r="CZ67" s="5"/>
      <c r="DA67" s="8"/>
      <c r="DB67" s="8"/>
      <c r="DC67" s="8"/>
      <c r="DD67" s="8"/>
      <c r="DE67" s="8"/>
      <c r="DF67" s="8"/>
      <c r="DG67" s="8"/>
      <c r="DH67" s="8"/>
      <c r="DI67" s="8"/>
      <c r="DK67" s="11"/>
      <c r="DL67" s="9"/>
      <c r="DM67" s="5"/>
      <c r="DN67" s="5"/>
      <c r="DO67" s="5"/>
      <c r="DP67" s="5"/>
      <c r="DQ67" s="5"/>
      <c r="DR67" s="5"/>
      <c r="DS67" s="5"/>
      <c r="DT67" s="5"/>
      <c r="DU67" s="5"/>
      <c r="DW67" s="11"/>
      <c r="DX67" s="8"/>
      <c r="DY67" s="8"/>
      <c r="DZ67" s="8"/>
      <c r="EA67" s="8"/>
      <c r="EB67" s="8"/>
      <c r="EC67" s="8"/>
      <c r="ED67" s="8"/>
      <c r="EE67" s="8"/>
      <c r="EF67" s="8"/>
      <c r="EG67" s="8"/>
      <c r="EI67" s="11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8"/>
      <c r="FG67" s="11"/>
      <c r="FH67" s="14"/>
      <c r="FI67" s="26"/>
      <c r="FS67" s="11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W67"/>
      <c r="GX67"/>
      <c r="GY67"/>
      <c r="HB67" s="11"/>
      <c r="HC67" s="11"/>
      <c r="HD67" s="9"/>
      <c r="HG67" s="11"/>
    </row>
    <row r="68" spans="2:233" ht="16">
      <c r="B68" s="29"/>
      <c r="L68" s="8"/>
      <c r="N68" s="29"/>
      <c r="O68" s="5"/>
      <c r="P68" s="1"/>
      <c r="Q68" s="1"/>
      <c r="T68" s="29"/>
      <c r="U68" s="29"/>
      <c r="V68" s="29"/>
      <c r="Z68" s="11"/>
      <c r="AA68" s="54"/>
      <c r="AC68" s="5"/>
      <c r="AD68" s="5"/>
      <c r="AE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8"/>
      <c r="BZ68" s="8"/>
      <c r="CA68" s="11"/>
      <c r="CB68" s="5"/>
      <c r="CC68" s="5"/>
      <c r="CD68" s="5"/>
      <c r="CE68" s="5"/>
      <c r="CF68" s="5"/>
      <c r="CG68" s="5"/>
      <c r="CH68" s="5"/>
      <c r="CI68" s="5"/>
      <c r="CJ68" s="5"/>
      <c r="CK68" s="5"/>
      <c r="CM68" s="11"/>
      <c r="CN68" s="5"/>
      <c r="CO68" s="5"/>
      <c r="CP68" s="5"/>
      <c r="CQ68" s="5"/>
      <c r="CR68" s="5"/>
      <c r="CS68" s="5"/>
      <c r="CT68" s="5"/>
      <c r="CU68" s="5"/>
      <c r="CV68" s="5"/>
      <c r="CW68" s="5"/>
      <c r="CZ68" s="5"/>
      <c r="DA68" s="8"/>
      <c r="DB68" s="8"/>
      <c r="DC68" s="8"/>
      <c r="DD68" s="8"/>
      <c r="DE68" s="8"/>
      <c r="DF68" s="8"/>
      <c r="DG68" s="8"/>
      <c r="DH68" s="8"/>
      <c r="DI68" s="8"/>
      <c r="DK68" s="11"/>
      <c r="DL68" s="9"/>
      <c r="DM68" s="5"/>
      <c r="DN68" s="5"/>
      <c r="DO68" s="5"/>
      <c r="DP68" s="5"/>
      <c r="DQ68" s="5"/>
      <c r="DR68" s="5"/>
      <c r="DS68" s="5"/>
      <c r="DT68" s="5"/>
      <c r="DU68" s="5"/>
      <c r="DV68" s="9"/>
      <c r="DW68" s="11"/>
      <c r="DX68" s="128"/>
      <c r="DY68" s="9"/>
      <c r="DZ68" s="9"/>
      <c r="EA68" s="364"/>
      <c r="EB68" s="364"/>
      <c r="EC68" s="364"/>
      <c r="EJ68" s="13"/>
      <c r="EK68" s="5"/>
      <c r="EL68" s="5"/>
      <c r="EM68" s="5"/>
      <c r="EN68" s="5"/>
      <c r="EO68" s="5"/>
      <c r="EP68" s="5"/>
      <c r="ES68" s="5"/>
      <c r="ET68" s="8"/>
      <c r="FG68" s="11"/>
      <c r="FH68" s="14"/>
      <c r="FI68" s="26"/>
      <c r="FT68" s="11"/>
      <c r="FU68" s="11"/>
      <c r="FV68" s="11"/>
      <c r="GA68" s="15"/>
      <c r="GC68" s="15"/>
      <c r="GR68"/>
      <c r="GS68" s="376"/>
      <c r="GT68"/>
      <c r="GU68"/>
      <c r="GV68"/>
      <c r="GW68"/>
      <c r="GX68"/>
      <c r="GY68"/>
      <c r="GZ68"/>
      <c r="HA68"/>
      <c r="HB68" s="11"/>
      <c r="HC68" s="11"/>
      <c r="HD68" s="9"/>
      <c r="HG68" s="11"/>
    </row>
    <row r="69" spans="2:233" ht="16">
      <c r="L69" s="8"/>
      <c r="U69" s="128"/>
      <c r="Z69" s="11"/>
      <c r="AA69" s="54"/>
      <c r="AC69" s="5"/>
      <c r="AD69" s="5"/>
      <c r="AE69" s="5"/>
      <c r="AJ69" s="9"/>
      <c r="AM69" s="11"/>
      <c r="AN69" s="11"/>
      <c r="AO69" s="11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8"/>
      <c r="BJ69" s="11"/>
      <c r="BK69" s="8"/>
      <c r="BZ69" s="8"/>
      <c r="CA69" s="11"/>
      <c r="CB69" s="5"/>
      <c r="CC69" s="5"/>
      <c r="CD69" s="5"/>
      <c r="CE69" s="5"/>
      <c r="CF69" s="5"/>
      <c r="CG69" s="5"/>
      <c r="CH69" s="5"/>
      <c r="CI69" s="5"/>
      <c r="CJ69" s="5"/>
      <c r="CK69" s="5"/>
      <c r="CM69" s="11"/>
      <c r="CZ69" s="5"/>
      <c r="DA69" s="8"/>
      <c r="DB69" s="8"/>
      <c r="DC69" s="8"/>
      <c r="DD69" s="8"/>
      <c r="DE69" s="8"/>
      <c r="DF69" s="8"/>
      <c r="DG69" s="8"/>
      <c r="DH69" s="8"/>
      <c r="DI69" s="8"/>
      <c r="DK69" s="11"/>
      <c r="DL69" s="9"/>
      <c r="DT69" s="57"/>
      <c r="DU69" s="57"/>
      <c r="DW69" s="11"/>
      <c r="DX69" s="9"/>
      <c r="DY69" s="364"/>
      <c r="DZ69" s="364"/>
      <c r="EA69" s="364"/>
      <c r="EB69" s="364"/>
      <c r="EC69" s="364"/>
      <c r="EJ69" s="9">
        <f>SUM(EJ47:EJ58)</f>
        <v>4323524</v>
      </c>
      <c r="EK69" s="26" t="e">
        <f>EJ69/DX69</f>
        <v>#DIV/0!</v>
      </c>
      <c r="FG69" s="11"/>
      <c r="FH69" s="14"/>
      <c r="FS69" s="11"/>
      <c r="FT69" s="11"/>
      <c r="FU69" s="11"/>
      <c r="FW69" s="11"/>
      <c r="FX69" s="11"/>
      <c r="FZ69" s="9"/>
      <c r="GA69" s="15"/>
      <c r="GR69"/>
      <c r="GS69" s="376"/>
      <c r="GT69"/>
      <c r="GU69" s="376"/>
      <c r="GV69" s="376"/>
      <c r="GW69"/>
      <c r="GX69"/>
      <c r="GY69"/>
      <c r="GZ69"/>
      <c r="HA69"/>
      <c r="HB69" s="11"/>
      <c r="HC69" s="11"/>
      <c r="HD69" s="9"/>
      <c r="HG69" s="11"/>
    </row>
    <row r="70" spans="2:233" ht="16">
      <c r="L70" s="8"/>
      <c r="Z70" s="11"/>
      <c r="AA70" s="54"/>
      <c r="AC70" s="5"/>
      <c r="AD70" s="5"/>
      <c r="AE70" s="5"/>
      <c r="AJ70" s="9"/>
      <c r="AM70" s="5"/>
      <c r="AN70" s="5"/>
      <c r="AO70" s="5"/>
      <c r="AW70" s="5"/>
      <c r="AX70" s="5"/>
      <c r="BJ70" s="11"/>
      <c r="BK70" s="8"/>
      <c r="BZ70" s="8"/>
      <c r="CB70" s="5"/>
      <c r="CC70" s="5"/>
      <c r="CD70" s="5"/>
      <c r="CE70" s="5"/>
      <c r="CF70" s="5"/>
      <c r="CG70" s="5"/>
      <c r="CH70" s="5"/>
      <c r="CI70" s="5"/>
      <c r="CJ70" s="5"/>
      <c r="CK70" s="5"/>
      <c r="CM70" s="11"/>
      <c r="DE70" s="8"/>
      <c r="DF70" s="8"/>
      <c r="DG70" s="8"/>
      <c r="DH70" s="8"/>
      <c r="DI70" s="8"/>
      <c r="DK70" s="11"/>
      <c r="DL70" s="9"/>
      <c r="DT70" s="57"/>
      <c r="DU70" s="57"/>
      <c r="DW70" s="11"/>
      <c r="DX70" s="548"/>
      <c r="DY70" s="364"/>
      <c r="DZ70" s="364"/>
      <c r="EA70" s="364"/>
      <c r="EB70" s="364"/>
      <c r="EC70" s="364"/>
      <c r="EJ70" s="548">
        <f>SUM(EJ59:EJ65)</f>
        <v>3007096</v>
      </c>
      <c r="EK70" s="26" t="e">
        <f>EJ70/DX70</f>
        <v>#DIV/0!</v>
      </c>
      <c r="FT70" s="5"/>
      <c r="FU70" s="5"/>
      <c r="FW70" s="5"/>
      <c r="FX70" s="5"/>
      <c r="FZ70" s="17"/>
      <c r="GA70" s="15"/>
      <c r="GC70" s="15"/>
      <c r="HB70" s="11"/>
      <c r="HC70" s="11"/>
      <c r="HD70" s="54"/>
      <c r="HE70" s="54"/>
      <c r="HF70"/>
      <c r="HG70"/>
    </row>
    <row r="71" spans="2:233" ht="15">
      <c r="L71" s="8"/>
      <c r="P71" s="11"/>
      <c r="Q71" s="128"/>
      <c r="R71" s="128"/>
      <c r="S71" s="128"/>
      <c r="Z71" s="11"/>
      <c r="AA71" s="54"/>
      <c r="AB71" s="15"/>
      <c r="AM71" s="5"/>
      <c r="AN71" s="5"/>
      <c r="AO71" s="11"/>
      <c r="AP71" s="11"/>
      <c r="AQ71" s="11"/>
      <c r="AW71" s="5"/>
      <c r="AX71" s="5"/>
      <c r="BJ71" s="11"/>
      <c r="BK71" s="8"/>
      <c r="CB71" s="5"/>
      <c r="CC71" s="5"/>
      <c r="CD71" s="5"/>
      <c r="CE71" s="5"/>
      <c r="CF71" s="5"/>
      <c r="CG71" s="5"/>
      <c r="CH71" s="5"/>
      <c r="CI71" s="5"/>
      <c r="CJ71" s="5"/>
      <c r="CK71" s="5"/>
      <c r="CM71" s="11"/>
      <c r="DE71" s="8"/>
      <c r="DF71" s="8"/>
      <c r="DG71" s="8"/>
      <c r="DH71" s="8"/>
      <c r="DI71" s="8"/>
      <c r="DK71" s="11"/>
      <c r="DL71" s="9"/>
      <c r="DT71" s="57"/>
      <c r="DU71" s="57"/>
      <c r="DW71" s="11"/>
      <c r="DX71" s="128"/>
      <c r="DY71" s="364"/>
      <c r="DZ71" s="364"/>
      <c r="EA71" s="364"/>
      <c r="EB71" s="364"/>
      <c r="EC71" s="364"/>
      <c r="FT71" s="5"/>
      <c r="FU71" s="5"/>
      <c r="FW71" s="5"/>
      <c r="FX71" s="5"/>
      <c r="HB71" s="11"/>
      <c r="HC71" s="11"/>
      <c r="HD71" s="54"/>
      <c r="HE71" s="54"/>
      <c r="HF71" s="376"/>
      <c r="HG71" s="376"/>
    </row>
    <row r="72" spans="2:233" ht="16">
      <c r="L72" s="8"/>
      <c r="P72" s="11"/>
      <c r="Q72" s="128"/>
      <c r="R72" s="128"/>
      <c r="S72" s="128"/>
      <c r="Z72" s="11"/>
      <c r="AA72" s="54"/>
      <c r="AM72" s="5"/>
      <c r="AN72" s="5"/>
      <c r="AP72" s="5"/>
      <c r="AQ72" s="5"/>
      <c r="AW72" s="5"/>
      <c r="AX72" s="5"/>
      <c r="BJ72" s="11"/>
      <c r="BK72" s="8"/>
      <c r="CB72" s="9"/>
      <c r="CM72" s="11"/>
      <c r="DE72" s="8"/>
      <c r="DF72" s="8"/>
      <c r="DG72" s="8"/>
      <c r="DH72" s="57"/>
      <c r="DI72" s="8"/>
      <c r="DK72" s="11"/>
      <c r="DL72" s="9"/>
      <c r="DT72" s="57"/>
      <c r="DU72" s="57"/>
      <c r="DW72" s="11"/>
      <c r="DX72" s="128"/>
      <c r="DY72" s="364"/>
      <c r="DZ72" s="364"/>
      <c r="EA72" s="364"/>
      <c r="EB72" s="364"/>
      <c r="EC72" s="364"/>
      <c r="FT72" s="5"/>
      <c r="FU72" s="5"/>
      <c r="FW72" s="5"/>
      <c r="FX72" s="5"/>
      <c r="FY72" s="5"/>
      <c r="FZ72" s="5"/>
      <c r="GA72" s="5"/>
      <c r="GB72" s="5"/>
      <c r="HD72" s="54"/>
      <c r="HE72" s="54"/>
      <c r="HF72"/>
      <c r="HG72"/>
    </row>
    <row r="73" spans="2:233" ht="16">
      <c r="L73" s="8"/>
      <c r="P73" s="11"/>
      <c r="Q73" s="128"/>
      <c r="R73" s="128"/>
      <c r="S73" s="128"/>
      <c r="Z73" s="207"/>
      <c r="AA73" s="207"/>
      <c r="AB73" s="207"/>
      <c r="AC73" s="207"/>
      <c r="AD73" s="207"/>
      <c r="AE73" s="207"/>
      <c r="AF73" s="207"/>
      <c r="AG73" s="207"/>
      <c r="AH73" s="207"/>
      <c r="AM73" s="5"/>
      <c r="AN73" s="5"/>
      <c r="AP73" s="5"/>
      <c r="AQ73" s="5"/>
      <c r="AW73" s="5"/>
      <c r="AX73" s="5"/>
      <c r="BJ73" s="11"/>
      <c r="BK73" s="8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B73" s="9"/>
      <c r="CM73" s="11"/>
      <c r="DE73" s="8"/>
      <c r="DF73" s="8"/>
      <c r="DG73" s="8"/>
      <c r="DH73" s="8"/>
      <c r="DI73" s="8"/>
      <c r="DK73" s="11"/>
      <c r="DL73" s="9"/>
      <c r="DT73" s="57"/>
      <c r="DU73" s="57"/>
      <c r="DW73" s="11"/>
      <c r="DX73" s="128"/>
      <c r="DY73" s="364"/>
      <c r="DZ73" s="364"/>
      <c r="EA73" s="364"/>
      <c r="EB73" s="364"/>
      <c r="EC73" s="364"/>
      <c r="FT73" s="5"/>
      <c r="FU73" s="5"/>
      <c r="FW73" s="5"/>
      <c r="FX73" s="5"/>
      <c r="FY73" s="5"/>
      <c r="FZ73" s="5"/>
      <c r="GA73" s="5"/>
      <c r="GB73" s="5"/>
      <c r="HD73" s="54"/>
      <c r="HE73" s="54"/>
      <c r="HF73"/>
      <c r="HG73" s="376"/>
    </row>
    <row r="74" spans="2:233" ht="16">
      <c r="L74" s="8"/>
      <c r="P74" s="11"/>
      <c r="Q74" s="128"/>
      <c r="R74" s="128"/>
      <c r="S74" s="128"/>
      <c r="Y74" s="128"/>
      <c r="Z74" s="11"/>
      <c r="AA74" s="54"/>
      <c r="AB74" s="5"/>
      <c r="AC74" s="5"/>
      <c r="AE74" s="5"/>
      <c r="AM74" s="5"/>
      <c r="AN74" s="5"/>
      <c r="AP74" s="5"/>
      <c r="AQ74" s="5"/>
      <c r="AW74" s="5"/>
      <c r="AX74" s="5"/>
      <c r="BJ74" s="11"/>
      <c r="BK74" s="8"/>
      <c r="BM74" s="5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B74" s="9"/>
      <c r="CM74" s="11"/>
      <c r="DE74" s="8"/>
      <c r="DF74" s="8"/>
      <c r="DG74" s="8"/>
      <c r="DH74" s="8"/>
      <c r="DI74" s="8"/>
      <c r="DL74" s="9"/>
      <c r="DM74" s="9"/>
      <c r="DT74" s="57"/>
      <c r="DU74" s="57"/>
      <c r="DW74" s="11"/>
      <c r="DX74" s="128"/>
      <c r="DY74" s="364"/>
      <c r="DZ74" s="364"/>
      <c r="EA74" s="364"/>
      <c r="EB74" s="364"/>
      <c r="EC74" s="364"/>
      <c r="FT74" s="5"/>
      <c r="FU74" s="5"/>
      <c r="FW74" s="5"/>
      <c r="FX74" s="5"/>
      <c r="GA74" s="15"/>
      <c r="HD74" s="54"/>
      <c r="HE74" s="54"/>
      <c r="HF74"/>
      <c r="HG74" s="376"/>
      <c r="HJ74" s="54"/>
    </row>
    <row r="75" spans="2:233" ht="16">
      <c r="L75" s="8"/>
      <c r="P75" s="11"/>
      <c r="Q75" s="128"/>
      <c r="R75" s="128"/>
      <c r="S75" s="128"/>
      <c r="U75" s="11"/>
      <c r="V75" s="11"/>
      <c r="Y75" s="128"/>
      <c r="AB75" s="5"/>
      <c r="AC75" s="5"/>
      <c r="AE75" s="5"/>
      <c r="AM75" s="5"/>
      <c r="AN75" s="5"/>
      <c r="AP75" s="5"/>
      <c r="AQ75" s="5"/>
      <c r="AW75" s="5"/>
      <c r="AX75" s="5"/>
      <c r="BJ75" s="11"/>
      <c r="BK75" s="8"/>
      <c r="BM75" s="5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B75" s="9"/>
      <c r="CM75" s="11"/>
      <c r="DE75" s="8"/>
      <c r="DF75" s="8"/>
      <c r="DG75" s="8"/>
      <c r="DH75" s="8"/>
      <c r="DI75" s="8"/>
      <c r="DL75" s="9"/>
      <c r="DT75" s="57"/>
      <c r="DU75" s="57"/>
      <c r="DW75" s="11"/>
      <c r="DX75" s="128"/>
      <c r="DY75" s="364"/>
      <c r="DZ75" s="364"/>
      <c r="EA75" s="364"/>
      <c r="EB75" s="364"/>
      <c r="EC75" s="364"/>
      <c r="FT75" s="5"/>
      <c r="FU75" s="5"/>
      <c r="FW75" s="5"/>
      <c r="FX75" s="5"/>
      <c r="GA75" s="15"/>
      <c r="HD75" s="54"/>
      <c r="HE75" s="54"/>
      <c r="HF75"/>
      <c r="HG75"/>
      <c r="HJ75" s="54"/>
    </row>
    <row r="76" spans="2:233" ht="16">
      <c r="L76" s="8"/>
      <c r="P76" s="11"/>
      <c r="Q76" s="128"/>
      <c r="R76" s="128"/>
      <c r="S76" s="128"/>
      <c r="U76" s="54"/>
      <c r="V76" s="54"/>
      <c r="W76" s="128"/>
      <c r="Y76" s="128"/>
      <c r="AB76" s="5"/>
      <c r="AC76" s="5"/>
      <c r="AE76" s="5"/>
      <c r="AM76" s="5"/>
      <c r="AN76" s="5"/>
      <c r="AP76" s="5"/>
      <c r="AQ76" s="5"/>
      <c r="AW76" s="5"/>
      <c r="AX76" s="5"/>
      <c r="BJ76" s="11"/>
      <c r="BK76" s="8"/>
      <c r="BM76" s="5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B76" s="9"/>
      <c r="CM76" s="11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7"/>
      <c r="DU76" s="57"/>
      <c r="DV76" s="5"/>
      <c r="DW76" s="11"/>
      <c r="DX76" s="128"/>
      <c r="DY76" s="5"/>
      <c r="DZ76" s="364"/>
      <c r="EA76" s="364"/>
      <c r="EB76" s="364"/>
      <c r="EC76" s="364"/>
      <c r="FT76" s="5"/>
      <c r="FU76" s="5"/>
      <c r="FW76" s="5"/>
      <c r="FX76" s="5"/>
      <c r="GA76" s="15"/>
      <c r="HD76" s="54"/>
      <c r="HE76" s="54"/>
      <c r="HF76"/>
      <c r="HG76"/>
    </row>
    <row r="77" spans="2:233" ht="16">
      <c r="L77" s="8"/>
      <c r="P77" s="11"/>
      <c r="Q77" s="128"/>
      <c r="R77" s="128"/>
      <c r="S77" s="128"/>
      <c r="U77" s="54"/>
      <c r="V77" s="54"/>
      <c r="W77" s="128"/>
      <c r="Y77" s="128"/>
      <c r="AB77" s="5"/>
      <c r="AC77" s="5"/>
      <c r="AE77" s="5"/>
      <c r="AM77" s="5"/>
      <c r="AN77" s="5"/>
      <c r="AP77" s="5"/>
      <c r="AQ77" s="5"/>
      <c r="AW77" s="5"/>
      <c r="AX77" s="5"/>
      <c r="BJ77" s="11"/>
      <c r="BK77" s="8"/>
      <c r="BM77" s="5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B77" s="9"/>
      <c r="CM77" s="11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7"/>
      <c r="DU77" s="57"/>
      <c r="DV77" s="5"/>
      <c r="DW77" s="11"/>
      <c r="DX77" s="128"/>
      <c r="DY77" s="5"/>
      <c r="DZ77" s="364"/>
      <c r="EA77" s="364"/>
      <c r="EB77" s="364"/>
      <c r="EC77" s="364"/>
      <c r="FT77" s="5"/>
      <c r="FU77" s="5"/>
      <c r="FW77" s="5"/>
      <c r="FX77" s="5"/>
      <c r="GA77" s="15"/>
      <c r="HD77" s="54"/>
      <c r="HE77" s="54"/>
      <c r="HF77"/>
      <c r="HG77"/>
    </row>
    <row r="78" spans="2:233" ht="16">
      <c r="L78" s="8"/>
      <c r="P78" s="11"/>
      <c r="Q78" s="128"/>
      <c r="R78" s="128"/>
      <c r="S78" s="128"/>
      <c r="Y78" s="128"/>
      <c r="AM78" s="5"/>
      <c r="AN78" s="5"/>
      <c r="AP78" s="5"/>
      <c r="AQ78" s="5"/>
      <c r="AW78" s="5"/>
      <c r="AX78" s="5"/>
      <c r="BJ78" s="11"/>
      <c r="BK78" s="8"/>
      <c r="CB78" s="9"/>
      <c r="CM78" s="11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11"/>
      <c r="DX78" s="128"/>
      <c r="DZ78" s="364"/>
      <c r="EA78" s="364"/>
      <c r="EB78" s="364"/>
      <c r="EC78" s="364"/>
      <c r="FT78" s="5"/>
      <c r="FU78" s="5"/>
      <c r="FW78" s="5"/>
      <c r="FX78" s="5"/>
      <c r="HD78" s="54"/>
      <c r="HE78" s="54"/>
      <c r="HF78"/>
      <c r="HG78"/>
    </row>
    <row r="79" spans="2:233" ht="16">
      <c r="L79" s="8"/>
      <c r="P79" s="11"/>
      <c r="Q79" s="128"/>
      <c r="R79" s="128"/>
      <c r="S79" s="128"/>
      <c r="AM79" s="5"/>
      <c r="AN79" s="5"/>
      <c r="AP79" s="5"/>
      <c r="AQ79" s="5"/>
      <c r="AW79" s="5"/>
      <c r="AX79" s="5"/>
      <c r="BJ79" s="11"/>
      <c r="BK79" s="8"/>
      <c r="CB79" s="9"/>
      <c r="CM79" s="11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Z79" s="364"/>
      <c r="EA79" s="364"/>
      <c r="EB79" s="364"/>
      <c r="EC79" s="364"/>
      <c r="FT79" s="5"/>
      <c r="FU79" s="5"/>
      <c r="FW79" s="5"/>
      <c r="FX79" s="5"/>
      <c r="HD79" s="54"/>
      <c r="HE79" s="54"/>
      <c r="HF79"/>
      <c r="HG79"/>
    </row>
    <row r="80" spans="2:233">
      <c r="P80" s="11"/>
      <c r="Q80" s="128"/>
      <c r="R80" s="128"/>
      <c r="S80" s="128"/>
      <c r="AP80" s="5"/>
      <c r="AQ80" s="5"/>
      <c r="AW80" s="5"/>
      <c r="AX80" s="5"/>
      <c r="BJ80" s="11"/>
      <c r="BK80" s="8"/>
      <c r="CB80" s="9"/>
      <c r="CM80" s="11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364"/>
      <c r="EA80" s="364"/>
      <c r="EB80" s="364"/>
      <c r="EC80" s="364"/>
      <c r="FT80" s="5"/>
      <c r="FU80" s="5"/>
      <c r="FW80" s="5"/>
      <c r="FX80" s="5"/>
      <c r="HD80" s="54"/>
      <c r="HE80" s="54"/>
    </row>
    <row r="81" spans="3:213">
      <c r="P81" s="11"/>
      <c r="Q81" s="128"/>
      <c r="R81" s="128"/>
      <c r="S81" s="128"/>
      <c r="AM81" s="9"/>
      <c r="AN81" s="9"/>
      <c r="AP81" s="5"/>
      <c r="AQ81" s="5"/>
      <c r="AW81" s="5"/>
      <c r="AX81" s="5"/>
      <c r="CB81" s="9"/>
      <c r="CM81" s="11"/>
      <c r="CZ81" s="438"/>
      <c r="DA81" s="8"/>
      <c r="DB81" s="8"/>
      <c r="DC81" s="8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4"/>
      <c r="FT81" s="9"/>
      <c r="FU81" s="9"/>
      <c r="FW81" s="5"/>
      <c r="FX81" s="5"/>
      <c r="HD81" s="54"/>
      <c r="HE81" s="54"/>
    </row>
    <row r="82" spans="3:213">
      <c r="P82" s="11"/>
      <c r="Q82" s="128"/>
      <c r="R82" s="128"/>
      <c r="S82" s="128"/>
      <c r="AM82" s="9"/>
      <c r="AN82" s="9"/>
      <c r="AO82" s="9"/>
      <c r="AW82" s="5"/>
      <c r="AX82" s="5"/>
      <c r="CB82" s="9"/>
      <c r="CN82" s="9"/>
      <c r="CZ82" s="438"/>
      <c r="DA82" s="8"/>
      <c r="DB82" s="8"/>
      <c r="DC82" s="8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4"/>
      <c r="DZ82" s="9"/>
      <c r="EA82" s="9"/>
      <c r="EB82" s="9"/>
      <c r="EC82" s="9"/>
      <c r="FT82" s="9"/>
      <c r="FU82" s="9"/>
      <c r="FW82" s="5"/>
      <c r="FX82" s="5"/>
      <c r="HD82" s="54"/>
      <c r="HE82" s="54"/>
    </row>
    <row r="83" spans="3:213">
      <c r="P83" s="11"/>
      <c r="Q83" s="128"/>
      <c r="R83" s="128"/>
      <c r="S83" s="128"/>
      <c r="AM83" s="9"/>
      <c r="AN83" s="9"/>
      <c r="AO83" s="9"/>
      <c r="AP83" s="9"/>
      <c r="AQ83" s="9"/>
      <c r="AW83" s="5"/>
      <c r="AX83" s="5"/>
      <c r="CB83" s="9"/>
      <c r="CN83" s="9"/>
      <c r="CY83" s="53"/>
      <c r="CZ83" s="524"/>
      <c r="DA83" s="8"/>
      <c r="DB83" s="8"/>
      <c r="DC83" s="8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8"/>
      <c r="EA83" s="8"/>
      <c r="EB83" s="8"/>
      <c r="EC83" s="8"/>
      <c r="FW83" s="5"/>
      <c r="FX83" s="5"/>
      <c r="HD83" s="54"/>
      <c r="HE83" s="54"/>
    </row>
    <row r="84" spans="3:213">
      <c r="P84" s="11"/>
      <c r="Q84" s="128"/>
      <c r="R84" s="128"/>
      <c r="S84" s="128"/>
      <c r="AP84" s="9"/>
      <c r="AQ84" s="9"/>
      <c r="AW84" s="5"/>
      <c r="AX84" s="5"/>
      <c r="CB84" s="9"/>
      <c r="CN84" s="9"/>
      <c r="CY84" s="53"/>
      <c r="CZ84" s="524"/>
      <c r="DA84" s="8"/>
      <c r="DB84" s="11"/>
      <c r="DC84" s="210"/>
      <c r="DD84" s="210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128"/>
      <c r="DY84" s="128"/>
      <c r="DZ84" s="128"/>
      <c r="EA84" s="128"/>
      <c r="EB84" s="128"/>
      <c r="EC84" s="128"/>
      <c r="FW84" s="5"/>
      <c r="FX84" s="5"/>
      <c r="HD84" s="54"/>
      <c r="HE84" s="54"/>
    </row>
    <row r="85" spans="3:213">
      <c r="P85" s="11"/>
      <c r="Q85" s="128"/>
      <c r="R85" s="128"/>
      <c r="S85" s="128"/>
      <c r="AW85" s="5"/>
      <c r="AX85" s="5"/>
      <c r="CB85" s="9"/>
      <c r="CN85" s="9"/>
      <c r="CY85" s="53"/>
      <c r="CZ85" s="524"/>
      <c r="DA85" s="8"/>
      <c r="DB85" s="11"/>
      <c r="DC85" s="210"/>
      <c r="DD85" s="210"/>
      <c r="DE85" s="8"/>
      <c r="DF85" s="8"/>
      <c r="DG85" s="8"/>
      <c r="DH85" s="8"/>
      <c r="DI85" s="8"/>
      <c r="DJ85" s="8"/>
      <c r="DK85" s="5"/>
      <c r="DX85" s="128"/>
      <c r="FW85" s="5"/>
      <c r="FX85" s="5"/>
      <c r="HD85" s="54"/>
      <c r="HE85" s="54"/>
    </row>
    <row r="86" spans="3:213">
      <c r="P86" s="11"/>
      <c r="Q86" s="128"/>
      <c r="R86" s="128"/>
      <c r="S86" s="128"/>
      <c r="AW86" s="5"/>
      <c r="AX86" s="5"/>
      <c r="CA86" s="5"/>
      <c r="CM86" s="5"/>
      <c r="CY86" s="53"/>
      <c r="CZ86" s="524"/>
      <c r="DA86" s="8"/>
      <c r="DB86" s="11"/>
      <c r="DC86" s="210"/>
      <c r="DE86" s="8"/>
      <c r="DF86" s="8"/>
      <c r="DG86" s="8"/>
      <c r="DH86" s="8"/>
      <c r="DI86" s="8"/>
      <c r="DJ86" s="8"/>
      <c r="DK86" s="5"/>
      <c r="DW86" s="5"/>
      <c r="DX86" s="364"/>
      <c r="DY86" s="364"/>
      <c r="DZ86" s="364"/>
      <c r="EA86" s="364"/>
      <c r="EB86" s="364"/>
      <c r="EC86" s="364"/>
      <c r="EI86" s="5"/>
      <c r="EU86" s="5"/>
      <c r="FW86" s="5"/>
      <c r="FX86" s="5"/>
      <c r="HD86" s="54"/>
      <c r="HE86" s="54"/>
    </row>
    <row r="87" spans="3:213">
      <c r="P87" s="11"/>
      <c r="Q87" s="128"/>
      <c r="R87" s="128"/>
      <c r="S87" s="128"/>
      <c r="AW87" s="5"/>
      <c r="AX87" s="5"/>
      <c r="CA87" s="5"/>
      <c r="CM87" s="5"/>
      <c r="CY87" s="53"/>
      <c r="CZ87" s="11"/>
      <c r="DA87" s="8"/>
      <c r="DB87" s="8"/>
      <c r="DC87" s="57"/>
      <c r="DE87" s="8"/>
      <c r="DF87" s="8"/>
      <c r="DG87" s="8"/>
      <c r="DH87" s="8"/>
      <c r="DI87" s="8"/>
      <c r="DJ87" s="8"/>
      <c r="DK87" s="5"/>
      <c r="DW87" s="5"/>
      <c r="DX87" s="364"/>
      <c r="DY87" s="364"/>
      <c r="DZ87" s="364"/>
      <c r="EA87" s="364"/>
      <c r="EB87" s="364"/>
      <c r="EC87" s="364"/>
      <c r="EI87" s="5"/>
      <c r="EU87" s="5"/>
      <c r="FW87" s="5"/>
      <c r="FX87" s="5"/>
      <c r="HD87" s="54"/>
      <c r="HE87" s="54"/>
    </row>
    <row r="88" spans="3:213">
      <c r="P88" s="11"/>
      <c r="Q88" s="128"/>
      <c r="R88" s="128"/>
      <c r="S88" s="128"/>
      <c r="AW88" s="5"/>
      <c r="AX88" s="5"/>
      <c r="CA88" s="5"/>
      <c r="CM88" s="5"/>
      <c r="CY88" s="53"/>
      <c r="CZ88" s="11"/>
      <c r="DA88" s="8"/>
      <c r="DB88" s="8"/>
      <c r="DC88" s="57"/>
      <c r="DE88" s="8"/>
      <c r="DF88" s="8"/>
      <c r="DG88" s="8"/>
      <c r="DH88" s="8"/>
      <c r="DI88" s="8"/>
      <c r="DJ88" s="8"/>
      <c r="DK88" s="5"/>
      <c r="DW88" s="5"/>
      <c r="DX88" s="128"/>
      <c r="DY88" s="128"/>
      <c r="DZ88" s="128"/>
      <c r="EA88" s="128"/>
      <c r="EB88" s="128"/>
      <c r="EC88" s="128"/>
      <c r="EI88" s="5"/>
      <c r="EU88" s="5"/>
      <c r="HD88" s="54"/>
      <c r="HE88" s="54"/>
    </row>
    <row r="89" spans="3:213" ht="16">
      <c r="P89" s="527"/>
      <c r="Q89"/>
      <c r="AW89" s="5"/>
      <c r="AX89" s="5"/>
      <c r="CY89" s="53"/>
      <c r="CZ89" s="11"/>
      <c r="DA89" s="8"/>
      <c r="DB89" s="8"/>
      <c r="DC89" s="57"/>
      <c r="HD89" s="54"/>
    </row>
    <row r="90" spans="3:213">
      <c r="C90" s="9"/>
      <c r="O90" s="9"/>
      <c r="S90" s="26"/>
      <c r="AF90" s="32"/>
      <c r="AG90" s="5"/>
      <c r="AH90" s="5"/>
      <c r="AI90" s="5"/>
      <c r="AW90" s="5"/>
      <c r="AX90" s="5"/>
      <c r="CY90" s="53"/>
      <c r="CZ90" s="11"/>
      <c r="DA90" s="8"/>
      <c r="DB90" s="8"/>
      <c r="DC90" s="57"/>
      <c r="HD90" s="54"/>
      <c r="HE90" s="54"/>
    </row>
    <row r="91" spans="3:213">
      <c r="S91" s="26"/>
      <c r="AF91" s="32"/>
      <c r="AG91" s="5"/>
      <c r="AH91" s="5"/>
      <c r="AI91" s="5"/>
      <c r="AJ91" s="32"/>
      <c r="AM91" s="14"/>
      <c r="AW91" s="5"/>
      <c r="AX91" s="5"/>
      <c r="CY91" s="53"/>
      <c r="CZ91" s="11"/>
      <c r="DA91" s="8"/>
      <c r="DB91" s="8"/>
      <c r="DC91" s="57"/>
      <c r="HD91" s="54"/>
      <c r="HE91" s="54"/>
    </row>
    <row r="92" spans="3:213">
      <c r="AF92" s="32"/>
      <c r="AG92" s="5"/>
      <c r="AH92" s="5"/>
      <c r="AI92" s="5"/>
      <c r="AJ92" s="32"/>
      <c r="AM92" s="14"/>
      <c r="AW92" s="5"/>
      <c r="AX92" s="5"/>
      <c r="CY92" s="53"/>
      <c r="CZ92" s="11"/>
      <c r="DA92" s="8"/>
      <c r="DB92" s="8"/>
      <c r="DC92" s="57"/>
    </row>
    <row r="93" spans="3:213">
      <c r="AF93" s="32"/>
      <c r="AG93" s="5"/>
      <c r="AH93" s="5"/>
      <c r="AI93" s="5"/>
      <c r="AJ93" s="32"/>
      <c r="AM93" s="14"/>
      <c r="AW93" s="5"/>
      <c r="AX93" s="5"/>
      <c r="AZ93" s="4"/>
      <c r="CY93" s="53"/>
      <c r="CZ93" s="11"/>
      <c r="DA93" s="8"/>
      <c r="DB93" s="8"/>
      <c r="DC93" s="57"/>
    </row>
    <row r="94" spans="3:213">
      <c r="AF94" s="32"/>
      <c r="AG94" s="5"/>
      <c r="AH94" s="5"/>
      <c r="AI94" s="5"/>
      <c r="AJ94" s="32"/>
      <c r="AM94" s="14"/>
      <c r="AW94" s="5"/>
      <c r="AX94" s="5"/>
      <c r="CY94" s="53"/>
      <c r="CZ94" s="11"/>
      <c r="DA94" s="8"/>
      <c r="DB94" s="8"/>
      <c r="DC94" s="57"/>
    </row>
    <row r="95" spans="3:213">
      <c r="AF95" s="32"/>
      <c r="AG95" s="5"/>
      <c r="AH95" s="5"/>
      <c r="AI95" s="5"/>
      <c r="AW95" s="5"/>
      <c r="AX95" s="5"/>
      <c r="BA95" s="26"/>
      <c r="CY95" s="53"/>
      <c r="CZ95" s="11"/>
      <c r="DA95" s="8"/>
      <c r="DB95" s="8"/>
      <c r="DC95" s="57"/>
    </row>
    <row r="96" spans="3:213">
      <c r="AF96" s="32"/>
      <c r="AG96" s="5"/>
      <c r="AH96" s="5"/>
      <c r="AI96" s="5"/>
      <c r="AW96" s="5"/>
      <c r="AX96" s="5"/>
      <c r="CY96" s="53"/>
      <c r="CZ96" s="11"/>
    </row>
    <row r="97" spans="12:173">
      <c r="AF97" s="32"/>
      <c r="AG97" s="5"/>
      <c r="AH97" s="5"/>
      <c r="AI97" s="5"/>
      <c r="AM97" s="14"/>
      <c r="CY97" s="53"/>
      <c r="CZ97" s="11"/>
    </row>
    <row r="98" spans="12:173">
      <c r="AF98" s="32"/>
      <c r="AG98" s="5"/>
      <c r="AH98" s="5"/>
      <c r="AI98" s="5"/>
      <c r="AM98" s="14"/>
      <c r="CY98" s="53"/>
      <c r="CZ98" s="11"/>
    </row>
    <row r="99" spans="12:173">
      <c r="AF99" s="32"/>
      <c r="AG99" s="5"/>
      <c r="AH99" s="5"/>
      <c r="AI99" s="5"/>
      <c r="AM99" s="14"/>
      <c r="CY99" s="11"/>
      <c r="CZ99" s="11"/>
    </row>
    <row r="100" spans="12:173">
      <c r="AF100" s="32"/>
      <c r="AG100" s="5"/>
      <c r="AH100" s="5"/>
      <c r="AI100" s="5"/>
      <c r="AM100" s="14"/>
      <c r="CZ100" s="11"/>
    </row>
    <row r="101" spans="12:173">
      <c r="L101" s="15"/>
      <c r="X101" s="15"/>
      <c r="Y101" s="15"/>
      <c r="Z101" s="15"/>
      <c r="AA101" s="15"/>
      <c r="AF101" s="32"/>
      <c r="AG101" s="5"/>
      <c r="AH101" s="5"/>
      <c r="AI101" s="5"/>
      <c r="BJ101" s="15"/>
      <c r="BK101" s="15"/>
      <c r="BL101" s="36"/>
      <c r="CZ101" s="11"/>
    </row>
    <row r="102" spans="12:173">
      <c r="L102" s="15"/>
      <c r="X102" s="15"/>
      <c r="Y102" s="15"/>
      <c r="Z102" s="15"/>
      <c r="AA102" s="15"/>
      <c r="AF102" s="32"/>
      <c r="AG102" s="5"/>
      <c r="AH102" s="5"/>
      <c r="AI102" s="5"/>
      <c r="BJ102" s="15"/>
      <c r="BK102" s="15"/>
      <c r="BL102" s="36"/>
      <c r="CZ102" s="11"/>
    </row>
    <row r="103" spans="12:173">
      <c r="L103" s="15"/>
      <c r="X103" s="15"/>
      <c r="Y103" s="15"/>
      <c r="Z103" s="15"/>
      <c r="AA103" s="15"/>
      <c r="AF103" s="32"/>
      <c r="AG103" s="5"/>
      <c r="AH103" s="5"/>
      <c r="AI103" s="5"/>
      <c r="BA103" s="26"/>
      <c r="BJ103" s="15"/>
      <c r="BK103" s="15"/>
      <c r="BL103" s="36"/>
    </row>
    <row r="104" spans="12:173">
      <c r="L104" s="15"/>
      <c r="X104" s="15"/>
      <c r="Y104" s="15"/>
      <c r="Z104" s="15"/>
      <c r="AA104" s="15"/>
      <c r="AF104" s="32"/>
      <c r="AG104" s="5"/>
      <c r="AH104" s="5"/>
      <c r="AI104" s="5"/>
      <c r="BJ104" s="15"/>
      <c r="BK104" s="15"/>
      <c r="BL104" s="36"/>
      <c r="CZ104" s="524"/>
    </row>
    <row r="105" spans="12:173">
      <c r="L105" s="15"/>
      <c r="X105" s="15"/>
      <c r="Y105" s="15"/>
      <c r="Z105" s="15"/>
      <c r="AA105" s="15"/>
      <c r="BJ105" s="15"/>
      <c r="BK105" s="15"/>
      <c r="BL105" s="36"/>
      <c r="CZ105" s="11"/>
    </row>
    <row r="106" spans="12:173">
      <c r="CZ106" s="11"/>
    </row>
    <row r="107" spans="12:173">
      <c r="CZ107" s="11"/>
    </row>
    <row r="108" spans="12:173">
      <c r="CZ108" s="11"/>
    </row>
    <row r="109" spans="12:173">
      <c r="CZ109" s="11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</row>
    <row r="110" spans="12:173">
      <c r="CZ110" s="11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</row>
    <row r="111" spans="12:173">
      <c r="Y111" s="32"/>
      <c r="AD111" s="32"/>
      <c r="CZ111" s="11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</row>
    <row r="112" spans="12:173">
      <c r="Y112" s="32"/>
      <c r="AD112" s="32"/>
      <c r="CZ112" s="11"/>
    </row>
    <row r="113" spans="25:104">
      <c r="Y113" s="32"/>
      <c r="AD113" s="32"/>
      <c r="CZ113" s="11"/>
    </row>
    <row r="114" spans="25:104">
      <c r="Y114" s="32"/>
      <c r="AD114" s="32"/>
      <c r="CZ114" s="11"/>
    </row>
    <row r="115" spans="25:104">
      <c r="Y115" s="32"/>
      <c r="AD115" s="32"/>
      <c r="CZ115" s="11"/>
    </row>
    <row r="116" spans="25:104">
      <c r="Y116" s="32"/>
      <c r="AD116" s="32"/>
      <c r="CZ116" s="11"/>
    </row>
    <row r="117" spans="25:104">
      <c r="Y117" s="32"/>
      <c r="AD117" s="32"/>
      <c r="CZ117" s="11"/>
    </row>
    <row r="118" spans="25:104">
      <c r="Y118" s="32"/>
      <c r="AD118" s="32"/>
      <c r="CZ118" s="11"/>
    </row>
    <row r="119" spans="25:104">
      <c r="Y119" s="32"/>
      <c r="AD119" s="32"/>
      <c r="CZ119" s="11"/>
    </row>
    <row r="120" spans="25:104">
      <c r="Y120" s="32"/>
      <c r="AD120" s="32"/>
      <c r="CZ120" s="11"/>
    </row>
    <row r="121" spans="25:104">
      <c r="Y121" s="32"/>
      <c r="AD121" s="32"/>
    </row>
    <row r="122" spans="25:104">
      <c r="Y122" s="32"/>
      <c r="AD122" s="32"/>
    </row>
    <row r="123" spans="25:104">
      <c r="Y123" s="32"/>
      <c r="AD123" s="32"/>
    </row>
    <row r="124" spans="25:104">
      <c r="Y124" s="32"/>
      <c r="AD124" s="32"/>
    </row>
    <row r="125" spans="25:104">
      <c r="Y125" s="32"/>
      <c r="AD125" s="32"/>
    </row>
    <row r="126" spans="25:104">
      <c r="Y126" s="32"/>
      <c r="AD126" s="32"/>
    </row>
    <row r="127" spans="25:104">
      <c r="Y127" s="32"/>
      <c r="AD127" s="32"/>
    </row>
    <row r="128" spans="25:104">
      <c r="Y128" s="32"/>
      <c r="AD128" s="32"/>
    </row>
    <row r="129" spans="25:34">
      <c r="Y129" s="32"/>
      <c r="AD129" s="32"/>
    </row>
    <row r="132" spans="25:34">
      <c r="Z132" s="55"/>
      <c r="AA132" s="55"/>
      <c r="AB132" s="55"/>
      <c r="AE132" s="55"/>
      <c r="AF132" s="55"/>
      <c r="AG132" s="55"/>
      <c r="AH132" s="55"/>
    </row>
    <row r="133" spans="25:34">
      <c r="Z133" s="55"/>
      <c r="AA133" s="55"/>
      <c r="AB133" s="55"/>
      <c r="AE133" s="55"/>
      <c r="AF133" s="55"/>
      <c r="AG133" s="55"/>
      <c r="AH133" s="55"/>
    </row>
    <row r="134" spans="25:34">
      <c r="Z134" s="128"/>
      <c r="AA134" s="128"/>
      <c r="AB134" s="128"/>
      <c r="AE134" s="128"/>
      <c r="AF134" s="128"/>
      <c r="AG134" s="128"/>
      <c r="AH134" s="128"/>
    </row>
  </sheetData>
  <mergeCells count="63">
    <mergeCell ref="HV1:HY2"/>
    <mergeCell ref="ED1:EG2"/>
    <mergeCell ref="EP1:ES2"/>
    <mergeCell ref="FZ1:GC2"/>
    <mergeCell ref="GX1:HA2"/>
    <mergeCell ref="HJ1:HM2"/>
    <mergeCell ref="BV1:BY2"/>
    <mergeCell ref="CH1:CK2"/>
    <mergeCell ref="CT1:CW2"/>
    <mergeCell ref="DF1:DI2"/>
    <mergeCell ref="DR1:DU2"/>
    <mergeCell ref="I1:L2"/>
    <mergeCell ref="U1:X2"/>
    <mergeCell ref="AG1:AJ2"/>
    <mergeCell ref="AS1:AV2"/>
    <mergeCell ref="BE1:BH2"/>
    <mergeCell ref="N3:X3"/>
    <mergeCell ref="Z3:AJ3"/>
    <mergeCell ref="AL3:AV3"/>
    <mergeCell ref="AX3:BH3"/>
    <mergeCell ref="EU3:FE3"/>
    <mergeCell ref="CA3:CK3"/>
    <mergeCell ref="CY3:DI3"/>
    <mergeCell ref="DK3:DU3"/>
    <mergeCell ref="BO3:BY3"/>
    <mergeCell ref="CM3:CW3"/>
    <mergeCell ref="GF3:GO3"/>
    <mergeCell ref="FG9:FQ9"/>
    <mergeCell ref="EI3:ES3"/>
    <mergeCell ref="FG3:FQ3"/>
    <mergeCell ref="DW3:EG3"/>
    <mergeCell ref="HC3:HM3"/>
    <mergeCell ref="HC9:HM9"/>
    <mergeCell ref="HO3:HY3"/>
    <mergeCell ref="HO9:HY9"/>
    <mergeCell ref="GQ3:HA3"/>
    <mergeCell ref="GQ9:HA9"/>
    <mergeCell ref="EU9:FE9"/>
    <mergeCell ref="BO9:BX9"/>
    <mergeCell ref="CA9:CK9"/>
    <mergeCell ref="CY9:DI9"/>
    <mergeCell ref="DK9:DU9"/>
    <mergeCell ref="DW9:EG9"/>
    <mergeCell ref="CM9:CW9"/>
    <mergeCell ref="B3:L3"/>
    <mergeCell ref="B9:L9"/>
    <mergeCell ref="GF9:GO9"/>
    <mergeCell ref="GD47:GD53"/>
    <mergeCell ref="AW48:AW51"/>
    <mergeCell ref="FF49:FF53"/>
    <mergeCell ref="FR49:FR53"/>
    <mergeCell ref="EI9:ES9"/>
    <mergeCell ref="BJ3:BK3"/>
    <mergeCell ref="BJ9:BK9"/>
    <mergeCell ref="FS9:GC9"/>
    <mergeCell ref="FS3:GC3"/>
    <mergeCell ref="N9:X9"/>
    <mergeCell ref="Z9:AJ9"/>
    <mergeCell ref="AL9:AV9"/>
    <mergeCell ref="AX9:BH9"/>
    <mergeCell ref="FF56:FF57"/>
    <mergeCell ref="FR56:FR57"/>
    <mergeCell ref="HB47:HB60"/>
  </mergeCells>
  <phoneticPr fontId="2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0A68-A816-1042-BFD5-1276C5DF8515}">
  <sheetPr>
    <tabColor theme="7"/>
  </sheetPr>
  <dimension ref="A1:AA200"/>
  <sheetViews>
    <sheetView zoomScaleNormal="100" workbookViewId="0">
      <selection activeCell="K5" sqref="K5"/>
    </sheetView>
  </sheetViews>
  <sheetFormatPr baseColWidth="10" defaultColWidth="11" defaultRowHeight="16"/>
  <cols>
    <col min="1" max="1" width="2.83203125" customWidth="1"/>
    <col min="2" max="2" width="20.83203125" customWidth="1"/>
    <col min="3" max="3" width="22.5" bestFit="1" customWidth="1"/>
    <col min="4" max="4" width="20.83203125" customWidth="1"/>
    <col min="5" max="5" width="22.5" bestFit="1" customWidth="1"/>
    <col min="6" max="6" width="22.5" customWidth="1"/>
    <col min="7" max="14" width="20.83203125" customWidth="1"/>
    <col min="15" max="15" width="3.83203125" customWidth="1"/>
    <col min="16" max="16" width="12.83203125" bestFit="1" customWidth="1"/>
    <col min="17" max="27" width="10.83203125" customWidth="1"/>
  </cols>
  <sheetData>
    <row r="1" spans="1:27" ht="17" thickBot="1"/>
    <row r="2" spans="1:27" ht="17" thickBot="1">
      <c r="B2" s="646" t="s">
        <v>27</v>
      </c>
      <c r="C2" s="632" t="s">
        <v>180</v>
      </c>
      <c r="D2" s="633"/>
      <c r="E2" s="634" t="s">
        <v>181</v>
      </c>
      <c r="F2" s="635"/>
      <c r="G2" s="636"/>
      <c r="H2" s="164" t="s">
        <v>182</v>
      </c>
      <c r="I2" s="165"/>
      <c r="J2" s="164" t="s">
        <v>183</v>
      </c>
      <c r="K2" s="165"/>
      <c r="P2" s="237" t="s">
        <v>184</v>
      </c>
      <c r="Q2" s="248" t="s">
        <v>88</v>
      </c>
      <c r="R2" s="248" t="s">
        <v>89</v>
      </c>
      <c r="S2" s="248" t="s">
        <v>91</v>
      </c>
      <c r="T2" s="248" t="s">
        <v>92</v>
      </c>
      <c r="U2" s="248" t="s">
        <v>93</v>
      </c>
      <c r="V2" s="248" t="s">
        <v>94</v>
      </c>
      <c r="W2" s="248" t="s">
        <v>95</v>
      </c>
      <c r="X2" s="248" t="s">
        <v>108</v>
      </c>
      <c r="Y2" s="248" t="s">
        <v>97</v>
      </c>
      <c r="Z2" s="248" t="s">
        <v>111</v>
      </c>
      <c r="AA2" s="249" t="s">
        <v>24</v>
      </c>
    </row>
    <row r="3" spans="1:27">
      <c r="B3" s="647"/>
      <c r="C3" s="60" t="s">
        <v>185</v>
      </c>
      <c r="D3" s="91">
        <f>'Historic Data'!X6/'Historic Data'!CZ6</f>
        <v>0.10759035244922342</v>
      </c>
      <c r="E3" s="60" t="s">
        <v>185</v>
      </c>
      <c r="G3" s="541">
        <f>'Historic Data'!X7/'Historic Data'!CZ7</f>
        <v>9.0371331603114391E-2</v>
      </c>
      <c r="H3" s="60" t="s">
        <v>186</v>
      </c>
      <c r="I3" s="65">
        <v>0.67</v>
      </c>
      <c r="J3" s="60" t="s">
        <v>186</v>
      </c>
      <c r="K3" s="66">
        <f>I3/$I$6</f>
        <v>0.36340776683757681</v>
      </c>
      <c r="P3" s="238" t="s">
        <v>74</v>
      </c>
      <c r="Q3" s="236" cm="1">
        <f t="array" ref="Q3">INDEX('Sales Goals'!$C$19:$Z$19, ROW(Q1))</f>
        <v>560</v>
      </c>
      <c r="R3" s="236" cm="1">
        <f t="array" ref="R3">INDEX('Sales Goals'!$C$20:$Z$20, ROW(R1))</f>
        <v>260</v>
      </c>
      <c r="S3" s="236" cm="1">
        <f t="array" ref="S3">INDEX('Sales Goals'!$C$21:$Z$21, ROW(S1))</f>
        <v>0</v>
      </c>
      <c r="T3" s="236" cm="1">
        <f t="array" ref="T3">INDEX('Sales Goals'!$C$22:$Z$22, ROW(T1))</f>
        <v>110</v>
      </c>
      <c r="U3" s="236" cm="1">
        <f t="array" ref="U3">INDEX('Sales Goals'!$C$23:$Z$23, ROW(U1))</f>
        <v>15</v>
      </c>
      <c r="V3" s="236" cm="1">
        <f t="array" ref="V3">INDEX('Sales Goals'!$C$24:$Z$24, ROW(V1))</f>
        <v>2090</v>
      </c>
      <c r="W3" s="236" cm="1">
        <f t="array" ref="W3">INDEX('Sales Goals'!$C$25:$Z$25, ROW(W1))</f>
        <v>20</v>
      </c>
      <c r="X3" s="236" cm="1">
        <f t="array" ref="X3">INDEX('Sales Goals'!$C$26:$Z$26, ROW(X1))</f>
        <v>290</v>
      </c>
      <c r="Y3" s="236" cm="1">
        <f t="array" ref="Y3">INDEX('Sales Goals'!$C$27:$Z$27, ROW(Y1))</f>
        <v>1500</v>
      </c>
      <c r="Z3" s="236" cm="1">
        <f t="array" ref="Z3">INDEX('Sales Goals'!$C$28:$Z$28, ROW(Z1))</f>
        <v>0</v>
      </c>
      <c r="AA3" s="239" cm="1">
        <f t="array" ref="AA3">INDEX('Sales Goals'!$C$30:$Z$30, ROW(AA1))</f>
        <v>4845</v>
      </c>
    </row>
    <row r="4" spans="1:27">
      <c r="B4" s="647"/>
      <c r="C4" s="60" t="s">
        <v>187</v>
      </c>
      <c r="D4" s="91">
        <f>'Historic Data'!X6/'Historic Data'!DL6</f>
        <v>8.1290744810193716E-2</v>
      </c>
      <c r="E4" s="60" t="s">
        <v>187</v>
      </c>
      <c r="G4" s="541">
        <f>'Historic Data'!X7/'Historic Data'!DL7</f>
        <v>7.4756245788799192E-2</v>
      </c>
      <c r="H4" s="60" t="s">
        <v>188</v>
      </c>
      <c r="I4" s="65">
        <v>0.54</v>
      </c>
      <c r="J4" s="60" t="s">
        <v>188</v>
      </c>
      <c r="K4" s="66">
        <f>I4/$I$6</f>
        <v>0.29289581207804699</v>
      </c>
      <c r="P4" s="240" t="s">
        <v>75</v>
      </c>
      <c r="Q4" s="228" cm="1">
        <f t="array" ref="Q4">INDEX('Sales Goals'!$C$19:$Z$19, ROW(Q2))</f>
        <v>690</v>
      </c>
      <c r="R4" s="228" cm="1">
        <f t="array" ref="R4">INDEX('Sales Goals'!$C$20:$Z$20, ROW(R2))</f>
        <v>260</v>
      </c>
      <c r="S4" s="228" cm="1">
        <f t="array" ref="S4">INDEX('Sales Goals'!$C$21:$Z$21, ROW(S2))</f>
        <v>0</v>
      </c>
      <c r="T4" s="228" cm="1">
        <f t="array" ref="T4">INDEX('Sales Goals'!$C$22:$Z$22, ROW(T2))</f>
        <v>120</v>
      </c>
      <c r="U4" s="228" cm="1">
        <f t="array" ref="U4">INDEX('Sales Goals'!$C$23:$Z$23, ROW(U2))</f>
        <v>30</v>
      </c>
      <c r="V4" s="228" cm="1">
        <f t="array" ref="V4">INDEX('Sales Goals'!$C$24:$Z$24, ROW(V2))</f>
        <v>2380</v>
      </c>
      <c r="W4" s="228" cm="1">
        <f t="array" ref="W4">INDEX('Sales Goals'!$C$25:$Z$25, ROW(W2))</f>
        <v>30</v>
      </c>
      <c r="X4" s="228" cm="1">
        <f t="array" ref="X4">INDEX('Sales Goals'!$C$26:$Z$26, ROW(X2))</f>
        <v>280</v>
      </c>
      <c r="Y4" s="228" cm="1">
        <f t="array" ref="Y4">INDEX('Sales Goals'!$C$27:$Z$27, ROW(Y2))</f>
        <v>1560</v>
      </c>
      <c r="Z4" s="228" cm="1">
        <f t="array" ref="Z4">INDEX('Sales Goals'!$C$28:$Z$28, ROW(Z2))</f>
        <v>0</v>
      </c>
      <c r="AA4" s="241" cm="1">
        <f t="array" ref="AA4">INDEX('Sales Goals'!$C$30:$Z$30, ROW(AA2))</f>
        <v>5350</v>
      </c>
    </row>
    <row r="5" spans="1:27">
      <c r="B5" s="647"/>
      <c r="C5" s="60" t="s">
        <v>189</v>
      </c>
      <c r="D5" s="91">
        <f>'Historic Data'!L6/'Historic Data'!BM6</f>
        <v>3.8443676826049877E-3</v>
      </c>
      <c r="E5" s="60" t="s">
        <v>189</v>
      </c>
      <c r="G5" s="61">
        <f>'Historic Data'!L7/'Historic Data'!BM7</f>
        <v>3.3545955783951609E-3</v>
      </c>
      <c r="H5" s="60" t="s">
        <v>6</v>
      </c>
      <c r="I5" s="86">
        <v>0.63365899999999997</v>
      </c>
      <c r="J5" s="60" t="s">
        <v>6</v>
      </c>
      <c r="K5" s="66">
        <f>I5/$I$6</f>
        <v>0.3436964210843762</v>
      </c>
      <c r="N5" s="235"/>
      <c r="P5" s="240" t="s">
        <v>76</v>
      </c>
      <c r="Q5" s="228" cm="1">
        <f t="array" ref="Q5">INDEX('Sales Goals'!$C$19:$Z$19, ROW(Q3))</f>
        <v>800</v>
      </c>
      <c r="R5" s="228" cm="1">
        <f t="array" ref="R5">INDEX('Sales Goals'!$C$20:$Z$20, ROW(R3))</f>
        <v>370</v>
      </c>
      <c r="S5" s="228" cm="1">
        <f t="array" ref="S5">INDEX('Sales Goals'!$C$21:$Z$21, ROW(S3))</f>
        <v>0</v>
      </c>
      <c r="T5" s="228" cm="1">
        <f t="array" ref="T5">INDEX('Sales Goals'!$C$22:$Z$22, ROW(T3))</f>
        <v>160</v>
      </c>
      <c r="U5" s="228" cm="1">
        <f t="array" ref="U5">INDEX('Sales Goals'!$C$23:$Z$23, ROW(U3))</f>
        <v>120</v>
      </c>
      <c r="V5" s="228" cm="1">
        <f t="array" ref="V5">INDEX('Sales Goals'!$C$24:$Z$24, ROW(V3))</f>
        <v>2930</v>
      </c>
      <c r="W5" s="228" cm="1">
        <f t="array" ref="W5">INDEX('Sales Goals'!$C$25:$Z$25, ROW(W3))</f>
        <v>35</v>
      </c>
      <c r="X5" s="228" cm="1">
        <f t="array" ref="X5">INDEX('Sales Goals'!$C$26:$Z$26, ROW(X3))</f>
        <v>370</v>
      </c>
      <c r="Y5" s="228" cm="1">
        <f t="array" ref="Y5">INDEX('Sales Goals'!$C$27:$Z$27, ROW(Y3))</f>
        <v>2105</v>
      </c>
      <c r="Z5" s="228" cm="1">
        <f t="array" ref="Z5">INDEX('Sales Goals'!$C$28:$Z$28, ROW(Z3))</f>
        <v>0</v>
      </c>
      <c r="AA5" s="241" cm="1">
        <f t="array" ref="AA5">INDEX('Sales Goals'!$C$30:$Z$30, ROW(AA3))</f>
        <v>6890</v>
      </c>
    </row>
    <row r="6" spans="1:27" ht="17" thickBot="1">
      <c r="B6" s="648"/>
      <c r="C6" s="433" t="s">
        <v>190</v>
      </c>
      <c r="D6" s="227">
        <f>'Historic Data'!CB6/'Historic Data'!CN6</f>
        <v>0.71726069483700849</v>
      </c>
      <c r="E6" s="433" t="s">
        <v>190</v>
      </c>
      <c r="F6" s="434"/>
      <c r="G6" s="227">
        <f>'Historic Data'!CB7/'Historic Data'!CN7</f>
        <v>0.75736062355616451</v>
      </c>
      <c r="H6" s="63" t="s">
        <v>24</v>
      </c>
      <c r="I6" s="87">
        <f>SUM(I3:I5)</f>
        <v>1.8436589999999999</v>
      </c>
      <c r="J6" s="63" t="s">
        <v>24</v>
      </c>
      <c r="K6" s="67">
        <f>SUM(K3:K5)</f>
        <v>1</v>
      </c>
      <c r="P6" s="240" t="s">
        <v>77</v>
      </c>
      <c r="Q6" s="228" cm="1">
        <f t="array" ref="Q6">INDEX('Sales Goals'!$C$19:$Z$19, ROW(Q4))</f>
        <v>700</v>
      </c>
      <c r="R6" s="228" cm="1">
        <f t="array" ref="R6">INDEX('Sales Goals'!$C$20:$Z$20, ROW(R4))</f>
        <v>305</v>
      </c>
      <c r="S6" s="228" cm="1">
        <f t="array" ref="S6">INDEX('Sales Goals'!$C$21:$Z$21, ROW(S4))</f>
        <v>0</v>
      </c>
      <c r="T6" s="228" cm="1">
        <f t="array" ref="T6">INDEX('Sales Goals'!$C$22:$Z$22, ROW(T4))</f>
        <v>130</v>
      </c>
      <c r="U6" s="228" cm="1">
        <f t="array" ref="U6">INDEX('Sales Goals'!$C$23:$Z$23, ROW(U4))</f>
        <v>120</v>
      </c>
      <c r="V6" s="228" cm="1">
        <f t="array" ref="V6">INDEX('Sales Goals'!$C$24:$Z$24, ROW(V4))</f>
        <v>2557</v>
      </c>
      <c r="W6" s="228" cm="1">
        <f t="array" ref="W6">INDEX('Sales Goals'!$C$25:$Z$25, ROW(W4))</f>
        <v>18</v>
      </c>
      <c r="X6" s="228" cm="1">
        <f t="array" ref="X6">INDEX('Sales Goals'!$C$26:$Z$26, ROW(X4))</f>
        <v>310</v>
      </c>
      <c r="Y6" s="228" cm="1">
        <f t="array" ref="Y6">INDEX('Sales Goals'!$C$27:$Z$27, ROW(Y4))</f>
        <v>1700</v>
      </c>
      <c r="Z6" s="228" cm="1">
        <f t="array" ref="Z6">INDEX('Sales Goals'!$C$28:$Z$28, ROW(Z4))</f>
        <v>0</v>
      </c>
      <c r="AA6" s="241" cm="1">
        <f t="array" ref="AA6">INDEX('Sales Goals'!$C$30:$Z$30, ROW(AA4))</f>
        <v>5840</v>
      </c>
    </row>
    <row r="7" spans="1:27" ht="17" customHeight="1" thickBot="1">
      <c r="B7" s="637" t="s">
        <v>191</v>
      </c>
      <c r="C7" s="70" t="s">
        <v>24</v>
      </c>
      <c r="D7" s="71" t="s">
        <v>192</v>
      </c>
      <c r="E7" s="71" t="s">
        <v>193</v>
      </c>
      <c r="F7" s="71" t="s">
        <v>194</v>
      </c>
      <c r="G7" s="71" t="s">
        <v>6</v>
      </c>
      <c r="H7" s="72" t="s">
        <v>24</v>
      </c>
      <c r="I7" s="637" t="s">
        <v>195</v>
      </c>
      <c r="J7" s="70" t="s">
        <v>183</v>
      </c>
      <c r="K7" s="71" t="s">
        <v>192</v>
      </c>
      <c r="L7" s="71" t="s">
        <v>196</v>
      </c>
      <c r="M7" s="71" t="s">
        <v>6</v>
      </c>
      <c r="N7" s="72" t="s">
        <v>24</v>
      </c>
      <c r="P7" s="240" t="s">
        <v>78</v>
      </c>
      <c r="Q7" s="228" cm="1">
        <f t="array" ref="Q7">INDEX('Sales Goals'!$C$19:$Z$19, ROW(Q5))</f>
        <v>780</v>
      </c>
      <c r="R7" s="228" cm="1">
        <f t="array" ref="R7">INDEX('Sales Goals'!$C$20:$Z$20, ROW(R5))</f>
        <v>320</v>
      </c>
      <c r="S7" s="228" cm="1">
        <f t="array" ref="S7">INDEX('Sales Goals'!$C$21:$Z$21, ROW(S5))</f>
        <v>0</v>
      </c>
      <c r="T7" s="228" cm="1">
        <f t="array" ref="T7">INDEX('Sales Goals'!$C$22:$Z$22, ROW(T5))</f>
        <v>140</v>
      </c>
      <c r="U7" s="228" cm="1">
        <f t="array" ref="U7">INDEX('Sales Goals'!$C$23:$Z$23, ROW(U5))</f>
        <v>132</v>
      </c>
      <c r="V7" s="228" cm="1">
        <f t="array" ref="V7">INDEX('Sales Goals'!$C$24:$Z$24, ROW(V5))</f>
        <v>2900</v>
      </c>
      <c r="W7" s="228" cm="1">
        <f t="array" ref="W7">INDEX('Sales Goals'!$C$25:$Z$25, ROW(W5))</f>
        <v>18</v>
      </c>
      <c r="X7" s="228" cm="1">
        <f t="array" ref="X7">INDEX('Sales Goals'!$C$26:$Z$26, ROW(X5))</f>
        <v>360</v>
      </c>
      <c r="Y7" s="228" cm="1">
        <f t="array" ref="Y7">INDEX('Sales Goals'!$C$27:$Z$27, ROW(Y5))</f>
        <v>1870</v>
      </c>
      <c r="Z7" s="228" cm="1">
        <f t="array" ref="Z7">INDEX('Sales Goals'!$C$28:$Z$28, ROW(Z5))</f>
        <v>0</v>
      </c>
      <c r="AA7" s="241" cm="1">
        <f t="array" ref="AA7">INDEX('Sales Goals'!$C$30:$Z$30, ROW(AA5))</f>
        <v>6520</v>
      </c>
    </row>
    <row r="8" spans="1:27">
      <c r="A8" t="s">
        <v>27</v>
      </c>
      <c r="B8" s="638"/>
      <c r="C8" s="167" t="s">
        <v>74</v>
      </c>
      <c r="D8" s="155">
        <f>AA3/$G$3</f>
        <v>53612.134667638682</v>
      </c>
      <c r="E8" s="155">
        <f>SUM(E48,E68,E88,E108,E128,E148,E168,E188)</f>
        <v>62216.274695925436</v>
      </c>
      <c r="F8" s="155">
        <f>(D8+E8)*$G$6</f>
        <v>87723.876341107607</v>
      </c>
      <c r="G8" s="155">
        <f>AA3/$G$5</f>
        <v>1444287.3624479792</v>
      </c>
      <c r="H8" s="75">
        <f>D8+E8+G8</f>
        <v>1560115.7718115433</v>
      </c>
      <c r="I8" s="638"/>
      <c r="J8" s="73" t="s">
        <v>74</v>
      </c>
      <c r="K8" s="80">
        <f>D8*$K3</f>
        <v>19483.066134962006</v>
      </c>
      <c r="L8" s="80">
        <f>E8*$K$4</f>
        <v>18222.886301533927</v>
      </c>
      <c r="M8" s="80">
        <f t="shared" ref="M8:M19" si="0">G8*$K$5</f>
        <v>496396.39749076375</v>
      </c>
      <c r="N8" s="75">
        <f>SUM(K8:M8)</f>
        <v>534102.34992725973</v>
      </c>
      <c r="P8" s="240" t="s">
        <v>79</v>
      </c>
      <c r="Q8" s="228" cm="1">
        <f t="array" ref="Q8">INDEX('Sales Goals'!$C$19:$Z$19, ROW(Q6))</f>
        <v>760</v>
      </c>
      <c r="R8" s="228" cm="1">
        <f t="array" ref="R8">INDEX('Sales Goals'!$C$20:$Z$20, ROW(R6))</f>
        <v>300</v>
      </c>
      <c r="S8" s="228" cm="1">
        <f t="array" ref="S8">INDEX('Sales Goals'!$C$21:$Z$21, ROW(S6))</f>
        <v>0</v>
      </c>
      <c r="T8" s="228" cm="1">
        <f t="array" ref="T8">INDEX('Sales Goals'!$C$22:$Z$22, ROW(T6))</f>
        <v>135</v>
      </c>
      <c r="U8" s="228" cm="1">
        <f t="array" ref="U8">INDEX('Sales Goals'!$C$23:$Z$23, ROW(U6))</f>
        <v>125</v>
      </c>
      <c r="V8" s="228" cm="1">
        <f t="array" ref="V8">INDEX('Sales Goals'!$C$24:$Z$24, ROW(V6))</f>
        <v>2779</v>
      </c>
      <c r="W8" s="228" cm="1">
        <f t="array" ref="W8">INDEX('Sales Goals'!$C$25:$Z$25, ROW(W6))</f>
        <v>18</v>
      </c>
      <c r="X8" s="228" cm="1">
        <f t="array" ref="X8">INDEX('Sales Goals'!$C$26:$Z$26, ROW(X6))</f>
        <v>300</v>
      </c>
      <c r="Y8" s="228" cm="1">
        <f t="array" ref="Y8">INDEX('Sales Goals'!$C$27:$Z$27, ROW(Y6))</f>
        <v>1700</v>
      </c>
      <c r="Z8" s="228" cm="1">
        <f t="array" ref="Z8">INDEX('Sales Goals'!$C$28:$Z$28, ROW(Z6))</f>
        <v>0</v>
      </c>
      <c r="AA8" s="241" cm="1">
        <f t="array" ref="AA8">INDEX('Sales Goals'!$C$30:$Z$30, ROW(AA6))</f>
        <v>6117</v>
      </c>
    </row>
    <row r="9" spans="1:27">
      <c r="A9" t="s">
        <v>27</v>
      </c>
      <c r="B9" s="638"/>
      <c r="C9" s="168" t="s">
        <v>75</v>
      </c>
      <c r="D9" s="156">
        <f>AA4/$G$3</f>
        <v>59200.189983873461</v>
      </c>
      <c r="E9" s="156">
        <f t="shared" ref="E9:E19" si="1">SUM(E49,E69,E89,E109,E129,E149,E169,E189)</f>
        <v>69582.557880078486</v>
      </c>
      <c r="F9" s="156">
        <f>(D9+E9)*$G$6</f>
        <v>97534.982225518965</v>
      </c>
      <c r="G9" s="156">
        <f>AA4/$G$5</f>
        <v>1594827.1184926087</v>
      </c>
      <c r="H9" s="76">
        <f>D9+E9+G9</f>
        <v>1723609.8663565605</v>
      </c>
      <c r="I9" s="638"/>
      <c r="J9" s="45" t="s">
        <v>75</v>
      </c>
      <c r="K9" s="68">
        <f>D9*$K$3</f>
        <v>21513.808838399735</v>
      </c>
      <c r="L9" s="68">
        <f t="shared" ref="L9:L19" si="2">E9*$K$4</f>
        <v>20380.439796753297</v>
      </c>
      <c r="M9" s="68">
        <f t="shared" si="0"/>
        <v>548136.37287421792</v>
      </c>
      <c r="N9" s="76">
        <f t="shared" ref="N9:N19" si="3">SUM(K9:M9)</f>
        <v>590030.62150937098</v>
      </c>
      <c r="P9" s="240" t="s">
        <v>80</v>
      </c>
      <c r="Q9" s="228" cm="1">
        <f t="array" ref="Q9">INDEX('Sales Goals'!$C$19:$Z$19, ROW(Q7))</f>
        <v>775</v>
      </c>
      <c r="R9" s="228" cm="1">
        <f t="array" ref="R9">INDEX('Sales Goals'!$C$20:$Z$20, ROW(R7))</f>
        <v>270</v>
      </c>
      <c r="S9" s="228" cm="1">
        <f t="array" ref="S9">INDEX('Sales Goals'!$C$21:$Z$21, ROW(S7))</f>
        <v>0</v>
      </c>
      <c r="T9" s="228" cm="1">
        <f t="array" ref="T9">INDEX('Sales Goals'!$C$22:$Z$22, ROW(T7))</f>
        <v>160</v>
      </c>
      <c r="U9" s="228" cm="1">
        <f t="array" ref="U9">INDEX('Sales Goals'!$C$23:$Z$23, ROW(U7))</f>
        <v>150</v>
      </c>
      <c r="V9" s="228" cm="1">
        <f t="array" ref="V9">INDEX('Sales Goals'!$C$24:$Z$24, ROW(V7))</f>
        <v>2799</v>
      </c>
      <c r="W9" s="228" cm="1">
        <f t="array" ref="W9">INDEX('Sales Goals'!$C$25:$Z$25, ROW(W7))</f>
        <v>66</v>
      </c>
      <c r="X9" s="228" cm="1">
        <f t="array" ref="X9">INDEX('Sales Goals'!$C$26:$Z$26, ROW(X7))</f>
        <v>340</v>
      </c>
      <c r="Y9" s="228" cm="1">
        <f t="array" ref="Y9">INDEX('Sales Goals'!$C$27:$Z$27, ROW(Y7))</f>
        <v>1900</v>
      </c>
      <c r="Z9" s="228" cm="1">
        <f t="array" ref="Z9">INDEX('Sales Goals'!$C$28:$Z$28, ROW(Z7))</f>
        <v>0</v>
      </c>
      <c r="AA9" s="241" cm="1">
        <f t="array" ref="AA9">INDEX('Sales Goals'!$C$30:$Z$30, ROW(AA7))</f>
        <v>6460</v>
      </c>
    </row>
    <row r="10" spans="1:27">
      <c r="A10" t="s">
        <v>27</v>
      </c>
      <c r="B10" s="638"/>
      <c r="C10" s="166" t="s">
        <v>76</v>
      </c>
      <c r="D10" s="156">
        <f>AA5/$D$3</f>
        <v>64039.199083874097</v>
      </c>
      <c r="E10" s="156">
        <f t="shared" si="1"/>
        <v>84112.46664862812</v>
      </c>
      <c r="F10" s="156">
        <f>(D10+E10)*$D$6</f>
        <v>106263.36670455476</v>
      </c>
      <c r="G10" s="156">
        <f>AA5/$D$5</f>
        <v>1792232.3172093823</v>
      </c>
      <c r="H10" s="76">
        <f t="shared" ref="H10:H19" si="4">D10+E10+G10</f>
        <v>1940383.9829418845</v>
      </c>
      <c r="I10" s="638"/>
      <c r="J10" s="45" t="s">
        <v>76</v>
      </c>
      <c r="K10" s="68">
        <f>D10*$K$3</f>
        <v>23272.342329137678</v>
      </c>
      <c r="L10" s="68">
        <f t="shared" si="2"/>
        <v>24636.189224937578</v>
      </c>
      <c r="M10" s="68">
        <f>G10*$K$5</f>
        <v>615983.83317662321</v>
      </c>
      <c r="N10" s="76">
        <f t="shared" si="3"/>
        <v>663892.36473069852</v>
      </c>
      <c r="P10" s="240" t="s">
        <v>81</v>
      </c>
      <c r="Q10" s="228" cm="1">
        <f t="array" ref="Q10">INDEX('Sales Goals'!$C$19:$Z$19, ROW(Q8))</f>
        <v>750</v>
      </c>
      <c r="R10" s="228" cm="1">
        <f t="array" ref="R10">INDEX('Sales Goals'!$C$20:$Z$20, ROW(R8))</f>
        <v>300</v>
      </c>
      <c r="S10" s="228" cm="1">
        <f t="array" ref="S10">INDEX('Sales Goals'!$C$21:$Z$21, ROW(S8))</f>
        <v>0</v>
      </c>
      <c r="T10" s="228" cm="1">
        <f t="array" ref="T10">INDEX('Sales Goals'!$C$22:$Z$22, ROW(T8))</f>
        <v>160</v>
      </c>
      <c r="U10" s="228" cm="1">
        <f t="array" ref="U10">INDEX('Sales Goals'!$C$23:$Z$23, ROW(U8))</f>
        <v>145</v>
      </c>
      <c r="V10" s="228" cm="1">
        <f t="array" ref="V10">INDEX('Sales Goals'!$C$24:$Z$24, ROW(V8))</f>
        <v>3115</v>
      </c>
      <c r="W10" s="228" cm="1">
        <f t="array" ref="W10">INDEX('Sales Goals'!$C$25:$Z$25, ROW(W8))</f>
        <v>120</v>
      </c>
      <c r="X10" s="228" cm="1">
        <f t="array" ref="X10">INDEX('Sales Goals'!$C$26:$Z$26, ROW(X8))</f>
        <v>370</v>
      </c>
      <c r="Y10" s="228" cm="1">
        <f t="array" ref="Y10">INDEX('Sales Goals'!$C$27:$Z$27, ROW(Y8))</f>
        <v>1930</v>
      </c>
      <c r="Z10" s="228" cm="1">
        <f t="array" ref="Z10">INDEX('Sales Goals'!$C$28:$Z$28, ROW(Z8))</f>
        <v>0</v>
      </c>
      <c r="AA10" s="241" cm="1">
        <f t="array" ref="AA10">INDEX('Sales Goals'!$C$30:$Z$30, ROW(AA8))</f>
        <v>6890</v>
      </c>
    </row>
    <row r="11" spans="1:27">
      <c r="A11" t="s">
        <v>27</v>
      </c>
      <c r="B11" s="638"/>
      <c r="C11" s="168" t="s">
        <v>77</v>
      </c>
      <c r="D11" s="156">
        <f>AA6/$G$3</f>
        <v>64622.263459031965</v>
      </c>
      <c r="E11" s="156">
        <f>SUM(E51,E71,E91,E111,E131,E151,E171,E191)</f>
        <v>76096.018345223754</v>
      </c>
      <c r="F11" s="156">
        <f>(D11+E11)*$G$6</f>
        <v>106574.48565302321</v>
      </c>
      <c r="G11" s="156">
        <f>AA6/$G$5</f>
        <v>1740895.3966349221</v>
      </c>
      <c r="H11" s="76">
        <f t="shared" si="4"/>
        <v>1881613.6784391778</v>
      </c>
      <c r="I11" s="638"/>
      <c r="J11" s="45" t="s">
        <v>77</v>
      </c>
      <c r="K11" s="68">
        <f>D11*$K$3</f>
        <v>23484.232451636348</v>
      </c>
      <c r="L11" s="68">
        <f>E11*$K$4</f>
        <v>22288.205089130272</v>
      </c>
      <c r="M11" s="68">
        <f t="shared" si="0"/>
        <v>598339.51730568835</v>
      </c>
      <c r="N11" s="76">
        <f>SUM(K11:M11)</f>
        <v>644111.95484645502</v>
      </c>
      <c r="P11" s="240" t="s">
        <v>82</v>
      </c>
      <c r="Q11" s="228" cm="1">
        <f t="array" ref="Q11">INDEX('Sales Goals'!$C$19:$Z$19, ROW(Q9))</f>
        <v>715</v>
      </c>
      <c r="R11" s="228" cm="1">
        <f t="array" ref="R11">INDEX('Sales Goals'!$C$20:$Z$20, ROW(R9))</f>
        <v>345</v>
      </c>
      <c r="S11" s="228" cm="1">
        <f t="array" ref="S11">INDEX('Sales Goals'!$C$21:$Z$21, ROW(S9))</f>
        <v>0</v>
      </c>
      <c r="T11" s="228" cm="1">
        <f t="array" ref="T11">INDEX('Sales Goals'!$C$22:$Z$22, ROW(T9))</f>
        <v>140</v>
      </c>
      <c r="U11" s="228" cm="1">
        <f t="array" ref="U11">INDEX('Sales Goals'!$C$23:$Z$23, ROW(U9))</f>
        <v>150</v>
      </c>
      <c r="V11" s="228" cm="1">
        <f t="array" ref="V11">INDEX('Sales Goals'!$C$24:$Z$24, ROW(V9))</f>
        <v>2617</v>
      </c>
      <c r="W11" s="228" cm="1">
        <f t="array" ref="W11">INDEX('Sales Goals'!$C$25:$Z$25, ROW(W9))</f>
        <v>120</v>
      </c>
      <c r="X11" s="228" cm="1">
        <f t="array" ref="X11">INDEX('Sales Goals'!$C$26:$Z$26, ROW(X9))</f>
        <v>353</v>
      </c>
      <c r="Y11" s="228" cm="1">
        <f t="array" ref="Y11">INDEX('Sales Goals'!$C$27:$Z$27, ROW(Y9))</f>
        <v>1960</v>
      </c>
      <c r="Z11" s="228" cm="1">
        <f t="array" ref="Z11">INDEX('Sales Goals'!$C$28:$Z$28, ROW(Z9))</f>
        <v>0</v>
      </c>
      <c r="AA11" s="241" cm="1">
        <f t="array" ref="AA11">INDEX('Sales Goals'!$C$30:$Z$30, ROW(AA9))</f>
        <v>6400</v>
      </c>
    </row>
    <row r="12" spans="1:27">
      <c r="A12" t="s">
        <v>27</v>
      </c>
      <c r="B12" s="638"/>
      <c r="C12" s="168" t="s">
        <v>78</v>
      </c>
      <c r="D12" s="156">
        <f>AA7/$G$3</f>
        <v>72146.773587823365</v>
      </c>
      <c r="E12" s="156">
        <f>SUM(E52,E72,E92,E112,E132,E152,E172,E192)</f>
        <v>84740.475769731929</v>
      </c>
      <c r="F12" s="156">
        <f>(D12+E12)*$G$6</f>
        <v>118820.22500144955</v>
      </c>
      <c r="G12" s="156">
        <f>AA7/$G$5</f>
        <v>1943602.3948732351</v>
      </c>
      <c r="H12" s="76">
        <f t="shared" si="4"/>
        <v>2100489.6442307904</v>
      </c>
      <c r="I12" s="638"/>
      <c r="J12" s="45" t="s">
        <v>78</v>
      </c>
      <c r="K12" s="68">
        <f>D12*$K$3</f>
        <v>26218.697874087156</v>
      </c>
      <c r="L12" s="68">
        <f t="shared" si="2"/>
        <v>24820.130466455699</v>
      </c>
      <c r="M12" s="68">
        <f t="shared" si="0"/>
        <v>668009.1871289534</v>
      </c>
      <c r="N12" s="76">
        <f>SUM(K12:M12)</f>
        <v>719048.01546949625</v>
      </c>
      <c r="P12" s="240" t="s">
        <v>83</v>
      </c>
      <c r="Q12" s="228" cm="1">
        <f t="array" ref="Q12">INDEX('Sales Goals'!$C$19:$Z$19, ROW(Q10))</f>
        <v>685</v>
      </c>
      <c r="R12" s="228" cm="1">
        <f t="array" ref="R12">INDEX('Sales Goals'!$C$20:$Z$20, ROW(R10))</f>
        <v>370</v>
      </c>
      <c r="S12" s="228" cm="1">
        <f t="array" ref="S12">INDEX('Sales Goals'!$C$21:$Z$21, ROW(S10))</f>
        <v>0</v>
      </c>
      <c r="T12" s="228" cm="1">
        <f t="array" ref="T12">INDEX('Sales Goals'!$C$22:$Z$22, ROW(T10))</f>
        <v>160</v>
      </c>
      <c r="U12" s="228" cm="1">
        <f t="array" ref="U12">INDEX('Sales Goals'!$C$23:$Z$23, ROW(U10))</f>
        <v>125</v>
      </c>
      <c r="V12" s="228" cm="1">
        <f t="array" ref="V12">INDEX('Sales Goals'!$C$24:$Z$24, ROW(V10))</f>
        <v>2710</v>
      </c>
      <c r="W12" s="228" cm="1">
        <f t="array" ref="W12">INDEX('Sales Goals'!$C$25:$Z$25, ROW(W10))</f>
        <v>145</v>
      </c>
      <c r="X12" s="228" cm="1">
        <f t="array" ref="X12">INDEX('Sales Goals'!$C$26:$Z$26, ROW(X10))</f>
        <v>360</v>
      </c>
      <c r="Y12" s="228" cm="1">
        <f t="array" ref="Y12">INDEX('Sales Goals'!$C$27:$Z$27, ROW(Y10))</f>
        <v>2080</v>
      </c>
      <c r="Z12" s="228" cm="1">
        <f t="array" ref="Z12">INDEX('Sales Goals'!$C$28:$Z$28, ROW(Z10))</f>
        <v>0</v>
      </c>
      <c r="AA12" s="241" cm="1">
        <f t="array" ref="AA12">INDEX('Sales Goals'!$C$30:$Z$30, ROW(AA10))</f>
        <v>6635</v>
      </c>
    </row>
    <row r="13" spans="1:27">
      <c r="A13" t="s">
        <v>27</v>
      </c>
      <c r="B13" s="638"/>
      <c r="C13" s="168" t="s">
        <v>79</v>
      </c>
      <c r="D13" s="156">
        <f>AA8/$G$3</f>
        <v>67687.394790907289</v>
      </c>
      <c r="E13" s="156">
        <f>SUM(E53,E73,E93,E113,E133,E153,E173,E193)</f>
        <v>79751.35869384851</v>
      </c>
      <c r="F13" s="156">
        <f>(D13+E13)*$G$6</f>
        <v>111664.30627555828</v>
      </c>
      <c r="G13" s="156">
        <f>AA8/$G$5</f>
        <v>1823468.6885643527</v>
      </c>
      <c r="H13" s="76">
        <f>D13+E13+G13</f>
        <v>1970907.4420491084</v>
      </c>
      <c r="I13" s="638"/>
      <c r="J13" s="45" t="s">
        <v>79</v>
      </c>
      <c r="K13" s="68">
        <f t="shared" ref="K13:K19" si="5">D13*$K$3</f>
        <v>24598.124984017046</v>
      </c>
      <c r="L13" s="68">
        <f>E13*$K$4</f>
        <v>23358.838968962373</v>
      </c>
      <c r="M13" s="68">
        <f>G13*$K$5</f>
        <v>626719.66221898899</v>
      </c>
      <c r="N13" s="76">
        <f>SUM(K13:M13)</f>
        <v>674676.62617196841</v>
      </c>
      <c r="P13" s="240" t="s">
        <v>84</v>
      </c>
      <c r="Q13" s="228" cm="1">
        <f t="array" ref="Q13">INDEX('Sales Goals'!$C$19:$Z$19, ROW(Q11))</f>
        <v>620</v>
      </c>
      <c r="R13" s="228" cm="1">
        <f t="array" ref="R13">INDEX('Sales Goals'!$C$20:$Z$20, ROW(R11))</f>
        <v>340</v>
      </c>
      <c r="S13" s="228" cm="1">
        <f t="array" ref="S13">INDEX('Sales Goals'!$C$21:$Z$21, ROW(S11))</f>
        <v>0</v>
      </c>
      <c r="T13" s="228" cm="1">
        <f t="array" ref="T13">INDEX('Sales Goals'!$C$22:$Z$22, ROW(T11))</f>
        <v>140</v>
      </c>
      <c r="U13" s="228" cm="1">
        <f t="array" ref="U13">INDEX('Sales Goals'!$C$23:$Z$23, ROW(U11))</f>
        <v>123</v>
      </c>
      <c r="V13" s="228" cm="1">
        <f t="array" ref="V13">INDEX('Sales Goals'!$C$24:$Z$24, ROW(V11))</f>
        <v>2462</v>
      </c>
      <c r="W13" s="228" cm="1">
        <f t="array" ref="W13">INDEX('Sales Goals'!$C$25:$Z$25, ROW(W11))</f>
        <v>110</v>
      </c>
      <c r="X13" s="228" cm="1">
        <f t="array" ref="X13">INDEX('Sales Goals'!$C$26:$Z$26, ROW(X11))</f>
        <v>330</v>
      </c>
      <c r="Y13" s="228" cm="1">
        <f t="array" ref="Y13">INDEX('Sales Goals'!$C$27:$Z$27, ROW(Y11))</f>
        <v>2050</v>
      </c>
      <c r="Z13" s="228" cm="1">
        <f t="array" ref="Z13">INDEX('Sales Goals'!$C$28:$Z$28, ROW(Z11))</f>
        <v>0</v>
      </c>
      <c r="AA13" s="241" cm="1">
        <f t="array" ref="AA13">INDEX('Sales Goals'!$C$30:$Z$30, ROW(AA11))</f>
        <v>6175</v>
      </c>
    </row>
    <row r="14" spans="1:27" ht="17" thickBot="1">
      <c r="A14" t="s">
        <v>27</v>
      </c>
      <c r="B14" s="638"/>
      <c r="C14" s="256" t="s">
        <v>80</v>
      </c>
      <c r="D14" s="156">
        <f>AA9/$D$3</f>
        <v>60042.558212166427</v>
      </c>
      <c r="E14" s="156">
        <f t="shared" si="1"/>
        <v>79739.765594446435</v>
      </c>
      <c r="F14" s="156">
        <f>(D14+E14)*$D$6</f>
        <v>100260.36669946286</v>
      </c>
      <c r="G14" s="156">
        <f>AA9/$D$5</f>
        <v>1680380.3728842684</v>
      </c>
      <c r="H14" s="76">
        <f>D14+E14+G14</f>
        <v>1820162.6966908812</v>
      </c>
      <c r="I14" s="638"/>
      <c r="J14" s="45" t="s">
        <v>80</v>
      </c>
      <c r="K14" s="68">
        <f t="shared" si="5"/>
        <v>21819.93199509861</v>
      </c>
      <c r="L14" s="68">
        <f t="shared" si="2"/>
        <v>23355.443398698499</v>
      </c>
      <c r="M14" s="68">
        <f>G14*$K$5</f>
        <v>577540.72022075264</v>
      </c>
      <c r="N14" s="76">
        <f t="shared" si="3"/>
        <v>622716.0956145497</v>
      </c>
      <c r="P14" s="242" t="s">
        <v>85</v>
      </c>
      <c r="Q14" s="243" cm="1">
        <f t="array" ref="Q14">INDEX('Sales Goals'!$C$19:$Z$19, ROW(Q12))</f>
        <v>780</v>
      </c>
      <c r="R14" s="243" cm="1">
        <f t="array" ref="R14">INDEX('Sales Goals'!$C$20:$Z$20, ROW(R12))</f>
        <v>430</v>
      </c>
      <c r="S14" s="243" cm="1">
        <f t="array" ref="S14">INDEX('Sales Goals'!$C$21:$Z$21, ROW(S12))</f>
        <v>0</v>
      </c>
      <c r="T14" s="243" cm="1">
        <f t="array" ref="T14">INDEX('Sales Goals'!$C$22:$Z$22, ROW(T12))</f>
        <v>195</v>
      </c>
      <c r="U14" s="243" cm="1">
        <f t="array" ref="U14">INDEX('Sales Goals'!$C$23:$Z$23, ROW(U12))</f>
        <v>135</v>
      </c>
      <c r="V14" s="243" cm="1">
        <f t="array" ref="V14">INDEX('Sales Goals'!$C$24:$Z$24, ROW(V12))</f>
        <v>3400</v>
      </c>
      <c r="W14" s="243" cm="1">
        <f t="array" ref="W14">INDEX('Sales Goals'!$C$25:$Z$25, ROW(W12))</f>
        <v>110</v>
      </c>
      <c r="X14" s="243" cm="1">
        <f t="array" ref="X14">INDEX('Sales Goals'!$C$26:$Z$26, ROW(X12))</f>
        <v>380</v>
      </c>
      <c r="Y14" s="243" cm="1">
        <f t="array" ref="Y14">INDEX('Sales Goals'!$C$27:$Z$27, ROW(Y12))</f>
        <v>2510</v>
      </c>
      <c r="Z14" s="243" cm="1">
        <f t="array" ref="Z14">INDEX('Sales Goals'!$C$28:$Z$28, ROW(Z12))</f>
        <v>0</v>
      </c>
      <c r="AA14" s="244" cm="1">
        <f t="array" ref="AA14">INDEX('Sales Goals'!$C$30:$Z$30, ROW(AA12))</f>
        <v>7940</v>
      </c>
    </row>
    <row r="15" spans="1:27" ht="17" thickBot="1">
      <c r="A15" t="s">
        <v>27</v>
      </c>
      <c r="B15" s="638"/>
      <c r="C15" s="166" t="s">
        <v>81</v>
      </c>
      <c r="D15" s="156">
        <f>AA10/$D$3</f>
        <v>64039.199083874097</v>
      </c>
      <c r="E15" s="156">
        <f t="shared" si="1"/>
        <v>84555.255210172661</v>
      </c>
      <c r="F15" s="156">
        <f>(D15+E15)*$D$6</f>
        <v>106580.96153587408</v>
      </c>
      <c r="G15" s="156">
        <f>AA10/$D$5</f>
        <v>1792232.3172093823</v>
      </c>
      <c r="H15" s="76">
        <f t="shared" si="4"/>
        <v>1940826.7715034292</v>
      </c>
      <c r="I15" s="638"/>
      <c r="J15" s="45" t="s">
        <v>81</v>
      </c>
      <c r="K15" s="68">
        <f t="shared" si="5"/>
        <v>23272.342329137678</v>
      </c>
      <c r="L15" s="68">
        <f t="shared" si="2"/>
        <v>24765.880140250036</v>
      </c>
      <c r="M15" s="68">
        <f>G15*$K$5</f>
        <v>615983.83317662321</v>
      </c>
      <c r="N15" s="76">
        <f t="shared" si="3"/>
        <v>664022.05564601091</v>
      </c>
      <c r="P15" s="245" t="s">
        <v>24</v>
      </c>
      <c r="Q15" s="246" cm="1">
        <f t="array" ref="Q15">INDEX('Sales Goals'!$C$19:$Z$19, ROW(Q13))</f>
        <v>8615</v>
      </c>
      <c r="R15" s="246" cm="1">
        <f t="array" ref="R15">INDEX('Sales Goals'!$C$20:$Z$20, ROW(R13))</f>
        <v>3870</v>
      </c>
      <c r="S15" s="246" cm="1">
        <f t="array" ref="S15">INDEX('Sales Goals'!$C$21:$Z$21, ROW(S13))</f>
        <v>0</v>
      </c>
      <c r="T15" s="246" cm="1">
        <f t="array" ref="T15">INDEX('Sales Goals'!$C$22:$Z$22, ROW(T13))</f>
        <v>1750</v>
      </c>
      <c r="U15" s="246" cm="1">
        <f t="array" ref="U15">INDEX('Sales Goals'!$C$23:$Z$23, ROW(U13))</f>
        <v>1370</v>
      </c>
      <c r="V15" s="246" cm="1">
        <f t="array" ref="V15">INDEX('Sales Goals'!$C$24:$Z$24, ROW(V13))</f>
        <v>32739</v>
      </c>
      <c r="W15" s="246" cm="1">
        <f t="array" ref="W15">INDEX('Sales Goals'!$C$25:$Z$25, ROW(W13))</f>
        <v>810</v>
      </c>
      <c r="X15" s="246" cm="1">
        <f t="array" ref="X15">INDEX('Sales Goals'!$C$26:$Z$26, ROW(X13))</f>
        <v>4043</v>
      </c>
      <c r="Y15" s="246" cm="1">
        <f t="array" ref="Y15">INDEX('Sales Goals'!$C$27:$Z$27, ROW(Y13))</f>
        <v>22865</v>
      </c>
      <c r="Z15" s="246" cm="1">
        <f t="array" ref="Z15">INDEX('Sales Goals'!$C$28:$Z$28, ROW(Z13))</f>
        <v>0</v>
      </c>
      <c r="AA15" s="247" cm="1">
        <f t="array" ref="AA15">INDEX('Sales Goals'!$C$30:$Z$30, ROW(AA13))</f>
        <v>76062</v>
      </c>
    </row>
    <row r="16" spans="1:27">
      <c r="A16" t="s">
        <v>27</v>
      </c>
      <c r="B16" s="638"/>
      <c r="C16" s="168" t="s">
        <v>82</v>
      </c>
      <c r="D16" s="156">
        <f>AA11/$G$3</f>
        <v>70818.91885921311</v>
      </c>
      <c r="E16" s="156">
        <f t="shared" si="1"/>
        <v>84138.489916831255</v>
      </c>
      <c r="F16" s="156">
        <f>(D16+E16)*$G$6</f>
        <v>117358.63973527245</v>
      </c>
      <c r="G16" s="156">
        <f>AA11/$G$5</f>
        <v>1907830.5716547093</v>
      </c>
      <c r="H16" s="76">
        <f t="shared" si="4"/>
        <v>2062787.9804307537</v>
      </c>
      <c r="I16" s="638"/>
      <c r="J16" s="45" t="s">
        <v>82</v>
      </c>
      <c r="K16" s="68">
        <f t="shared" si="5"/>
        <v>25736.145152478188</v>
      </c>
      <c r="L16" s="68">
        <f t="shared" si="2"/>
        <v>24643.811331210858</v>
      </c>
      <c r="M16" s="68">
        <f t="shared" si="0"/>
        <v>655714.53951308317</v>
      </c>
      <c r="N16" s="76">
        <f>SUM(K16:M16)</f>
        <v>706094.4959967722</v>
      </c>
    </row>
    <row r="17" spans="1:27">
      <c r="A17" t="s">
        <v>27</v>
      </c>
      <c r="B17" s="638"/>
      <c r="C17" s="168" t="s">
        <v>83</v>
      </c>
      <c r="D17" s="156">
        <f>AA12/$G$3</f>
        <v>73419.301036074845</v>
      </c>
      <c r="E17" s="156">
        <f t="shared" si="1"/>
        <v>86402.514065979893</v>
      </c>
      <c r="F17" s="156">
        <f>(D17+E17)*$G$6</f>
        <v>121042.7495435702</v>
      </c>
      <c r="G17" s="156">
        <f>AA12/$G$5</f>
        <v>1977883.7254576557</v>
      </c>
      <c r="H17" s="76">
        <f t="shared" si="4"/>
        <v>2137705.5405597105</v>
      </c>
      <c r="I17" s="638"/>
      <c r="J17" s="45" t="s">
        <v>83</v>
      </c>
      <c r="K17" s="68">
        <f t="shared" si="5"/>
        <v>26681.144232295748</v>
      </c>
      <c r="L17" s="68">
        <f t="shared" si="2"/>
        <v>25306.934522940057</v>
      </c>
      <c r="M17" s="68">
        <f t="shared" si="0"/>
        <v>679791.55776082922</v>
      </c>
      <c r="N17" s="76">
        <f t="shared" si="3"/>
        <v>731779.63651606499</v>
      </c>
      <c r="AA17" s="99"/>
    </row>
    <row r="18" spans="1:27">
      <c r="A18" t="s">
        <v>27</v>
      </c>
      <c r="B18" s="638"/>
      <c r="C18" s="166" t="s">
        <v>84</v>
      </c>
      <c r="D18" s="156">
        <f>AA13/$D$3</f>
        <v>57393.621820453205</v>
      </c>
      <c r="E18" s="156">
        <f t="shared" si="1"/>
        <v>75342.83551685157</v>
      </c>
      <c r="F18" s="156">
        <f>(D18+E18)*$D$6</f>
        <v>95206.643619958151</v>
      </c>
      <c r="G18" s="156">
        <f>AA13/$D$5</f>
        <v>1606245.9446687859</v>
      </c>
      <c r="H18" s="76">
        <f t="shared" si="4"/>
        <v>1738982.4020060906</v>
      </c>
      <c r="I18" s="638"/>
      <c r="J18" s="45" t="s">
        <v>84</v>
      </c>
      <c r="K18" s="68">
        <f t="shared" si="5"/>
        <v>20857.287936491321</v>
      </c>
      <c r="L18" s="68">
        <f t="shared" si="2"/>
        <v>22067.600992970962</v>
      </c>
      <c r="M18" s="68">
        <f t="shared" si="0"/>
        <v>552060.98256395466</v>
      </c>
      <c r="N18" s="76">
        <f t="shared" si="3"/>
        <v>594985.87149341695</v>
      </c>
    </row>
    <row r="19" spans="1:27">
      <c r="A19" t="s">
        <v>27</v>
      </c>
      <c r="B19" s="638"/>
      <c r="C19" s="166" t="s">
        <v>85</v>
      </c>
      <c r="D19" s="156">
        <f>AA14/$D$3</f>
        <v>73798.43842176492</v>
      </c>
      <c r="E19" s="156">
        <f t="shared" si="1"/>
        <v>95996.81149201325</v>
      </c>
      <c r="F19" s="156">
        <f>(D19+E19)*$D$6</f>
        <v>121787.45893318002</v>
      </c>
      <c r="G19" s="156">
        <f>AA14/$D$5</f>
        <v>2065359.1580032648</v>
      </c>
      <c r="H19" s="76">
        <f t="shared" si="4"/>
        <v>2235154.4079170432</v>
      </c>
      <c r="I19" s="638"/>
      <c r="J19" s="45" t="s">
        <v>85</v>
      </c>
      <c r="K19" s="68">
        <f t="shared" si="5"/>
        <v>26818.925702954017</v>
      </c>
      <c r="L19" s="68">
        <f t="shared" si="2"/>
        <v>28117.064058856417</v>
      </c>
      <c r="M19" s="68">
        <f t="shared" si="0"/>
        <v>709856.55085956282</v>
      </c>
      <c r="N19" s="76">
        <f t="shared" si="3"/>
        <v>764792.54062137322</v>
      </c>
      <c r="AA19" s="99"/>
    </row>
    <row r="20" spans="1:27" ht="17" thickBot="1">
      <c r="B20" s="639"/>
      <c r="C20" s="77" t="s">
        <v>24</v>
      </c>
      <c r="D20" s="157">
        <f>SUM(D8:D19)</f>
        <v>780819.99300669541</v>
      </c>
      <c r="E20" s="157">
        <f t="shared" ref="E20:G20" si="6">SUM(E8:E19)</f>
        <v>962674.82382973121</v>
      </c>
      <c r="F20" s="157">
        <f t="shared" si="6"/>
        <v>1290818.06226853</v>
      </c>
      <c r="G20" s="157">
        <f t="shared" si="6"/>
        <v>21369245.368100543</v>
      </c>
      <c r="H20" s="79">
        <f>SUM(H8:H19)</f>
        <v>23112740.18493697</v>
      </c>
      <c r="I20" s="639"/>
      <c r="J20" s="77" t="s">
        <v>24</v>
      </c>
      <c r="K20" s="78">
        <f>SUM(K8:K19)</f>
        <v>283756.0499606955</v>
      </c>
      <c r="L20" s="78">
        <f>SUM(L8:L19)</f>
        <v>281963.4242926999</v>
      </c>
      <c r="M20" s="78">
        <f t="shared" ref="M20" si="7">SUM(M8:M19)</f>
        <v>7344533.1542900419</v>
      </c>
      <c r="N20" s="79">
        <f>SUM(N8:N19)</f>
        <v>7910252.6285434365</v>
      </c>
    </row>
    <row r="21" spans="1:27" ht="17" thickBot="1">
      <c r="D21" s="88"/>
      <c r="E21" s="88"/>
      <c r="F21" s="88"/>
      <c r="G21" s="88"/>
      <c r="H21" s="89"/>
      <c r="I21" s="89"/>
      <c r="K21" s="98"/>
      <c r="L21" s="88"/>
      <c r="M21" s="88"/>
    </row>
    <row r="22" spans="1:27" ht="17" thickBot="1">
      <c r="B22" s="640" t="s">
        <v>197</v>
      </c>
      <c r="C22" s="632" t="s">
        <v>180</v>
      </c>
      <c r="D22" s="633"/>
      <c r="E22" s="634" t="s">
        <v>181</v>
      </c>
      <c r="F22" s="635"/>
      <c r="G22" s="636"/>
      <c r="H22" s="164" t="s">
        <v>198</v>
      </c>
      <c r="I22" s="165"/>
      <c r="J22" s="164" t="s">
        <v>183</v>
      </c>
      <c r="K22" s="165"/>
      <c r="S22" s="535"/>
    </row>
    <row r="23" spans="1:27">
      <c r="B23" s="641"/>
      <c r="C23" s="158" t="s">
        <v>185</v>
      </c>
      <c r="D23" s="159" t="s">
        <v>199</v>
      </c>
      <c r="E23" s="158" t="s">
        <v>185</v>
      </c>
      <c r="F23" s="435"/>
      <c r="G23" s="159" t="s">
        <v>199</v>
      </c>
      <c r="H23" s="160" t="s">
        <v>186</v>
      </c>
      <c r="I23" s="159" t="s">
        <v>199</v>
      </c>
      <c r="J23" s="160" t="s">
        <v>186</v>
      </c>
      <c r="K23" s="159" t="s">
        <v>199</v>
      </c>
      <c r="S23" s="535"/>
    </row>
    <row r="24" spans="1:27">
      <c r="B24" s="641"/>
      <c r="C24" s="158" t="s">
        <v>187</v>
      </c>
      <c r="D24" s="159" t="s">
        <v>199</v>
      </c>
      <c r="E24" s="158" t="s">
        <v>187</v>
      </c>
      <c r="F24" s="435"/>
      <c r="G24" s="159" t="s">
        <v>199</v>
      </c>
      <c r="H24" s="160" t="s">
        <v>188</v>
      </c>
      <c r="I24" s="159" t="s">
        <v>199</v>
      </c>
      <c r="J24" s="160" t="s">
        <v>188</v>
      </c>
      <c r="K24" s="159" t="s">
        <v>199</v>
      </c>
      <c r="P24" s="169"/>
      <c r="Q24" s="534"/>
      <c r="R24" s="534"/>
    </row>
    <row r="25" spans="1:27">
      <c r="B25" s="641"/>
      <c r="C25" s="158" t="s">
        <v>200</v>
      </c>
      <c r="D25" s="159" t="s">
        <v>199</v>
      </c>
      <c r="E25" s="158" t="s">
        <v>200</v>
      </c>
      <c r="F25" s="435"/>
      <c r="G25" s="159" t="s">
        <v>199</v>
      </c>
      <c r="H25" s="160" t="s">
        <v>7</v>
      </c>
      <c r="I25" s="159" t="s">
        <v>199</v>
      </c>
      <c r="J25" s="160" t="s">
        <v>7</v>
      </c>
      <c r="K25" s="159" t="s">
        <v>199</v>
      </c>
      <c r="P25" s="169"/>
      <c r="Q25" s="534"/>
      <c r="R25" s="534"/>
    </row>
    <row r="26" spans="1:27" ht="17" thickBot="1">
      <c r="B26" s="641"/>
      <c r="C26" s="161" t="s">
        <v>24</v>
      </c>
      <c r="D26" s="170" t="s">
        <v>199</v>
      </c>
      <c r="E26" s="161" t="s">
        <v>24</v>
      </c>
      <c r="F26" s="436"/>
      <c r="G26" s="170" t="s">
        <v>199</v>
      </c>
      <c r="H26" s="162" t="s">
        <v>24</v>
      </c>
      <c r="I26" s="170" t="s">
        <v>199</v>
      </c>
      <c r="J26" s="162" t="s">
        <v>24</v>
      </c>
      <c r="K26" s="170" t="s">
        <v>199</v>
      </c>
      <c r="P26" s="169"/>
      <c r="Q26" s="534"/>
      <c r="R26" s="534"/>
    </row>
    <row r="27" spans="1:27" ht="17" customHeight="1" thickBot="1">
      <c r="B27" s="641"/>
      <c r="C27" s="70" t="s">
        <v>201</v>
      </c>
      <c r="D27" s="71" t="s">
        <v>202</v>
      </c>
      <c r="E27" s="71" t="s">
        <v>203</v>
      </c>
      <c r="F27" s="71" t="s">
        <v>194</v>
      </c>
      <c r="G27" s="71" t="s">
        <v>7</v>
      </c>
      <c r="H27" s="72" t="s">
        <v>24</v>
      </c>
      <c r="I27" s="643" t="s">
        <v>195</v>
      </c>
      <c r="J27" s="70" t="s">
        <v>183</v>
      </c>
      <c r="K27" s="71" t="s">
        <v>202</v>
      </c>
      <c r="L27" s="71" t="s">
        <v>203</v>
      </c>
      <c r="M27" s="71" t="s">
        <v>7</v>
      </c>
      <c r="N27" s="72" t="s">
        <v>24</v>
      </c>
      <c r="P27" s="169"/>
      <c r="Q27" s="534"/>
      <c r="R27" t="s">
        <v>204</v>
      </c>
    </row>
    <row r="28" spans="1:27">
      <c r="B28" s="641"/>
      <c r="C28" s="167" t="s">
        <v>74</v>
      </c>
      <c r="D28" s="74">
        <f>SUM(D48,D68,D88,D108,D128,D148,D168,D188)</f>
        <v>10672.638533621404</v>
      </c>
      <c r="E28" s="74">
        <f t="shared" ref="E28:F29" si="8">SUM(E48,E68,E88,E108,E128,E148,E168,E188)</f>
        <v>62216.274695925436</v>
      </c>
      <c r="F28" s="74">
        <f t="shared" si="8"/>
        <v>49758.058321237571</v>
      </c>
      <c r="G28" s="74">
        <f>SUM(G48,G68,G88,G108,G128,G148,G168,G188)</f>
        <v>907872.61917163036</v>
      </c>
      <c r="H28" s="75">
        <f>D28+E28+G28</f>
        <v>980761.53240117722</v>
      </c>
      <c r="I28" s="644"/>
      <c r="J28" s="73" t="s">
        <v>74</v>
      </c>
      <c r="K28" s="74">
        <f>SUM(K48,K68,K88,K108,K128,K148,K168,K188)</f>
        <v>3494.8274204437384</v>
      </c>
      <c r="L28" s="74">
        <f t="shared" ref="L28:L29" si="9">SUM(L48,L68,L88,L108,L128,L148,L168,L188)</f>
        <v>16459.32132578297</v>
      </c>
      <c r="M28" s="74">
        <f>SUM(M48,M68,M88,M108,M128,M148,M168,M188)</f>
        <v>368032.76931726118</v>
      </c>
      <c r="N28" s="84">
        <f>SUM(K28:M28)</f>
        <v>387986.91806348786</v>
      </c>
      <c r="P28" s="169"/>
      <c r="Q28" s="534"/>
      <c r="R28" s="534" t="s">
        <v>186</v>
      </c>
      <c r="S28">
        <v>0.67</v>
      </c>
    </row>
    <row r="29" spans="1:27">
      <c r="B29" s="641"/>
      <c r="C29" s="168" t="s">
        <v>75</v>
      </c>
      <c r="D29" s="69">
        <f>SUM(D49,D69,D89,D109,D129,D149,D169,D189)</f>
        <v>11867.630471661214</v>
      </c>
      <c r="E29" s="69">
        <f t="shared" si="8"/>
        <v>69582.557880078486</v>
      </c>
      <c r="F29" s="69">
        <f t="shared" si="8"/>
        <v>55699.398735940696</v>
      </c>
      <c r="G29" s="69">
        <f>SUM(G49,G69,G89,G109,G129,G149,G169,G189)</f>
        <v>1003348.8186241452</v>
      </c>
      <c r="H29" s="76">
        <f>D29+E29+G29</f>
        <v>1084799.006975885</v>
      </c>
      <c r="I29" s="644"/>
      <c r="J29" s="45" t="s">
        <v>75</v>
      </c>
      <c r="K29" s="69">
        <f>SUM(K49,K69,K89,K109,K129,K149,K169,K189)</f>
        <v>3882.4929264856346</v>
      </c>
      <c r="L29" s="69">
        <f t="shared" si="9"/>
        <v>18389.202964032291</v>
      </c>
      <c r="M29" s="69">
        <f>SUM(M49,M69,M89,M109,M129,M149,M169,M189)</f>
        <v>407344.43565907341</v>
      </c>
      <c r="N29" s="85">
        <f t="shared" ref="N29:N40" si="10">SUM(K29:M29)</f>
        <v>429616.13154959131</v>
      </c>
      <c r="P29" s="169"/>
      <c r="Q29" s="534"/>
      <c r="R29" s="534" t="s">
        <v>188</v>
      </c>
      <c r="S29">
        <v>0.54</v>
      </c>
    </row>
    <row r="30" spans="1:27">
      <c r="B30" s="641"/>
      <c r="C30" s="166" t="s">
        <v>76</v>
      </c>
      <c r="D30" s="69">
        <f t="shared" ref="D30:G39" si="11">SUM(D50,D70,D90,D110,D130,D150,D170,D190)</f>
        <v>15358.212680840748</v>
      </c>
      <c r="E30" s="69">
        <f t="shared" si="11"/>
        <v>84112.46664862812</v>
      </c>
      <c r="F30" s="69">
        <f t="shared" ref="F30" si="12">SUM(F50,F70,F90,F110,F130,F150,F170,F190)</f>
        <v>67358.917339834356</v>
      </c>
      <c r="G30" s="69">
        <f t="shared" si="11"/>
        <v>1143698.4578400783</v>
      </c>
      <c r="H30" s="76">
        <f t="shared" ref="H30:H39" si="13">D30+E30+G30</f>
        <v>1243169.1371695471</v>
      </c>
      <c r="I30" s="644"/>
      <c r="J30" s="45" t="s">
        <v>76</v>
      </c>
      <c r="K30" s="69">
        <f t="shared" ref="K30:M30" si="14">SUM(K50,K70,K90,K110,K130,K150,K170,K190)</f>
        <v>5036.9151114976803</v>
      </c>
      <c r="L30" s="69">
        <f t="shared" si="14"/>
        <v>22275.775532374199</v>
      </c>
      <c r="M30" s="69">
        <f t="shared" si="14"/>
        <v>460463.35344817594</v>
      </c>
      <c r="N30" s="85">
        <f t="shared" si="10"/>
        <v>487776.04409204784</v>
      </c>
      <c r="P30" s="169"/>
      <c r="Q30" s="534"/>
      <c r="R30" s="534" t="s">
        <v>6</v>
      </c>
      <c r="S30" s="536">
        <v>0.63365899999999997</v>
      </c>
    </row>
    <row r="31" spans="1:27">
      <c r="B31" s="641"/>
      <c r="C31" s="168" t="s">
        <v>77</v>
      </c>
      <c r="D31" s="69">
        <f t="shared" si="11"/>
        <v>13046.724143350766</v>
      </c>
      <c r="E31" s="69">
        <f>SUM(E51,E71,E91,E111,E131,E151,E171,E191)</f>
        <v>76096.018345223754</v>
      </c>
      <c r="F31" s="69">
        <f>SUM(F51,F71,F91,F111,F131,F151,F171,F191)</f>
        <v>60698.954323529651</v>
      </c>
      <c r="G31" s="69">
        <f t="shared" si="11"/>
        <v>1095592.2565840119</v>
      </c>
      <c r="H31" s="76">
        <f t="shared" si="13"/>
        <v>1184734.9990725864</v>
      </c>
      <c r="I31" s="644"/>
      <c r="J31" s="45" t="s">
        <v>77</v>
      </c>
      <c r="K31" s="69">
        <f t="shared" ref="K31:M31" si="15">SUM(K51,K71,K91,K111,K131,K151,K171,K191)</f>
        <v>4276.0923685479811</v>
      </c>
      <c r="L31" s="69">
        <f t="shared" si="15"/>
        <v>20145.713395963237</v>
      </c>
      <c r="M31" s="69">
        <f t="shared" si="15"/>
        <v>443965.8841507695</v>
      </c>
      <c r="N31" s="85">
        <f t="shared" si="10"/>
        <v>468387.68991528073</v>
      </c>
      <c r="P31" s="169"/>
      <c r="Q31" s="534"/>
      <c r="R31" t="s">
        <v>97</v>
      </c>
    </row>
    <row r="32" spans="1:27">
      <c r="B32" s="641"/>
      <c r="C32" s="168" t="s">
        <v>78</v>
      </c>
      <c r="D32" s="69">
        <f t="shared" si="11"/>
        <v>14559.421027148663</v>
      </c>
      <c r="E32" s="69">
        <f t="shared" si="11"/>
        <v>84740.475769731929</v>
      </c>
      <c r="F32" s="69">
        <f t="shared" ref="F32" si="16">SUM(F52,F72,F92,F112,F132,F152,F172,F192)</f>
        <v>67603.601776822732</v>
      </c>
      <c r="G32" s="69">
        <f>SUM(G52,G72,G92,G112,G132,G152,G172,G192)</f>
        <v>1220305.4422954223</v>
      </c>
      <c r="H32" s="76">
        <f t="shared" si="13"/>
        <v>1319605.3390923028</v>
      </c>
      <c r="I32" s="644"/>
      <c r="J32" s="45" t="s">
        <v>78</v>
      </c>
      <c r="K32" s="69">
        <f t="shared" ref="K32:L32" si="17">SUM(K52,K72,K92,K112,K132,K152,K172,K192)</f>
        <v>4769.3399004643416</v>
      </c>
      <c r="L32" s="69">
        <f t="shared" si="17"/>
        <v>22421.932424274259</v>
      </c>
      <c r="M32" s="69">
        <f>SUM(M52,M72,M92,M112,M132,M152,M172,M192)</f>
        <v>494964.64074646396</v>
      </c>
      <c r="N32" s="85">
        <f t="shared" si="10"/>
        <v>522155.91307120258</v>
      </c>
      <c r="R32" s="534" t="s">
        <v>186</v>
      </c>
      <c r="S32">
        <v>0.67</v>
      </c>
    </row>
    <row r="33" spans="1:19">
      <c r="B33" s="641"/>
      <c r="C33" s="168" t="s">
        <v>79</v>
      </c>
      <c r="D33" s="69">
        <f t="shared" si="11"/>
        <v>13669.979236213394</v>
      </c>
      <c r="E33" s="69">
        <f t="shared" si="11"/>
        <v>79751.35869384851</v>
      </c>
      <c r="F33" s="69">
        <f t="shared" ref="F33" si="18">SUM(F53,F73,F93,F113,F133,F153,F173,F193)</f>
        <v>63669.092840587276</v>
      </c>
      <c r="G33" s="69">
        <f t="shared" si="11"/>
        <v>1143917.3024912565</v>
      </c>
      <c r="H33" s="76">
        <f t="shared" si="13"/>
        <v>1237338.6404213184</v>
      </c>
      <c r="I33" s="644"/>
      <c r="J33" s="45" t="s">
        <v>79</v>
      </c>
      <c r="K33" s="69">
        <f t="shared" ref="K33:M33" si="19">SUM(K53,K73,K93,K113,K133,K153,K173,K193)</f>
        <v>4476.6552619817403</v>
      </c>
      <c r="L33" s="69">
        <f t="shared" si="19"/>
        <v>21096.60030288521</v>
      </c>
      <c r="M33" s="69">
        <f t="shared" si="19"/>
        <v>464097.58540815872</v>
      </c>
      <c r="N33" s="85">
        <f t="shared" si="10"/>
        <v>489670.84097302565</v>
      </c>
      <c r="R33" s="534" t="s">
        <v>188</v>
      </c>
      <c r="S33">
        <v>0.54</v>
      </c>
    </row>
    <row r="34" spans="1:19" ht="16" customHeight="1">
      <c r="B34" s="641"/>
      <c r="C34" s="256" t="s">
        <v>80</v>
      </c>
      <c r="D34" s="69">
        <f>SUM(D54,D74,D94,D114,D134,D154,D174,D194)</f>
        <v>14603.682739507218</v>
      </c>
      <c r="E34" s="69">
        <f t="shared" si="11"/>
        <v>79739.765594446435</v>
      </c>
      <c r="F34" s="69">
        <f t="shared" ref="F34" si="20">SUM(F54,F74,F94,F114,F134,F154,F174,F194)</f>
        <v>63768.701195659596</v>
      </c>
      <c r="G34" s="69">
        <f>SUM(G54,G74,G94,G114,G134,G154,G174,G194)</f>
        <v>1071760.5362177982</v>
      </c>
      <c r="H34" s="76">
        <f t="shared" si="13"/>
        <v>1166103.984551752</v>
      </c>
      <c r="I34" s="644"/>
      <c r="J34" s="45" t="s">
        <v>80</v>
      </c>
      <c r="K34" s="69">
        <f t="shared" ref="K34:M34" si="21">SUM(K54,K74,K94,K114,K134,K154,K174,K194)</f>
        <v>4790.5598341964796</v>
      </c>
      <c r="L34" s="69">
        <f t="shared" si="21"/>
        <v>21124.462259669373</v>
      </c>
      <c r="M34" s="69">
        <f t="shared" si="21"/>
        <v>431119.15589319624</v>
      </c>
      <c r="N34" s="85">
        <f t="shared" si="10"/>
        <v>457034.17798706208</v>
      </c>
      <c r="R34" s="534" t="s">
        <v>6</v>
      </c>
      <c r="S34" s="536">
        <v>0.8210137151164012</v>
      </c>
    </row>
    <row r="35" spans="1:19" ht="17" customHeight="1">
      <c r="B35" s="641"/>
      <c r="C35" s="166" t="s">
        <v>81</v>
      </c>
      <c r="D35" s="69">
        <f t="shared" si="11"/>
        <v>15624.922163036219</v>
      </c>
      <c r="E35" s="69">
        <f t="shared" si="11"/>
        <v>84555.255210172661</v>
      </c>
      <c r="F35" s="69">
        <f t="shared" ref="F35" si="22">SUM(F55,F75,F95,F115,F135,F155,F175,F195)</f>
        <v>67629.799955776733</v>
      </c>
      <c r="G35" s="69">
        <f t="shared" si="11"/>
        <v>1132454.9139663596</v>
      </c>
      <c r="H35" s="76">
        <f t="shared" si="13"/>
        <v>1232635.0913395684</v>
      </c>
      <c r="I35" s="644"/>
      <c r="J35" s="45" t="s">
        <v>81</v>
      </c>
      <c r="K35" s="69">
        <f t="shared" ref="K35:M35" si="23">SUM(K55,K75,K95,K115,K135,K155,K175,K195)</f>
        <v>5117.8310822232897</v>
      </c>
      <c r="L35" s="69">
        <f t="shared" si="23"/>
        <v>22369.131848475037</v>
      </c>
      <c r="M35" s="69">
        <f t="shared" si="23"/>
        <v>456542.82991605083</v>
      </c>
      <c r="N35" s="85">
        <f t="shared" si="10"/>
        <v>484029.79284674919</v>
      </c>
      <c r="R35" t="s">
        <v>96</v>
      </c>
    </row>
    <row r="36" spans="1:19">
      <c r="B36" s="641"/>
      <c r="C36" s="168" t="s">
        <v>82</v>
      </c>
      <c r="D36" s="69">
        <f t="shared" si="11"/>
        <v>14516.415212288013</v>
      </c>
      <c r="E36" s="69">
        <f t="shared" si="11"/>
        <v>84138.489916831255</v>
      </c>
      <c r="F36" s="69">
        <f t="shared" ref="F36" si="24">SUM(F56,F76,F96,F116,F136,F156,F176,F196)</f>
        <v>66801.739864736839</v>
      </c>
      <c r="G36" s="69">
        <f t="shared" si="11"/>
        <v>1205616.4392434827</v>
      </c>
      <c r="H36" s="76">
        <f t="shared" si="13"/>
        <v>1304271.3443726019</v>
      </c>
      <c r="I36" s="644"/>
      <c r="J36" s="45" t="s">
        <v>82</v>
      </c>
      <c r="K36" s="69">
        <f t="shared" ref="K36:M36" si="25">SUM(K56,K76,K96,K116,K136,K156,K176,K196)</f>
        <v>4759.8871607294313</v>
      </c>
      <c r="L36" s="69">
        <f t="shared" si="25"/>
        <v>22284.682133847171</v>
      </c>
      <c r="M36" s="69">
        <f t="shared" si="25"/>
        <v>488161.67603352125</v>
      </c>
      <c r="N36" s="85">
        <f t="shared" si="10"/>
        <v>515206.24532809784</v>
      </c>
      <c r="R36" s="534" t="s">
        <v>186</v>
      </c>
      <c r="S36">
        <v>0.67</v>
      </c>
    </row>
    <row r="37" spans="1:19">
      <c r="B37" s="641"/>
      <c r="C37" s="168" t="s">
        <v>83</v>
      </c>
      <c r="D37" s="69">
        <f t="shared" si="11"/>
        <v>14982.997135286661</v>
      </c>
      <c r="E37" s="69">
        <f t="shared" si="11"/>
        <v>86402.514065979893</v>
      </c>
      <c r="F37" s="69">
        <f>SUM(F57,F77,F97,F117,F137,F157,F177,F197)</f>
        <v>68556.603083540831</v>
      </c>
      <c r="G37" s="69">
        <f t="shared" si="11"/>
        <v>1246339.866099088</v>
      </c>
      <c r="H37" s="76">
        <f t="shared" si="13"/>
        <v>1347725.3773003547</v>
      </c>
      <c r="I37" s="644"/>
      <c r="J37" s="45" t="s">
        <v>83</v>
      </c>
      <c r="K37" s="69">
        <f t="shared" ref="K37:M37" si="26">SUM(K57,K77,K97,K117,K137,K157,K177,K197)</f>
        <v>4915.3097776862814</v>
      </c>
      <c r="L37" s="69">
        <f t="shared" si="26"/>
        <v>22901.960753753712</v>
      </c>
      <c r="M37" s="69">
        <f t="shared" si="26"/>
        <v>503831.00312692404</v>
      </c>
      <c r="N37" s="85">
        <f t="shared" si="10"/>
        <v>531648.27365836408</v>
      </c>
      <c r="R37" s="534" t="s">
        <v>188</v>
      </c>
      <c r="S37">
        <v>0.54</v>
      </c>
    </row>
    <row r="38" spans="1:19">
      <c r="B38" s="641"/>
      <c r="C38" s="166" t="s">
        <v>84</v>
      </c>
      <c r="D38" s="69">
        <f t="shared" si="11"/>
        <v>13933.441407645143</v>
      </c>
      <c r="E38" s="69">
        <f t="shared" si="11"/>
        <v>75342.83551685157</v>
      </c>
      <c r="F38" s="69">
        <f t="shared" ref="F38" si="27">SUM(F58,F78,F98,F118,F138,F158,F178,F198)</f>
        <v>60144.794394901452</v>
      </c>
      <c r="G38" s="69">
        <f>SUM(G58,G78,G98,G118,G138,G158,G178,G198)</f>
        <v>1026501.5561003854</v>
      </c>
      <c r="H38" s="76">
        <f t="shared" si="13"/>
        <v>1115777.833024882</v>
      </c>
      <c r="I38" s="644"/>
      <c r="J38" s="45" t="s">
        <v>84</v>
      </c>
      <c r="K38" s="69">
        <f t="shared" ref="K38:M38" si="28">SUM(K58,K78,K98,K118,K138,K158,K178,K198)</f>
        <v>4571.7910894530296</v>
      </c>
      <c r="L38" s="69">
        <f t="shared" si="28"/>
        <v>19965.660064756317</v>
      </c>
      <c r="M38" s="69">
        <f t="shared" si="28"/>
        <v>412939.66974614823</v>
      </c>
      <c r="N38" s="85">
        <f t="shared" si="10"/>
        <v>437477.12090035755</v>
      </c>
      <c r="R38" s="534" t="s">
        <v>6</v>
      </c>
      <c r="S38" s="536">
        <v>0.79969804076180762</v>
      </c>
    </row>
    <row r="39" spans="1:19">
      <c r="B39" s="641"/>
      <c r="C39" s="166" t="s">
        <v>85</v>
      </c>
      <c r="D39" s="69">
        <f t="shared" si="11"/>
        <v>17746.799763276198</v>
      </c>
      <c r="E39" s="69">
        <f t="shared" si="11"/>
        <v>95996.81149201325</v>
      </c>
      <c r="F39" s="69">
        <f t="shared" ref="F39" si="29">SUM(F59,F79,F99,F119,F139,F159,F179,F199)</f>
        <v>76815.018550517358</v>
      </c>
      <c r="G39" s="69">
        <f t="shared" si="11"/>
        <v>1307720.143128345</v>
      </c>
      <c r="H39" s="76">
        <f t="shared" si="13"/>
        <v>1421463.7543836345</v>
      </c>
      <c r="I39" s="644"/>
      <c r="J39" s="45" t="s">
        <v>85</v>
      </c>
      <c r="K39" s="69">
        <f t="shared" ref="K39:M39" si="30">SUM(K59,K79,K99,K119,K139,K159,K179,K199)</f>
        <v>5821.2997771940809</v>
      </c>
      <c r="L39" s="69">
        <f t="shared" si="30"/>
        <v>25436.282367759552</v>
      </c>
      <c r="M39" s="69">
        <f t="shared" si="30"/>
        <v>525804.7884474321</v>
      </c>
      <c r="N39" s="85">
        <f t="shared" si="10"/>
        <v>557062.37059238576</v>
      </c>
      <c r="R39" t="s">
        <v>94</v>
      </c>
    </row>
    <row r="40" spans="1:19" ht="17" thickBot="1">
      <c r="B40" s="642"/>
      <c r="C40" s="77" t="s">
        <v>24</v>
      </c>
      <c r="D40" s="78">
        <f>SUM(D28:D39)</f>
        <v>170582.86451387563</v>
      </c>
      <c r="E40" s="78">
        <f>SUM(E28:E39)</f>
        <v>962674.82382973121</v>
      </c>
      <c r="F40" s="78">
        <f>SUM(F28:F39)</f>
        <v>768504.68038308504</v>
      </c>
      <c r="G40" s="78">
        <f>SUM(G28:G39)</f>
        <v>13505128.351762004</v>
      </c>
      <c r="H40" s="79">
        <f>SUM(H28:H39)</f>
        <v>14638386.040105611</v>
      </c>
      <c r="I40" s="645"/>
      <c r="J40" s="77" t="s">
        <v>24</v>
      </c>
      <c r="K40" s="78">
        <f>SUM(K28:K39)</f>
        <v>55913.001710903714</v>
      </c>
      <c r="L40" s="78">
        <f>SUM(L28:L39)</f>
        <v>254870.72537357337</v>
      </c>
      <c r="M40" s="78">
        <f>SUM(M28:M39)</f>
        <v>5457267.7918931758</v>
      </c>
      <c r="N40" s="79">
        <f t="shared" si="10"/>
        <v>5768051.5189776532</v>
      </c>
      <c r="R40" s="534" t="s">
        <v>186</v>
      </c>
      <c r="S40">
        <v>0.67</v>
      </c>
    </row>
    <row r="41" spans="1:19" ht="17" thickBot="1">
      <c r="F41" s="257"/>
      <c r="G41" s="439"/>
      <c r="R41" s="534" t="s">
        <v>188</v>
      </c>
      <c r="S41">
        <v>0.54</v>
      </c>
    </row>
    <row r="42" spans="1:19" ht="17" thickBot="1">
      <c r="B42" s="640" t="s">
        <v>97</v>
      </c>
      <c r="C42" s="632" t="s">
        <v>180</v>
      </c>
      <c r="D42" s="633"/>
      <c r="E42" s="634" t="s">
        <v>181</v>
      </c>
      <c r="F42" s="635"/>
      <c r="G42" s="636"/>
      <c r="H42" s="164" t="s">
        <v>198</v>
      </c>
      <c r="I42" s="165"/>
      <c r="J42" s="164" t="s">
        <v>183</v>
      </c>
      <c r="K42" s="165"/>
      <c r="R42" s="534" t="s">
        <v>6</v>
      </c>
      <c r="S42" s="536">
        <v>0.89619049051652788</v>
      </c>
    </row>
    <row r="43" spans="1:19">
      <c r="B43" s="641"/>
      <c r="C43" s="60" t="s">
        <v>185</v>
      </c>
      <c r="D43" s="61">
        <f>'Historic Data'!V6/'Historic Data'!DB6</f>
        <v>0.50376821302964325</v>
      </c>
      <c r="E43" s="60" t="s">
        <v>185</v>
      </c>
      <c r="G43" s="61">
        <f>'Historic Data'!V7/'Historic Data'!DB7</f>
        <v>0.52974470134874763</v>
      </c>
      <c r="H43" s="60" t="s">
        <v>186</v>
      </c>
      <c r="I43" s="65">
        <v>0.67</v>
      </c>
      <c r="J43" s="60" t="s">
        <v>186</v>
      </c>
      <c r="K43" s="66">
        <f>I43/$I$46</f>
        <v>0.32988452761954934</v>
      </c>
      <c r="R43" t="s">
        <v>95</v>
      </c>
    </row>
    <row r="44" spans="1:19">
      <c r="B44" s="641"/>
      <c r="C44" s="60" t="s">
        <v>187</v>
      </c>
      <c r="D44" s="61">
        <f>'Historic Data'!V6/'Historic Data'!DN6</f>
        <v>9.911473321178306E-2</v>
      </c>
      <c r="E44" s="60" t="s">
        <v>187</v>
      </c>
      <c r="G44" s="541">
        <f>'Historic Data'!V7/'Historic Data'!DN7</f>
        <v>9.3722036787159999E-2</v>
      </c>
      <c r="H44" s="60" t="s">
        <v>188</v>
      </c>
      <c r="I44" s="65">
        <v>0.54</v>
      </c>
      <c r="J44" s="60" t="s">
        <v>188</v>
      </c>
      <c r="K44" s="66">
        <f>I44/$I$46</f>
        <v>0.26587708196202486</v>
      </c>
      <c r="R44" s="534" t="s">
        <v>186</v>
      </c>
      <c r="S44">
        <v>0.67</v>
      </c>
    </row>
    <row r="45" spans="1:19">
      <c r="B45" s="641"/>
      <c r="C45" s="60" t="s">
        <v>200</v>
      </c>
      <c r="D45" s="62">
        <f>'Historic Data'!J6/'Historic Data'!BQ6</f>
        <v>6.2575833127997563E-3</v>
      </c>
      <c r="E45" s="60" t="s">
        <v>200</v>
      </c>
      <c r="G45" s="62">
        <f>'Historic Data'!J7/'Historic Data'!BQ7</f>
        <v>5.4015653458405737E-3</v>
      </c>
      <c r="H45" s="60" t="s">
        <v>205</v>
      </c>
      <c r="I45" s="86">
        <v>0.8210137151164012</v>
      </c>
      <c r="J45" s="60" t="s">
        <v>7</v>
      </c>
      <c r="K45" s="66">
        <f>I45/$I$46</f>
        <v>0.40423839041842574</v>
      </c>
      <c r="R45" s="534" t="s">
        <v>188</v>
      </c>
      <c r="S45">
        <v>0.54</v>
      </c>
    </row>
    <row r="46" spans="1:19" ht="17" thickBot="1">
      <c r="B46" s="641"/>
      <c r="C46" s="433" t="s">
        <v>190</v>
      </c>
      <c r="D46" s="227">
        <f>'Historic Data'!CD6/'Historic Data'!CP6</f>
        <v>0.67535495002707435</v>
      </c>
      <c r="E46" s="433" t="s">
        <v>190</v>
      </c>
      <c r="F46" s="437"/>
      <c r="G46" s="227">
        <f>'Historic Data'!CD7/'Historic Data'!CP7</f>
        <v>0.67477462256067389</v>
      </c>
      <c r="H46" s="63" t="s">
        <v>24</v>
      </c>
      <c r="I46" s="87">
        <f>SUM(I43:I45)</f>
        <v>2.0310137151164014</v>
      </c>
      <c r="J46" s="63" t="s">
        <v>24</v>
      </c>
      <c r="K46" s="67">
        <f>SUM(K43:K45)</f>
        <v>1</v>
      </c>
      <c r="R46" s="534" t="s">
        <v>6</v>
      </c>
      <c r="S46" s="536">
        <v>0.88574669187640709</v>
      </c>
    </row>
    <row r="47" spans="1:19" ht="17" customHeight="1" thickBot="1">
      <c r="B47" s="641"/>
      <c r="C47" s="70" t="str">
        <f>B42</f>
        <v>GV80</v>
      </c>
      <c r="D47" s="71" t="s">
        <v>202</v>
      </c>
      <c r="E47" s="71" t="s">
        <v>203</v>
      </c>
      <c r="F47" s="71" t="s">
        <v>194</v>
      </c>
      <c r="G47" s="71" t="s">
        <v>7</v>
      </c>
      <c r="H47" s="72" t="s">
        <v>24</v>
      </c>
      <c r="I47" s="643" t="s">
        <v>195</v>
      </c>
      <c r="J47" s="70" t="s">
        <v>183</v>
      </c>
      <c r="K47" s="71" t="s">
        <v>202</v>
      </c>
      <c r="L47" s="71" t="s">
        <v>203</v>
      </c>
      <c r="M47" s="71" t="s">
        <v>7</v>
      </c>
      <c r="N47" s="72" t="s">
        <v>24</v>
      </c>
      <c r="R47" t="s">
        <v>88</v>
      </c>
    </row>
    <row r="48" spans="1:19">
      <c r="A48" t="s">
        <v>97</v>
      </c>
      <c r="B48" s="641"/>
      <c r="C48" s="167" t="s">
        <v>74</v>
      </c>
      <c r="D48" s="74">
        <f>Y3/$G$43</f>
        <v>2831.5526255967266</v>
      </c>
      <c r="E48" s="74">
        <f>Y3/$G$44</f>
        <v>16004.773812230052</v>
      </c>
      <c r="F48" s="155">
        <f>(D48+E48)*$G$46</f>
        <v>12710.275062514207</v>
      </c>
      <c r="G48" s="155">
        <f>Y3/$G$45</f>
        <v>277697.27920723229</v>
      </c>
      <c r="H48" s="75">
        <f>D48+E48+G48</f>
        <v>296533.60564505908</v>
      </c>
      <c r="I48" s="644"/>
      <c r="J48" s="73" t="s">
        <v>74</v>
      </c>
      <c r="K48" s="74">
        <f t="shared" ref="K48:K59" si="31">D48*K$43</f>
        <v>934.08540032487076</v>
      </c>
      <c r="L48" s="74">
        <f t="shared" ref="L48:L59" si="32">E48*K$44</f>
        <v>4255.3025586579588</v>
      </c>
      <c r="M48" s="155">
        <f t="shared" ref="M48:M59" si="33">G48*K$45</f>
        <v>112255.90117030774</v>
      </c>
      <c r="N48" s="84">
        <f>SUM(K48:M48)</f>
        <v>117445.28912929057</v>
      </c>
      <c r="R48" s="534" t="s">
        <v>186</v>
      </c>
      <c r="S48">
        <v>0.67</v>
      </c>
    </row>
    <row r="49" spans="1:19">
      <c r="A49" t="s">
        <v>97</v>
      </c>
      <c r="B49" s="641"/>
      <c r="C49" s="168" t="s">
        <v>75</v>
      </c>
      <c r="D49" s="69">
        <f>Y4/$G$43</f>
        <v>2944.8147306205956</v>
      </c>
      <c r="E49" s="69">
        <f>Y4/$G$44</f>
        <v>16644.964764719254</v>
      </c>
      <c r="F49" s="69">
        <f>(D49+E49)*$G$46</f>
        <v>13218.686065014774</v>
      </c>
      <c r="G49" s="156">
        <f>Y4/$G$45</f>
        <v>288805.17037552159</v>
      </c>
      <c r="H49" s="76">
        <f>D49+E49+G49</f>
        <v>308394.94987086143</v>
      </c>
      <c r="I49" s="644"/>
      <c r="J49" s="45" t="s">
        <v>75</v>
      </c>
      <c r="K49" s="69">
        <f t="shared" si="31"/>
        <v>971.44881633786565</v>
      </c>
      <c r="L49" s="69">
        <f t="shared" si="32"/>
        <v>4425.5146610042766</v>
      </c>
      <c r="M49" s="156">
        <f t="shared" si="33"/>
        <v>116746.13721712006</v>
      </c>
      <c r="N49" s="85">
        <f t="shared" ref="N49:N59" si="34">SUM(K49:M49)</f>
        <v>122143.10069446221</v>
      </c>
      <c r="R49" s="534" t="s">
        <v>188</v>
      </c>
      <c r="S49">
        <v>0.54</v>
      </c>
    </row>
    <row r="50" spans="1:19">
      <c r="A50" t="s">
        <v>97</v>
      </c>
      <c r="B50" s="641"/>
      <c r="C50" s="166" t="s">
        <v>76</v>
      </c>
      <c r="D50" s="69">
        <f>Y5/$D$43</f>
        <v>4178.5089760638302</v>
      </c>
      <c r="E50" s="69">
        <f>Y5/$D$44</f>
        <v>21238.013076241135</v>
      </c>
      <c r="F50" s="69">
        <f>(D50+E50)*$D$46</f>
        <v>17165.173980496453</v>
      </c>
      <c r="G50" s="156">
        <f>Y5/$D$45</f>
        <v>336391.84566576465</v>
      </c>
      <c r="H50" s="76">
        <f t="shared" ref="H50:H59" si="35">D50+E50+G50</f>
        <v>361808.36771806958</v>
      </c>
      <c r="I50" s="644"/>
      <c r="J50" s="45" t="s">
        <v>76</v>
      </c>
      <c r="K50" s="69">
        <f t="shared" si="31"/>
        <v>1378.4254597228635</v>
      </c>
      <c r="L50" s="69">
        <f t="shared" si="32"/>
        <v>5646.7009433823205</v>
      </c>
      <c r="M50" s="156">
        <f>G50*K$45</f>
        <v>135982.49824181219</v>
      </c>
      <c r="N50" s="85">
        <f>SUM(K50:M50)</f>
        <v>143007.62464491738</v>
      </c>
      <c r="R50" s="534" t="s">
        <v>6</v>
      </c>
      <c r="S50" s="536">
        <v>0.86166254313722002</v>
      </c>
    </row>
    <row r="51" spans="1:19">
      <c r="A51" t="s">
        <v>97</v>
      </c>
      <c r="B51" s="641"/>
      <c r="C51" s="168" t="s">
        <v>77</v>
      </c>
      <c r="D51" s="69">
        <f>Y6/$G$43</f>
        <v>3209.0929756762898</v>
      </c>
      <c r="E51" s="69">
        <f>Y6/$G$44</f>
        <v>18138.743653860725</v>
      </c>
      <c r="F51" s="69">
        <f t="shared" ref="F51:F57" si="36">(D51+E51)*$G$46</f>
        <v>14404.978404182768</v>
      </c>
      <c r="G51" s="156">
        <f>Y6/$G$45</f>
        <v>314723.58310152992</v>
      </c>
      <c r="H51" s="76">
        <f t="shared" si="35"/>
        <v>336071.41973106691</v>
      </c>
      <c r="I51" s="644"/>
      <c r="J51" s="45" t="s">
        <v>77</v>
      </c>
      <c r="K51" s="69">
        <f t="shared" si="31"/>
        <v>1058.6301203681869</v>
      </c>
      <c r="L51" s="69">
        <f>E51*K$44</f>
        <v>4822.6762331456866</v>
      </c>
      <c r="M51" s="156">
        <f t="shared" si="33"/>
        <v>127223.35465968211</v>
      </c>
      <c r="N51" s="85">
        <f t="shared" si="34"/>
        <v>133104.66101319599</v>
      </c>
      <c r="R51" t="s">
        <v>93</v>
      </c>
    </row>
    <row r="52" spans="1:19">
      <c r="A52" t="s">
        <v>97</v>
      </c>
      <c r="B52" s="641"/>
      <c r="C52" s="168" t="s">
        <v>78</v>
      </c>
      <c r="D52" s="69">
        <f>Y7/$G$43</f>
        <v>3530.0022732439188</v>
      </c>
      <c r="E52" s="69">
        <f>Y7/$G$44</f>
        <v>19952.618019246798</v>
      </c>
      <c r="F52" s="69">
        <f t="shared" si="36"/>
        <v>15845.476244601045</v>
      </c>
      <c r="G52" s="156">
        <f>Y7/$G$45</f>
        <v>346195.94141168293</v>
      </c>
      <c r="H52" s="76">
        <f t="shared" si="35"/>
        <v>369678.56170417363</v>
      </c>
      <c r="I52" s="644"/>
      <c r="J52" s="45" t="s">
        <v>78</v>
      </c>
      <c r="K52" s="69">
        <f t="shared" si="31"/>
        <v>1164.4931324050056</v>
      </c>
      <c r="L52" s="69">
        <f t="shared" si="32"/>
        <v>5304.9438564602551</v>
      </c>
      <c r="M52" s="156">
        <f t="shared" si="33"/>
        <v>139945.69012565032</v>
      </c>
      <c r="N52" s="85">
        <f t="shared" si="34"/>
        <v>146415.12711451558</v>
      </c>
      <c r="R52" s="534" t="s">
        <v>186</v>
      </c>
      <c r="S52">
        <v>0.67</v>
      </c>
    </row>
    <row r="53" spans="1:19">
      <c r="A53" t="s">
        <v>97</v>
      </c>
      <c r="B53" s="641"/>
      <c r="C53" s="168" t="s">
        <v>79</v>
      </c>
      <c r="D53" s="69">
        <f>Y8/$G$43</f>
        <v>3209.0929756762898</v>
      </c>
      <c r="E53" s="69">
        <f>Y8/$G$44</f>
        <v>18138.743653860725</v>
      </c>
      <c r="F53" s="69">
        <f>(D53+E53)*$G$46</f>
        <v>14404.978404182768</v>
      </c>
      <c r="G53" s="156">
        <f>Y8/$G$45</f>
        <v>314723.58310152992</v>
      </c>
      <c r="H53" s="76">
        <f t="shared" si="35"/>
        <v>336071.41973106691</v>
      </c>
      <c r="I53" s="644"/>
      <c r="J53" s="45" t="s">
        <v>79</v>
      </c>
      <c r="K53" s="69">
        <f t="shared" si="31"/>
        <v>1058.6301203681869</v>
      </c>
      <c r="L53" s="69">
        <f t="shared" si="32"/>
        <v>4822.6762331456866</v>
      </c>
      <c r="M53" s="156">
        <f t="shared" si="33"/>
        <v>127223.35465968211</v>
      </c>
      <c r="N53" s="85">
        <f t="shared" si="34"/>
        <v>133104.66101319599</v>
      </c>
      <c r="R53" s="534" t="s">
        <v>188</v>
      </c>
      <c r="S53">
        <v>0.54</v>
      </c>
    </row>
    <row r="54" spans="1:19">
      <c r="A54" t="s">
        <v>97</v>
      </c>
      <c r="B54" s="641"/>
      <c r="C54" s="256" t="s">
        <v>80</v>
      </c>
      <c r="D54" s="69">
        <f>Y9/$D$43</f>
        <v>3771.5757978723404</v>
      </c>
      <c r="E54" s="69">
        <f>Y9/$D$44</f>
        <v>19169.703014184397</v>
      </c>
      <c r="F54" s="69">
        <f>(D54+E54)*$D$46</f>
        <v>15493.506205673759</v>
      </c>
      <c r="G54" s="156">
        <f>Y9/$D$45</f>
        <v>303631.59466268547</v>
      </c>
      <c r="H54" s="76">
        <f>D54+E54+G54</f>
        <v>326572.87347474223</v>
      </c>
      <c r="I54" s="644"/>
      <c r="J54" s="45" t="s">
        <v>80</v>
      </c>
      <c r="K54" s="69">
        <f t="shared" si="31"/>
        <v>1244.184500462442</v>
      </c>
      <c r="L54" s="69">
        <f t="shared" si="32"/>
        <v>5096.7846994899801</v>
      </c>
      <c r="M54" s="156">
        <f t="shared" si="33"/>
        <v>122739.54710662384</v>
      </c>
      <c r="N54" s="85">
        <f t="shared" si="34"/>
        <v>129080.51630657626</v>
      </c>
      <c r="R54" s="534" t="s">
        <v>6</v>
      </c>
      <c r="S54" s="536">
        <v>0.73698340831526099</v>
      </c>
    </row>
    <row r="55" spans="1:19">
      <c r="A55" t="s">
        <v>97</v>
      </c>
      <c r="B55" s="641"/>
      <c r="C55" s="166" t="s">
        <v>81</v>
      </c>
      <c r="D55" s="69">
        <f>Y10/$D$43</f>
        <v>3831.1269946808511</v>
      </c>
      <c r="E55" s="69">
        <f>Y10/$D$44</f>
        <v>19472.382535460991</v>
      </c>
      <c r="F55" s="69">
        <f>(D55+E55)*$D$46</f>
        <v>15738.140514184393</v>
      </c>
      <c r="G55" s="156">
        <f t="shared" ref="G55:G58" si="37">Y10/$D$45</f>
        <v>308425.77773630677</v>
      </c>
      <c r="H55" s="76">
        <f t="shared" si="35"/>
        <v>331729.28726644861</v>
      </c>
      <c r="I55" s="644"/>
      <c r="J55" s="45" t="s">
        <v>81</v>
      </c>
      <c r="K55" s="69">
        <f t="shared" si="31"/>
        <v>1263.8295188907962</v>
      </c>
      <c r="L55" s="69">
        <f t="shared" si="32"/>
        <v>5177.2602473766638</v>
      </c>
      <c r="M55" s="156">
        <f t="shared" si="33"/>
        <v>124677.53995567578</v>
      </c>
      <c r="N55" s="85">
        <f t="shared" si="34"/>
        <v>131118.62972194323</v>
      </c>
      <c r="R55" t="s">
        <v>89</v>
      </c>
    </row>
    <row r="56" spans="1:19">
      <c r="A56" t="s">
        <v>97</v>
      </c>
      <c r="B56" s="641"/>
      <c r="C56" s="168" t="s">
        <v>82</v>
      </c>
      <c r="D56" s="69">
        <f>Y11/$G$43</f>
        <v>3699.8954307797226</v>
      </c>
      <c r="E56" s="69">
        <f>Y11/$G$44</f>
        <v>20912.904447980603</v>
      </c>
      <c r="F56" s="69">
        <f t="shared" si="36"/>
        <v>16608.092748351897</v>
      </c>
      <c r="G56" s="156">
        <f>Y11/$G$45</f>
        <v>362857.77816411684</v>
      </c>
      <c r="H56" s="76">
        <f t="shared" si="35"/>
        <v>387470.57804287714</v>
      </c>
      <c r="I56" s="644"/>
      <c r="J56" s="45" t="s">
        <v>82</v>
      </c>
      <c r="K56" s="69">
        <f t="shared" si="31"/>
        <v>1220.5382564244978</v>
      </c>
      <c r="L56" s="69">
        <f t="shared" si="32"/>
        <v>5560.2620099797332</v>
      </c>
      <c r="M56" s="156">
        <f t="shared" si="33"/>
        <v>146681.04419586877</v>
      </c>
      <c r="N56" s="85">
        <f t="shared" si="34"/>
        <v>153461.844462273</v>
      </c>
      <c r="R56" s="534" t="s">
        <v>186</v>
      </c>
      <c r="S56">
        <v>0.67</v>
      </c>
    </row>
    <row r="57" spans="1:19">
      <c r="A57" t="s">
        <v>97</v>
      </c>
      <c r="B57" s="641"/>
      <c r="C57" s="168" t="s">
        <v>83</v>
      </c>
      <c r="D57" s="69">
        <f>Y12/$G$43</f>
        <v>3926.4196408274606</v>
      </c>
      <c r="E57" s="69">
        <f>Y12/$G$44</f>
        <v>22193.286352959007</v>
      </c>
      <c r="F57" s="69">
        <f t="shared" si="36"/>
        <v>17624.914753353038</v>
      </c>
      <c r="G57" s="156">
        <f>Y12/$G$45</f>
        <v>385073.56050069543</v>
      </c>
      <c r="H57" s="76">
        <f t="shared" si="35"/>
        <v>411193.26649448188</v>
      </c>
      <c r="I57" s="644"/>
      <c r="J57" s="45" t="s">
        <v>83</v>
      </c>
      <c r="K57" s="69">
        <f>D57*K$43</f>
        <v>1295.2650884504874</v>
      </c>
      <c r="L57" s="69">
        <f t="shared" si="32"/>
        <v>5900.6862146723697</v>
      </c>
      <c r="M57" s="156">
        <f t="shared" si="33"/>
        <v>155661.51628949342</v>
      </c>
      <c r="N57" s="85">
        <f t="shared" si="34"/>
        <v>162857.46759261627</v>
      </c>
      <c r="R57" s="534" t="s">
        <v>188</v>
      </c>
      <c r="S57">
        <v>0.54</v>
      </c>
    </row>
    <row r="58" spans="1:19">
      <c r="A58" t="s">
        <v>97</v>
      </c>
      <c r="B58" s="641"/>
      <c r="C58" s="166" t="s">
        <v>84</v>
      </c>
      <c r="D58" s="69">
        <f t="shared" ref="D58" si="38">Y13/$D$43</f>
        <v>4069.3317819148938</v>
      </c>
      <c r="E58" s="69">
        <f t="shared" ref="E58:E59" si="39">Y13/$D$44</f>
        <v>20683.100620567377</v>
      </c>
      <c r="F58" s="69">
        <f>(D58+E58)*$D$46</f>
        <v>16716.67774822695</v>
      </c>
      <c r="G58" s="156">
        <f t="shared" si="37"/>
        <v>327602.51003079221</v>
      </c>
      <c r="H58" s="76">
        <f t="shared" si="35"/>
        <v>352354.94243327447</v>
      </c>
      <c r="I58" s="644"/>
      <c r="J58" s="45" t="s">
        <v>84</v>
      </c>
      <c r="K58" s="69">
        <f t="shared" si="31"/>
        <v>1342.4095926042137</v>
      </c>
      <c r="L58" s="69">
        <f t="shared" si="32"/>
        <v>5499.1624389233993</v>
      </c>
      <c r="M58" s="156">
        <f t="shared" si="33"/>
        <v>132429.51135188362</v>
      </c>
      <c r="N58" s="85">
        <f t="shared" si="34"/>
        <v>139271.08338341123</v>
      </c>
      <c r="R58" s="534" t="s">
        <v>6</v>
      </c>
      <c r="S58" s="536">
        <v>0.79221464989295798</v>
      </c>
    </row>
    <row r="59" spans="1:19">
      <c r="A59" t="s">
        <v>97</v>
      </c>
      <c r="B59" s="641"/>
      <c r="C59" s="166" t="s">
        <v>85</v>
      </c>
      <c r="D59" s="69">
        <f>Y14/$D$43</f>
        <v>4982.4501329787236</v>
      </c>
      <c r="E59" s="69">
        <f t="shared" si="39"/>
        <v>25324.186613475176</v>
      </c>
      <c r="F59" s="69">
        <f>(D59+E59)*$D$46</f>
        <v>20467.737145390071</v>
      </c>
      <c r="G59" s="156">
        <f>Y14/$D$45</f>
        <v>401113.31715965288</v>
      </c>
      <c r="H59" s="76">
        <f t="shared" si="35"/>
        <v>431419.95390610676</v>
      </c>
      <c r="I59" s="644"/>
      <c r="J59" s="45" t="s">
        <v>85</v>
      </c>
      <c r="K59" s="69">
        <f t="shared" si="31"/>
        <v>1643.633208505647</v>
      </c>
      <c r="L59" s="69">
        <f t="shared" si="32"/>
        <v>6733.1208398525523</v>
      </c>
      <c r="M59" s="156">
        <f t="shared" si="33"/>
        <v>162145.40170401358</v>
      </c>
      <c r="N59" s="85">
        <f t="shared" si="34"/>
        <v>170522.15575237179</v>
      </c>
      <c r="R59" t="s">
        <v>92</v>
      </c>
    </row>
    <row r="60" spans="1:19" ht="17" thickBot="1">
      <c r="B60" s="642"/>
      <c r="C60" s="77" t="s">
        <v>24</v>
      </c>
      <c r="D60" s="78">
        <f>SUM(D48:D59)</f>
        <v>44183.864335931641</v>
      </c>
      <c r="E60" s="78">
        <f>SUM(E48:E59)</f>
        <v>237873.42056478627</v>
      </c>
      <c r="F60" s="78">
        <f>SUM(F48:F59)</f>
        <v>190398.63727617211</v>
      </c>
      <c r="G60" s="157">
        <f>SUM(G48:G59)</f>
        <v>3967241.9411175102</v>
      </c>
      <c r="H60" s="79">
        <f>SUM(H48:H59)</f>
        <v>4249299.2260182286</v>
      </c>
      <c r="I60" s="645"/>
      <c r="J60" s="77" t="s">
        <v>24</v>
      </c>
      <c r="K60" s="78">
        <f>SUM(K48:K59)</f>
        <v>14575.573214865064</v>
      </c>
      <c r="L60" s="78">
        <f>SUM(L48:L59)</f>
        <v>63245.090936090884</v>
      </c>
      <c r="M60" s="157">
        <f>SUM(M48:M59)</f>
        <v>1603711.4966778136</v>
      </c>
      <c r="N60" s="79">
        <f>SUM(K60:M60)</f>
        <v>1681532.1608287694</v>
      </c>
      <c r="R60" s="534" t="s">
        <v>186</v>
      </c>
      <c r="S60">
        <v>0.67</v>
      </c>
    </row>
    <row r="61" spans="1:19" ht="17" thickBot="1">
      <c r="R61" s="534" t="s">
        <v>188</v>
      </c>
      <c r="S61">
        <v>0.54</v>
      </c>
    </row>
    <row r="62" spans="1:19" ht="17" thickBot="1">
      <c r="B62" s="640" t="s">
        <v>96</v>
      </c>
      <c r="C62" s="632" t="s">
        <v>180</v>
      </c>
      <c r="D62" s="633"/>
      <c r="E62" s="634" t="s">
        <v>181</v>
      </c>
      <c r="F62" s="635"/>
      <c r="G62" s="636"/>
      <c r="H62" s="164" t="s">
        <v>198</v>
      </c>
      <c r="I62" s="165"/>
      <c r="J62" s="164" t="s">
        <v>183</v>
      </c>
      <c r="K62" s="165"/>
      <c r="R62" s="534" t="s">
        <v>6</v>
      </c>
      <c r="S62" s="536">
        <v>0.32398757875967221</v>
      </c>
    </row>
    <row r="63" spans="1:19">
      <c r="B63" s="641"/>
      <c r="C63" s="60" t="s">
        <v>185</v>
      </c>
      <c r="D63" s="61">
        <f>'Historic Data'!W6/'Historic Data'!DA6</f>
        <v>0.39635535307517084</v>
      </c>
      <c r="E63" s="60" t="s">
        <v>185</v>
      </c>
      <c r="G63" s="61">
        <f>'Historic Data'!W7/'Historic Data'!DA7</f>
        <v>0.34779987944544904</v>
      </c>
      <c r="H63" s="60" t="s">
        <v>186</v>
      </c>
      <c r="I63" s="65">
        <v>0.67</v>
      </c>
      <c r="J63" s="60" t="s">
        <v>186</v>
      </c>
      <c r="K63" s="66">
        <f>I63/$I$66</f>
        <v>0.33338341701623297</v>
      </c>
    </row>
    <row r="64" spans="1:19">
      <c r="B64" s="641"/>
      <c r="C64" s="60" t="s">
        <v>187</v>
      </c>
      <c r="D64" s="61">
        <f>'Historic Data'!W6/'Historic Data'!DM6</f>
        <v>7.6245192073616047E-2</v>
      </c>
      <c r="E64" s="60" t="s">
        <v>187</v>
      </c>
      <c r="G64" s="61">
        <f>'Historic Data'!W7/'Historic Data'!DM7</f>
        <v>6.6020195085671793E-2</v>
      </c>
      <c r="H64" s="60" t="s">
        <v>188</v>
      </c>
      <c r="I64" s="65">
        <v>0.54</v>
      </c>
      <c r="J64" s="60" t="s">
        <v>188</v>
      </c>
      <c r="K64" s="66">
        <f>I64/$I$66</f>
        <v>0.26869708237129225</v>
      </c>
    </row>
    <row r="65" spans="1:19">
      <c r="B65" s="641"/>
      <c r="C65" s="60" t="s">
        <v>200</v>
      </c>
      <c r="D65" s="62">
        <f>'Historic Data'!K6/'Historic Data'!BP6</f>
        <v>4.72475635601267E-3</v>
      </c>
      <c r="E65" s="60" t="s">
        <v>200</v>
      </c>
      <c r="G65" s="62">
        <f>'Historic Data'!K7/'Historic Data'!BP7</f>
        <v>4.3191248179751309E-3</v>
      </c>
      <c r="H65" s="60" t="s">
        <v>205</v>
      </c>
      <c r="I65" s="86">
        <v>0.79969804076180762</v>
      </c>
      <c r="J65" s="60" t="s">
        <v>7</v>
      </c>
      <c r="K65" s="66">
        <f>I65/$I$66</f>
        <v>0.39791950061247489</v>
      </c>
    </row>
    <row r="66" spans="1:19" ht="17" thickBot="1">
      <c r="B66" s="641"/>
      <c r="C66" s="433" t="s">
        <v>190</v>
      </c>
      <c r="D66" s="227">
        <f>'Historic Data'!CC6/'Historic Data'!CO6</f>
        <v>0.62360146998775012</v>
      </c>
      <c r="E66" s="433" t="s">
        <v>190</v>
      </c>
      <c r="F66" s="437"/>
      <c r="G66" s="227">
        <f>'Historic Data'!CC7/'Historic Data'!CO7</f>
        <v>0.63216732780382257</v>
      </c>
      <c r="H66" s="63" t="s">
        <v>24</v>
      </c>
      <c r="I66" s="87">
        <f>SUM(I63:I65)</f>
        <v>2.0096980407618075</v>
      </c>
      <c r="J66" s="63" t="s">
        <v>24</v>
      </c>
      <c r="K66" s="67">
        <f>SUM(K63:K65)</f>
        <v>1.0000000000000002</v>
      </c>
    </row>
    <row r="67" spans="1:19" ht="17" customHeight="1" thickBot="1">
      <c r="B67" s="641"/>
      <c r="C67" s="70" t="str">
        <f>B62</f>
        <v>GV80 Coupe</v>
      </c>
      <c r="D67" s="71" t="s">
        <v>202</v>
      </c>
      <c r="E67" s="71" t="s">
        <v>203</v>
      </c>
      <c r="F67" s="71" t="s">
        <v>194</v>
      </c>
      <c r="G67" s="71" t="s">
        <v>7</v>
      </c>
      <c r="H67" s="72" t="s">
        <v>24</v>
      </c>
      <c r="I67" s="643" t="s">
        <v>195</v>
      </c>
      <c r="J67" s="70" t="s">
        <v>183</v>
      </c>
      <c r="K67" s="71" t="s">
        <v>202</v>
      </c>
      <c r="L67" s="71" t="s">
        <v>203</v>
      </c>
      <c r="M67" s="71" t="s">
        <v>7</v>
      </c>
      <c r="N67" s="72" t="s">
        <v>24</v>
      </c>
      <c r="R67" s="257"/>
      <c r="S67" s="99"/>
    </row>
    <row r="68" spans="1:19">
      <c r="A68" t="s">
        <v>96</v>
      </c>
      <c r="B68" s="641"/>
      <c r="C68" s="167" t="s">
        <v>74</v>
      </c>
      <c r="D68" s="74">
        <f>X3/$G$63</f>
        <v>833.81282495667244</v>
      </c>
      <c r="E68" s="74">
        <f>X3/$G$64</f>
        <v>4392.5953206239165</v>
      </c>
      <c r="F68" s="155">
        <f>(D68+E68)*$G$66</f>
        <v>3303.9644714038127</v>
      </c>
      <c r="G68" s="74">
        <f>X3/$G$65</f>
        <v>67143.232071713137</v>
      </c>
      <c r="H68" s="75">
        <f>D68+E68+G68</f>
        <v>72369.640217293723</v>
      </c>
      <c r="I68" s="644"/>
      <c r="J68" s="73" t="s">
        <v>74</v>
      </c>
      <c r="K68" s="74">
        <f t="shared" ref="K68:K79" si="40">D68*K$63</f>
        <v>277.97936873601361</v>
      </c>
      <c r="L68" s="74">
        <f t="shared" ref="L68:L79" si="41">E68*K$64</f>
        <v>1180.2775466894375</v>
      </c>
      <c r="M68" s="74">
        <f t="shared" ref="M68:M79" si="42">G68*K$65</f>
        <v>26717.601375483599</v>
      </c>
      <c r="N68" s="84">
        <f>SUM(K68:M68)</f>
        <v>28175.858290909051</v>
      </c>
    </row>
    <row r="69" spans="1:19">
      <c r="A69" t="s">
        <v>96</v>
      </c>
      <c r="B69" s="641"/>
      <c r="C69" s="168" t="s">
        <v>75</v>
      </c>
      <c r="D69" s="69">
        <f>X4/$G$63</f>
        <v>805.06065857885619</v>
      </c>
      <c r="E69" s="69">
        <f>X4/$G$64</f>
        <v>4241.126516464471</v>
      </c>
      <c r="F69" s="69">
        <f>(D69+E69)*$G$66</f>
        <v>3190.0346620450605</v>
      </c>
      <c r="G69" s="69">
        <f>X4/$G$65</f>
        <v>64827.948207171314</v>
      </c>
      <c r="H69" s="76">
        <f>D69+E69+G69</f>
        <v>69874.135382214648</v>
      </c>
      <c r="I69" s="644"/>
      <c r="J69" s="45" t="s">
        <v>75</v>
      </c>
      <c r="K69" s="69">
        <f t="shared" si="40"/>
        <v>268.39387326235794</v>
      </c>
      <c r="L69" s="69">
        <f t="shared" si="41"/>
        <v>1139.5783209415258</v>
      </c>
      <c r="M69" s="69">
        <f t="shared" si="42"/>
        <v>25796.304776328994</v>
      </c>
      <c r="N69" s="85">
        <f t="shared" ref="N69:N79" si="43">SUM(K69:M69)</f>
        <v>27204.276970532879</v>
      </c>
    </row>
    <row r="70" spans="1:19">
      <c r="A70" t="s">
        <v>96</v>
      </c>
      <c r="B70" s="641"/>
      <c r="C70" s="166" t="s">
        <v>76</v>
      </c>
      <c r="D70" s="69">
        <f>X5/$D$63</f>
        <v>933.50574712643675</v>
      </c>
      <c r="E70" s="69">
        <f>X5/$D$64</f>
        <v>4852.7650063856963</v>
      </c>
      <c r="F70" s="69">
        <f>(D70+E70)*$D$66</f>
        <v>3608.326947637293</v>
      </c>
      <c r="G70" s="69">
        <f t="shared" ref="G70:G78" si="44">X5/$D$65</f>
        <v>78310.916398713831</v>
      </c>
      <c r="H70" s="76">
        <f t="shared" ref="H70:H79" si="45">D70+E70+G70</f>
        <v>84097.187152225961</v>
      </c>
      <c r="I70" s="644"/>
      <c r="J70" s="45" t="s">
        <v>76</v>
      </c>
      <c r="K70" s="69">
        <f t="shared" si="40"/>
        <v>311.215335781303</v>
      </c>
      <c r="L70" s="69">
        <f t="shared" si="41"/>
        <v>1303.923798649342</v>
      </c>
      <c r="M70" s="69">
        <f t="shared" si="42"/>
        <v>31161.440745881479</v>
      </c>
      <c r="N70" s="85">
        <f t="shared" si="43"/>
        <v>32776.579880312122</v>
      </c>
    </row>
    <row r="71" spans="1:19">
      <c r="A71" t="s">
        <v>96</v>
      </c>
      <c r="B71" s="641"/>
      <c r="C71" s="168" t="s">
        <v>77</v>
      </c>
      <c r="D71" s="69">
        <f>X6/$G$63</f>
        <v>891.31715771230506</v>
      </c>
      <c r="E71" s="69">
        <f>X6/$G$64</f>
        <v>4695.5329289428073</v>
      </c>
      <c r="F71" s="69">
        <f t="shared" ref="F71:F77" si="46">(D71+E71)*$G$66</f>
        <v>3531.8240901213167</v>
      </c>
      <c r="G71" s="69">
        <f>X6/$G$65</f>
        <v>71773.799800796813</v>
      </c>
      <c r="H71" s="76">
        <f t="shared" si="45"/>
        <v>77360.649887451931</v>
      </c>
      <c r="I71" s="644"/>
      <c r="J71" s="45" t="s">
        <v>77</v>
      </c>
      <c r="K71" s="69">
        <f t="shared" si="40"/>
        <v>297.15035968332489</v>
      </c>
      <c r="L71" s="69">
        <f t="shared" si="41"/>
        <v>1261.6759981852606</v>
      </c>
      <c r="M71" s="69">
        <f t="shared" si="42"/>
        <v>28560.194573792818</v>
      </c>
      <c r="N71" s="85">
        <f t="shared" si="43"/>
        <v>30119.020931661405</v>
      </c>
    </row>
    <row r="72" spans="1:19">
      <c r="A72" t="s">
        <v>96</v>
      </c>
      <c r="B72" s="641"/>
      <c r="C72" s="168" t="s">
        <v>78</v>
      </c>
      <c r="D72" s="69">
        <f>X7/$G$63</f>
        <v>1035.0779896013864</v>
      </c>
      <c r="E72" s="69">
        <f>X7/$G$64</f>
        <v>5452.8769497400344</v>
      </c>
      <c r="F72" s="69">
        <f t="shared" si="46"/>
        <v>4101.4731369150777</v>
      </c>
      <c r="G72" s="69">
        <f>X7/$G$65</f>
        <v>83350.219123505973</v>
      </c>
      <c r="H72" s="76">
        <f t="shared" si="45"/>
        <v>89838.174062847393</v>
      </c>
      <c r="I72" s="644"/>
      <c r="J72" s="45" t="s">
        <v>78</v>
      </c>
      <c r="K72" s="69">
        <f t="shared" si="40"/>
        <v>345.07783705160307</v>
      </c>
      <c r="L72" s="69">
        <f t="shared" si="41"/>
        <v>1465.1721269248189</v>
      </c>
      <c r="M72" s="69">
        <f t="shared" si="42"/>
        <v>33166.677569565851</v>
      </c>
      <c r="N72" s="85">
        <f t="shared" si="43"/>
        <v>34976.927533542272</v>
      </c>
    </row>
    <row r="73" spans="1:19">
      <c r="A73" t="s">
        <v>96</v>
      </c>
      <c r="B73" s="641"/>
      <c r="C73" s="168" t="s">
        <v>79</v>
      </c>
      <c r="D73" s="69">
        <f>X8/$G$63</f>
        <v>862.56499133448881</v>
      </c>
      <c r="E73" s="69">
        <f>X8/$G$64</f>
        <v>4544.0641247833619</v>
      </c>
      <c r="F73" s="69">
        <f t="shared" si="46"/>
        <v>3417.8942807625649</v>
      </c>
      <c r="G73" s="69">
        <f>X8/$G$65</f>
        <v>69458.515936254975</v>
      </c>
      <c r="H73" s="76">
        <f t="shared" si="45"/>
        <v>74865.145052372827</v>
      </c>
      <c r="I73" s="644"/>
      <c r="J73" s="45" t="s">
        <v>79</v>
      </c>
      <c r="K73" s="69">
        <f t="shared" si="40"/>
        <v>287.56486420966928</v>
      </c>
      <c r="L73" s="69">
        <f t="shared" si="41"/>
        <v>1220.9767724373489</v>
      </c>
      <c r="M73" s="69">
        <f t="shared" si="42"/>
        <v>27638.897974638207</v>
      </c>
      <c r="N73" s="85">
        <f t="shared" si="43"/>
        <v>29147.439611285226</v>
      </c>
    </row>
    <row r="74" spans="1:19">
      <c r="A74" t="s">
        <v>96</v>
      </c>
      <c r="B74" s="641"/>
      <c r="C74" s="256" t="s">
        <v>80</v>
      </c>
      <c r="D74" s="69">
        <f>X9/$D$63</f>
        <v>857.81609195402302</v>
      </c>
      <c r="E74" s="69">
        <f>X9/$D$64</f>
        <v>4459.2975734355041</v>
      </c>
      <c r="F74" s="69">
        <f>(D74+E74)*$D$66</f>
        <v>3315.7598978288634</v>
      </c>
      <c r="G74" s="69">
        <f>X9/$D$65</f>
        <v>71961.382636655952</v>
      </c>
      <c r="H74" s="76">
        <f t="shared" si="45"/>
        <v>77278.496302045474</v>
      </c>
      <c r="I74" s="644"/>
      <c r="J74" s="45" t="s">
        <v>80</v>
      </c>
      <c r="K74" s="69">
        <f t="shared" si="40"/>
        <v>285.9816599071433</v>
      </c>
      <c r="L74" s="69">
        <f t="shared" si="41"/>
        <v>1198.2002474075032</v>
      </c>
      <c r="M74" s="69">
        <f t="shared" si="42"/>
        <v>28634.837442161359</v>
      </c>
      <c r="N74" s="85">
        <f t="shared" si="43"/>
        <v>30119.019349476006</v>
      </c>
    </row>
    <row r="75" spans="1:19">
      <c r="A75" t="s">
        <v>96</v>
      </c>
      <c r="B75" s="641"/>
      <c r="C75" s="166" t="s">
        <v>81</v>
      </c>
      <c r="D75" s="69">
        <f>X10/$D$63</f>
        <v>933.50574712643675</v>
      </c>
      <c r="E75" s="69">
        <f t="shared" ref="E75:E79" si="47">X10/$D$64</f>
        <v>4852.7650063856963</v>
      </c>
      <c r="F75" s="69">
        <f>(D75+E75)*$D$66</f>
        <v>3608.326947637293</v>
      </c>
      <c r="G75" s="69">
        <f t="shared" si="44"/>
        <v>78310.916398713831</v>
      </c>
      <c r="H75" s="76">
        <f t="shared" si="45"/>
        <v>84097.187152225961</v>
      </c>
      <c r="I75" s="644"/>
      <c r="J75" s="45" t="s">
        <v>81</v>
      </c>
      <c r="K75" s="69">
        <f t="shared" si="40"/>
        <v>311.215335781303</v>
      </c>
      <c r="L75" s="69">
        <f t="shared" si="41"/>
        <v>1303.923798649342</v>
      </c>
      <c r="M75" s="69">
        <f t="shared" si="42"/>
        <v>31161.440745881479</v>
      </c>
      <c r="N75" s="85">
        <f t="shared" si="43"/>
        <v>32776.579880312122</v>
      </c>
    </row>
    <row r="76" spans="1:19">
      <c r="A76" t="s">
        <v>96</v>
      </c>
      <c r="B76" s="641"/>
      <c r="C76" s="168" t="s">
        <v>82</v>
      </c>
      <c r="D76" s="69">
        <f>X11/$G$63</f>
        <v>1014.9514731369152</v>
      </c>
      <c r="E76" s="69">
        <f>X11/$G$64</f>
        <v>5346.8487868284228</v>
      </c>
      <c r="F76" s="69">
        <f t="shared" si="46"/>
        <v>4021.7222703639518</v>
      </c>
      <c r="G76" s="69">
        <f>X11/$G$65</f>
        <v>81729.520418326691</v>
      </c>
      <c r="H76" s="76">
        <f t="shared" si="45"/>
        <v>88091.320678292032</v>
      </c>
      <c r="I76" s="644"/>
      <c r="J76" s="45" t="s">
        <v>82</v>
      </c>
      <c r="K76" s="69">
        <f t="shared" si="40"/>
        <v>338.36799022004419</v>
      </c>
      <c r="L76" s="69">
        <f t="shared" si="41"/>
        <v>1436.6826689012807</v>
      </c>
      <c r="M76" s="69">
        <f t="shared" si="42"/>
        <v>32521.769950157624</v>
      </c>
      <c r="N76" s="85">
        <f t="shared" si="43"/>
        <v>34296.820609278948</v>
      </c>
    </row>
    <row r="77" spans="1:19">
      <c r="A77" t="s">
        <v>96</v>
      </c>
      <c r="B77" s="641"/>
      <c r="C77" s="168" t="s">
        <v>83</v>
      </c>
      <c r="D77" s="69">
        <f>X12/$G$63</f>
        <v>1035.0779896013864</v>
      </c>
      <c r="E77" s="69">
        <f>X12/$G$64</f>
        <v>5452.8769497400344</v>
      </c>
      <c r="F77" s="69">
        <f t="shared" si="46"/>
        <v>4101.4731369150777</v>
      </c>
      <c r="G77" s="69">
        <f>X12/$G$65</f>
        <v>83350.219123505973</v>
      </c>
      <c r="H77" s="76">
        <f t="shared" si="45"/>
        <v>89838.174062847393</v>
      </c>
      <c r="I77" s="644"/>
      <c r="J77" s="45" t="s">
        <v>83</v>
      </c>
      <c r="K77" s="69">
        <f t="shared" si="40"/>
        <v>345.07783705160307</v>
      </c>
      <c r="L77" s="69">
        <f t="shared" si="41"/>
        <v>1465.1721269248189</v>
      </c>
      <c r="M77" s="69">
        <f t="shared" si="42"/>
        <v>33166.677569565851</v>
      </c>
      <c r="N77" s="85">
        <f t="shared" si="43"/>
        <v>34976.927533542272</v>
      </c>
    </row>
    <row r="78" spans="1:19">
      <c r="A78" t="s">
        <v>96</v>
      </c>
      <c r="B78" s="641"/>
      <c r="C78" s="166" t="s">
        <v>84</v>
      </c>
      <c r="D78" s="69">
        <f>X13/$D$63</f>
        <v>832.58620689655174</v>
      </c>
      <c r="E78" s="69">
        <f t="shared" si="47"/>
        <v>4328.1417624521073</v>
      </c>
      <c r="F78" s="69">
        <f>(D78+E78)*$D$66</f>
        <v>3218.2375478927202</v>
      </c>
      <c r="G78" s="69">
        <f t="shared" si="44"/>
        <v>69844.871382636658</v>
      </c>
      <c r="H78" s="76">
        <f t="shared" si="45"/>
        <v>75005.599351985322</v>
      </c>
      <c r="I78" s="644"/>
      <c r="J78" s="45" t="s">
        <v>84</v>
      </c>
      <c r="K78" s="69">
        <f t="shared" si="40"/>
        <v>277.57043461575671</v>
      </c>
      <c r="L78" s="69">
        <f t="shared" si="41"/>
        <v>1162.9590636602238</v>
      </c>
      <c r="M78" s="69">
        <f t="shared" si="42"/>
        <v>27792.636340921319</v>
      </c>
      <c r="N78" s="85">
        <f t="shared" si="43"/>
        <v>29233.1658391973</v>
      </c>
    </row>
    <row r="79" spans="1:19">
      <c r="A79" t="s">
        <v>96</v>
      </c>
      <c r="B79" s="641"/>
      <c r="C79" s="166" t="s">
        <v>85</v>
      </c>
      <c r="D79" s="69">
        <f>X14/$D$63</f>
        <v>958.73563218390802</v>
      </c>
      <c r="E79" s="69">
        <f t="shared" si="47"/>
        <v>4983.9208173690931</v>
      </c>
      <c r="F79" s="69">
        <f>(D79+E79)*$D$66</f>
        <v>3705.8492975734357</v>
      </c>
      <c r="G79" s="69">
        <f>X14/$D$65</f>
        <v>80427.427652733124</v>
      </c>
      <c r="H79" s="76">
        <f t="shared" si="45"/>
        <v>86370.084102286128</v>
      </c>
      <c r="I79" s="644"/>
      <c r="J79" s="45" t="s">
        <v>85</v>
      </c>
      <c r="K79" s="69">
        <f t="shared" si="40"/>
        <v>319.62656107268958</v>
      </c>
      <c r="L79" s="69">
        <f t="shared" si="41"/>
        <v>1339.1649823966213</v>
      </c>
      <c r="M79" s="69">
        <f t="shared" si="42"/>
        <v>32003.641847121518</v>
      </c>
      <c r="N79" s="85">
        <f t="shared" si="43"/>
        <v>33662.433390590828</v>
      </c>
    </row>
    <row r="80" spans="1:19" ht="17" thickBot="1">
      <c r="B80" s="642"/>
      <c r="C80" s="77" t="s">
        <v>24</v>
      </c>
      <c r="D80" s="78">
        <f>SUM(D68:D79)</f>
        <v>10994.01251020937</v>
      </c>
      <c r="E80" s="78">
        <f>SUM(E68:E79)</f>
        <v>57602.811743151142</v>
      </c>
      <c r="F80" s="78">
        <f>SUM(F68:F79)</f>
        <v>43124.886687096463</v>
      </c>
      <c r="G80" s="78">
        <f>SUM(G68:G79)</f>
        <v>900488.96915072831</v>
      </c>
      <c r="H80" s="79">
        <f>SUM(H68:H79)</f>
        <v>969085.79340408894</v>
      </c>
      <c r="I80" s="645"/>
      <c r="J80" s="77" t="s">
        <v>24</v>
      </c>
      <c r="K80" s="78">
        <f>SUM(K68:K79)</f>
        <v>3665.221457372812</v>
      </c>
      <c r="L80" s="78">
        <f>SUM(L68:L79)</f>
        <v>15477.707451767526</v>
      </c>
      <c r="M80" s="78">
        <f>SUM(M68:M79)</f>
        <v>358322.12091150013</v>
      </c>
      <c r="N80" s="79">
        <f>SUM(K80:M80)</f>
        <v>377465.04982064047</v>
      </c>
    </row>
    <row r="81" spans="1:14" ht="17" thickBot="1"/>
    <row r="82" spans="1:14" ht="17" thickBot="1">
      <c r="B82" s="640" t="s">
        <v>94</v>
      </c>
      <c r="C82" s="632" t="s">
        <v>180</v>
      </c>
      <c r="D82" s="633"/>
      <c r="E82" s="634" t="s">
        <v>181</v>
      </c>
      <c r="F82" s="635"/>
      <c r="G82" s="636"/>
      <c r="H82" s="164" t="s">
        <v>198</v>
      </c>
      <c r="I82" s="165"/>
      <c r="J82" s="164" t="s">
        <v>183</v>
      </c>
      <c r="K82" s="165"/>
    </row>
    <row r="83" spans="1:14">
      <c r="B83" s="641"/>
      <c r="C83" s="60" t="s">
        <v>185</v>
      </c>
      <c r="D83" s="61">
        <f>'Historic Data'!U6/'Historic Data'!DC6</f>
        <v>0.4904396143160647</v>
      </c>
      <c r="E83" s="60" t="s">
        <v>185</v>
      </c>
      <c r="G83" s="61">
        <f>'Historic Data'!U7/'Historic Data'!DC7</f>
        <v>0.4931947471954915</v>
      </c>
      <c r="H83" s="60" t="s">
        <v>186</v>
      </c>
      <c r="I83" s="65">
        <v>0.67</v>
      </c>
      <c r="J83" s="60" t="s">
        <v>186</v>
      </c>
      <c r="K83" s="66">
        <f>I83/$I$86</f>
        <v>0.31810987800808438</v>
      </c>
    </row>
    <row r="84" spans="1:14">
      <c r="B84" s="641"/>
      <c r="C84" s="60" t="s">
        <v>187</v>
      </c>
      <c r="D84" s="61">
        <f>'Historic Data'!U6/'Historic Data'!DO6</f>
        <v>9.8563909712699835E-2</v>
      </c>
      <c r="E84" s="60" t="s">
        <v>187</v>
      </c>
      <c r="G84" s="61">
        <f>'Historic Data'!U7/'Historic Data'!DO7</f>
        <v>0.10356126151269886</v>
      </c>
      <c r="H84" s="60" t="s">
        <v>188</v>
      </c>
      <c r="I84" s="65">
        <v>0.54</v>
      </c>
      <c r="J84" s="60" t="s">
        <v>188</v>
      </c>
      <c r="K84" s="66">
        <f>I84/$I$86</f>
        <v>0.25638706585726206</v>
      </c>
    </row>
    <row r="85" spans="1:14">
      <c r="B85" s="641"/>
      <c r="C85" s="60" t="s">
        <v>200</v>
      </c>
      <c r="D85" s="62">
        <f>'Historic Data'!I6/'Historic Data'!BR6</f>
        <v>7.9395138712279392E-3</v>
      </c>
      <c r="E85" s="60" t="s">
        <v>200</v>
      </c>
      <c r="G85" s="62">
        <f>'Historic Data'!I7/'Historic Data'!BR7</f>
        <v>6.7752122623343227E-3</v>
      </c>
      <c r="H85" s="60" t="s">
        <v>205</v>
      </c>
      <c r="I85" s="86">
        <v>0.89619049051652788</v>
      </c>
      <c r="J85" s="60" t="s">
        <v>7</v>
      </c>
      <c r="K85" s="66">
        <f>I85/$I$86</f>
        <v>0.42550305613465372</v>
      </c>
    </row>
    <row r="86" spans="1:14" ht="17" thickBot="1">
      <c r="B86" s="641"/>
      <c r="C86" s="433" t="s">
        <v>190</v>
      </c>
      <c r="D86" s="227">
        <f>'Historic Data'!CE6/'Historic Data'!CQ6</f>
        <v>0.69523809523809521</v>
      </c>
      <c r="E86" s="433" t="s">
        <v>190</v>
      </c>
      <c r="F86" s="437"/>
      <c r="G86" s="227">
        <f>'Historic Data'!CE7/'Historic Data'!CQ7</f>
        <v>0.66528269855329203</v>
      </c>
      <c r="H86" s="63" t="s">
        <v>24</v>
      </c>
      <c r="I86" s="87">
        <f>SUM(I83:I85)</f>
        <v>2.1061904905165276</v>
      </c>
      <c r="J86" s="63" t="s">
        <v>24</v>
      </c>
      <c r="K86" s="67">
        <f>SUM(K83:K85)</f>
        <v>1.0000000000000002</v>
      </c>
    </row>
    <row r="87" spans="1:14" ht="17" customHeight="1" thickBot="1">
      <c r="B87" s="641"/>
      <c r="C87" s="70" t="str">
        <f>B82</f>
        <v>GV70</v>
      </c>
      <c r="D87" s="71" t="s">
        <v>202</v>
      </c>
      <c r="E87" s="71" t="s">
        <v>203</v>
      </c>
      <c r="F87" s="71" t="s">
        <v>194</v>
      </c>
      <c r="G87" s="71" t="s">
        <v>7</v>
      </c>
      <c r="H87" s="72" t="s">
        <v>24</v>
      </c>
      <c r="I87" s="643" t="s">
        <v>195</v>
      </c>
      <c r="J87" s="70" t="s">
        <v>183</v>
      </c>
      <c r="K87" s="71" t="s">
        <v>202</v>
      </c>
      <c r="L87" s="71" t="s">
        <v>203</v>
      </c>
      <c r="M87" s="71" t="s">
        <v>7</v>
      </c>
      <c r="N87" s="72" t="s">
        <v>24</v>
      </c>
    </row>
    <row r="88" spans="1:14">
      <c r="A88" t="s">
        <v>94</v>
      </c>
      <c r="B88" s="641"/>
      <c r="C88" s="167" t="s">
        <v>74</v>
      </c>
      <c r="D88" s="69">
        <f>V3/$G$83</f>
        <v>4237.6769255645986</v>
      </c>
      <c r="E88" s="69">
        <f>V3/$G$84</f>
        <v>20181.291435347383</v>
      </c>
      <c r="F88" s="155">
        <f>(D88+E88)*$G$86</f>
        <v>16245.517167034981</v>
      </c>
      <c r="G88" s="69">
        <f>V3/$G$85</f>
        <v>308477.42020113685</v>
      </c>
      <c r="H88" s="75">
        <f>D88+E88+G88</f>
        <v>332896.38856204884</v>
      </c>
      <c r="I88" s="644"/>
      <c r="J88" s="73" t="s">
        <v>74</v>
      </c>
      <c r="K88" s="74">
        <f t="shared" ref="K88:K99" si="48">D88*K$83</f>
        <v>1348.0468898290285</v>
      </c>
      <c r="L88" s="74">
        <f t="shared" ref="L88:L99" si="49">E88*K$84</f>
        <v>5174.2220963190084</v>
      </c>
      <c r="M88" s="74">
        <f t="shared" ref="M88:M99" si="50">G88*K$85</f>
        <v>131258.0850441175</v>
      </c>
      <c r="N88" s="84">
        <f>SUM(K88:M88)</f>
        <v>137780.35403026553</v>
      </c>
    </row>
    <row r="89" spans="1:14">
      <c r="A89" t="s">
        <v>94</v>
      </c>
      <c r="B89" s="641"/>
      <c r="C89" s="168" t="s">
        <v>75</v>
      </c>
      <c r="D89" s="69">
        <f>V4/$G$83</f>
        <v>4825.6799439443757</v>
      </c>
      <c r="E89" s="69">
        <f>V4/$G$84</f>
        <v>22981.566323505631</v>
      </c>
      <c r="F89" s="69">
        <f>(D89+E89)*$G$86</f>
        <v>18499.679836145096</v>
      </c>
      <c r="G89" s="69">
        <f>V4/$G$85</f>
        <v>351280.50721469172</v>
      </c>
      <c r="H89" s="76">
        <f>D89+E89+G89</f>
        <v>379087.75348214171</v>
      </c>
      <c r="I89" s="644"/>
      <c r="J89" s="45" t="s">
        <v>75</v>
      </c>
      <c r="K89" s="69">
        <f t="shared" si="48"/>
        <v>1535.0964582742049</v>
      </c>
      <c r="L89" s="69">
        <f t="shared" si="49"/>
        <v>5892.1763584876744</v>
      </c>
      <c r="M89" s="69">
        <f t="shared" si="50"/>
        <v>149470.92938038261</v>
      </c>
      <c r="N89" s="85">
        <f t="shared" ref="N89:N99" si="51">SUM(K89:M89)</f>
        <v>156898.20219714451</v>
      </c>
    </row>
    <row r="90" spans="1:14">
      <c r="A90" t="s">
        <v>94</v>
      </c>
      <c r="B90" s="641"/>
      <c r="C90" s="166" t="s">
        <v>76</v>
      </c>
      <c r="D90" s="69">
        <f>V5/$D$83</f>
        <v>5974.2319226924365</v>
      </c>
      <c r="E90" s="69">
        <f>V5/$D$84</f>
        <v>29726.905198267243</v>
      </c>
      <c r="F90" s="69">
        <f>(D90+E90)*$D$86</f>
        <v>24820.790569810059</v>
      </c>
      <c r="G90" s="69">
        <f t="shared" ref="G90:G98" si="52">V5/$D$85</f>
        <v>369040.22683530382</v>
      </c>
      <c r="H90" s="76">
        <f t="shared" ref="H90:H99" si="53">D90+E90+G90</f>
        <v>404741.36395626352</v>
      </c>
      <c r="I90" s="644"/>
      <c r="J90" s="45" t="s">
        <v>76</v>
      </c>
      <c r="K90" s="69">
        <f t="shared" si="48"/>
        <v>1900.4621881196942</v>
      </c>
      <c r="L90" s="69">
        <f t="shared" si="49"/>
        <v>7621.5940008007292</v>
      </c>
      <c r="M90" s="69">
        <f t="shared" si="50"/>
        <v>157027.74435504762</v>
      </c>
      <c r="N90" s="85">
        <f t="shared" si="51"/>
        <v>166549.80054396804</v>
      </c>
    </row>
    <row r="91" spans="1:14">
      <c r="A91" t="s">
        <v>94</v>
      </c>
      <c r="B91" s="641"/>
      <c r="C91" s="168" t="s">
        <v>77</v>
      </c>
      <c r="D91" s="69">
        <f>V6/$G$83</f>
        <v>5184.5645448175501</v>
      </c>
      <c r="E91" s="69">
        <f>V6/$G$84</f>
        <v>24690.699617312563</v>
      </c>
      <c r="F91" s="69">
        <f t="shared" ref="F91:F97" si="54">(D91+E91)*$G$86</f>
        <v>19875.496361774374</v>
      </c>
      <c r="G91" s="69">
        <f>V6/$G$85</f>
        <v>377405.14997813728</v>
      </c>
      <c r="H91" s="76">
        <f t="shared" si="53"/>
        <v>407280.41414026741</v>
      </c>
      <c r="I91" s="644"/>
      <c r="J91" s="45" t="s">
        <v>77</v>
      </c>
      <c r="K91" s="69">
        <f>D91*K$83</f>
        <v>1649.2611948769504</v>
      </c>
      <c r="L91" s="69">
        <f t="shared" si="49"/>
        <v>6330.3760288457916</v>
      </c>
      <c r="M91" s="69">
        <f t="shared" si="50"/>
        <v>160587.04471665475</v>
      </c>
      <c r="N91" s="85">
        <f t="shared" si="51"/>
        <v>168566.68194037749</v>
      </c>
    </row>
    <row r="92" spans="1:14">
      <c r="A92" t="s">
        <v>94</v>
      </c>
      <c r="B92" s="641"/>
      <c r="C92" s="168" t="s">
        <v>78</v>
      </c>
      <c r="D92" s="69">
        <f>V7/$G$83</f>
        <v>5880.0301837977686</v>
      </c>
      <c r="E92" s="69">
        <f>V7/$G$84</f>
        <v>28002.748881582495</v>
      </c>
      <c r="F92" s="69">
        <f>(D92+E92)*$G$86</f>
        <v>22541.626691101173</v>
      </c>
      <c r="G92" s="69">
        <f>V7/$G$85</f>
        <v>428030.87013554876</v>
      </c>
      <c r="H92" s="76">
        <f t="shared" si="53"/>
        <v>461913.64920092904</v>
      </c>
      <c r="I92" s="644"/>
      <c r="J92" s="45" t="s">
        <v>78</v>
      </c>
      <c r="K92" s="69">
        <f t="shared" si="48"/>
        <v>1870.4956844517621</v>
      </c>
      <c r="L92" s="69">
        <f t="shared" si="49"/>
        <v>7179.5426216866626</v>
      </c>
      <c r="M92" s="69">
        <f t="shared" si="50"/>
        <v>182128.44336265107</v>
      </c>
      <c r="N92" s="85">
        <f t="shared" si="51"/>
        <v>191178.48166878949</v>
      </c>
    </row>
    <row r="93" spans="1:14">
      <c r="A93" t="s">
        <v>94</v>
      </c>
      <c r="B93" s="641"/>
      <c r="C93" s="168" t="s">
        <v>79</v>
      </c>
      <c r="D93" s="69">
        <f>V8/$G$83</f>
        <v>5634.6909933703446</v>
      </c>
      <c r="E93" s="69">
        <f>V8/$G$84</f>
        <v>26834.358324799225</v>
      </c>
      <c r="F93" s="69">
        <f t="shared" si="54"/>
        <v>21601.096749851778</v>
      </c>
      <c r="G93" s="69">
        <f>V8/$G$85</f>
        <v>410171.65107127244</v>
      </c>
      <c r="H93" s="76">
        <f t="shared" si="53"/>
        <v>442640.70038944203</v>
      </c>
      <c r="I93" s="644"/>
      <c r="J93" s="45" t="s">
        <v>79</v>
      </c>
      <c r="K93" s="69">
        <f t="shared" si="48"/>
        <v>1792.4508645142921</v>
      </c>
      <c r="L93" s="69">
        <f t="shared" si="49"/>
        <v>6879.9823950576674</v>
      </c>
      <c r="M93" s="69">
        <f t="shared" si="50"/>
        <v>174529.29107062324</v>
      </c>
      <c r="N93" s="85">
        <f t="shared" si="51"/>
        <v>183201.7243301952</v>
      </c>
    </row>
    <row r="94" spans="1:14">
      <c r="A94" t="s">
        <v>94</v>
      </c>
      <c r="B94" s="641"/>
      <c r="C94" s="256" t="s">
        <v>80</v>
      </c>
      <c r="D94" s="69">
        <f>V9/$D$83</f>
        <v>5707.1246251249586</v>
      </c>
      <c r="E94" s="69">
        <f>V9/$D$84</f>
        <v>28397.818310563147</v>
      </c>
      <c r="F94" s="69">
        <f>(D94+E94)*$D$86</f>
        <v>23711.05556481173</v>
      </c>
      <c r="G94" s="69">
        <f>V9/$D$85</f>
        <v>352540.47607918613</v>
      </c>
      <c r="H94" s="76">
        <f t="shared" si="53"/>
        <v>386645.41901487426</v>
      </c>
      <c r="I94" s="644"/>
      <c r="J94" s="45" t="s">
        <v>80</v>
      </c>
      <c r="K94" s="69">
        <f t="shared" si="48"/>
        <v>1815.492718275435</v>
      </c>
      <c r="L94" s="69">
        <f>E94*K$84</f>
        <v>7280.8333133929164</v>
      </c>
      <c r="M94" s="69">
        <f t="shared" si="50"/>
        <v>150007.04998285949</v>
      </c>
      <c r="N94" s="85">
        <f t="shared" si="51"/>
        <v>159103.37601452784</v>
      </c>
    </row>
    <row r="95" spans="1:14">
      <c r="A95" t="s">
        <v>94</v>
      </c>
      <c r="B95" s="641"/>
      <c r="C95" s="166" t="s">
        <v>81</v>
      </c>
      <c r="D95" s="69">
        <f>V10/$D$83</f>
        <v>6351.4445184938359</v>
      </c>
      <c r="E95" s="69">
        <f t="shared" ref="E95:E99" si="55">V10/$D$84</f>
        <v>31603.859963345552</v>
      </c>
      <c r="F95" s="69">
        <f>(D95+E95)*$D$86</f>
        <v>26387.973592135957</v>
      </c>
      <c r="G95" s="69">
        <f t="shared" si="52"/>
        <v>392341.40156722575</v>
      </c>
      <c r="H95" s="76">
        <f t="shared" si="53"/>
        <v>430296.70604906516</v>
      </c>
      <c r="I95" s="644"/>
      <c r="J95" s="45" t="s">
        <v>81</v>
      </c>
      <c r="K95" s="69">
        <f t="shared" si="48"/>
        <v>2020.4572409531904</v>
      </c>
      <c r="L95" s="69">
        <f t="shared" si="49"/>
        <v>8102.8209257659637</v>
      </c>
      <c r="M95" s="69">
        <f t="shared" si="50"/>
        <v>166942.46541500799</v>
      </c>
      <c r="N95" s="85">
        <f t="shared" si="51"/>
        <v>177065.74358172715</v>
      </c>
    </row>
    <row r="96" spans="1:14">
      <c r="A96" t="s">
        <v>94</v>
      </c>
      <c r="B96" s="641"/>
      <c r="C96" s="168" t="s">
        <v>82</v>
      </c>
      <c r="D96" s="69">
        <f>V11/$G$83</f>
        <v>5306.2203417237106</v>
      </c>
      <c r="E96" s="69">
        <f>V11/$G$84</f>
        <v>25270.066835552203</v>
      </c>
      <c r="F96" s="69">
        <f t="shared" si="54"/>
        <v>20341.874845038539</v>
      </c>
      <c r="G96" s="69">
        <f>V11/$G$85</f>
        <v>386260.96108439006</v>
      </c>
      <c r="H96" s="76">
        <f t="shared" si="53"/>
        <v>416837.24826166598</v>
      </c>
      <c r="I96" s="644"/>
      <c r="J96" s="45" t="s">
        <v>82</v>
      </c>
      <c r="K96" s="69">
        <f t="shared" si="48"/>
        <v>1687.9611055897453</v>
      </c>
      <c r="L96" s="69">
        <f t="shared" si="49"/>
        <v>6478.9182899841362</v>
      </c>
      <c r="M96" s="69">
        <f>G96*K$85</f>
        <v>164355.21940691653</v>
      </c>
      <c r="N96" s="85">
        <f t="shared" si="51"/>
        <v>172522.09880249042</v>
      </c>
    </row>
    <row r="97" spans="1:14">
      <c r="A97" t="s">
        <v>94</v>
      </c>
      <c r="B97" s="641"/>
      <c r="C97" s="168" t="s">
        <v>83</v>
      </c>
      <c r="D97" s="69">
        <f>V12/$G$83</f>
        <v>5494.7868269282599</v>
      </c>
      <c r="E97" s="69">
        <f>V12/$G$84</f>
        <v>26168.086023823638</v>
      </c>
      <c r="F97" s="69">
        <f t="shared" si="54"/>
        <v>21064.761494097987</v>
      </c>
      <c r="G97" s="69">
        <f>V12/$G$85</f>
        <v>399987.46829908178</v>
      </c>
      <c r="H97" s="76">
        <f t="shared" si="53"/>
        <v>431650.34114983369</v>
      </c>
      <c r="I97" s="644"/>
      <c r="J97" s="45" t="s">
        <v>83</v>
      </c>
      <c r="K97" s="69">
        <f t="shared" si="48"/>
        <v>1747.9459671945779</v>
      </c>
      <c r="L97" s="69">
        <f t="shared" si="49"/>
        <v>6709.1587947485705</v>
      </c>
      <c r="M97" s="69">
        <f t="shared" si="50"/>
        <v>170195.89017682223</v>
      </c>
      <c r="N97" s="85">
        <f t="shared" si="51"/>
        <v>178652.99493876536</v>
      </c>
    </row>
    <row r="98" spans="1:14">
      <c r="A98" t="s">
        <v>94</v>
      </c>
      <c r="B98" s="641"/>
      <c r="C98" s="166" t="s">
        <v>84</v>
      </c>
      <c r="D98" s="69">
        <f t="shared" ref="D98:D99" si="56">V13/$D$83</f>
        <v>5019.986004665112</v>
      </c>
      <c r="E98" s="69">
        <f t="shared" si="55"/>
        <v>24978.71692769077</v>
      </c>
      <c r="F98" s="69">
        <f>(D98+E98)*$D$86</f>
        <v>20856.241086304566</v>
      </c>
      <c r="G98" s="69">
        <f t="shared" si="52"/>
        <v>310094.55237833381</v>
      </c>
      <c r="H98" s="76">
        <f t="shared" si="53"/>
        <v>340093.25531068968</v>
      </c>
      <c r="I98" s="644"/>
      <c r="J98" s="45" t="s">
        <v>84</v>
      </c>
      <c r="K98" s="69">
        <f t="shared" si="48"/>
        <v>1596.9071355463097</v>
      </c>
      <c r="L98" s="69">
        <f t="shared" si="49"/>
        <v>6404.2199419697599</v>
      </c>
      <c r="M98" s="69">
        <f t="shared" si="50"/>
        <v>131946.17972768849</v>
      </c>
      <c r="N98" s="85">
        <f t="shared" si="51"/>
        <v>139947.30680520457</v>
      </c>
    </row>
    <row r="99" spans="1:14">
      <c r="A99" t="s">
        <v>94</v>
      </c>
      <c r="B99" s="641"/>
      <c r="C99" s="166" t="s">
        <v>85</v>
      </c>
      <c r="D99" s="69">
        <f t="shared" si="56"/>
        <v>6932.5558147284237</v>
      </c>
      <c r="E99" s="69">
        <f t="shared" si="55"/>
        <v>34495.38487170943</v>
      </c>
      <c r="F99" s="69">
        <f>(D99+E99)*$D$86</f>
        <v>28802.28257247584</v>
      </c>
      <c r="G99" s="69">
        <f>V14/$D$85</f>
        <v>428237.80588397034</v>
      </c>
      <c r="H99" s="76">
        <f t="shared" si="53"/>
        <v>469665.74657040823</v>
      </c>
      <c r="I99" s="644"/>
      <c r="J99" s="45" t="s">
        <v>85</v>
      </c>
      <c r="K99" s="69">
        <f t="shared" si="48"/>
        <v>2205.3144845074949</v>
      </c>
      <c r="L99" s="69">
        <f t="shared" si="49"/>
        <v>8844.1705128745671</v>
      </c>
      <c r="M99" s="69">
        <f t="shared" si="50"/>
        <v>182216.49515602799</v>
      </c>
      <c r="N99" s="85">
        <f t="shared" si="51"/>
        <v>193265.98015341006</v>
      </c>
    </row>
    <row r="100" spans="1:14" ht="17" thickBot="1">
      <c r="B100" s="642"/>
      <c r="C100" s="77" t="s">
        <v>24</v>
      </c>
      <c r="D100" s="78">
        <f>SUM(D88:D99)</f>
        <v>66548.99264585138</v>
      </c>
      <c r="E100" s="78">
        <f>SUM(E88:E99)</f>
        <v>323331.5027134993</v>
      </c>
      <c r="F100" s="78">
        <f>SUM(F88:F99)</f>
        <v>264748.3965305821</v>
      </c>
      <c r="G100" s="78">
        <f>SUM(G88:G99)</f>
        <v>4513868.4907282786</v>
      </c>
      <c r="H100" s="79">
        <f>SUM(H88:H99)</f>
        <v>4903748.9860876296</v>
      </c>
      <c r="I100" s="645"/>
      <c r="J100" s="77" t="s">
        <v>24</v>
      </c>
      <c r="K100" s="78">
        <f>SUM(K88:K99)</f>
        <v>21169.891932132683</v>
      </c>
      <c r="L100" s="78">
        <f>SUM(L88:L99)</f>
        <v>82898.015279933446</v>
      </c>
      <c r="M100" s="78">
        <f>SUM(M88:M99)</f>
        <v>1920664.8377947994</v>
      </c>
      <c r="N100" s="79">
        <f>SUM(K100:M100)</f>
        <v>2024732.7450068656</v>
      </c>
    </row>
    <row r="101" spans="1:14" ht="17" thickBot="1"/>
    <row r="102" spans="1:14" ht="17" thickBot="1">
      <c r="B102" s="640" t="s">
        <v>95</v>
      </c>
      <c r="C102" s="632" t="s">
        <v>180</v>
      </c>
      <c r="D102" s="633"/>
      <c r="E102" s="634" t="s">
        <v>181</v>
      </c>
      <c r="F102" s="635"/>
      <c r="G102" s="636"/>
      <c r="H102" s="164" t="s">
        <v>198</v>
      </c>
      <c r="I102" s="165"/>
      <c r="J102" s="164" t="s">
        <v>183</v>
      </c>
      <c r="K102" s="165"/>
    </row>
    <row r="103" spans="1:14">
      <c r="B103" s="641"/>
      <c r="C103" s="60" t="s">
        <v>185</v>
      </c>
      <c r="D103" s="61">
        <f>'Historic Data'!P6/'Historic Data'!DE6</f>
        <v>0.19757688723205966</v>
      </c>
      <c r="E103" s="60" t="s">
        <v>185</v>
      </c>
      <c r="G103" s="61">
        <f>'Historic Data'!P7/'Historic Data'!DE7</f>
        <v>0.229118225719907</v>
      </c>
      <c r="H103" s="60" t="s">
        <v>186</v>
      </c>
      <c r="I103" s="65">
        <v>0.67</v>
      </c>
      <c r="J103" s="60" t="s">
        <v>186</v>
      </c>
      <c r="K103" s="66">
        <f>I103/$I$106</f>
        <v>0.31969512470045791</v>
      </c>
    </row>
    <row r="104" spans="1:14">
      <c r="B104" s="641"/>
      <c r="C104" s="60" t="s">
        <v>187</v>
      </c>
      <c r="D104" s="61">
        <f>'Historic Data'!P6/'Historic Data'!DQ6</f>
        <v>4.6964997784669914E-2</v>
      </c>
      <c r="E104" s="60" t="s">
        <v>187</v>
      </c>
      <c r="G104" s="61">
        <f>'Historic Data'!P7/'Historic Data'!DQ7</f>
        <v>4.7353245601064617E-2</v>
      </c>
      <c r="H104" s="60" t="s">
        <v>188</v>
      </c>
      <c r="I104" s="65">
        <v>0.54</v>
      </c>
      <c r="J104" s="60" t="s">
        <v>188</v>
      </c>
      <c r="K104" s="66">
        <f>I104/$I$106</f>
        <v>0.25766472737051832</v>
      </c>
    </row>
    <row r="105" spans="1:14">
      <c r="B105" s="641"/>
      <c r="C105" s="60" t="s">
        <v>200</v>
      </c>
      <c r="D105" s="62">
        <f>'Historic Data'!D6/'Historic Data'!BT6</f>
        <v>5.5526303192762437E-3</v>
      </c>
      <c r="E105" s="60" t="s">
        <v>200</v>
      </c>
      <c r="G105" s="62">
        <f>'Historic Data'!D7/'Historic Data'!BT7</f>
        <v>5.0583194477505358E-3</v>
      </c>
      <c r="H105" s="60" t="s">
        <v>205</v>
      </c>
      <c r="I105" s="86">
        <v>0.88574669187640709</v>
      </c>
      <c r="J105" s="60" t="s">
        <v>7</v>
      </c>
      <c r="K105" s="66">
        <f>I105/$I$106</f>
        <v>0.42264014792902388</v>
      </c>
    </row>
    <row r="106" spans="1:14" ht="17" thickBot="1">
      <c r="B106" s="641"/>
      <c r="C106" s="433" t="s">
        <v>190</v>
      </c>
      <c r="D106" s="227">
        <f>'Historic Data'!CG6/'Historic Data'!CS6</f>
        <v>0.59292404987769232</v>
      </c>
      <c r="E106" s="433" t="s">
        <v>190</v>
      </c>
      <c r="F106" s="437"/>
      <c r="G106" s="227">
        <f>'Historic Data'!CG7/'Historic Data'!CS7</f>
        <v>0.58076769904726899</v>
      </c>
      <c r="H106" s="63" t="s">
        <v>24</v>
      </c>
      <c r="I106" s="87">
        <f>SUM(I103:I105)</f>
        <v>2.0957466918764069</v>
      </c>
      <c r="J106" s="63" t="s">
        <v>24</v>
      </c>
      <c r="K106" s="67">
        <f>SUM(K103:K105)</f>
        <v>1</v>
      </c>
    </row>
    <row r="107" spans="1:14" ht="17" customHeight="1" thickBot="1">
      <c r="B107" s="641"/>
      <c r="C107" s="70" t="str">
        <f>B102</f>
        <v>GV70 EV</v>
      </c>
      <c r="D107" s="71" t="s">
        <v>202</v>
      </c>
      <c r="E107" s="71" t="s">
        <v>203</v>
      </c>
      <c r="F107" s="71" t="s">
        <v>194</v>
      </c>
      <c r="G107" s="71" t="s">
        <v>7</v>
      </c>
      <c r="H107" s="72" t="s">
        <v>24</v>
      </c>
      <c r="I107" s="643" t="s">
        <v>195</v>
      </c>
      <c r="J107" s="70" t="s">
        <v>183</v>
      </c>
      <c r="K107" s="71" t="s">
        <v>202</v>
      </c>
      <c r="L107" s="71" t="s">
        <v>203</v>
      </c>
      <c r="M107" s="71" t="s">
        <v>7</v>
      </c>
      <c r="N107" s="72" t="s">
        <v>24</v>
      </c>
    </row>
    <row r="108" spans="1:14">
      <c r="A108" t="s">
        <v>142</v>
      </c>
      <c r="B108" s="641"/>
      <c r="C108" s="167" t="s">
        <v>74</v>
      </c>
      <c r="D108" s="69">
        <f>W3/$G$103</f>
        <v>87.291178766588601</v>
      </c>
      <c r="E108" s="69">
        <f>W3/$G$104</f>
        <v>422.35753317720531</v>
      </c>
      <c r="F108" s="155">
        <f>(D108+E108)*$G$106</f>
        <v>295.98750975800158</v>
      </c>
      <c r="G108" s="69">
        <f>W3/$G$105</f>
        <v>3953.8823529411761</v>
      </c>
      <c r="H108" s="75">
        <f>D108+E108+G108</f>
        <v>4463.53106488497</v>
      </c>
      <c r="I108" s="644"/>
      <c r="J108" s="73" t="s">
        <v>74</v>
      </c>
      <c r="K108" s="74">
        <f t="shared" ref="K108:K119" si="57">D108*K$103</f>
        <v>27.906564281034505</v>
      </c>
      <c r="L108" s="74">
        <f t="shared" ref="L108:L119" si="58">E108*K$104</f>
        <v>108.82663863898925</v>
      </c>
      <c r="M108" s="74">
        <f t="shared" ref="M108:M119" si="59">G108*K$105</f>
        <v>1671.0694225410157</v>
      </c>
      <c r="N108" s="84">
        <f>SUM(K108:M108)</f>
        <v>1807.8026254610395</v>
      </c>
    </row>
    <row r="109" spans="1:14">
      <c r="A109" t="s">
        <v>142</v>
      </c>
      <c r="B109" s="641"/>
      <c r="C109" s="168" t="s">
        <v>75</v>
      </c>
      <c r="D109" s="69">
        <f>W4/$G$103</f>
        <v>130.93676814988291</v>
      </c>
      <c r="E109" s="69">
        <f>W4/$G$104</f>
        <v>633.53629976580794</v>
      </c>
      <c r="F109" s="69">
        <f>(D109+E109)*$G$106</f>
        <v>443.98126463700237</v>
      </c>
      <c r="G109" s="69">
        <f>W4/$G$105</f>
        <v>5930.8235294117649</v>
      </c>
      <c r="H109" s="76">
        <f>D109+E109+G109</f>
        <v>6695.2965973274559</v>
      </c>
      <c r="I109" s="644"/>
      <c r="J109" s="45" t="s">
        <v>75</v>
      </c>
      <c r="K109" s="69">
        <f t="shared" si="57"/>
        <v>41.859846421551765</v>
      </c>
      <c r="L109" s="69">
        <f t="shared" si="58"/>
        <v>163.23995795848387</v>
      </c>
      <c r="M109" s="69">
        <f t="shared" si="59"/>
        <v>2506.6041338115238</v>
      </c>
      <c r="N109" s="85">
        <f>SUM(K109:M109)</f>
        <v>2711.7039381915592</v>
      </c>
    </row>
    <row r="110" spans="1:14">
      <c r="A110" t="s">
        <v>142</v>
      </c>
      <c r="B110" s="641"/>
      <c r="C110" s="166" t="s">
        <v>76</v>
      </c>
      <c r="D110" s="69">
        <f>W5/$D$103</f>
        <v>177.14622641509433</v>
      </c>
      <c r="E110" s="69">
        <f t="shared" ref="E110:E119" si="60">W5/$D$104</f>
        <v>745.2358490566038</v>
      </c>
      <c r="F110" s="69">
        <f>(D110+E110)*$D$106</f>
        <v>546.90251572327054</v>
      </c>
      <c r="G110" s="69">
        <f t="shared" ref="G110:G118" si="61">W5/$D$105</f>
        <v>6303.3189655172409</v>
      </c>
      <c r="H110" s="76">
        <f t="shared" ref="H110:H119" si="62">D110+E110+G110</f>
        <v>7225.701040988939</v>
      </c>
      <c r="I110" s="644"/>
      <c r="J110" s="45" t="s">
        <v>76</v>
      </c>
      <c r="K110" s="69">
        <f t="shared" si="57"/>
        <v>56.632784943989137</v>
      </c>
      <c r="L110" s="69">
        <f t="shared" si="58"/>
        <v>192.02099187390655</v>
      </c>
      <c r="M110" s="69">
        <f t="shared" si="59"/>
        <v>2664.0356600300283</v>
      </c>
      <c r="N110" s="85">
        <f t="shared" ref="N110:N119" si="63">SUM(K110:M110)</f>
        <v>2912.6894368479238</v>
      </c>
    </row>
    <row r="111" spans="1:14">
      <c r="A111" t="s">
        <v>142</v>
      </c>
      <c r="B111" s="641"/>
      <c r="C111" s="168" t="s">
        <v>77</v>
      </c>
      <c r="D111" s="69">
        <f>W6/$G$103</f>
        <v>78.562060889929739</v>
      </c>
      <c r="E111" s="69">
        <f>W6/$G$104</f>
        <v>380.12177985948477</v>
      </c>
      <c r="F111" s="69">
        <f>(D111+E111)*$G$106</f>
        <v>266.38875878220142</v>
      </c>
      <c r="G111" s="69">
        <f>W6/$G$105</f>
        <v>3558.4941176470588</v>
      </c>
      <c r="H111" s="76">
        <f t="shared" si="62"/>
        <v>4017.1779583964735</v>
      </c>
      <c r="I111" s="644"/>
      <c r="J111" s="45" t="s">
        <v>77</v>
      </c>
      <c r="K111" s="69">
        <f t="shared" si="57"/>
        <v>25.115907852931056</v>
      </c>
      <c r="L111" s="69">
        <f t="shared" si="58"/>
        <v>97.943974775090325</v>
      </c>
      <c r="M111" s="69">
        <f t="shared" si="59"/>
        <v>1503.9624802869143</v>
      </c>
      <c r="N111" s="85">
        <f t="shared" si="63"/>
        <v>1627.0223629149357</v>
      </c>
    </row>
    <row r="112" spans="1:14">
      <c r="A112" t="s">
        <v>142</v>
      </c>
      <c r="B112" s="641"/>
      <c r="C112" s="168" t="s">
        <v>78</v>
      </c>
      <c r="D112" s="69">
        <f>W7/$G$103</f>
        <v>78.562060889929739</v>
      </c>
      <c r="E112" s="69">
        <f>W7/$G$104</f>
        <v>380.12177985948477</v>
      </c>
      <c r="F112" s="69">
        <f t="shared" ref="F112:F117" si="64">(D112+E112)*$G$106</f>
        <v>266.38875878220142</v>
      </c>
      <c r="G112" s="69">
        <f>W7/$G$105</f>
        <v>3558.4941176470588</v>
      </c>
      <c r="H112" s="76">
        <f t="shared" si="62"/>
        <v>4017.1779583964735</v>
      </c>
      <c r="I112" s="644"/>
      <c r="J112" s="45" t="s">
        <v>78</v>
      </c>
      <c r="K112" s="69">
        <f t="shared" si="57"/>
        <v>25.115907852931056</v>
      </c>
      <c r="L112" s="69">
        <f t="shared" si="58"/>
        <v>97.943974775090325</v>
      </c>
      <c r="M112" s="69">
        <f t="shared" si="59"/>
        <v>1503.9624802869143</v>
      </c>
      <c r="N112" s="85">
        <f t="shared" si="63"/>
        <v>1627.0223629149357</v>
      </c>
    </row>
    <row r="113" spans="1:14">
      <c r="A113" t="s">
        <v>142</v>
      </c>
      <c r="B113" s="641"/>
      <c r="C113" s="168" t="s">
        <v>79</v>
      </c>
      <c r="D113" s="69">
        <f>W8/$G$103</f>
        <v>78.562060889929739</v>
      </c>
      <c r="E113" s="69">
        <f>W8/$G$104</f>
        <v>380.12177985948477</v>
      </c>
      <c r="F113" s="69">
        <f t="shared" si="64"/>
        <v>266.38875878220142</v>
      </c>
      <c r="G113" s="69">
        <f>W8/$G$105</f>
        <v>3558.4941176470588</v>
      </c>
      <c r="H113" s="76">
        <f t="shared" si="62"/>
        <v>4017.1779583964735</v>
      </c>
      <c r="I113" s="644"/>
      <c r="J113" s="45" t="s">
        <v>79</v>
      </c>
      <c r="K113" s="69">
        <f t="shared" si="57"/>
        <v>25.115907852931056</v>
      </c>
      <c r="L113" s="69">
        <f t="shared" si="58"/>
        <v>97.943974775090325</v>
      </c>
      <c r="M113" s="69">
        <f t="shared" si="59"/>
        <v>1503.9624802869143</v>
      </c>
      <c r="N113" s="85">
        <f t="shared" si="63"/>
        <v>1627.0223629149357</v>
      </c>
    </row>
    <row r="114" spans="1:14">
      <c r="A114" t="s">
        <v>142</v>
      </c>
      <c r="B114" s="641"/>
      <c r="C114" s="256" t="s">
        <v>80</v>
      </c>
      <c r="D114" s="69">
        <f>W9/$D$103</f>
        <v>334.04716981132071</v>
      </c>
      <c r="E114" s="69">
        <f>W9/$D$104</f>
        <v>1405.3018867924529</v>
      </c>
      <c r="F114" s="69">
        <f>(D114+E114)*$D$106</f>
        <v>1031.3018867924529</v>
      </c>
      <c r="G114" s="69">
        <f>W9/$D$105</f>
        <v>11886.258620689654</v>
      </c>
      <c r="H114" s="76">
        <f t="shared" si="62"/>
        <v>13625.607677293428</v>
      </c>
      <c r="I114" s="644"/>
      <c r="J114" s="45" t="s">
        <v>80</v>
      </c>
      <c r="K114" s="69">
        <f t="shared" si="57"/>
        <v>106.79325160866522</v>
      </c>
      <c r="L114" s="69">
        <f t="shared" si="58"/>
        <v>362.09672753365237</v>
      </c>
      <c r="M114" s="69">
        <f t="shared" si="59"/>
        <v>5023.6101017709107</v>
      </c>
      <c r="N114" s="85">
        <f t="shared" si="63"/>
        <v>5492.500080913228</v>
      </c>
    </row>
    <row r="115" spans="1:14">
      <c r="A115" t="s">
        <v>142</v>
      </c>
      <c r="B115" s="641"/>
      <c r="C115" s="166" t="s">
        <v>81</v>
      </c>
      <c r="D115" s="69">
        <f t="shared" ref="D115:D119" si="65">W10/$D$103</f>
        <v>607.35849056603774</v>
      </c>
      <c r="E115" s="69">
        <f t="shared" si="60"/>
        <v>2555.0943396226417</v>
      </c>
      <c r="F115" s="69">
        <f>(D115+E115)*$D$106</f>
        <v>1875.0943396226419</v>
      </c>
      <c r="G115" s="69">
        <f t="shared" si="61"/>
        <v>21611.379310344826</v>
      </c>
      <c r="H115" s="76">
        <f t="shared" si="62"/>
        <v>24773.832140533505</v>
      </c>
      <c r="I115" s="644"/>
      <c r="J115" s="45" t="s">
        <v>81</v>
      </c>
      <c r="K115" s="69">
        <f t="shared" si="57"/>
        <v>194.16954837939133</v>
      </c>
      <c r="L115" s="69">
        <f t="shared" si="58"/>
        <v>658.35768642482253</v>
      </c>
      <c r="M115" s="69">
        <f t="shared" si="59"/>
        <v>9133.8365486743842</v>
      </c>
      <c r="N115" s="85">
        <f t="shared" si="63"/>
        <v>9986.3637834785986</v>
      </c>
    </row>
    <row r="116" spans="1:14">
      <c r="A116" t="s">
        <v>142</v>
      </c>
      <c r="B116" s="641"/>
      <c r="C116" s="168" t="s">
        <v>82</v>
      </c>
      <c r="D116" s="69">
        <f>W11/$G$103</f>
        <v>523.74707259953163</v>
      </c>
      <c r="E116" s="69">
        <f>W11/$G$104</f>
        <v>2534.1451990632318</v>
      </c>
      <c r="F116" s="69">
        <f t="shared" si="64"/>
        <v>1775.9250585480095</v>
      </c>
      <c r="G116" s="69">
        <f>W11/$G$105</f>
        <v>23723.294117647059</v>
      </c>
      <c r="H116" s="76">
        <f t="shared" si="62"/>
        <v>26781.186389309823</v>
      </c>
      <c r="I116" s="644"/>
      <c r="J116" s="45" t="s">
        <v>82</v>
      </c>
      <c r="K116" s="69">
        <f t="shared" si="57"/>
        <v>167.43938568620706</v>
      </c>
      <c r="L116" s="69">
        <f t="shared" si="58"/>
        <v>652.95983183393548</v>
      </c>
      <c r="M116" s="69">
        <f t="shared" si="59"/>
        <v>10026.416535246095</v>
      </c>
      <c r="N116" s="85">
        <f t="shared" si="63"/>
        <v>10846.815752766237</v>
      </c>
    </row>
    <row r="117" spans="1:14">
      <c r="A117" t="s">
        <v>142</v>
      </c>
      <c r="B117" s="641"/>
      <c r="C117" s="168" t="s">
        <v>83</v>
      </c>
      <c r="D117" s="69">
        <f>W12/$G$103</f>
        <v>632.86104605776734</v>
      </c>
      <c r="E117" s="69">
        <f>W12/$G$104</f>
        <v>3062.0921155347382</v>
      </c>
      <c r="F117" s="69">
        <f t="shared" si="64"/>
        <v>2145.9094457455112</v>
      </c>
      <c r="G117" s="69">
        <f>W12/$G$105</f>
        <v>28665.647058823528</v>
      </c>
      <c r="H117" s="76">
        <f t="shared" si="62"/>
        <v>32360.600220416032</v>
      </c>
      <c r="I117" s="644"/>
      <c r="J117" s="45" t="s">
        <v>83</v>
      </c>
      <c r="K117" s="69">
        <f t="shared" si="57"/>
        <v>202.32259103750016</v>
      </c>
      <c r="L117" s="69">
        <f t="shared" si="58"/>
        <v>788.99313013267204</v>
      </c>
      <c r="M117" s="69">
        <f t="shared" si="59"/>
        <v>12115.253313422365</v>
      </c>
      <c r="N117" s="85">
        <f t="shared" si="63"/>
        <v>13106.569034592538</v>
      </c>
    </row>
    <row r="118" spans="1:14">
      <c r="A118" t="s">
        <v>142</v>
      </c>
      <c r="B118" s="641"/>
      <c r="C118" s="166" t="s">
        <v>84</v>
      </c>
      <c r="D118" s="69">
        <f t="shared" si="65"/>
        <v>556.74528301886789</v>
      </c>
      <c r="E118" s="69">
        <f t="shared" si="60"/>
        <v>2342.1698113207549</v>
      </c>
      <c r="F118" s="69">
        <f>(D118+E118)*$D$106</f>
        <v>1718.8364779874214</v>
      </c>
      <c r="G118" s="69">
        <f t="shared" si="61"/>
        <v>19810.431034482757</v>
      </c>
      <c r="H118" s="76">
        <f t="shared" si="62"/>
        <v>22709.346128822381</v>
      </c>
      <c r="I118" s="644"/>
      <c r="J118" s="45" t="s">
        <v>84</v>
      </c>
      <c r="K118" s="69">
        <f t="shared" si="57"/>
        <v>177.98875268110871</v>
      </c>
      <c r="L118" s="69">
        <f t="shared" si="58"/>
        <v>603.49454588942069</v>
      </c>
      <c r="M118" s="69">
        <f t="shared" si="59"/>
        <v>8372.6835029515187</v>
      </c>
      <c r="N118" s="85">
        <f t="shared" si="63"/>
        <v>9154.1668015220475</v>
      </c>
    </row>
    <row r="119" spans="1:14">
      <c r="A119" t="s">
        <v>142</v>
      </c>
      <c r="B119" s="641"/>
      <c r="C119" s="166" t="s">
        <v>85</v>
      </c>
      <c r="D119" s="69">
        <f t="shared" si="65"/>
        <v>556.74528301886789</v>
      </c>
      <c r="E119" s="69">
        <f t="shared" si="60"/>
        <v>2342.1698113207549</v>
      </c>
      <c r="F119" s="69">
        <f>(D119+E119)*$D$106</f>
        <v>1718.8364779874214</v>
      </c>
      <c r="G119" s="69">
        <f>W14/$D$105</f>
        <v>19810.431034482757</v>
      </c>
      <c r="H119" s="76">
        <f t="shared" si="62"/>
        <v>22709.346128822381</v>
      </c>
      <c r="I119" s="644"/>
      <c r="J119" s="45" t="s">
        <v>85</v>
      </c>
      <c r="K119" s="69">
        <f t="shared" si="57"/>
        <v>177.98875268110871</v>
      </c>
      <c r="L119" s="69">
        <f t="shared" si="58"/>
        <v>603.49454588942069</v>
      </c>
      <c r="M119" s="69">
        <f t="shared" si="59"/>
        <v>8372.6835029515187</v>
      </c>
      <c r="N119" s="85">
        <f t="shared" si="63"/>
        <v>9154.1668015220475</v>
      </c>
    </row>
    <row r="120" spans="1:14" ht="17" thickBot="1">
      <c r="B120" s="642"/>
      <c r="C120" s="77" t="s">
        <v>24</v>
      </c>
      <c r="D120" s="78">
        <f>SUM(D108:D119)</f>
        <v>3842.5647010737484</v>
      </c>
      <c r="E120" s="78">
        <f>SUM(E108:E119)</f>
        <v>17182.468185232647</v>
      </c>
      <c r="F120" s="78">
        <f>SUM(F108:F119)</f>
        <v>12351.941253148336</v>
      </c>
      <c r="G120" s="78">
        <f>SUM(G108:G119)</f>
        <v>152370.94837728195</v>
      </c>
      <c r="H120" s="79">
        <f>SUM(H108:H119)</f>
        <v>173395.98126358836</v>
      </c>
      <c r="I120" s="645"/>
      <c r="J120" s="77" t="s">
        <v>24</v>
      </c>
      <c r="K120" s="78">
        <f>SUM(K108:K119)</f>
        <v>1228.4492012793498</v>
      </c>
      <c r="L120" s="78">
        <f>SUM(L108:L119)</f>
        <v>4427.3159805005744</v>
      </c>
      <c r="M120" s="78">
        <f>SUM(M108:M119)</f>
        <v>64398.080162260099</v>
      </c>
      <c r="N120" s="79">
        <f>SUM(K120:M120)</f>
        <v>70053.845344040019</v>
      </c>
    </row>
    <row r="121" spans="1:14" ht="17" thickBot="1"/>
    <row r="122" spans="1:14" ht="17" thickBot="1">
      <c r="B122" s="640" t="s">
        <v>88</v>
      </c>
      <c r="C122" s="632" t="s">
        <v>180</v>
      </c>
      <c r="D122" s="633"/>
      <c r="E122" s="634" t="s">
        <v>181</v>
      </c>
      <c r="F122" s="635"/>
      <c r="G122" s="636"/>
      <c r="H122" s="164" t="s">
        <v>198</v>
      </c>
      <c r="I122" s="165"/>
      <c r="J122" s="164" t="s">
        <v>183</v>
      </c>
      <c r="K122" s="165"/>
    </row>
    <row r="123" spans="1:14">
      <c r="B123" s="641"/>
      <c r="C123" s="60" t="s">
        <v>185</v>
      </c>
      <c r="D123" s="61">
        <f>'Historic Data'!Q6/'Historic Data'!DI6</f>
        <v>0.33500640751815464</v>
      </c>
      <c r="E123" s="60" t="s">
        <v>185</v>
      </c>
      <c r="G123" s="61">
        <f>'Historic Data'!Q7/'Historic Data'!DI7</f>
        <v>0.32907837630839931</v>
      </c>
      <c r="H123" s="60" t="s">
        <v>186</v>
      </c>
      <c r="I123" s="65">
        <v>0.67</v>
      </c>
      <c r="J123" s="60" t="s">
        <v>186</v>
      </c>
      <c r="K123" s="66">
        <f>I123/$I$126</f>
        <v>0.32341174590403426</v>
      </c>
    </row>
    <row r="124" spans="1:14">
      <c r="B124" s="641"/>
      <c r="C124" s="60" t="s">
        <v>187</v>
      </c>
      <c r="D124" s="61">
        <f>'Historic Data'!Q6/'Historic Data'!DU6</f>
        <v>4.6565134782092385E-2</v>
      </c>
      <c r="E124" s="60" t="s">
        <v>187</v>
      </c>
      <c r="G124" s="61">
        <f>'Historic Data'!Q7/'Historic Data'!DU7</f>
        <v>3.8404814754122781E-2</v>
      </c>
      <c r="H124" s="60" t="s">
        <v>188</v>
      </c>
      <c r="I124" s="65">
        <v>0.54</v>
      </c>
      <c r="J124" s="60" t="s">
        <v>188</v>
      </c>
      <c r="K124" s="66">
        <f>I124/$I$126</f>
        <v>0.26066021311668436</v>
      </c>
    </row>
    <row r="125" spans="1:14">
      <c r="B125" s="641"/>
      <c r="C125" s="60" t="s">
        <v>200</v>
      </c>
      <c r="D125" s="62">
        <f>'Historic Data'!E6/'Historic Data'!BX6</f>
        <v>4.3145563068945833E-3</v>
      </c>
      <c r="E125" s="60" t="s">
        <v>200</v>
      </c>
      <c r="G125" s="62">
        <f>'Historic Data'!E7/'Historic Data'!BX7</f>
        <v>3.6438822546595961E-3</v>
      </c>
      <c r="H125" s="60" t="s">
        <v>205</v>
      </c>
      <c r="I125" s="86">
        <v>0.86166254313722002</v>
      </c>
      <c r="J125" s="60" t="s">
        <v>7</v>
      </c>
      <c r="K125" s="66">
        <f>I125/$I$126</f>
        <v>0.41592804097928143</v>
      </c>
    </row>
    <row r="126" spans="1:14" ht="17" thickBot="1">
      <c r="B126" s="641"/>
      <c r="C126" s="433" t="s">
        <v>190</v>
      </c>
      <c r="D126" s="227">
        <f>'Historic Data'!CK6/'Historic Data'!CW6</f>
        <v>0.70239274357504045</v>
      </c>
      <c r="E126" s="433" t="s">
        <v>190</v>
      </c>
      <c r="F126" s="437"/>
      <c r="G126" s="227">
        <f>'Historic Data'!CK7/'Historic Data'!CW7</f>
        <v>0.74301303344405756</v>
      </c>
      <c r="H126" s="63" t="s">
        <v>24</v>
      </c>
      <c r="I126" s="87">
        <f>SUM(I123:I125)</f>
        <v>2.07166254313722</v>
      </c>
      <c r="J126" s="63" t="s">
        <v>24</v>
      </c>
      <c r="K126" s="67">
        <f>SUM(K123:K125)</f>
        <v>1</v>
      </c>
    </row>
    <row r="127" spans="1:14" ht="17" thickBot="1">
      <c r="B127" s="641"/>
      <c r="C127" s="70" t="str">
        <f>B122</f>
        <v>G70</v>
      </c>
      <c r="D127" s="71" t="s">
        <v>202</v>
      </c>
      <c r="E127" s="71" t="s">
        <v>203</v>
      </c>
      <c r="F127" s="71" t="s">
        <v>194</v>
      </c>
      <c r="G127" s="71" t="s">
        <v>7</v>
      </c>
      <c r="H127" s="72" t="s">
        <v>24</v>
      </c>
      <c r="I127" s="643" t="s">
        <v>195</v>
      </c>
      <c r="J127" s="70" t="s">
        <v>183</v>
      </c>
      <c r="K127" s="71" t="s">
        <v>202</v>
      </c>
      <c r="L127" s="71" t="s">
        <v>203</v>
      </c>
      <c r="M127" s="71" t="s">
        <v>7</v>
      </c>
      <c r="N127" s="72" t="s">
        <v>24</v>
      </c>
    </row>
    <row r="128" spans="1:14">
      <c r="A128" t="s">
        <v>88</v>
      </c>
      <c r="B128" s="641"/>
      <c r="C128" s="167" t="s">
        <v>74</v>
      </c>
      <c r="D128" s="69">
        <f>Q3/$G$123</f>
        <v>1701.7222653219549</v>
      </c>
      <c r="E128" s="69">
        <f>Q3/$G$124</f>
        <v>14581.505042668736</v>
      </c>
      <c r="F128" s="155">
        <f>(D128+E128)*$G$126</f>
        <v>12098.650116369277</v>
      </c>
      <c r="G128" s="69">
        <f>Q3/$G$125</f>
        <v>153682.24351483994</v>
      </c>
      <c r="H128" s="75">
        <f>D128+E128+G128</f>
        <v>169965.47082283063</v>
      </c>
      <c r="I128" s="644"/>
      <c r="J128" s="73" t="s">
        <v>74</v>
      </c>
      <c r="K128" s="74">
        <f t="shared" ref="K128:K139" si="66">D128*K$123</f>
        <v>550.35696887154165</v>
      </c>
      <c r="L128" s="74">
        <f t="shared" ref="L128:L139" si="67">E128*K$124</f>
        <v>3800.8182119840403</v>
      </c>
      <c r="M128" s="74">
        <f t="shared" ref="M128:M139" si="68">G128*K$125</f>
        <v>63920.754478428251</v>
      </c>
      <c r="N128" s="84">
        <f>SUM(K128:M128)</f>
        <v>68271.929659283836</v>
      </c>
    </row>
    <row r="129" spans="1:14">
      <c r="A129" t="s">
        <v>88</v>
      </c>
      <c r="B129" s="641"/>
      <c r="C129" s="168" t="s">
        <v>75</v>
      </c>
      <c r="D129" s="69">
        <f>Q4/$G$123</f>
        <v>2096.7649340574085</v>
      </c>
      <c r="E129" s="69">
        <f>Q4/$G$124</f>
        <v>17966.497284716836</v>
      </c>
      <c r="F129" s="69">
        <f>(D129+E129)*$G$126</f>
        <v>14907.265321955005</v>
      </c>
      <c r="G129" s="69">
        <f>Q4/$G$125</f>
        <v>189358.4786164992</v>
      </c>
      <c r="H129" s="76">
        <f>D129+E129+G129</f>
        <v>209421.74083527343</v>
      </c>
      <c r="I129" s="644"/>
      <c r="J129" s="45" t="s">
        <v>75</v>
      </c>
      <c r="K129" s="69">
        <f t="shared" si="66"/>
        <v>678.11840807386375</v>
      </c>
      <c r="L129" s="69">
        <f t="shared" si="67"/>
        <v>4683.1510111946209</v>
      </c>
      <c r="M129" s="69">
        <f>G129*K$125</f>
        <v>78759.501053777669</v>
      </c>
      <c r="N129" s="85">
        <f>SUM(K129:M129)</f>
        <v>84120.770473046156</v>
      </c>
    </row>
    <row r="130" spans="1:14">
      <c r="A130" t="s">
        <v>88</v>
      </c>
      <c r="B130" s="641"/>
      <c r="C130" s="166" t="s">
        <v>76</v>
      </c>
      <c r="D130" s="69">
        <f>Q5/$D$123</f>
        <v>2388.0140261396236</v>
      </c>
      <c r="E130" s="69">
        <f>Q5/$D$124</f>
        <v>17180.235894166402</v>
      </c>
      <c r="F130" s="69">
        <f>(D130+E130)*$D$126</f>
        <v>13744.596748485816</v>
      </c>
      <c r="G130" s="69">
        <f t="shared" ref="G130:G138" si="69">Q5/$D$125</f>
        <v>185418.8340807175</v>
      </c>
      <c r="H130" s="76">
        <f t="shared" ref="H130:H139" si="70">D130+E130+G130</f>
        <v>204987.08400102353</v>
      </c>
      <c r="I130" s="644"/>
      <c r="J130" s="45" t="s">
        <v>76</v>
      </c>
      <c r="K130" s="69">
        <f t="shared" si="66"/>
        <v>772.31178543713781</v>
      </c>
      <c r="L130" s="69">
        <f t="shared" si="67"/>
        <v>4478.2039495683248</v>
      </c>
      <c r="M130" s="69">
        <f t="shared" si="68"/>
        <v>77120.892419855256</v>
      </c>
      <c r="N130" s="85">
        <f t="shared" ref="N130:N139" si="71">SUM(K130:M130)</f>
        <v>82371.408154860721</v>
      </c>
    </row>
    <row r="131" spans="1:14">
      <c r="A131" t="s">
        <v>88</v>
      </c>
      <c r="B131" s="641"/>
      <c r="C131" s="168" t="s">
        <v>77</v>
      </c>
      <c r="D131" s="69">
        <f>Q6/$G$123</f>
        <v>2127.1528316524436</v>
      </c>
      <c r="E131" s="69">
        <f>Q6/$G$124</f>
        <v>18226.881303335918</v>
      </c>
      <c r="F131" s="69">
        <f t="shared" ref="F131:F137" si="72">(D131+E131)*$G$126</f>
        <v>15123.312645461596</v>
      </c>
      <c r="G131" s="69">
        <f>Q6/$G$125</f>
        <v>192102.80439354992</v>
      </c>
      <c r="H131" s="76">
        <f t="shared" si="70"/>
        <v>212456.83852853827</v>
      </c>
      <c r="I131" s="644"/>
      <c r="J131" s="45" t="s">
        <v>77</v>
      </c>
      <c r="K131" s="69">
        <f t="shared" si="66"/>
        <v>687.94621108942704</v>
      </c>
      <c r="L131" s="69">
        <f t="shared" si="67"/>
        <v>4751.0227649800499</v>
      </c>
      <c r="M131" s="69">
        <f t="shared" si="68"/>
        <v>79900.943098035321</v>
      </c>
      <c r="N131" s="85">
        <f t="shared" si="71"/>
        <v>85339.912074104795</v>
      </c>
    </row>
    <row r="132" spans="1:14">
      <c r="A132" t="s">
        <v>88</v>
      </c>
      <c r="B132" s="641"/>
      <c r="C132" s="168" t="s">
        <v>78</v>
      </c>
      <c r="D132" s="69">
        <f>Q7/$G$123</f>
        <v>2370.2560124127231</v>
      </c>
      <c r="E132" s="69">
        <f>Q7/$G$124</f>
        <v>20309.953452288595</v>
      </c>
      <c r="F132" s="69">
        <f t="shared" si="72"/>
        <v>16851.69123351435</v>
      </c>
      <c r="G132" s="69">
        <f>Q7/$G$125</f>
        <v>214057.41060995561</v>
      </c>
      <c r="H132" s="76">
        <f t="shared" si="70"/>
        <v>236737.62007465694</v>
      </c>
      <c r="I132" s="644"/>
      <c r="J132" s="45" t="s">
        <v>78</v>
      </c>
      <c r="K132" s="69">
        <f t="shared" si="66"/>
        <v>766.56863521393313</v>
      </c>
      <c r="L132" s="69">
        <f t="shared" si="67"/>
        <v>5293.9967952634843</v>
      </c>
      <c r="M132" s="69">
        <f t="shared" si="68"/>
        <v>89032.479452096493</v>
      </c>
      <c r="N132" s="85">
        <f t="shared" si="71"/>
        <v>95093.044882573915</v>
      </c>
    </row>
    <row r="133" spans="1:14">
      <c r="A133" t="s">
        <v>88</v>
      </c>
      <c r="B133" s="641"/>
      <c r="C133" s="168" t="s">
        <v>79</v>
      </c>
      <c r="D133" s="69">
        <f>Q8/$G$123</f>
        <v>2309.4802172226532</v>
      </c>
      <c r="E133" s="69">
        <f>Q8/$G$124</f>
        <v>19789.185415050426</v>
      </c>
      <c r="F133" s="69">
        <f t="shared" si="72"/>
        <v>16419.59658650116</v>
      </c>
      <c r="G133" s="69">
        <f>Q8/$G$125</f>
        <v>208568.75905585417</v>
      </c>
      <c r="H133" s="76">
        <f t="shared" si="70"/>
        <v>230667.42468812724</v>
      </c>
      <c r="I133" s="644"/>
      <c r="J133" s="45" t="s">
        <v>79</v>
      </c>
      <c r="K133" s="69">
        <f t="shared" si="66"/>
        <v>746.91302918280655</v>
      </c>
      <c r="L133" s="69">
        <f t="shared" si="67"/>
        <v>5158.2532876926261</v>
      </c>
      <c r="M133" s="69">
        <f t="shared" si="68"/>
        <v>86749.595363581189</v>
      </c>
      <c r="N133" s="85">
        <f t="shared" si="71"/>
        <v>92654.761680456621</v>
      </c>
    </row>
    <row r="134" spans="1:14">
      <c r="A134" t="s">
        <v>88</v>
      </c>
      <c r="B134" s="641"/>
      <c r="C134" s="256" t="s">
        <v>80</v>
      </c>
      <c r="D134" s="69">
        <f>Q9/$D$123</f>
        <v>2313.3885878227607</v>
      </c>
      <c r="E134" s="69">
        <f>Q9/$D$124</f>
        <v>16643.353522473702</v>
      </c>
      <c r="F134" s="69">
        <f>(D134+E134)*$D$126</f>
        <v>13315.078100095634</v>
      </c>
      <c r="G134" s="69">
        <f>Q9/$D$125</f>
        <v>179624.49551569507</v>
      </c>
      <c r="H134" s="76">
        <f t="shared" si="70"/>
        <v>198581.23762599155</v>
      </c>
      <c r="I134" s="644"/>
      <c r="J134" s="45" t="s">
        <v>80</v>
      </c>
      <c r="K134" s="69">
        <f t="shared" si="66"/>
        <v>748.17704214222738</v>
      </c>
      <c r="L134" s="69">
        <f t="shared" si="67"/>
        <v>4338.2600761443146</v>
      </c>
      <c r="M134" s="69">
        <f t="shared" si="68"/>
        <v>74710.864531734769</v>
      </c>
      <c r="N134" s="85">
        <f t="shared" si="71"/>
        <v>79797.301650021313</v>
      </c>
    </row>
    <row r="135" spans="1:14">
      <c r="A135" t="s">
        <v>88</v>
      </c>
      <c r="B135" s="641"/>
      <c r="C135" s="166" t="s">
        <v>81</v>
      </c>
      <c r="D135" s="69">
        <f t="shared" ref="D135:D139" si="73">Q10/$D$123</f>
        <v>2238.7631495058972</v>
      </c>
      <c r="E135" s="69">
        <f t="shared" ref="E135:E139" si="74">Q10/$D$124</f>
        <v>16106.471150781003</v>
      </c>
      <c r="F135" s="69">
        <f>(D135+E135)*$D$126</f>
        <v>12885.559451705452</v>
      </c>
      <c r="G135" s="69">
        <f t="shared" si="69"/>
        <v>173830.15695067265</v>
      </c>
      <c r="H135" s="76">
        <f t="shared" si="70"/>
        <v>192175.39125095954</v>
      </c>
      <c r="I135" s="644"/>
      <c r="J135" s="45" t="s">
        <v>81</v>
      </c>
      <c r="K135" s="69">
        <f t="shared" si="66"/>
        <v>724.04229884731672</v>
      </c>
      <c r="L135" s="69">
        <f t="shared" si="67"/>
        <v>4198.3162027203043</v>
      </c>
      <c r="M135" s="69">
        <f t="shared" si="68"/>
        <v>72300.836643614297</v>
      </c>
      <c r="N135" s="85">
        <f t="shared" si="71"/>
        <v>77223.195145181919</v>
      </c>
    </row>
    <row r="136" spans="1:14">
      <c r="A136" t="s">
        <v>88</v>
      </c>
      <c r="B136" s="641"/>
      <c r="C136" s="168" t="s">
        <v>82</v>
      </c>
      <c r="D136" s="69">
        <f>Q11/$G$123</f>
        <v>2172.7346780449961</v>
      </c>
      <c r="E136" s="69">
        <f>Q11/$G$124</f>
        <v>18617.457331264548</v>
      </c>
      <c r="F136" s="69">
        <f t="shared" si="72"/>
        <v>15447.38363072149</v>
      </c>
      <c r="G136" s="69">
        <f>Q11/$G$125</f>
        <v>196219.29305912598</v>
      </c>
      <c r="H136" s="76">
        <f t="shared" si="70"/>
        <v>217009.48506843552</v>
      </c>
      <c r="I136" s="644"/>
      <c r="J136" s="45" t="s">
        <v>82</v>
      </c>
      <c r="K136" s="69">
        <f t="shared" si="66"/>
        <v>702.68791561277203</v>
      </c>
      <c r="L136" s="69">
        <f t="shared" si="67"/>
        <v>4852.8303956581949</v>
      </c>
      <c r="M136" s="69">
        <f t="shared" si="68"/>
        <v>81613.106164421784</v>
      </c>
      <c r="N136" s="85">
        <f t="shared" si="71"/>
        <v>87168.624475692748</v>
      </c>
    </row>
    <row r="137" spans="1:14">
      <c r="A137" t="s">
        <v>88</v>
      </c>
      <c r="B137" s="641"/>
      <c r="C137" s="168" t="s">
        <v>83</v>
      </c>
      <c r="D137" s="69">
        <f>Q12/$G$123</f>
        <v>2081.5709852598911</v>
      </c>
      <c r="E137" s="69">
        <f>Q12/$G$124</f>
        <v>17836.305275407292</v>
      </c>
      <c r="F137" s="69">
        <f t="shared" si="72"/>
        <v>14799.241660201707</v>
      </c>
      <c r="G137" s="69">
        <f>Q12/$G$125</f>
        <v>187986.31572797382</v>
      </c>
      <c r="H137" s="76">
        <f t="shared" si="70"/>
        <v>207904.19198864102</v>
      </c>
      <c r="I137" s="644"/>
      <c r="J137" s="45" t="s">
        <v>83</v>
      </c>
      <c r="K137" s="69">
        <f t="shared" si="66"/>
        <v>673.20450656608216</v>
      </c>
      <c r="L137" s="69">
        <f t="shared" si="67"/>
        <v>4649.2151343019059</v>
      </c>
      <c r="M137" s="69">
        <f t="shared" si="68"/>
        <v>78188.780031648828</v>
      </c>
      <c r="N137" s="85">
        <f t="shared" si="71"/>
        <v>83511.199672516814</v>
      </c>
    </row>
    <row r="138" spans="1:14">
      <c r="A138" t="s">
        <v>88</v>
      </c>
      <c r="B138" s="641"/>
      <c r="C138" s="166" t="s">
        <v>84</v>
      </c>
      <c r="D138" s="69">
        <f t="shared" si="73"/>
        <v>1850.7108702582084</v>
      </c>
      <c r="E138" s="69">
        <f t="shared" si="74"/>
        <v>13314.682817978961</v>
      </c>
      <c r="F138" s="69">
        <f>(D138+E138)*$D$126</f>
        <v>10652.062480076507</v>
      </c>
      <c r="G138" s="69">
        <f t="shared" si="69"/>
        <v>143699.59641255607</v>
      </c>
      <c r="H138" s="76">
        <f t="shared" si="70"/>
        <v>158864.99010079325</v>
      </c>
      <c r="I138" s="644"/>
      <c r="J138" s="45" t="s">
        <v>84</v>
      </c>
      <c r="K138" s="69">
        <f t="shared" si="66"/>
        <v>598.54163371378183</v>
      </c>
      <c r="L138" s="69">
        <f t="shared" si="67"/>
        <v>3470.6080609154515</v>
      </c>
      <c r="M138" s="69">
        <f t="shared" si="68"/>
        <v>59768.691625387823</v>
      </c>
      <c r="N138" s="85">
        <f t="shared" si="71"/>
        <v>63837.841320017054</v>
      </c>
    </row>
    <row r="139" spans="1:14">
      <c r="A139" t="s">
        <v>88</v>
      </c>
      <c r="B139" s="641"/>
      <c r="C139" s="166" t="s">
        <v>85</v>
      </c>
      <c r="D139" s="69">
        <f t="shared" si="73"/>
        <v>2328.3136754861334</v>
      </c>
      <c r="E139" s="69">
        <f t="shared" si="74"/>
        <v>16750.729996812242</v>
      </c>
      <c r="F139" s="69">
        <f>(D139+E139)*$D$126</f>
        <v>13400.981829773671</v>
      </c>
      <c r="G139" s="69">
        <f>Q14/$D$125</f>
        <v>180783.36322869957</v>
      </c>
      <c r="H139" s="76">
        <f t="shared" si="70"/>
        <v>199862.40690099794</v>
      </c>
      <c r="I139" s="644"/>
      <c r="J139" s="45" t="s">
        <v>85</v>
      </c>
      <c r="K139" s="69">
        <f t="shared" si="66"/>
        <v>753.00399080120951</v>
      </c>
      <c r="L139" s="69">
        <f t="shared" si="67"/>
        <v>4366.2488508291162</v>
      </c>
      <c r="M139" s="69">
        <f t="shared" si="68"/>
        <v>75192.870109358875</v>
      </c>
      <c r="N139" s="85">
        <f t="shared" si="71"/>
        <v>80312.1229509892</v>
      </c>
    </row>
    <row r="140" spans="1:14" ht="17" thickBot="1">
      <c r="B140" s="642"/>
      <c r="C140" s="77" t="s">
        <v>24</v>
      </c>
      <c r="D140" s="78">
        <f>SUM(D128:D139)</f>
        <v>25978.872233184695</v>
      </c>
      <c r="E140" s="78">
        <f>SUM(E128:E139)</f>
        <v>207323.25848694466</v>
      </c>
      <c r="F140" s="78">
        <f>SUM(F128:F139)</f>
        <v>169645.41980486168</v>
      </c>
      <c r="G140" s="78">
        <f>SUM(G128:G139)</f>
        <v>2205331.7511661397</v>
      </c>
      <c r="H140" s="79">
        <f>SUM(H128:H139)</f>
        <v>2438633.8818862685</v>
      </c>
      <c r="I140" s="645"/>
      <c r="J140" s="77" t="s">
        <v>24</v>
      </c>
      <c r="K140" s="78">
        <f>SUM(K128:K139)</f>
        <v>8401.872425552101</v>
      </c>
      <c r="L140" s="78">
        <f>SUM(L128:L139)</f>
        <v>54040.924741252435</v>
      </c>
      <c r="M140" s="78">
        <f>SUM(M128:M139)</f>
        <v>917259.31497194071</v>
      </c>
      <c r="N140" s="79">
        <f>SUM(K140:M140)</f>
        <v>979702.11213874526</v>
      </c>
    </row>
    <row r="141" spans="1:14" ht="17" thickBot="1"/>
    <row r="142" spans="1:14" ht="17" thickBot="1">
      <c r="B142" s="640" t="s">
        <v>93</v>
      </c>
      <c r="C142" s="632" t="s">
        <v>180</v>
      </c>
      <c r="D142" s="633"/>
      <c r="E142" s="634" t="s">
        <v>181</v>
      </c>
      <c r="F142" s="635"/>
      <c r="G142" s="636"/>
      <c r="H142" s="164" t="s">
        <v>198</v>
      </c>
      <c r="I142" s="165"/>
      <c r="J142" s="164" t="s">
        <v>183</v>
      </c>
      <c r="K142" s="165"/>
    </row>
    <row r="143" spans="1:14">
      <c r="B143" s="641"/>
      <c r="C143" s="60" t="s">
        <v>185</v>
      </c>
      <c r="D143" s="61">
        <f>'Historic Data'!T6/'Historic Data'!DH6</f>
        <v>0.23710446467273516</v>
      </c>
      <c r="E143" s="60" t="s">
        <v>185</v>
      </c>
      <c r="G143" s="61">
        <f>'Historic Data'!T7/'Historic Data'!DH7</f>
        <v>0.25387708213670307</v>
      </c>
      <c r="H143" s="60" t="s">
        <v>186</v>
      </c>
      <c r="I143" s="65">
        <v>0.67</v>
      </c>
      <c r="J143" s="60" t="s">
        <v>186</v>
      </c>
      <c r="K143" s="66">
        <f>I143/$I$146</f>
        <v>0.34412209017217865</v>
      </c>
    </row>
    <row r="144" spans="1:14">
      <c r="B144" s="641"/>
      <c r="C144" s="60" t="s">
        <v>187</v>
      </c>
      <c r="D144" s="61">
        <f>'Historic Data'!T6/'Historic Data'!DT6</f>
        <v>4.5002056766762652E-2</v>
      </c>
      <c r="E144" s="60" t="s">
        <v>187</v>
      </c>
      <c r="G144" s="61">
        <f>'Historic Data'!T7/'Historic Data'!DT7</f>
        <v>4.726935690859832E-2</v>
      </c>
      <c r="H144" s="60" t="s">
        <v>188</v>
      </c>
      <c r="I144" s="65">
        <v>0.54</v>
      </c>
      <c r="J144" s="60" t="s">
        <v>188</v>
      </c>
      <c r="K144" s="66">
        <f>I144/$I$146</f>
        <v>0.27735213237757683</v>
      </c>
    </row>
    <row r="145" spans="1:14">
      <c r="B145" s="641"/>
      <c r="C145" s="60" t="s">
        <v>200</v>
      </c>
      <c r="D145" s="62">
        <f>'Historic Data'!H6/'Historic Data'!BW6</f>
        <v>4.0656308987948309E-3</v>
      </c>
      <c r="E145" s="60" t="s">
        <v>200</v>
      </c>
      <c r="G145" s="62">
        <f>'Historic Data'!H7/'Historic Data'!BW7</f>
        <v>4.6447467876039308E-3</v>
      </c>
      <c r="H145" s="60" t="s">
        <v>205</v>
      </c>
      <c r="I145" s="86">
        <v>0.73698340831526099</v>
      </c>
      <c r="J145" s="60" t="s">
        <v>7</v>
      </c>
      <c r="K145" s="66">
        <f>I145/$I$146</f>
        <v>0.37852577745024446</v>
      </c>
    </row>
    <row r="146" spans="1:14" ht="17" thickBot="1">
      <c r="B146" s="641"/>
      <c r="C146" s="433" t="s">
        <v>190</v>
      </c>
      <c r="D146" s="227">
        <f>'Historic Data'!CJ6/'Historic Data'!CV6</f>
        <v>0.58027935278661325</v>
      </c>
      <c r="E146" s="433" t="s">
        <v>190</v>
      </c>
      <c r="F146" s="437"/>
      <c r="G146" s="227">
        <f>'Historic Data'!CJ7/'Historic Data'!CV7</f>
        <v>0.58323065364387683</v>
      </c>
      <c r="H146" s="63" t="s">
        <v>24</v>
      </c>
      <c r="I146" s="87">
        <f>SUM(I143:I145)</f>
        <v>1.9469834083152611</v>
      </c>
      <c r="J146" s="63" t="s">
        <v>24</v>
      </c>
      <c r="K146" s="67">
        <f>SUM(K143:K145)</f>
        <v>1</v>
      </c>
    </row>
    <row r="147" spans="1:14" ht="17" thickBot="1">
      <c r="B147" s="641"/>
      <c r="C147" s="70" t="str">
        <f>B142</f>
        <v>GV60</v>
      </c>
      <c r="D147" s="71" t="s">
        <v>202</v>
      </c>
      <c r="E147" s="71" t="s">
        <v>203</v>
      </c>
      <c r="F147" s="71" t="s">
        <v>194</v>
      </c>
      <c r="G147" s="71" t="s">
        <v>7</v>
      </c>
      <c r="H147" s="72" t="s">
        <v>24</v>
      </c>
      <c r="I147" s="643" t="s">
        <v>195</v>
      </c>
      <c r="J147" s="70" t="s">
        <v>183</v>
      </c>
      <c r="K147" s="71" t="s">
        <v>202</v>
      </c>
      <c r="L147" s="71" t="s">
        <v>203</v>
      </c>
      <c r="M147" s="71" t="s">
        <v>7</v>
      </c>
      <c r="N147" s="72" t="s">
        <v>24</v>
      </c>
    </row>
    <row r="148" spans="1:14">
      <c r="A148" t="s">
        <v>93</v>
      </c>
      <c r="B148" s="641"/>
      <c r="C148" s="167" t="s">
        <v>74</v>
      </c>
      <c r="D148" s="74">
        <f>U3/$G$143</f>
        <v>59.083710407239813</v>
      </c>
      <c r="E148" s="69">
        <f>U3/$G$144</f>
        <v>317.33031674208144</v>
      </c>
      <c r="F148" s="155">
        <f>(D148+E148)*$G$146</f>
        <v>219.53619909502265</v>
      </c>
      <c r="G148" s="69">
        <f>U3/$G$145</f>
        <v>3229.4548413344178</v>
      </c>
      <c r="H148" s="75">
        <f>D148+E148+G148</f>
        <v>3605.8688684837389</v>
      </c>
      <c r="I148" s="644"/>
      <c r="J148" s="73" t="s">
        <v>74</v>
      </c>
      <c r="K148" s="74">
        <f t="shared" ref="K148:K159" si="75">D148*K$143</f>
        <v>20.332009920467069</v>
      </c>
      <c r="L148" s="74">
        <f t="shared" ref="L148:L159" si="76">E148*K$144</f>
        <v>88.012240016468155</v>
      </c>
      <c r="M148" s="74">
        <f t="shared" ref="M148:M159" si="77">G148*K$145</f>
        <v>1222.4319045565665</v>
      </c>
      <c r="N148" s="84">
        <f>SUM(K148:M148)</f>
        <v>1330.7761544935017</v>
      </c>
    </row>
    <row r="149" spans="1:14">
      <c r="A149" t="s">
        <v>93</v>
      </c>
      <c r="B149" s="641"/>
      <c r="C149" s="168" t="s">
        <v>75</v>
      </c>
      <c r="D149" s="69">
        <f>U4/$G$143</f>
        <v>118.16742081447963</v>
      </c>
      <c r="E149" s="69">
        <f>U4/$G$144</f>
        <v>634.66063348416287</v>
      </c>
      <c r="F149" s="69">
        <f>(D149+E149)*$G$146</f>
        <v>439.07239819004531</v>
      </c>
      <c r="G149" s="69">
        <f>U4/$G$145</f>
        <v>6458.9096826688356</v>
      </c>
      <c r="H149" s="76">
        <f>D149+E149+G149</f>
        <v>7211.7377369674778</v>
      </c>
      <c r="I149" s="644"/>
      <c r="J149" s="45" t="s">
        <v>75</v>
      </c>
      <c r="K149" s="69">
        <f t="shared" si="75"/>
        <v>40.664019840934138</v>
      </c>
      <c r="L149" s="69">
        <f t="shared" si="76"/>
        <v>176.02448003293631</v>
      </c>
      <c r="M149" s="69">
        <f t="shared" si="77"/>
        <v>2444.8638091131329</v>
      </c>
      <c r="N149" s="85">
        <f>SUM(K149:M149)</f>
        <v>2661.5523089870035</v>
      </c>
    </row>
    <row r="150" spans="1:14">
      <c r="A150" t="s">
        <v>93</v>
      </c>
      <c r="B150" s="641"/>
      <c r="C150" s="166" t="s">
        <v>76</v>
      </c>
      <c r="D150" s="69">
        <f>U5/$D$143</f>
        <v>506.10603290676414</v>
      </c>
      <c r="E150" s="69">
        <f t="shared" ref="E150:E159" si="78">U5/$D$144</f>
        <v>2666.5447897623399</v>
      </c>
      <c r="F150" s="69">
        <f>(D150+E150)*$D$146</f>
        <v>1841.0237659963436</v>
      </c>
      <c r="G150" s="69">
        <f t="shared" ref="G150:G158" si="79">U5/$D$145</f>
        <v>29515.714285714286</v>
      </c>
      <c r="H150" s="76">
        <f t="shared" ref="H150:H159" si="80">D150+E150+G150</f>
        <v>32688.36510838339</v>
      </c>
      <c r="I150" s="644"/>
      <c r="J150" s="45" t="s">
        <v>76</v>
      </c>
      <c r="K150" s="69">
        <f t="shared" si="75"/>
        <v>174.1622658926251</v>
      </c>
      <c r="L150" s="69">
        <f t="shared" si="76"/>
        <v>739.57188352090225</v>
      </c>
      <c r="M150" s="69">
        <f t="shared" si="77"/>
        <v>11172.458696999287</v>
      </c>
      <c r="N150" s="85">
        <f t="shared" ref="N150:N159" si="81">SUM(K150:M150)</f>
        <v>12086.192846412814</v>
      </c>
    </row>
    <row r="151" spans="1:14">
      <c r="A151" t="s">
        <v>93</v>
      </c>
      <c r="B151" s="641"/>
      <c r="C151" s="168" t="s">
        <v>77</v>
      </c>
      <c r="D151" s="69">
        <f>U6/$G$143</f>
        <v>472.66968325791851</v>
      </c>
      <c r="E151" s="69">
        <f>U6/$G$144</f>
        <v>2538.6425339366515</v>
      </c>
      <c r="F151" s="69">
        <f t="shared" ref="F151:F157" si="82">(D151+E151)*$G$146</f>
        <v>1756.2895927601812</v>
      </c>
      <c r="G151" s="69">
        <f>U6/$G$145</f>
        <v>25835.638730675342</v>
      </c>
      <c r="H151" s="76">
        <f t="shared" si="80"/>
        <v>28846.950947869911</v>
      </c>
      <c r="I151" s="644"/>
      <c r="J151" s="45" t="s">
        <v>77</v>
      </c>
      <c r="K151" s="69">
        <f t="shared" si="75"/>
        <v>162.65607936373655</v>
      </c>
      <c r="L151" s="69">
        <f t="shared" si="76"/>
        <v>704.09792013174524</v>
      </c>
      <c r="M151" s="69">
        <f>G151*K$145</f>
        <v>9779.4552364525316</v>
      </c>
      <c r="N151" s="85">
        <f t="shared" si="81"/>
        <v>10646.209235948014</v>
      </c>
    </row>
    <row r="152" spans="1:14">
      <c r="A152" t="s">
        <v>93</v>
      </c>
      <c r="B152" s="641"/>
      <c r="C152" s="168" t="s">
        <v>78</v>
      </c>
      <c r="D152" s="69">
        <f>U7/$G$143</f>
        <v>519.93665158371039</v>
      </c>
      <c r="E152" s="69">
        <f>U7/$G$144</f>
        <v>2792.5067873303165</v>
      </c>
      <c r="F152" s="69">
        <f t="shared" si="82"/>
        <v>1931.9185520361991</v>
      </c>
      <c r="G152" s="69">
        <f>U7/$G$145</f>
        <v>28419.202603742877</v>
      </c>
      <c r="H152" s="76">
        <f t="shared" si="80"/>
        <v>31731.646042656903</v>
      </c>
      <c r="I152" s="644"/>
      <c r="J152" s="45" t="s">
        <v>78</v>
      </c>
      <c r="K152" s="69">
        <f t="shared" si="75"/>
        <v>178.92168730011022</v>
      </c>
      <c r="L152" s="69">
        <f t="shared" si="76"/>
        <v>774.50771214491976</v>
      </c>
      <c r="M152" s="69">
        <f t="shared" si="77"/>
        <v>10757.400760097784</v>
      </c>
      <c r="N152" s="85">
        <f t="shared" si="81"/>
        <v>11710.830159542813</v>
      </c>
    </row>
    <row r="153" spans="1:14">
      <c r="A153" t="s">
        <v>93</v>
      </c>
      <c r="B153" s="641"/>
      <c r="C153" s="168" t="s">
        <v>79</v>
      </c>
      <c r="D153" s="69">
        <f>U8/$G$143</f>
        <v>492.36425339366514</v>
      </c>
      <c r="E153" s="69">
        <f>U8/$G$144</f>
        <v>2644.4193061840119</v>
      </c>
      <c r="F153" s="69">
        <f t="shared" si="82"/>
        <v>1829.4683257918552</v>
      </c>
      <c r="G153" s="69">
        <f>U8/$G$145</f>
        <v>26912.123677786818</v>
      </c>
      <c r="H153" s="76">
        <f t="shared" si="80"/>
        <v>30048.907237364496</v>
      </c>
      <c r="I153" s="644"/>
      <c r="J153" s="45" t="s">
        <v>79</v>
      </c>
      <c r="K153" s="69">
        <f t="shared" si="75"/>
        <v>169.43341600389226</v>
      </c>
      <c r="L153" s="69">
        <f t="shared" si="76"/>
        <v>733.43533347056791</v>
      </c>
      <c r="M153" s="69">
        <f t="shared" si="77"/>
        <v>10186.932537971388</v>
      </c>
      <c r="N153" s="85">
        <f t="shared" si="81"/>
        <v>11089.801287445849</v>
      </c>
    </row>
    <row r="154" spans="1:14">
      <c r="A154" t="s">
        <v>93</v>
      </c>
      <c r="B154" s="641"/>
      <c r="C154" s="256" t="s">
        <v>80</v>
      </c>
      <c r="D154" s="69">
        <f>U9/$D$143</f>
        <v>632.63254113345522</v>
      </c>
      <c r="E154" s="69">
        <f>U9/$D$144</f>
        <v>3333.1809872029248</v>
      </c>
      <c r="F154" s="69">
        <f>(D154+E154)*$D$146</f>
        <v>2301.2797074954296</v>
      </c>
      <c r="G154" s="69">
        <f>U9/$D$145</f>
        <v>36894.642857142855</v>
      </c>
      <c r="H154" s="76">
        <f t="shared" si="80"/>
        <v>40860.456385479236</v>
      </c>
      <c r="I154" s="644"/>
      <c r="J154" s="45" t="s">
        <v>80</v>
      </c>
      <c r="K154" s="69">
        <f t="shared" si="75"/>
        <v>217.7028323657814</v>
      </c>
      <c r="L154" s="69">
        <f t="shared" si="76"/>
        <v>924.46485440112781</v>
      </c>
      <c r="M154" s="69">
        <f t="shared" si="77"/>
        <v>13965.573371249107</v>
      </c>
      <c r="N154" s="85">
        <f t="shared" si="81"/>
        <v>15107.741058016016</v>
      </c>
    </row>
    <row r="155" spans="1:14">
      <c r="A155" t="s">
        <v>93</v>
      </c>
      <c r="B155" s="641"/>
      <c r="C155" s="166" t="s">
        <v>81</v>
      </c>
      <c r="D155" s="69">
        <f>U10/$D$143</f>
        <v>611.54478976233997</v>
      </c>
      <c r="E155" s="69">
        <f t="shared" si="78"/>
        <v>3222.0749542961607</v>
      </c>
      <c r="F155" s="69">
        <f>(D155+E155)*$D$146</f>
        <v>2224.5703839122489</v>
      </c>
      <c r="G155" s="69">
        <f t="shared" si="79"/>
        <v>35664.821428571428</v>
      </c>
      <c r="H155" s="76">
        <f t="shared" si="80"/>
        <v>39498.441172629929</v>
      </c>
      <c r="I155" s="644"/>
      <c r="J155" s="45" t="s">
        <v>81</v>
      </c>
      <c r="K155" s="69">
        <f t="shared" si="75"/>
        <v>210.44607128692201</v>
      </c>
      <c r="L155" s="69">
        <f t="shared" si="76"/>
        <v>893.64935925442364</v>
      </c>
      <c r="M155" s="69">
        <f t="shared" si="77"/>
        <v>13500.054258874137</v>
      </c>
      <c r="N155" s="85">
        <f t="shared" si="81"/>
        <v>14604.149689415482</v>
      </c>
    </row>
    <row r="156" spans="1:14">
      <c r="A156" t="s">
        <v>93</v>
      </c>
      <c r="B156" s="641"/>
      <c r="C156" s="168" t="s">
        <v>82</v>
      </c>
      <c r="D156" s="69">
        <f>U11/$G$143</f>
        <v>590.83710407239812</v>
      </c>
      <c r="E156" s="69">
        <f>U11/$G$144</f>
        <v>3173.3031674208141</v>
      </c>
      <c r="F156" s="69">
        <f t="shared" si="82"/>
        <v>2195.3619909502263</v>
      </c>
      <c r="G156" s="69">
        <f>U11/$G$145</f>
        <v>32294.548413344179</v>
      </c>
      <c r="H156" s="76">
        <f t="shared" si="80"/>
        <v>36058.688684837391</v>
      </c>
      <c r="I156" s="644"/>
      <c r="J156" s="45" t="s">
        <v>82</v>
      </c>
      <c r="K156" s="69">
        <f>D156*K$143</f>
        <v>203.3200992046707</v>
      </c>
      <c r="L156" s="69">
        <f>E156*K$144</f>
        <v>880.12240016468149</v>
      </c>
      <c r="M156" s="69">
        <f t="shared" si="77"/>
        <v>12224.319045565664</v>
      </c>
      <c r="N156" s="85">
        <f t="shared" si="81"/>
        <v>13307.761544935016</v>
      </c>
    </row>
    <row r="157" spans="1:14">
      <c r="A157" t="s">
        <v>93</v>
      </c>
      <c r="B157" s="641"/>
      <c r="C157" s="168" t="s">
        <v>83</v>
      </c>
      <c r="D157" s="69">
        <f>U12/$G$143</f>
        <v>492.36425339366514</v>
      </c>
      <c r="E157" s="69">
        <f>U12/$G$144</f>
        <v>2644.4193061840119</v>
      </c>
      <c r="F157" s="69">
        <f t="shared" si="82"/>
        <v>1829.4683257918552</v>
      </c>
      <c r="G157" s="69">
        <f>U12/$G$145</f>
        <v>26912.123677786818</v>
      </c>
      <c r="H157" s="76">
        <f t="shared" si="80"/>
        <v>30048.907237364496</v>
      </c>
      <c r="I157" s="644"/>
      <c r="J157" s="45" t="s">
        <v>83</v>
      </c>
      <c r="K157" s="69">
        <f t="shared" si="75"/>
        <v>169.43341600389226</v>
      </c>
      <c r="L157" s="69">
        <f t="shared" si="76"/>
        <v>733.43533347056791</v>
      </c>
      <c r="M157" s="69">
        <f t="shared" si="77"/>
        <v>10186.932537971388</v>
      </c>
      <c r="N157" s="85">
        <f t="shared" si="81"/>
        <v>11089.801287445849</v>
      </c>
    </row>
    <row r="158" spans="1:14">
      <c r="A158" t="s">
        <v>93</v>
      </c>
      <c r="B158" s="641"/>
      <c r="C158" s="166" t="s">
        <v>84</v>
      </c>
      <c r="D158" s="69">
        <f t="shared" ref="D158:D159" si="83">U13/$D$143</f>
        <v>518.7586837294333</v>
      </c>
      <c r="E158" s="69">
        <f t="shared" si="78"/>
        <v>2733.2084095063983</v>
      </c>
      <c r="F158" s="69">
        <f>(D158+E158)*$D$146</f>
        <v>1887.0493601462524</v>
      </c>
      <c r="G158" s="69">
        <f t="shared" si="79"/>
        <v>30253.607142857141</v>
      </c>
      <c r="H158" s="76">
        <f t="shared" si="80"/>
        <v>33505.574236092973</v>
      </c>
      <c r="I158" s="644"/>
      <c r="J158" s="45" t="s">
        <v>84</v>
      </c>
      <c r="K158" s="69">
        <f t="shared" si="75"/>
        <v>178.51632253994075</v>
      </c>
      <c r="L158" s="69">
        <f t="shared" si="76"/>
        <v>758.06118060892481</v>
      </c>
      <c r="M158" s="69">
        <f t="shared" si="77"/>
        <v>11451.770164424268</v>
      </c>
      <c r="N158" s="85">
        <f t="shared" si="81"/>
        <v>12388.347667573133</v>
      </c>
    </row>
    <row r="159" spans="1:14">
      <c r="A159" t="s">
        <v>93</v>
      </c>
      <c r="B159" s="641"/>
      <c r="C159" s="166" t="s">
        <v>85</v>
      </c>
      <c r="D159" s="69">
        <f t="shared" si="83"/>
        <v>569.36928702010971</v>
      </c>
      <c r="E159" s="69">
        <f t="shared" si="78"/>
        <v>2999.8628884826326</v>
      </c>
      <c r="F159" s="69">
        <f>(D159+E159)*$D$146</f>
        <v>2071.1517367458869</v>
      </c>
      <c r="G159" s="69">
        <f>U14/$D$145</f>
        <v>33205.178571428572</v>
      </c>
      <c r="H159" s="76">
        <f t="shared" si="80"/>
        <v>36774.410746931317</v>
      </c>
      <c r="I159" s="644"/>
      <c r="J159" s="45" t="s">
        <v>85</v>
      </c>
      <c r="K159" s="69">
        <f t="shared" si="75"/>
        <v>195.93254912920327</v>
      </c>
      <c r="L159" s="69">
        <f t="shared" si="76"/>
        <v>832.01836896101509</v>
      </c>
      <c r="M159" s="69">
        <f t="shared" si="77"/>
        <v>12569.016034124199</v>
      </c>
      <c r="N159" s="85">
        <f t="shared" si="81"/>
        <v>13596.966952214418</v>
      </c>
    </row>
    <row r="160" spans="1:14" ht="17" thickBot="1">
      <c r="B160" s="642"/>
      <c r="C160" s="77" t="s">
        <v>24</v>
      </c>
      <c r="D160" s="78">
        <f>SUM(D148:D159)</f>
        <v>5583.8344114751781</v>
      </c>
      <c r="E160" s="78">
        <f>SUM(E148:E159)</f>
        <v>29700.154080532506</v>
      </c>
      <c r="F160" s="78">
        <f>SUM(F148:F159)</f>
        <v>20526.190338911547</v>
      </c>
      <c r="G160" s="78">
        <f>SUM(G148:G159)</f>
        <v>315595.96591305354</v>
      </c>
      <c r="H160" s="79">
        <f>SUM(H148:H159)</f>
        <v>350879.95440506126</v>
      </c>
      <c r="I160" s="645"/>
      <c r="J160" s="77" t="s">
        <v>24</v>
      </c>
      <c r="K160" s="78">
        <f>SUM(K148:K159)</f>
        <v>1921.5207688521755</v>
      </c>
      <c r="L160" s="78">
        <f>SUM(L148:L159)</f>
        <v>8237.4010661782813</v>
      </c>
      <c r="M160" s="78">
        <f>SUM(M148:M159)</f>
        <v>119461.20835739945</v>
      </c>
      <c r="N160" s="79">
        <f>SUM(K160:M160)</f>
        <v>129620.1301924299</v>
      </c>
    </row>
    <row r="161" spans="1:14" ht="17" thickBot="1"/>
    <row r="162" spans="1:14" ht="17" thickBot="1">
      <c r="B162" s="640" t="s">
        <v>89</v>
      </c>
      <c r="C162" s="632" t="s">
        <v>180</v>
      </c>
      <c r="D162" s="633"/>
      <c r="E162" s="634" t="s">
        <v>181</v>
      </c>
      <c r="F162" s="635"/>
      <c r="G162" s="636"/>
      <c r="H162" s="164" t="s">
        <v>198</v>
      </c>
      <c r="I162" s="165"/>
      <c r="J162" s="164" t="s">
        <v>183</v>
      </c>
      <c r="K162" s="165"/>
    </row>
    <row r="163" spans="1:14">
      <c r="B163" s="641"/>
      <c r="C163" s="60" t="s">
        <v>185</v>
      </c>
      <c r="D163" s="61">
        <f>'Historic Data'!R6/'Historic Data'!DD6</f>
        <v>0.46816079686944145</v>
      </c>
      <c r="E163" s="60" t="s">
        <v>185</v>
      </c>
      <c r="G163" s="61">
        <f>'Historic Data'!R7/'Historic Data'!DD7</f>
        <v>0.4001712328767123</v>
      </c>
      <c r="H163" s="60" t="s">
        <v>186</v>
      </c>
      <c r="I163" s="65">
        <v>0.67</v>
      </c>
      <c r="J163" s="60" t="s">
        <v>186</v>
      </c>
      <c r="K163" s="66">
        <f>I163/$I$166</f>
        <v>0.33462945645504066</v>
      </c>
    </row>
    <row r="164" spans="1:14">
      <c r="B164" s="641"/>
      <c r="C164" s="60" t="s">
        <v>187</v>
      </c>
      <c r="D164" s="61">
        <f>'Historic Data'!R6/'Historic Data'!DP6</f>
        <v>7.2904548224475105E-2</v>
      </c>
      <c r="E164" s="60" t="s">
        <v>187</v>
      </c>
      <c r="G164" s="61">
        <f>'Historic Data'!R7/'Historic Data'!DP7</f>
        <v>5.7588526650402899E-2</v>
      </c>
      <c r="H164" s="60" t="s">
        <v>188</v>
      </c>
      <c r="I164" s="65">
        <v>0.54</v>
      </c>
      <c r="J164" s="60" t="s">
        <v>188</v>
      </c>
      <c r="K164" s="66">
        <f>I164/$I$166</f>
        <v>0.26970135296376407</v>
      </c>
    </row>
    <row r="165" spans="1:14">
      <c r="B165" s="641"/>
      <c r="C165" s="60" t="s">
        <v>200</v>
      </c>
      <c r="D165" s="62">
        <f>'Historic Data'!F6/'Historic Data'!BS6</f>
        <v>4.2560588406245839E-3</v>
      </c>
      <c r="E165" s="60" t="s">
        <v>200</v>
      </c>
      <c r="G165" s="62">
        <f>'Historic Data'!F7/'Historic Data'!BS7</f>
        <v>4.2824794036555045E-3</v>
      </c>
      <c r="H165" s="60" t="s">
        <v>205</v>
      </c>
      <c r="I165" s="86">
        <v>0.79221464989295798</v>
      </c>
      <c r="J165" s="60" t="s">
        <v>7</v>
      </c>
      <c r="K165" s="66">
        <f>I165/$I$166</f>
        <v>0.39566919058119526</v>
      </c>
    </row>
    <row r="166" spans="1:14" ht="17" thickBot="1">
      <c r="B166" s="641"/>
      <c r="C166" s="433" t="s">
        <v>190</v>
      </c>
      <c r="D166" s="227">
        <f>'Historic Data'!CF6/'Historic Data'!CR6</f>
        <v>0.65060876234301601</v>
      </c>
      <c r="E166" s="433" t="s">
        <v>190</v>
      </c>
      <c r="F166" s="437"/>
      <c r="G166" s="227">
        <f>'Historic Data'!CF7/'Historic Data'!CR7</f>
        <v>0.69746450959694961</v>
      </c>
      <c r="H166" s="63" t="s">
        <v>24</v>
      </c>
      <c r="I166" s="87">
        <f>SUM(I163:I165)</f>
        <v>2.0022146498929581</v>
      </c>
      <c r="J166" s="63" t="s">
        <v>24</v>
      </c>
      <c r="K166" s="67">
        <f>SUM(K163:K165)</f>
        <v>1</v>
      </c>
    </row>
    <row r="167" spans="1:14" ht="17" thickBot="1">
      <c r="B167" s="641"/>
      <c r="C167" s="70" t="str">
        <f>B162</f>
        <v>G80</v>
      </c>
      <c r="D167" s="71" t="s">
        <v>202</v>
      </c>
      <c r="E167" s="71" t="s">
        <v>203</v>
      </c>
      <c r="F167" s="71" t="s">
        <v>194</v>
      </c>
      <c r="G167" s="71" t="s">
        <v>7</v>
      </c>
      <c r="H167" s="72" t="s">
        <v>24</v>
      </c>
      <c r="I167" s="643" t="s">
        <v>195</v>
      </c>
      <c r="J167" s="70" t="s">
        <v>183</v>
      </c>
      <c r="K167" s="71" t="s">
        <v>202</v>
      </c>
      <c r="L167" s="71" t="s">
        <v>203</v>
      </c>
      <c r="M167" s="71" t="s">
        <v>7</v>
      </c>
      <c r="N167" s="72" t="s">
        <v>24</v>
      </c>
    </row>
    <row r="168" spans="1:14">
      <c r="A168" t="s">
        <v>89</v>
      </c>
      <c r="B168" s="641"/>
      <c r="C168" s="167" t="s">
        <v>74</v>
      </c>
      <c r="D168" s="69">
        <f>R3/$G$163</f>
        <v>649.72186563970911</v>
      </c>
      <c r="E168" s="69">
        <f>R3/$G$164</f>
        <v>4514.7881899871627</v>
      </c>
      <c r="F168" s="155">
        <f>(D168+E168)*$G$166</f>
        <v>3602.062473256311</v>
      </c>
      <c r="G168" s="69">
        <f>R3/$G$165</f>
        <v>60712.492809204225</v>
      </c>
      <c r="H168" s="75">
        <f>D168+E168+G168</f>
        <v>65877.002864831098</v>
      </c>
      <c r="I168" s="644"/>
      <c r="J168" s="73" t="s">
        <v>74</v>
      </c>
      <c r="K168" s="74">
        <f t="shared" ref="K168:K179" si="84">D168*K$163</f>
        <v>217.41607474597083</v>
      </c>
      <c r="L168" s="74">
        <f t="shared" ref="L168:L179" si="85">E168*K$164</f>
        <v>1217.6444831843612</v>
      </c>
      <c r="M168" s="74">
        <f t="shared" ref="M168:M179" si="86">G168*K$165</f>
        <v>24022.062887984473</v>
      </c>
      <c r="N168" s="84">
        <f>SUM(K168:M168)</f>
        <v>25457.123445914804</v>
      </c>
    </row>
    <row r="169" spans="1:14">
      <c r="A169" t="s">
        <v>89</v>
      </c>
      <c r="B169" s="641"/>
      <c r="C169" s="168" t="s">
        <v>75</v>
      </c>
      <c r="D169" s="69">
        <f>R4/$G$163</f>
        <v>649.72186563970911</v>
      </c>
      <c r="E169" s="69">
        <f>R4/$G$164</f>
        <v>4514.7881899871627</v>
      </c>
      <c r="F169" s="69">
        <f>(D169+E169)*$G$166</f>
        <v>3602.062473256311</v>
      </c>
      <c r="G169" s="69">
        <f>R4/$G$165</f>
        <v>60712.492809204225</v>
      </c>
      <c r="H169" s="76">
        <f>D169+E169+G169</f>
        <v>65877.002864831098</v>
      </c>
      <c r="I169" s="644"/>
      <c r="J169" s="45" t="s">
        <v>75</v>
      </c>
      <c r="K169" s="69">
        <f t="shared" si="84"/>
        <v>217.41607474597083</v>
      </c>
      <c r="L169" s="69">
        <f t="shared" si="85"/>
        <v>1217.6444831843612</v>
      </c>
      <c r="M169" s="69">
        <f t="shared" si="86"/>
        <v>24022.062887984473</v>
      </c>
      <c r="N169" s="85">
        <f>SUM(K169:M169)</f>
        <v>25457.123445914804</v>
      </c>
    </row>
    <row r="170" spans="1:14">
      <c r="A170" t="s">
        <v>89</v>
      </c>
      <c r="B170" s="641"/>
      <c r="C170" s="166" t="s">
        <v>76</v>
      </c>
      <c r="D170" s="69">
        <f t="shared" ref="D170:D179" si="87">R5/$D$163</f>
        <v>790.32674772036478</v>
      </c>
      <c r="E170" s="69">
        <f t="shared" ref="E170:E179" si="88">R5/$D$164</f>
        <v>5075.1291793313067</v>
      </c>
      <c r="F170" s="69">
        <f>(D170+E170)*$D$166</f>
        <v>3816.1170212765956</v>
      </c>
      <c r="G170" s="69">
        <f t="shared" ref="G170:G175" si="89">R5/$D$165</f>
        <v>86934.888321633698</v>
      </c>
      <c r="H170" s="76">
        <f t="shared" ref="H170:H179" si="90">D170+E170+G170</f>
        <v>92800.344248685375</v>
      </c>
      <c r="I170" s="644"/>
      <c r="J170" s="45" t="s">
        <v>76</v>
      </c>
      <c r="K170" s="69">
        <f t="shared" si="84"/>
        <v>264.4666100115457</v>
      </c>
      <c r="L170" s="69">
        <f t="shared" si="85"/>
        <v>1368.7692061315311</v>
      </c>
      <c r="M170" s="69">
        <f t="shared" si="86"/>
        <v>34397.456895487412</v>
      </c>
      <c r="N170" s="85">
        <f t="shared" ref="N170:N179" si="91">SUM(K170:M170)</f>
        <v>36030.692711630487</v>
      </c>
    </row>
    <row r="171" spans="1:14">
      <c r="A171" t="s">
        <v>89</v>
      </c>
      <c r="B171" s="641"/>
      <c r="C171" s="168" t="s">
        <v>77</v>
      </c>
      <c r="D171" s="69">
        <f>R6/$G$163</f>
        <v>762.1737270004279</v>
      </c>
      <c r="E171" s="69">
        <f>R6/$G$164</f>
        <v>5296.1938382541721</v>
      </c>
      <c r="F171" s="69">
        <f t="shared" ref="F171:F176" si="92">(D171+E171)*$G$166</f>
        <v>4225.4963628583655</v>
      </c>
      <c r="G171" s="69">
        <f>R6/$G$165</f>
        <v>71220.424256951112</v>
      </c>
      <c r="H171" s="76">
        <f t="shared" si="90"/>
        <v>77278.791822205705</v>
      </c>
      <c r="I171" s="644"/>
      <c r="J171" s="45" t="s">
        <v>77</v>
      </c>
      <c r="K171" s="69">
        <f t="shared" si="84"/>
        <v>255.04577999046575</v>
      </c>
      <c r="L171" s="69">
        <f t="shared" si="85"/>
        <v>1428.3906437355008</v>
      </c>
      <c r="M171" s="69">
        <f t="shared" si="86"/>
        <v>28179.727618597171</v>
      </c>
      <c r="N171" s="85">
        <f t="shared" si="91"/>
        <v>29863.164042323137</v>
      </c>
    </row>
    <row r="172" spans="1:14">
      <c r="A172" t="s">
        <v>89</v>
      </c>
      <c r="B172" s="641"/>
      <c r="C172" s="168" t="s">
        <v>78</v>
      </c>
      <c r="D172" s="69">
        <f>R7/$G$163</f>
        <v>799.65768078733424</v>
      </c>
      <c r="E172" s="69">
        <f>R7/$G$164</f>
        <v>5556.6623876765079</v>
      </c>
      <c r="F172" s="69">
        <f t="shared" si="92"/>
        <v>4433.3076593923834</v>
      </c>
      <c r="G172" s="69">
        <f>R7/$G$165</f>
        <v>74723.068072866736</v>
      </c>
      <c r="H172" s="76">
        <f t="shared" si="90"/>
        <v>81079.388141330579</v>
      </c>
      <c r="I172" s="644"/>
      <c r="J172" s="45" t="s">
        <v>78</v>
      </c>
      <c r="K172" s="69">
        <f t="shared" si="84"/>
        <v>267.58901507196407</v>
      </c>
      <c r="L172" s="69">
        <f t="shared" si="85"/>
        <v>1498.639363919214</v>
      </c>
      <c r="M172" s="69">
        <f t="shared" si="86"/>
        <v>29565.615862134735</v>
      </c>
      <c r="N172" s="85">
        <f t="shared" si="91"/>
        <v>31331.844241125913</v>
      </c>
    </row>
    <row r="173" spans="1:14">
      <c r="A173" t="s">
        <v>89</v>
      </c>
      <c r="B173" s="641"/>
      <c r="C173" s="168" t="s">
        <v>79</v>
      </c>
      <c r="D173" s="69">
        <f>R8/$G$163</f>
        <v>749.6790757381259</v>
      </c>
      <c r="E173" s="69">
        <f>R8/$G$164</f>
        <v>5209.3709884467262</v>
      </c>
      <c r="F173" s="69">
        <f t="shared" si="92"/>
        <v>4156.2259306803589</v>
      </c>
      <c r="G173" s="69">
        <f>R8/$G$165</f>
        <v>70052.87631831257</v>
      </c>
      <c r="H173" s="76">
        <f t="shared" si="90"/>
        <v>76011.926382497419</v>
      </c>
      <c r="I173" s="644"/>
      <c r="J173" s="45" t="s">
        <v>79</v>
      </c>
      <c r="K173" s="69">
        <f t="shared" si="84"/>
        <v>250.86470162996633</v>
      </c>
      <c r="L173" s="69">
        <f t="shared" si="85"/>
        <v>1404.9744036742629</v>
      </c>
      <c r="M173" s="69">
        <f t="shared" si="86"/>
        <v>27717.764870751318</v>
      </c>
      <c r="N173" s="85">
        <f t="shared" si="91"/>
        <v>29373.603976055547</v>
      </c>
    </row>
    <row r="174" spans="1:14">
      <c r="A174" t="s">
        <v>89</v>
      </c>
      <c r="B174" s="641"/>
      <c r="C174" s="256" t="s">
        <v>80</v>
      </c>
      <c r="D174" s="69">
        <f>R9/$D$163</f>
        <v>576.72492401215811</v>
      </c>
      <c r="E174" s="69">
        <f>R9/$D$164</f>
        <v>3703.4726443768996</v>
      </c>
      <c r="F174" s="69">
        <f>(D174+E174)*$D$166</f>
        <v>2784.7340425531916</v>
      </c>
      <c r="G174" s="69">
        <f>R9/$D$165</f>
        <v>63438.972559029993</v>
      </c>
      <c r="H174" s="76">
        <f t="shared" si="90"/>
        <v>67719.170127419056</v>
      </c>
      <c r="I174" s="644"/>
      <c r="J174" s="45" t="s">
        <v>80</v>
      </c>
      <c r="K174" s="69">
        <f t="shared" si="84"/>
        <v>192.98914784626311</v>
      </c>
      <c r="L174" s="69">
        <f t="shared" si="85"/>
        <v>998.83158285273885</v>
      </c>
      <c r="M174" s="69">
        <f t="shared" si="86"/>
        <v>25100.846923734054</v>
      </c>
      <c r="N174" s="85">
        <f t="shared" si="91"/>
        <v>26292.667654433055</v>
      </c>
    </row>
    <row r="175" spans="1:14">
      <c r="A175" t="s">
        <v>89</v>
      </c>
      <c r="B175" s="641"/>
      <c r="C175" s="166" t="s">
        <v>81</v>
      </c>
      <c r="D175" s="69">
        <f t="shared" si="87"/>
        <v>640.80547112462011</v>
      </c>
      <c r="E175" s="69">
        <f t="shared" si="88"/>
        <v>4114.9696048632213</v>
      </c>
      <c r="F175" s="69">
        <f>(D175+E175)*$D$166</f>
        <v>3094.1489361702124</v>
      </c>
      <c r="G175" s="69">
        <f t="shared" si="89"/>
        <v>70487.7472878111</v>
      </c>
      <c r="H175" s="76">
        <f t="shared" si="90"/>
        <v>75243.52236379894</v>
      </c>
      <c r="I175" s="644"/>
      <c r="J175" s="45" t="s">
        <v>81</v>
      </c>
      <c r="K175" s="69">
        <f t="shared" si="84"/>
        <v>214.43238649584788</v>
      </c>
      <c r="L175" s="69">
        <f t="shared" si="85"/>
        <v>1109.8128698363764</v>
      </c>
      <c r="M175" s="69">
        <f t="shared" si="86"/>
        <v>27889.829915260059</v>
      </c>
      <c r="N175" s="85">
        <f t="shared" si="91"/>
        <v>29214.075171592285</v>
      </c>
    </row>
    <row r="176" spans="1:14">
      <c r="A176" t="s">
        <v>89</v>
      </c>
      <c r="B176" s="641"/>
      <c r="C176" s="168" t="s">
        <v>82</v>
      </c>
      <c r="D176" s="69">
        <f>R11/$G$163</f>
        <v>862.1309370988447</v>
      </c>
      <c r="E176" s="69">
        <f>R11/$G$164</f>
        <v>5990.7766367137356</v>
      </c>
      <c r="F176" s="69">
        <f t="shared" si="92"/>
        <v>4779.6598202824134</v>
      </c>
      <c r="G176" s="69">
        <f>R11/$G$165</f>
        <v>80560.807766059443</v>
      </c>
      <c r="H176" s="76">
        <f t="shared" si="90"/>
        <v>87413.715339872026</v>
      </c>
      <c r="I176" s="644"/>
      <c r="J176" s="45" t="s">
        <v>82</v>
      </c>
      <c r="K176" s="69">
        <f t="shared" si="84"/>
        <v>288.49440687446128</v>
      </c>
      <c r="L176" s="69">
        <f t="shared" si="85"/>
        <v>1615.7205642254025</v>
      </c>
      <c r="M176" s="69">
        <f>G176*K$165</f>
        <v>31875.429601364009</v>
      </c>
      <c r="N176" s="85">
        <f t="shared" si="91"/>
        <v>33779.644572463876</v>
      </c>
    </row>
    <row r="177" spans="1:14">
      <c r="A177" t="s">
        <v>89</v>
      </c>
      <c r="B177" s="641"/>
      <c r="C177" s="168" t="s">
        <v>83</v>
      </c>
      <c r="D177" s="69">
        <f>R12/$G$163</f>
        <v>924.60419341035526</v>
      </c>
      <c r="E177" s="69">
        <f>R12/$G$164</f>
        <v>6424.8908857509623</v>
      </c>
      <c r="F177" s="69">
        <f>(D177+E177)*$G$166</f>
        <v>5126.0119811724426</v>
      </c>
      <c r="G177" s="69">
        <f>R12/$G$165</f>
        <v>86398.547459252164</v>
      </c>
      <c r="H177" s="76">
        <f t="shared" si="90"/>
        <v>93748.042538413487</v>
      </c>
      <c r="I177" s="644"/>
      <c r="J177" s="45" t="s">
        <v>83</v>
      </c>
      <c r="K177" s="69">
        <f t="shared" si="84"/>
        <v>309.39979867695848</v>
      </c>
      <c r="L177" s="69">
        <f t="shared" si="85"/>
        <v>1732.8017645315911</v>
      </c>
      <c r="M177" s="69">
        <f t="shared" si="86"/>
        <v>34185.24334059329</v>
      </c>
      <c r="N177" s="85">
        <f t="shared" si="91"/>
        <v>36227.444903801836</v>
      </c>
    </row>
    <row r="178" spans="1:14">
      <c r="A178" t="s">
        <v>89</v>
      </c>
      <c r="B178" s="641"/>
      <c r="C178" s="166" t="s">
        <v>84</v>
      </c>
      <c r="D178" s="69">
        <f t="shared" si="87"/>
        <v>726.24620060790278</v>
      </c>
      <c r="E178" s="69">
        <f t="shared" si="88"/>
        <v>4663.632218844984</v>
      </c>
      <c r="F178" s="69">
        <f>(D178+E178)*$D$166</f>
        <v>3506.7021276595742</v>
      </c>
      <c r="G178" s="69">
        <f>R13/$D$165</f>
        <v>79886.113592852591</v>
      </c>
      <c r="H178" s="76">
        <f t="shared" si="90"/>
        <v>85275.992012305476</v>
      </c>
      <c r="I178" s="644"/>
      <c r="J178" s="45" t="s">
        <v>84</v>
      </c>
      <c r="K178" s="69">
        <f t="shared" si="84"/>
        <v>243.02337136196093</v>
      </c>
      <c r="L178" s="69">
        <f t="shared" si="85"/>
        <v>1257.7879191478933</v>
      </c>
      <c r="M178" s="69">
        <f t="shared" si="86"/>
        <v>31608.473903961407</v>
      </c>
      <c r="N178" s="85">
        <f t="shared" si="91"/>
        <v>33109.28519447126</v>
      </c>
    </row>
    <row r="179" spans="1:14">
      <c r="A179" t="s">
        <v>89</v>
      </c>
      <c r="B179" s="641"/>
      <c r="C179" s="166" t="s">
        <v>85</v>
      </c>
      <c r="D179" s="69">
        <f t="shared" si="87"/>
        <v>918.48784194528878</v>
      </c>
      <c r="E179" s="69">
        <f t="shared" si="88"/>
        <v>5898.1231003039511</v>
      </c>
      <c r="F179" s="69">
        <f>(D179+E179)*$D$166</f>
        <v>4434.9468085106382</v>
      </c>
      <c r="G179" s="69">
        <f>R14/$D$165</f>
        <v>101032.43777919593</v>
      </c>
      <c r="H179" s="76">
        <f t="shared" si="90"/>
        <v>107849.04872144517</v>
      </c>
      <c r="I179" s="644"/>
      <c r="J179" s="45" t="s">
        <v>85</v>
      </c>
      <c r="K179" s="69">
        <f t="shared" si="84"/>
        <v>307.3530873107153</v>
      </c>
      <c r="L179" s="69">
        <f t="shared" si="85"/>
        <v>1590.7317800988064</v>
      </c>
      <c r="M179" s="69">
        <f t="shared" si="86"/>
        <v>39975.422878539423</v>
      </c>
      <c r="N179" s="85">
        <f t="shared" si="91"/>
        <v>41873.507745948948</v>
      </c>
    </row>
    <row r="180" spans="1:14" ht="17" thickBot="1">
      <c r="B180" s="642"/>
      <c r="C180" s="77" t="s">
        <v>24</v>
      </c>
      <c r="D180" s="78">
        <f>SUM(D168:D179)</f>
        <v>9050.28053072484</v>
      </c>
      <c r="E180" s="78">
        <f>SUM(E168:E179)</f>
        <v>60962.797864536784</v>
      </c>
      <c r="F180" s="78">
        <f>SUM(F168:F179)</f>
        <v>47561.475637068797</v>
      </c>
      <c r="G180" s="78">
        <f>SUM(G168:G179)</f>
        <v>906160.86903237388</v>
      </c>
      <c r="H180" s="79">
        <f>SUM(H168:H179)</f>
        <v>976173.94742763543</v>
      </c>
      <c r="I180" s="645"/>
      <c r="J180" s="77" t="s">
        <v>24</v>
      </c>
      <c r="K180" s="78">
        <f>SUM(K168:K179)</f>
        <v>3028.4904547620904</v>
      </c>
      <c r="L180" s="78">
        <f>SUM(L168:L179)</f>
        <v>16441.749064522039</v>
      </c>
      <c r="M180" s="78">
        <f>SUM(M168:M179)</f>
        <v>358539.93758639187</v>
      </c>
      <c r="N180" s="79">
        <f>SUM(K180:M180)</f>
        <v>378010.17710567598</v>
      </c>
    </row>
    <row r="181" spans="1:14" ht="17" thickBot="1"/>
    <row r="182" spans="1:14" ht="17" thickBot="1">
      <c r="B182" s="640" t="s">
        <v>92</v>
      </c>
      <c r="C182" s="632" t="s">
        <v>180</v>
      </c>
      <c r="D182" s="633"/>
      <c r="E182" s="634" t="s">
        <v>181</v>
      </c>
      <c r="F182" s="635"/>
      <c r="G182" s="636"/>
      <c r="H182" s="164" t="s">
        <v>198</v>
      </c>
      <c r="I182" s="165"/>
      <c r="J182" s="164" t="s">
        <v>183</v>
      </c>
      <c r="K182" s="165"/>
    </row>
    <row r="183" spans="1:14">
      <c r="B183" s="641"/>
      <c r="C183" s="60" t="s">
        <v>185</v>
      </c>
      <c r="D183" s="61">
        <f>'Historic Data'!S6/'Historic Data'!DF6</f>
        <v>0.38988919667590027</v>
      </c>
      <c r="E183" s="60" t="s">
        <v>185</v>
      </c>
      <c r="G183" s="61">
        <f>'Historic Data'!S7/'Historic Data'!DF7</f>
        <v>0.4047433903576983</v>
      </c>
      <c r="H183" s="60" t="s">
        <v>186</v>
      </c>
      <c r="I183" s="65">
        <v>0.67</v>
      </c>
      <c r="J183" s="60" t="s">
        <v>186</v>
      </c>
      <c r="K183" s="66">
        <f>I183/$I$186</f>
        <v>0.43677015986122797</v>
      </c>
    </row>
    <row r="184" spans="1:14">
      <c r="B184" s="641"/>
      <c r="C184" s="60" t="s">
        <v>187</v>
      </c>
      <c r="D184" s="61">
        <f>'Historic Data'!S6/'Historic Data'!DR6</f>
        <v>6.0891196192948305E-2</v>
      </c>
      <c r="E184" s="60" t="s">
        <v>187</v>
      </c>
      <c r="G184" s="61">
        <f>'Historic Data'!S7/'Historic Data'!DR7</f>
        <v>6.1055718475073316E-2</v>
      </c>
      <c r="H184" s="60" t="s">
        <v>188</v>
      </c>
      <c r="I184" s="65">
        <v>0.54</v>
      </c>
      <c r="J184" s="60" t="s">
        <v>188</v>
      </c>
      <c r="K184" s="66">
        <f>I184/$I$186</f>
        <v>0.35202371093293</v>
      </c>
    </row>
    <row r="185" spans="1:14">
      <c r="B185" s="641"/>
      <c r="C185" s="60" t="s">
        <v>200</v>
      </c>
      <c r="D185" s="62">
        <f>'Historic Data'!G6/'Historic Data'!BU6</f>
        <v>3.0898342293132356E-3</v>
      </c>
      <c r="E185" s="60" t="s">
        <v>200</v>
      </c>
      <c r="G185" s="62">
        <f>'Historic Data'!G7/'Historic Data'!BU7</f>
        <v>3.3356972132482336E-3</v>
      </c>
      <c r="H185" s="60" t="s">
        <v>205</v>
      </c>
      <c r="I185" s="86">
        <v>0.32398757875967221</v>
      </c>
      <c r="J185" s="60" t="s">
        <v>7</v>
      </c>
      <c r="K185" s="66">
        <f>I185/$I$186</f>
        <v>0.21120612920584211</v>
      </c>
    </row>
    <row r="186" spans="1:14" ht="17" thickBot="1">
      <c r="B186" s="641"/>
      <c r="C186" s="433" t="s">
        <v>190</v>
      </c>
      <c r="D186" s="227">
        <f>'Historic Data'!CH6/'Historic Data'!CT6</f>
        <v>0.59775491113189894</v>
      </c>
      <c r="E186" s="433" t="s">
        <v>190</v>
      </c>
      <c r="F186" s="437"/>
      <c r="G186" s="227">
        <f>'Historic Data'!CH7/'Historic Data'!CT7</f>
        <v>0.61833656100295586</v>
      </c>
      <c r="H186" s="63" t="s">
        <v>24</v>
      </c>
      <c r="I186" s="87">
        <f>SUM(I183:I185)</f>
        <v>1.5339875787596722</v>
      </c>
      <c r="J186" s="63" t="s">
        <v>24</v>
      </c>
      <c r="K186" s="67">
        <f>SUM(K183:K185)</f>
        <v>1</v>
      </c>
    </row>
    <row r="187" spans="1:14" ht="17" thickBot="1">
      <c r="B187" s="641"/>
      <c r="C187" s="70" t="str">
        <f>B182</f>
        <v>G90</v>
      </c>
      <c r="D187" s="71" t="s">
        <v>202</v>
      </c>
      <c r="E187" s="71" t="s">
        <v>203</v>
      </c>
      <c r="F187" s="71" t="s">
        <v>194</v>
      </c>
      <c r="G187" s="71" t="s">
        <v>7</v>
      </c>
      <c r="H187" s="72" t="s">
        <v>24</v>
      </c>
      <c r="I187" s="643" t="s">
        <v>195</v>
      </c>
      <c r="J187" s="70" t="s">
        <v>183</v>
      </c>
      <c r="K187" s="71" t="s">
        <v>202</v>
      </c>
      <c r="L187" s="71" t="s">
        <v>203</v>
      </c>
      <c r="M187" s="71" t="s">
        <v>7</v>
      </c>
      <c r="N187" s="72" t="s">
        <v>24</v>
      </c>
    </row>
    <row r="188" spans="1:14">
      <c r="A188" t="s">
        <v>92</v>
      </c>
      <c r="B188" s="641"/>
      <c r="C188" s="167" t="s">
        <v>74</v>
      </c>
      <c r="D188" s="69">
        <f>T3/$G$183</f>
        <v>271.77713736791549</v>
      </c>
      <c r="E188" s="69">
        <f>T3/$G$184</f>
        <v>1801.6330451488952</v>
      </c>
      <c r="F188" s="155">
        <f>(D188+E188)*$G$186</f>
        <v>1282.0653218059558</v>
      </c>
      <c r="G188" s="69">
        <f>T3/$G$185</f>
        <v>32976.61417322835</v>
      </c>
      <c r="H188" s="75">
        <f>D188+E188+G188</f>
        <v>35050.024355745161</v>
      </c>
      <c r="I188" s="644"/>
      <c r="J188" s="73" t="s">
        <v>74</v>
      </c>
      <c r="K188" s="74">
        <f t="shared" ref="K188:K199" si="93">D188*K$183</f>
        <v>118.70414373481137</v>
      </c>
      <c r="L188" s="74">
        <f t="shared" ref="L188:L199" si="94">E188*K$184</f>
        <v>634.21755029270912</v>
      </c>
      <c r="M188" s="74">
        <f t="shared" ref="M188:M199" si="95">G188*K$185</f>
        <v>6964.8630338420717</v>
      </c>
      <c r="N188" s="84">
        <f>SUM(K188:M188)</f>
        <v>7717.7847278695917</v>
      </c>
    </row>
    <row r="189" spans="1:14">
      <c r="A189" t="s">
        <v>92</v>
      </c>
      <c r="B189" s="641"/>
      <c r="C189" s="168" t="s">
        <v>75</v>
      </c>
      <c r="D189" s="69">
        <f>T4/$G$183</f>
        <v>296.48414985590779</v>
      </c>
      <c r="E189" s="69">
        <f>T4/$G$184</f>
        <v>1965.4178674351585</v>
      </c>
      <c r="F189" s="69">
        <f>(D189+E189)*$G$186</f>
        <v>1398.6167146974065</v>
      </c>
      <c r="G189" s="69">
        <f>T4/$G$185</f>
        <v>35974.488188976378</v>
      </c>
      <c r="H189" s="76">
        <f>D189+E189+G189</f>
        <v>38236.390206267446</v>
      </c>
      <c r="I189" s="644"/>
      <c r="J189" s="45" t="s">
        <v>75</v>
      </c>
      <c r="K189" s="69">
        <f t="shared" si="93"/>
        <v>129.49542952888513</v>
      </c>
      <c r="L189" s="69">
        <f t="shared" si="94"/>
        <v>691.87369122840994</v>
      </c>
      <c r="M189" s="69">
        <f t="shared" si="95"/>
        <v>7598.0324005549865</v>
      </c>
      <c r="N189" s="85">
        <f>SUM(K189:M189)</f>
        <v>8419.4015213122821</v>
      </c>
    </row>
    <row r="190" spans="1:14">
      <c r="A190" t="s">
        <v>92</v>
      </c>
      <c r="B190" s="641"/>
      <c r="C190" s="166" t="s">
        <v>76</v>
      </c>
      <c r="D190" s="69">
        <f t="shared" ref="D190:D199" si="96">T5/$D$183</f>
        <v>410.37300177619892</v>
      </c>
      <c r="E190" s="69">
        <f t="shared" ref="E190:E199" si="97">T5/$D$184</f>
        <v>2627.6376554174067</v>
      </c>
      <c r="F190" s="69">
        <f>(D190+E190)*$D$186</f>
        <v>1815.9857904085256</v>
      </c>
      <c r="G190" s="69">
        <f>T5/$D$185</f>
        <v>51782.71328671329</v>
      </c>
      <c r="H190" s="76">
        <f t="shared" ref="H190:H199" si="98">D190+E190+G190</f>
        <v>54820.723943906894</v>
      </c>
      <c r="I190" s="644"/>
      <c r="J190" s="45" t="s">
        <v>76</v>
      </c>
      <c r="K190" s="69">
        <f t="shared" si="93"/>
        <v>179.23868158852238</v>
      </c>
      <c r="L190" s="69">
        <f t="shared" si="94"/>
        <v>924.99075844713911</v>
      </c>
      <c r="M190" s="69">
        <f t="shared" si="95"/>
        <v>10936.826433062644</v>
      </c>
      <c r="N190" s="85">
        <f t="shared" ref="N190:N199" si="99">SUM(K190:M190)</f>
        <v>12041.055873098307</v>
      </c>
    </row>
    <row r="191" spans="1:14">
      <c r="A191" t="s">
        <v>92</v>
      </c>
      <c r="B191" s="641"/>
      <c r="C191" s="168" t="s">
        <v>77</v>
      </c>
      <c r="D191" s="69">
        <f>T6/$G$183</f>
        <v>321.19116234390009</v>
      </c>
      <c r="E191" s="69">
        <f>T6/$G$184</f>
        <v>2129.2026897214218</v>
      </c>
      <c r="F191" s="69">
        <f t="shared" ref="F191:F197" si="100">(D191+E191)*$G$186</f>
        <v>1515.1681075888569</v>
      </c>
      <c r="G191" s="69">
        <f>T6/$G$185</f>
        <v>38972.362204724413</v>
      </c>
      <c r="H191" s="76">
        <f t="shared" si="98"/>
        <v>41422.756056789738</v>
      </c>
      <c r="I191" s="644"/>
      <c r="J191" s="45" t="s">
        <v>77</v>
      </c>
      <c r="K191" s="69">
        <f t="shared" si="93"/>
        <v>140.28671532295886</v>
      </c>
      <c r="L191" s="69">
        <f t="shared" si="94"/>
        <v>749.52983216411087</v>
      </c>
      <c r="M191" s="69">
        <f t="shared" si="95"/>
        <v>8231.2017672679031</v>
      </c>
      <c r="N191" s="85">
        <f t="shared" si="99"/>
        <v>9121.0183147549724</v>
      </c>
    </row>
    <row r="192" spans="1:14">
      <c r="A192" t="s">
        <v>92</v>
      </c>
      <c r="B192" s="641"/>
      <c r="C192" s="168" t="s">
        <v>78</v>
      </c>
      <c r="D192" s="69">
        <f>T7/$G$183</f>
        <v>345.89817483189239</v>
      </c>
      <c r="E192" s="69">
        <f>T7/$G$184</f>
        <v>2292.9875120076849</v>
      </c>
      <c r="F192" s="69">
        <f t="shared" si="100"/>
        <v>1631.7195004803075</v>
      </c>
      <c r="G192" s="69">
        <f>T7/$G$185</f>
        <v>41970.236220472441</v>
      </c>
      <c r="H192" s="76">
        <f t="shared" si="98"/>
        <v>44609.121907312016</v>
      </c>
      <c r="I192" s="644"/>
      <c r="J192" s="45" t="s">
        <v>78</v>
      </c>
      <c r="K192" s="69">
        <f t="shared" si="93"/>
        <v>151.07800111703261</v>
      </c>
      <c r="L192" s="69">
        <f t="shared" si="94"/>
        <v>807.18597309981169</v>
      </c>
      <c r="M192" s="69">
        <f t="shared" si="95"/>
        <v>8864.3711339808178</v>
      </c>
      <c r="N192" s="85">
        <f t="shared" si="99"/>
        <v>9822.6351081976627</v>
      </c>
    </row>
    <row r="193" spans="1:14">
      <c r="A193" t="s">
        <v>92</v>
      </c>
      <c r="B193" s="641"/>
      <c r="C193" s="168" t="s">
        <v>79</v>
      </c>
      <c r="D193" s="69">
        <f>T8/$G$183</f>
        <v>333.54466858789624</v>
      </c>
      <c r="E193" s="69">
        <f>T8/$G$184</f>
        <v>2211.0951008645534</v>
      </c>
      <c r="F193" s="69">
        <f t="shared" si="100"/>
        <v>1573.4438040345819</v>
      </c>
      <c r="G193" s="69">
        <f>T8/$G$185</f>
        <v>40471.299212598424</v>
      </c>
      <c r="H193" s="76">
        <f t="shared" si="98"/>
        <v>43015.938982050873</v>
      </c>
      <c r="I193" s="644"/>
      <c r="J193" s="45" t="s">
        <v>79</v>
      </c>
      <c r="K193" s="69">
        <f t="shared" si="93"/>
        <v>145.68235821999573</v>
      </c>
      <c r="L193" s="69">
        <f t="shared" si="94"/>
        <v>778.35790263196122</v>
      </c>
      <c r="M193" s="69">
        <f t="shared" si="95"/>
        <v>8547.7864506243586</v>
      </c>
      <c r="N193" s="85">
        <f t="shared" si="99"/>
        <v>9471.8267114763148</v>
      </c>
    </row>
    <row r="194" spans="1:14">
      <c r="A194" t="s">
        <v>92</v>
      </c>
      <c r="B194" s="641"/>
      <c r="C194" s="256" t="s">
        <v>80</v>
      </c>
      <c r="D194" s="69">
        <f>T9/$D$183</f>
        <v>410.37300177619892</v>
      </c>
      <c r="E194" s="69">
        <f>T9/$D$184</f>
        <v>2627.6376554174067</v>
      </c>
      <c r="F194" s="69">
        <f>(D194+E194)*$D$186</f>
        <v>1815.9857904085256</v>
      </c>
      <c r="G194" s="69">
        <f>T9/$D$185</f>
        <v>51782.71328671329</v>
      </c>
      <c r="H194" s="76">
        <f t="shared" si="98"/>
        <v>54820.723943906894</v>
      </c>
      <c r="I194" s="644"/>
      <c r="J194" s="45" t="s">
        <v>80</v>
      </c>
      <c r="K194" s="69">
        <f t="shared" si="93"/>
        <v>179.23868158852238</v>
      </c>
      <c r="L194" s="69">
        <f t="shared" si="94"/>
        <v>924.99075844713911</v>
      </c>
      <c r="M194" s="69">
        <f t="shared" si="95"/>
        <v>10936.826433062644</v>
      </c>
      <c r="N194" s="85">
        <f t="shared" si="99"/>
        <v>12041.055873098307</v>
      </c>
    </row>
    <row r="195" spans="1:14">
      <c r="A195" t="s">
        <v>92</v>
      </c>
      <c r="B195" s="641"/>
      <c r="C195" s="166" t="s">
        <v>81</v>
      </c>
      <c r="D195" s="69">
        <f t="shared" si="96"/>
        <v>410.37300177619892</v>
      </c>
      <c r="E195" s="69">
        <f t="shared" si="97"/>
        <v>2627.6376554174067</v>
      </c>
      <c r="F195" s="69">
        <f>(D195+E195)*$D$186</f>
        <v>1815.9857904085256</v>
      </c>
      <c r="G195" s="69">
        <f t="shared" ref="G195:G198" si="101">T10/$D$185</f>
        <v>51782.71328671329</v>
      </c>
      <c r="H195" s="76">
        <f t="shared" si="98"/>
        <v>54820.723943906894</v>
      </c>
      <c r="I195" s="644"/>
      <c r="J195" s="45" t="s">
        <v>81</v>
      </c>
      <c r="K195" s="69">
        <f t="shared" si="93"/>
        <v>179.23868158852238</v>
      </c>
      <c r="L195" s="69">
        <f t="shared" si="94"/>
        <v>924.99075844713911</v>
      </c>
      <c r="M195" s="69">
        <f t="shared" si="95"/>
        <v>10936.826433062644</v>
      </c>
      <c r="N195" s="85">
        <f t="shared" si="99"/>
        <v>12041.055873098307</v>
      </c>
    </row>
    <row r="196" spans="1:14">
      <c r="A196" t="s">
        <v>92</v>
      </c>
      <c r="B196" s="641"/>
      <c r="C196" s="168" t="s">
        <v>82</v>
      </c>
      <c r="D196" s="69">
        <f>T11/$G$183</f>
        <v>345.89817483189239</v>
      </c>
      <c r="E196" s="69">
        <f>T11/$G$184</f>
        <v>2292.9875120076849</v>
      </c>
      <c r="F196" s="69">
        <f t="shared" si="100"/>
        <v>1631.7195004803075</v>
      </c>
      <c r="G196" s="69">
        <f>T11/$G$185</f>
        <v>41970.236220472441</v>
      </c>
      <c r="H196" s="76">
        <f t="shared" si="98"/>
        <v>44609.121907312016</v>
      </c>
      <c r="I196" s="644"/>
      <c r="J196" s="45" t="s">
        <v>82</v>
      </c>
      <c r="K196" s="69">
        <f t="shared" si="93"/>
        <v>151.07800111703261</v>
      </c>
      <c r="L196" s="69">
        <f t="shared" si="94"/>
        <v>807.18597309981169</v>
      </c>
      <c r="M196" s="69">
        <f t="shared" si="95"/>
        <v>8864.3711339808178</v>
      </c>
      <c r="N196" s="85">
        <f t="shared" si="99"/>
        <v>9822.6351081976627</v>
      </c>
    </row>
    <row r="197" spans="1:14">
      <c r="A197" t="s">
        <v>92</v>
      </c>
      <c r="B197" s="641"/>
      <c r="C197" s="168" t="s">
        <v>83</v>
      </c>
      <c r="D197" s="69">
        <f>T12/$G$183</f>
        <v>395.31219980787705</v>
      </c>
      <c r="E197" s="69">
        <f>T12/$G$184</f>
        <v>2620.5571565802111</v>
      </c>
      <c r="F197" s="69">
        <f t="shared" si="100"/>
        <v>1864.8222862632081</v>
      </c>
      <c r="G197" s="69">
        <f>T12/$G$185</f>
        <v>47965.984251968504</v>
      </c>
      <c r="H197" s="76">
        <f>D197+E197+G197</f>
        <v>50981.853608356592</v>
      </c>
      <c r="I197" s="644"/>
      <c r="J197" s="45" t="s">
        <v>83</v>
      </c>
      <c r="K197" s="69">
        <f t="shared" si="93"/>
        <v>172.66057270518016</v>
      </c>
      <c r="L197" s="69">
        <f t="shared" si="94"/>
        <v>922.49825497121321</v>
      </c>
      <c r="M197" s="69">
        <f t="shared" si="95"/>
        <v>10130.709867406647</v>
      </c>
      <c r="N197" s="85">
        <f t="shared" si="99"/>
        <v>11225.868695083042</v>
      </c>
    </row>
    <row r="198" spans="1:14">
      <c r="A198" t="s">
        <v>92</v>
      </c>
      <c r="B198" s="641"/>
      <c r="C198" s="166" t="s">
        <v>84</v>
      </c>
      <c r="D198" s="69">
        <f t="shared" si="96"/>
        <v>359.07637655417409</v>
      </c>
      <c r="E198" s="69">
        <f t="shared" si="97"/>
        <v>2299.182948490231</v>
      </c>
      <c r="F198" s="69">
        <f>(D198+E198)*$D$186</f>
        <v>1588.9875666074602</v>
      </c>
      <c r="G198" s="69">
        <f t="shared" si="101"/>
        <v>45309.874125874128</v>
      </c>
      <c r="H198" s="76">
        <f t="shared" si="98"/>
        <v>47968.133450918533</v>
      </c>
      <c r="I198" s="644"/>
      <c r="J198" s="45" t="s">
        <v>84</v>
      </c>
      <c r="K198" s="69">
        <f t="shared" si="93"/>
        <v>156.8338463899571</v>
      </c>
      <c r="L198" s="69">
        <f t="shared" si="94"/>
        <v>809.3669136412467</v>
      </c>
      <c r="M198" s="69">
        <f t="shared" si="95"/>
        <v>9569.7231289298143</v>
      </c>
      <c r="N198" s="85">
        <f t="shared" si="99"/>
        <v>10535.923888961019</v>
      </c>
    </row>
    <row r="199" spans="1:14">
      <c r="A199" t="s">
        <v>92</v>
      </c>
      <c r="B199" s="641"/>
      <c r="C199" s="166" t="s">
        <v>85</v>
      </c>
      <c r="D199" s="69">
        <f t="shared" si="96"/>
        <v>500.14209591474247</v>
      </c>
      <c r="E199" s="69">
        <f t="shared" si="97"/>
        <v>3202.4333925399642</v>
      </c>
      <c r="F199" s="69">
        <f>(D199+E199)*$D$186</f>
        <v>2213.2326820603907</v>
      </c>
      <c r="G199" s="69">
        <f>T14/$D$185</f>
        <v>63110.181818181823</v>
      </c>
      <c r="H199" s="76">
        <f t="shared" si="98"/>
        <v>66812.757306636529</v>
      </c>
      <c r="I199" s="644"/>
      <c r="J199" s="45" t="s">
        <v>85</v>
      </c>
      <c r="K199" s="69">
        <f t="shared" si="93"/>
        <v>218.44714318601169</v>
      </c>
      <c r="L199" s="69">
        <f t="shared" si="94"/>
        <v>1127.3324868574507</v>
      </c>
      <c r="M199" s="69">
        <f t="shared" si="95"/>
        <v>13329.257215295098</v>
      </c>
      <c r="N199" s="85">
        <f t="shared" si="99"/>
        <v>14675.03684533856</v>
      </c>
    </row>
    <row r="200" spans="1:14" ht="17" thickBot="1">
      <c r="B200" s="642"/>
      <c r="C200" s="77" t="s">
        <v>24</v>
      </c>
      <c r="D200" s="78">
        <f>SUM(D188:D199)</f>
        <v>4400.4431454247951</v>
      </c>
      <c r="E200" s="78">
        <f>SUM(E188:E199)</f>
        <v>28698.410191048024</v>
      </c>
      <c r="F200" s="78">
        <f>SUM(F188:F199)</f>
        <v>20147.732855244052</v>
      </c>
      <c r="G200" s="78">
        <f>SUM(G188:G199)</f>
        <v>544069.41627663677</v>
      </c>
      <c r="H200" s="79">
        <f>SUM(H188:H199)</f>
        <v>577168.26961310965</v>
      </c>
      <c r="I200" s="645"/>
      <c r="J200" s="77" t="s">
        <v>24</v>
      </c>
      <c r="K200" s="78">
        <f>SUM(K188:K199)</f>
        <v>1921.9822560874329</v>
      </c>
      <c r="L200" s="78">
        <f>SUM(L188:L199)</f>
        <v>10102.520853328142</v>
      </c>
      <c r="M200" s="78">
        <f>SUM(M188:M199)</f>
        <v>114910.79543107047</v>
      </c>
      <c r="N200" s="79">
        <f>SUM(K200:M200)</f>
        <v>126935.29854048604</v>
      </c>
    </row>
  </sheetData>
  <mergeCells count="41">
    <mergeCell ref="B82:B100"/>
    <mergeCell ref="C82:D82"/>
    <mergeCell ref="B182:B200"/>
    <mergeCell ref="C182:D182"/>
    <mergeCell ref="E182:G182"/>
    <mergeCell ref="B102:B120"/>
    <mergeCell ref="C102:D102"/>
    <mergeCell ref="B162:B180"/>
    <mergeCell ref="C162:D162"/>
    <mergeCell ref="E162:G162"/>
    <mergeCell ref="B122:B140"/>
    <mergeCell ref="C122:D122"/>
    <mergeCell ref="E122:G122"/>
    <mergeCell ref="B142:B160"/>
    <mergeCell ref="C142:D142"/>
    <mergeCell ref="I187:I200"/>
    <mergeCell ref="E142:G142"/>
    <mergeCell ref="I147:I160"/>
    <mergeCell ref="E82:G82"/>
    <mergeCell ref="I87:I100"/>
    <mergeCell ref="E102:G102"/>
    <mergeCell ref="I107:I120"/>
    <mergeCell ref="I167:I180"/>
    <mergeCell ref="I127:I140"/>
    <mergeCell ref="B42:B60"/>
    <mergeCell ref="C42:D42"/>
    <mergeCell ref="E42:G42"/>
    <mergeCell ref="I47:I60"/>
    <mergeCell ref="B62:B80"/>
    <mergeCell ref="C62:D62"/>
    <mergeCell ref="E62:G62"/>
    <mergeCell ref="I67:I80"/>
    <mergeCell ref="C2:D2"/>
    <mergeCell ref="E2:G2"/>
    <mergeCell ref="B7:B20"/>
    <mergeCell ref="I7:I20"/>
    <mergeCell ref="B22:B40"/>
    <mergeCell ref="C22:D22"/>
    <mergeCell ref="E22:G22"/>
    <mergeCell ref="I27:I40"/>
    <mergeCell ref="B2:B6"/>
  </mergeCells>
  <phoneticPr fontId="2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6077-4896-694F-9C18-486EE243D1F7}">
  <sheetPr>
    <tabColor theme="6" tint="0.59999389629810485"/>
  </sheetPr>
  <dimension ref="A1:Y190"/>
  <sheetViews>
    <sheetView topLeftCell="A19" zoomScale="120" zoomScaleNormal="120" workbookViewId="0">
      <selection activeCell="E14" sqref="E14"/>
    </sheetView>
  </sheetViews>
  <sheetFormatPr baseColWidth="10" defaultColWidth="11" defaultRowHeight="16"/>
  <cols>
    <col min="1" max="1" width="2.83203125" customWidth="1"/>
    <col min="2" max="12" width="22.83203125" customWidth="1"/>
    <col min="13" max="13" width="3.5" customWidth="1"/>
    <col min="14" max="14" width="12.83203125" bestFit="1" customWidth="1"/>
    <col min="15" max="21" width="10.83203125" customWidth="1"/>
  </cols>
  <sheetData>
    <row r="1" spans="1:25" ht="17" thickBot="1"/>
    <row r="2" spans="1:25" ht="17" thickBot="1">
      <c r="B2" s="646" t="s">
        <v>27</v>
      </c>
      <c r="C2" s="632" t="s">
        <v>180</v>
      </c>
      <c r="D2" s="650"/>
      <c r="E2" s="633"/>
      <c r="F2" s="634" t="s">
        <v>181</v>
      </c>
      <c r="G2" s="636"/>
      <c r="H2" s="164" t="s">
        <v>182</v>
      </c>
      <c r="I2" s="165"/>
      <c r="J2" s="164" t="s">
        <v>183</v>
      </c>
      <c r="K2" s="165"/>
      <c r="N2" s="237" t="s">
        <v>184</v>
      </c>
      <c r="O2" s="248" t="s">
        <v>88</v>
      </c>
      <c r="P2" s="248" t="s">
        <v>89</v>
      </c>
      <c r="Q2" s="248" t="s">
        <v>91</v>
      </c>
      <c r="R2" s="248" t="s">
        <v>92</v>
      </c>
      <c r="S2" s="248" t="s">
        <v>93</v>
      </c>
      <c r="T2" s="248" t="s">
        <v>94</v>
      </c>
      <c r="U2" s="248" t="s">
        <v>95</v>
      </c>
      <c r="V2" s="248" t="s">
        <v>108</v>
      </c>
      <c r="W2" s="248" t="s">
        <v>97</v>
      </c>
      <c r="X2" s="248" t="s">
        <v>111</v>
      </c>
      <c r="Y2" s="249" t="s">
        <v>24</v>
      </c>
    </row>
    <row r="3" spans="1:25">
      <c r="B3" s="647"/>
      <c r="C3" s="60" t="s">
        <v>52</v>
      </c>
      <c r="D3" s="651">
        <f>'Historic Data'!X6/'Historic Data'!DX6</f>
        <v>1.2027921707691909E-2</v>
      </c>
      <c r="E3" s="652"/>
      <c r="F3" s="60" t="s">
        <v>52</v>
      </c>
      <c r="G3" s="91">
        <f>'Historic Data'!X7/'Historic Data'!DX7</f>
        <v>1.1377986322387087E-2</v>
      </c>
      <c r="H3" s="60" t="s">
        <v>52</v>
      </c>
      <c r="I3" s="86">
        <v>0.68910000000000005</v>
      </c>
      <c r="J3" s="60" t="s">
        <v>52</v>
      </c>
      <c r="K3" s="61">
        <f>I3/$I$5</f>
        <v>0.75139025188092901</v>
      </c>
      <c r="N3" s="238" t="s">
        <v>74</v>
      </c>
      <c r="O3" s="236" cm="1">
        <f t="array" ref="O3">INDEX('Sales Goals'!$C$19:$Z$19, ROW(O1))</f>
        <v>560</v>
      </c>
      <c r="P3" s="236" cm="1">
        <f t="array" ref="P3">INDEX('Sales Goals'!$C$20:$Z$20, ROW(P1))</f>
        <v>260</v>
      </c>
      <c r="Q3" s="236" cm="1">
        <f t="array" ref="Q3">INDEX('Sales Goals'!$C$21:$Z$21, ROW(Q1))</f>
        <v>0</v>
      </c>
      <c r="R3" s="236" cm="1">
        <f t="array" ref="R3">INDEX('Sales Goals'!$C$22:$Z$22, ROW(R1))</f>
        <v>110</v>
      </c>
      <c r="S3" s="236" cm="1">
        <f t="array" ref="S3">INDEX('Sales Goals'!$C$23:$Z$23, ROW(S1))</f>
        <v>15</v>
      </c>
      <c r="T3" s="236" cm="1">
        <f t="array" ref="T3">INDEX('Sales Goals'!$C$24:$Z$24, ROW(T1))</f>
        <v>2090</v>
      </c>
      <c r="U3" s="236" cm="1">
        <f t="array" ref="U3">INDEX('Sales Goals'!$C$25:$Z$25, ROW(U1))</f>
        <v>20</v>
      </c>
      <c r="V3" s="236" cm="1">
        <f t="array" ref="V3">INDEX('Sales Goals'!$C$26:$Z$26, ROW(V1))</f>
        <v>290</v>
      </c>
      <c r="W3" s="236" cm="1">
        <f t="array" ref="W3">INDEX('Sales Goals'!$C$27:$Z$27, ROW(W1))</f>
        <v>1500</v>
      </c>
      <c r="X3" s="236" cm="1">
        <f t="array" ref="X3">INDEX('Sales Goals'!$C$28:$Z$28, ROW(X1))</f>
        <v>0</v>
      </c>
      <c r="Y3" s="239" cm="1">
        <f t="array" ref="Y3">INDEX('Sales Goals'!$C$30:$Z$30, ROW(Y1))</f>
        <v>4845</v>
      </c>
    </row>
    <row r="4" spans="1:25">
      <c r="B4" s="647"/>
      <c r="C4" s="60" t="s">
        <v>14</v>
      </c>
      <c r="D4" s="653">
        <f>'Historic Data'!X6/'Historic Data'!HA6</f>
        <v>4.4305490639836659E-2</v>
      </c>
      <c r="E4" s="654"/>
      <c r="F4" s="60" t="s">
        <v>14</v>
      </c>
      <c r="G4" s="91">
        <f>'Historic Data'!X7/'Historic Data'!HA7</f>
        <v>3.7651558189112012E-2</v>
      </c>
      <c r="H4" s="60" t="s">
        <v>14</v>
      </c>
      <c r="I4" s="86">
        <v>0.22800000000000001</v>
      </c>
      <c r="J4" s="60" t="s">
        <v>14</v>
      </c>
      <c r="K4" s="61">
        <f>I4/$I$5</f>
        <v>0.24860974811907099</v>
      </c>
      <c r="N4" s="240" t="s">
        <v>75</v>
      </c>
      <c r="O4" s="228" cm="1">
        <f t="array" ref="O4">INDEX('Sales Goals'!$C$19:$Z$19, ROW(O2))</f>
        <v>690</v>
      </c>
      <c r="P4" s="228" cm="1">
        <f t="array" ref="P4">INDEX('Sales Goals'!$C$20:$Z$20, ROW(P2))</f>
        <v>260</v>
      </c>
      <c r="Q4" s="228" cm="1">
        <f t="array" ref="Q4">INDEX('Sales Goals'!$C$21:$Z$21, ROW(Q2))</f>
        <v>0</v>
      </c>
      <c r="R4" s="228" cm="1">
        <f t="array" ref="R4">INDEX('Sales Goals'!$C$22:$Z$22, ROW(R2))</f>
        <v>120</v>
      </c>
      <c r="S4" s="228" cm="1">
        <f t="array" ref="S4">INDEX('Sales Goals'!$C$23:$Z$23, ROW(S2))</f>
        <v>30</v>
      </c>
      <c r="T4" s="228" cm="1">
        <f t="array" ref="T4">INDEX('Sales Goals'!$C$24:$Z$24, ROW(T2))</f>
        <v>2380</v>
      </c>
      <c r="U4" s="228" cm="1">
        <f t="array" ref="U4">INDEX('Sales Goals'!$C$25:$Z$25, ROW(U2))</f>
        <v>30</v>
      </c>
      <c r="V4" s="228" cm="1">
        <f t="array" ref="V4">INDEX('Sales Goals'!$C$26:$Z$26, ROW(V2))</f>
        <v>280</v>
      </c>
      <c r="W4" s="228" cm="1">
        <f t="array" ref="W4">INDEX('Sales Goals'!$C$27:$Z$27, ROW(W2))</f>
        <v>1560</v>
      </c>
      <c r="X4" s="228" cm="1">
        <f t="array" ref="X4">INDEX('Sales Goals'!$C$28:$Z$28, ROW(X2))</f>
        <v>0</v>
      </c>
      <c r="Y4" s="241" cm="1">
        <f t="array" ref="Y4">INDEX('Sales Goals'!$C$30:$Z$30, ROW(Y2))</f>
        <v>5350</v>
      </c>
    </row>
    <row r="5" spans="1:25" ht="17" thickBot="1">
      <c r="B5" s="648"/>
      <c r="C5" s="203" t="s">
        <v>206</v>
      </c>
      <c r="D5" s="653">
        <f>'Historic Data'!EJ6/'Historic Data'!DX6</f>
        <v>0.70451515584082758</v>
      </c>
      <c r="E5" s="654"/>
      <c r="F5" s="203" t="s">
        <v>206</v>
      </c>
      <c r="G5" s="91">
        <f>'Historic Data'!EJ7/'Historic Data'!DX7</f>
        <v>0.66246966171937371</v>
      </c>
      <c r="H5" s="63" t="s">
        <v>24</v>
      </c>
      <c r="I5" s="87">
        <f>SUM(I3:I4)</f>
        <v>0.91710000000000003</v>
      </c>
      <c r="J5" s="63" t="s">
        <v>24</v>
      </c>
      <c r="K5" s="67">
        <f>SUM(K3:K4)</f>
        <v>1</v>
      </c>
      <c r="N5" s="240" t="s">
        <v>76</v>
      </c>
      <c r="O5" s="228" cm="1">
        <f t="array" ref="O5">INDEX('Sales Goals'!$C$19:$Z$19, ROW(O3))</f>
        <v>800</v>
      </c>
      <c r="P5" s="228" cm="1">
        <f t="array" ref="P5">INDEX('Sales Goals'!$C$20:$Z$20, ROW(P3))</f>
        <v>370</v>
      </c>
      <c r="Q5" s="228" cm="1">
        <f t="array" ref="Q5">INDEX('Sales Goals'!$C$21:$Z$21, ROW(Q3))</f>
        <v>0</v>
      </c>
      <c r="R5" s="228" cm="1">
        <f t="array" ref="R5">INDEX('Sales Goals'!$C$22:$Z$22, ROW(R3))</f>
        <v>160</v>
      </c>
      <c r="S5" s="228" cm="1">
        <f t="array" ref="S5">INDEX('Sales Goals'!$C$23:$Z$23, ROW(S3))</f>
        <v>120</v>
      </c>
      <c r="T5" s="228" cm="1">
        <f t="array" ref="T5">INDEX('Sales Goals'!$C$24:$Z$24, ROW(T3))</f>
        <v>2930</v>
      </c>
      <c r="U5" s="228" cm="1">
        <f t="array" ref="U5">INDEX('Sales Goals'!$C$25:$Z$25, ROW(U3))</f>
        <v>35</v>
      </c>
      <c r="V5" s="228" cm="1">
        <f t="array" ref="V5">INDEX('Sales Goals'!$C$26:$Z$26, ROW(V3))</f>
        <v>370</v>
      </c>
      <c r="W5" s="228" cm="1">
        <f t="array" ref="W5">INDEX('Sales Goals'!$C$27:$Z$27, ROW(W3))</f>
        <v>2105</v>
      </c>
      <c r="X5" s="228" cm="1">
        <f t="array" ref="X5">INDEX('Sales Goals'!$C$28:$Z$28, ROW(X3))</f>
        <v>0</v>
      </c>
      <c r="Y5" s="241" cm="1">
        <f t="array" ref="Y5">INDEX('Sales Goals'!$C$30:$Z$30, ROW(Y3))</f>
        <v>6890</v>
      </c>
    </row>
    <row r="6" spans="1:25" ht="17" thickBot="1">
      <c r="B6" s="637" t="s">
        <v>191</v>
      </c>
      <c r="C6" s="70" t="s">
        <v>207</v>
      </c>
      <c r="D6" s="71" t="s">
        <v>52</v>
      </c>
      <c r="E6" s="71" t="s">
        <v>208</v>
      </c>
      <c r="F6" s="71" t="s">
        <v>209</v>
      </c>
      <c r="G6" s="72" t="s">
        <v>24</v>
      </c>
      <c r="H6" s="655" t="s">
        <v>195</v>
      </c>
      <c r="I6" s="70" t="s">
        <v>183</v>
      </c>
      <c r="J6" s="71" t="s">
        <v>52</v>
      </c>
      <c r="K6" s="71" t="s">
        <v>14</v>
      </c>
      <c r="L6" s="72" t="s">
        <v>24</v>
      </c>
      <c r="N6" s="240" t="s">
        <v>77</v>
      </c>
      <c r="O6" s="228" cm="1">
        <f t="array" ref="O6">INDEX('Sales Goals'!$C$19:$Z$19, ROW(O4))</f>
        <v>700</v>
      </c>
      <c r="P6" s="228" cm="1">
        <f t="array" ref="P6">INDEX('Sales Goals'!$C$20:$Z$20, ROW(P4))</f>
        <v>305</v>
      </c>
      <c r="Q6" s="228" cm="1">
        <f t="array" ref="Q6">INDEX('Sales Goals'!$C$21:$Z$21, ROW(Q4))</f>
        <v>0</v>
      </c>
      <c r="R6" s="228" cm="1">
        <f t="array" ref="R6">INDEX('Sales Goals'!$C$22:$Z$22, ROW(R4))</f>
        <v>130</v>
      </c>
      <c r="S6" s="228" cm="1">
        <f t="array" ref="S6">INDEX('Sales Goals'!$C$23:$Z$23, ROW(S4))</f>
        <v>120</v>
      </c>
      <c r="T6" s="228" cm="1">
        <f t="array" ref="T6">INDEX('Sales Goals'!$C$24:$Z$24, ROW(T4))</f>
        <v>2557</v>
      </c>
      <c r="U6" s="228" cm="1">
        <f t="array" ref="U6">INDEX('Sales Goals'!$C$25:$Z$25, ROW(U4))</f>
        <v>18</v>
      </c>
      <c r="V6" s="228" cm="1">
        <f t="array" ref="V6">INDEX('Sales Goals'!$C$26:$Z$26, ROW(V4))</f>
        <v>310</v>
      </c>
      <c r="W6" s="228" cm="1">
        <f t="array" ref="W6">INDEX('Sales Goals'!$C$27:$Z$27, ROW(W4))</f>
        <v>1700</v>
      </c>
      <c r="X6" s="228" cm="1">
        <f t="array" ref="X6">INDEX('Sales Goals'!$C$28:$Z$28, ROW(X4))</f>
        <v>0</v>
      </c>
      <c r="Y6" s="241" cm="1">
        <f t="array" ref="Y6">INDEX('Sales Goals'!$C$30:$Z$30, ROW(Y4))</f>
        <v>5840</v>
      </c>
    </row>
    <row r="7" spans="1:25" ht="17" customHeight="1">
      <c r="A7" t="s">
        <v>27</v>
      </c>
      <c r="B7" s="638"/>
      <c r="C7" s="262" t="s">
        <v>74</v>
      </c>
      <c r="D7" s="172">
        <f>Y3/$G$3</f>
        <v>425822.27317913715</v>
      </c>
      <c r="E7" s="172">
        <f>D7*$G$5</f>
        <v>282094.33726555773</v>
      </c>
      <c r="F7" s="511">
        <f>SUM(F45,F64,F83,F102,F121,F140,F159,F178)</f>
        <v>65770.631430934358</v>
      </c>
      <c r="G7" s="212">
        <f>D7+F7</f>
        <v>491592.90461007151</v>
      </c>
      <c r="H7" s="656"/>
      <c r="I7" s="92" t="s">
        <v>74</v>
      </c>
      <c r="J7" s="95">
        <f>D7*$K3</f>
        <v>319958.70510058163</v>
      </c>
      <c r="K7" s="80">
        <f>F7*$K$4</f>
        <v>16351.220113676845</v>
      </c>
      <c r="L7" s="75">
        <f t="shared" ref="L7:L18" si="0">SUM(J7:K7)</f>
        <v>336309.92521425849</v>
      </c>
      <c r="N7" s="240" t="s">
        <v>78</v>
      </c>
      <c r="O7" s="228" cm="1">
        <f t="array" ref="O7">INDEX('Sales Goals'!$C$19:$Z$19, ROW(O5))</f>
        <v>780</v>
      </c>
      <c r="P7" s="228" cm="1">
        <f t="array" ref="P7">INDEX('Sales Goals'!$C$20:$Z$20, ROW(P5))</f>
        <v>320</v>
      </c>
      <c r="Q7" s="228" cm="1">
        <f t="array" ref="Q7">INDEX('Sales Goals'!$C$21:$Z$21, ROW(Q5))</f>
        <v>0</v>
      </c>
      <c r="R7" s="228" cm="1">
        <f t="array" ref="R7">INDEX('Sales Goals'!$C$22:$Z$22, ROW(R5))</f>
        <v>140</v>
      </c>
      <c r="S7" s="228" cm="1">
        <f t="array" ref="S7">INDEX('Sales Goals'!$C$23:$Z$23, ROW(S5))</f>
        <v>132</v>
      </c>
      <c r="T7" s="228" cm="1">
        <f t="array" ref="T7">INDEX('Sales Goals'!$C$24:$Z$24, ROW(T5))</f>
        <v>2900</v>
      </c>
      <c r="U7" s="228" cm="1">
        <f t="array" ref="U7">INDEX('Sales Goals'!$C$25:$Z$25, ROW(U5))</f>
        <v>18</v>
      </c>
      <c r="V7" s="228" cm="1">
        <f t="array" ref="V7">INDEX('Sales Goals'!$C$26:$Z$26, ROW(V5))</f>
        <v>360</v>
      </c>
      <c r="W7" s="228" cm="1">
        <f t="array" ref="W7">INDEX('Sales Goals'!$C$27:$Z$27, ROW(W5))</f>
        <v>1870</v>
      </c>
      <c r="X7" s="228" cm="1">
        <f t="array" ref="X7">INDEX('Sales Goals'!$C$28:$Z$28, ROW(X5))</f>
        <v>0</v>
      </c>
      <c r="Y7" s="241" cm="1">
        <f t="array" ref="Y7">INDEX('Sales Goals'!$C$30:$Z$30, ROW(Y5))</f>
        <v>6520</v>
      </c>
    </row>
    <row r="8" spans="1:25">
      <c r="A8" t="s">
        <v>27</v>
      </c>
      <c r="B8" s="638"/>
      <c r="C8" s="168" t="s">
        <v>75</v>
      </c>
      <c r="D8" s="69">
        <f>Y4/$G$3</f>
        <v>470206.22528552811</v>
      </c>
      <c r="E8" s="69">
        <f>D8*$G$5</f>
        <v>311497.35900324746</v>
      </c>
      <c r="F8" s="510">
        <f>SUM(F46,F65,F84,F103,F122,F141,F160,F179)</f>
        <v>72497.873678036878</v>
      </c>
      <c r="G8" s="76">
        <f t="shared" ref="G8:G18" si="1">D8+F8</f>
        <v>542704.09896356496</v>
      </c>
      <c r="H8" s="656"/>
      <c r="I8" s="93" t="s">
        <v>75</v>
      </c>
      <c r="J8" s="96">
        <f t="shared" ref="J8:J18" si="2">D8*$K$3</f>
        <v>353308.37405327382</v>
      </c>
      <c r="K8" s="68">
        <f>F8*$K$4</f>
        <v>18023.678114264974</v>
      </c>
      <c r="L8" s="76">
        <f t="shared" si="0"/>
        <v>371332.05216753879</v>
      </c>
      <c r="N8" s="240" t="s">
        <v>79</v>
      </c>
      <c r="O8" s="228" cm="1">
        <f t="array" ref="O8">INDEX('Sales Goals'!$C$19:$Z$19, ROW(O6))</f>
        <v>760</v>
      </c>
      <c r="P8" s="228" cm="1">
        <f t="array" ref="P8">INDEX('Sales Goals'!$C$20:$Z$20, ROW(P6))</f>
        <v>300</v>
      </c>
      <c r="Q8" s="228" cm="1">
        <f t="array" ref="Q8">INDEX('Sales Goals'!$C$21:$Z$21, ROW(Q6))</f>
        <v>0</v>
      </c>
      <c r="R8" s="228" cm="1">
        <f t="array" ref="R8">INDEX('Sales Goals'!$C$22:$Z$22, ROW(R6))</f>
        <v>135</v>
      </c>
      <c r="S8" s="228" cm="1">
        <f t="array" ref="S8">INDEX('Sales Goals'!$C$23:$Z$23, ROW(S6))</f>
        <v>125</v>
      </c>
      <c r="T8" s="228" cm="1">
        <f t="array" ref="T8">INDEX('Sales Goals'!$C$24:$Z$24, ROW(T6))</f>
        <v>2779</v>
      </c>
      <c r="U8" s="228" cm="1">
        <f t="array" ref="U8">INDEX('Sales Goals'!$C$25:$Z$25, ROW(U6))</f>
        <v>18</v>
      </c>
      <c r="V8" s="228" cm="1">
        <f t="array" ref="V8">INDEX('Sales Goals'!$C$26:$Z$26, ROW(V6))</f>
        <v>300</v>
      </c>
      <c r="W8" s="228" cm="1">
        <f t="array" ref="W8">INDEX('Sales Goals'!$C$27:$Z$27, ROW(W6))</f>
        <v>1700</v>
      </c>
      <c r="X8" s="228" cm="1">
        <f t="array" ref="X8">INDEX('Sales Goals'!$C$28:$Z$28, ROW(X6))</f>
        <v>0</v>
      </c>
      <c r="Y8" s="241" cm="1">
        <f t="array" ref="Y8">INDEX('Sales Goals'!$C$30:$Z$30, ROW(Y6))</f>
        <v>6117</v>
      </c>
    </row>
    <row r="9" spans="1:25">
      <c r="A9" t="s">
        <v>27</v>
      </c>
      <c r="B9" s="638"/>
      <c r="C9" s="166" t="s">
        <v>76</v>
      </c>
      <c r="D9" s="69">
        <f>Y5/$D$3</f>
        <v>572833.79185897217</v>
      </c>
      <c r="E9" s="69">
        <f>D9*$D$5</f>
        <v>403570.08814241597</v>
      </c>
      <c r="F9" s="510">
        <f>SUM(F47,F66,F85,F104,F123,F142,F161,F180)</f>
        <v>90664.080701288985</v>
      </c>
      <c r="G9" s="76">
        <f t="shared" si="1"/>
        <v>663497.87256026117</v>
      </c>
      <c r="H9" s="656"/>
      <c r="I9" s="93" t="s">
        <v>76</v>
      </c>
      <c r="J9" s="96">
        <f t="shared" si="2"/>
        <v>430421.72715082078</v>
      </c>
      <c r="K9" s="68">
        <f t="shared" ref="K9:K17" si="3">F9*$K$4</f>
        <v>22539.974266594581</v>
      </c>
      <c r="L9" s="76">
        <f t="shared" si="0"/>
        <v>452961.70141741534</v>
      </c>
      <c r="N9" s="240" t="s">
        <v>80</v>
      </c>
      <c r="O9" s="228" cm="1">
        <f t="array" ref="O9">INDEX('Sales Goals'!$C$19:$Z$19, ROW(O7))</f>
        <v>775</v>
      </c>
      <c r="P9" s="228" cm="1">
        <f t="array" ref="P9">INDEX('Sales Goals'!$C$20:$Z$20, ROW(P7))</f>
        <v>270</v>
      </c>
      <c r="Q9" s="228" cm="1">
        <f t="array" ref="Q9">INDEX('Sales Goals'!$C$21:$Z$21, ROW(Q7))</f>
        <v>0</v>
      </c>
      <c r="R9" s="228" cm="1">
        <f t="array" ref="R9">INDEX('Sales Goals'!$C$22:$Z$22, ROW(R7))</f>
        <v>160</v>
      </c>
      <c r="S9" s="228" cm="1">
        <f t="array" ref="S9">INDEX('Sales Goals'!$C$23:$Z$23, ROW(S7))</f>
        <v>150</v>
      </c>
      <c r="T9" s="228" cm="1">
        <f t="array" ref="T9">INDEX('Sales Goals'!$C$24:$Z$24, ROW(T7))</f>
        <v>2799</v>
      </c>
      <c r="U9" s="228" cm="1">
        <f t="array" ref="U9">INDEX('Sales Goals'!$C$25:$Z$25, ROW(U7))</f>
        <v>66</v>
      </c>
      <c r="V9" s="228" cm="1">
        <f t="array" ref="V9">INDEX('Sales Goals'!$C$26:$Z$26, ROW(V7))</f>
        <v>340</v>
      </c>
      <c r="W9" s="228" cm="1">
        <f t="array" ref="W9">INDEX('Sales Goals'!$C$27:$Z$27, ROW(W7))</f>
        <v>1900</v>
      </c>
      <c r="X9" s="228" cm="1">
        <f t="array" ref="X9">INDEX('Sales Goals'!$C$28:$Z$28, ROW(X7))</f>
        <v>0</v>
      </c>
      <c r="Y9" s="241" cm="1">
        <f t="array" ref="Y9">INDEX('Sales Goals'!$C$30:$Z$30, ROW(Y7))</f>
        <v>6460</v>
      </c>
    </row>
    <row r="10" spans="1:25">
      <c r="A10" t="s">
        <v>27</v>
      </c>
      <c r="B10" s="638"/>
      <c r="C10" s="168" t="s">
        <v>77</v>
      </c>
      <c r="D10" s="69">
        <f>Y6/$G$3</f>
        <v>513271.84218083817</v>
      </c>
      <c r="E10" s="69">
        <f>D10*$G$5</f>
        <v>340027.02365961962</v>
      </c>
      <c r="F10" s="69">
        <f>SUM(F48,F67,F86,F105,F124,F143,F162,F181)</f>
        <v>153724.17006409017</v>
      </c>
      <c r="G10" s="76">
        <f t="shared" si="1"/>
        <v>666996.0122449284</v>
      </c>
      <c r="H10" s="656"/>
      <c r="I10" s="93" t="s">
        <v>77</v>
      </c>
      <c r="J10" s="96">
        <f t="shared" si="2"/>
        <v>385667.45877964841</v>
      </c>
      <c r="K10" s="68">
        <f>F10*$K$4</f>
        <v>38217.327199446692</v>
      </c>
      <c r="L10" s="76">
        <f t="shared" si="0"/>
        <v>423884.78597909509</v>
      </c>
      <c r="N10" s="240" t="s">
        <v>81</v>
      </c>
      <c r="O10" s="228" cm="1">
        <f t="array" ref="O10">INDEX('Sales Goals'!$C$19:$Z$19, ROW(O8))</f>
        <v>750</v>
      </c>
      <c r="P10" s="228" cm="1">
        <f t="array" ref="P10">INDEX('Sales Goals'!$C$20:$Z$20, ROW(P8))</f>
        <v>300</v>
      </c>
      <c r="Q10" s="228" cm="1">
        <f t="array" ref="Q10">INDEX('Sales Goals'!$C$21:$Z$21, ROW(Q8))</f>
        <v>0</v>
      </c>
      <c r="R10" s="228" cm="1">
        <f t="array" ref="R10">INDEX('Sales Goals'!$C$22:$Z$22, ROW(R8))</f>
        <v>160</v>
      </c>
      <c r="S10" s="228" cm="1">
        <f t="array" ref="S10">INDEX('Sales Goals'!$C$23:$Z$23, ROW(S8))</f>
        <v>145</v>
      </c>
      <c r="T10" s="228" cm="1">
        <f t="array" ref="T10">INDEX('Sales Goals'!$C$24:$Z$24, ROW(T8))</f>
        <v>3115</v>
      </c>
      <c r="U10" s="228" cm="1">
        <f t="array" ref="U10">INDEX('Sales Goals'!$C$25:$Z$25, ROW(U8))</f>
        <v>120</v>
      </c>
      <c r="V10" s="228" cm="1">
        <f t="array" ref="V10">INDEX('Sales Goals'!$C$26:$Z$26, ROW(V8))</f>
        <v>370</v>
      </c>
      <c r="W10" s="228" cm="1">
        <f t="array" ref="W10">INDEX('Sales Goals'!$C$27:$Z$27, ROW(W8))</f>
        <v>1930</v>
      </c>
      <c r="X10" s="228" cm="1">
        <f t="array" ref="X10">INDEX('Sales Goals'!$C$28:$Z$28, ROW(X8))</f>
        <v>0</v>
      </c>
      <c r="Y10" s="241" cm="1">
        <f t="array" ref="Y10">INDEX('Sales Goals'!$C$30:$Z$30, ROW(Y8))</f>
        <v>6890</v>
      </c>
    </row>
    <row r="11" spans="1:25">
      <c r="A11" t="s">
        <v>27</v>
      </c>
      <c r="B11" s="638"/>
      <c r="C11" s="168" t="s">
        <v>78</v>
      </c>
      <c r="D11" s="69">
        <f>Y7/$G$3</f>
        <v>573036.37174983986</v>
      </c>
      <c r="E11" s="69">
        <f>D11*$G$5</f>
        <v>379619.2113460137</v>
      </c>
      <c r="F11" s="156">
        <f t="shared" ref="F11:F18" si="4">SUM(F49,F68,F87,F106,F125,F144,F163,F182)</f>
        <v>169931.61377031216</v>
      </c>
      <c r="G11" s="76">
        <f t="shared" si="1"/>
        <v>742967.98552015203</v>
      </c>
      <c r="H11" s="656"/>
      <c r="I11" s="93" t="s">
        <v>78</v>
      </c>
      <c r="J11" s="96">
        <f t="shared" si="2"/>
        <v>430573.94370604586</v>
      </c>
      <c r="K11" s="68">
        <f t="shared" si="3"/>
        <v>42246.655696904563</v>
      </c>
      <c r="L11" s="76">
        <f>SUM(J11:K11)</f>
        <v>472820.59940295044</v>
      </c>
      <c r="N11" s="240" t="s">
        <v>82</v>
      </c>
      <c r="O11" s="228" cm="1">
        <f t="array" ref="O11">INDEX('Sales Goals'!$C$19:$Z$19, ROW(O9))</f>
        <v>715</v>
      </c>
      <c r="P11" s="228" cm="1">
        <f t="array" ref="P11">INDEX('Sales Goals'!$C$20:$Z$20, ROW(P9))</f>
        <v>345</v>
      </c>
      <c r="Q11" s="228" cm="1">
        <f t="array" ref="Q11">INDEX('Sales Goals'!$C$21:$Z$21, ROW(Q9))</f>
        <v>0</v>
      </c>
      <c r="R11" s="228" cm="1">
        <f t="array" ref="R11">INDEX('Sales Goals'!$C$22:$Z$22, ROW(R9))</f>
        <v>140</v>
      </c>
      <c r="S11" s="228" cm="1">
        <f t="array" ref="S11">INDEX('Sales Goals'!$C$23:$Z$23, ROW(S9))</f>
        <v>150</v>
      </c>
      <c r="T11" s="228" cm="1">
        <f t="array" ref="T11">INDEX('Sales Goals'!$C$24:$Z$24, ROW(T9))</f>
        <v>2617</v>
      </c>
      <c r="U11" s="228" cm="1">
        <f t="array" ref="U11">INDEX('Sales Goals'!$C$25:$Z$25, ROW(U9))</f>
        <v>120</v>
      </c>
      <c r="V11" s="228" cm="1">
        <f t="array" ref="V11">INDEX('Sales Goals'!$C$26:$Z$26, ROW(V9))</f>
        <v>353</v>
      </c>
      <c r="W11" s="228" cm="1">
        <f t="array" ref="W11">INDEX('Sales Goals'!$C$27:$Z$27, ROW(W9))</f>
        <v>1960</v>
      </c>
      <c r="X11" s="228" cm="1">
        <f t="array" ref="X11">INDEX('Sales Goals'!$C$28:$Z$28, ROW(X9))</f>
        <v>0</v>
      </c>
      <c r="Y11" s="241" cm="1">
        <f t="array" ref="Y11">INDEX('Sales Goals'!$C$30:$Z$30, ROW(Y9))</f>
        <v>6400</v>
      </c>
    </row>
    <row r="12" spans="1:25">
      <c r="A12" t="s">
        <v>27</v>
      </c>
      <c r="B12" s="638"/>
      <c r="C12" s="168" t="s">
        <v>79</v>
      </c>
      <c r="D12" s="69">
        <f>Y8/$G$3</f>
        <v>537617.09907879913</v>
      </c>
      <c r="E12" s="69">
        <f>D12*$G$5</f>
        <v>356155.01776128309</v>
      </c>
      <c r="F12" s="69">
        <f t="shared" si="4"/>
        <v>159863.10058408699</v>
      </c>
      <c r="G12" s="76">
        <f>D12+F12</f>
        <v>697480.19966288609</v>
      </c>
      <c r="H12" s="656"/>
      <c r="I12" s="93" t="s">
        <v>79</v>
      </c>
      <c r="J12" s="96">
        <f t="shared" si="2"/>
        <v>403960.24749231327</v>
      </c>
      <c r="K12" s="68">
        <f t="shared" si="3"/>
        <v>39743.525169743582</v>
      </c>
      <c r="L12" s="76">
        <f t="shared" si="0"/>
        <v>443703.77266205684</v>
      </c>
      <c r="N12" s="240" t="s">
        <v>83</v>
      </c>
      <c r="O12" s="228" cm="1">
        <f t="array" ref="O12">INDEX('Sales Goals'!$C$19:$Z$19, ROW(O10))</f>
        <v>685</v>
      </c>
      <c r="P12" s="228" cm="1">
        <f t="array" ref="P12">INDEX('Sales Goals'!$C$20:$Z$20, ROW(P10))</f>
        <v>370</v>
      </c>
      <c r="Q12" s="228" cm="1">
        <f t="array" ref="Q12">INDEX('Sales Goals'!$C$21:$Z$21, ROW(Q10))</f>
        <v>0</v>
      </c>
      <c r="R12" s="228" cm="1">
        <f t="array" ref="R12">INDEX('Sales Goals'!$C$22:$Z$22, ROW(R10))</f>
        <v>160</v>
      </c>
      <c r="S12" s="228" cm="1">
        <f t="array" ref="S12">INDEX('Sales Goals'!$C$23:$Z$23, ROW(S10))</f>
        <v>125</v>
      </c>
      <c r="T12" s="228" cm="1">
        <f t="array" ref="T12">INDEX('Sales Goals'!$C$24:$Z$24, ROW(T10))</f>
        <v>2710</v>
      </c>
      <c r="U12" s="228" cm="1">
        <f t="array" ref="U12">INDEX('Sales Goals'!$C$25:$Z$25, ROW(U10))</f>
        <v>145</v>
      </c>
      <c r="V12" s="228" cm="1">
        <f t="array" ref="V12">INDEX('Sales Goals'!$C$26:$Z$26, ROW(V10))</f>
        <v>360</v>
      </c>
      <c r="W12" s="228" cm="1">
        <f t="array" ref="W12">INDEX('Sales Goals'!$C$27:$Z$27, ROW(W10))</f>
        <v>2080</v>
      </c>
      <c r="X12" s="228" cm="1">
        <f t="array" ref="X12">INDEX('Sales Goals'!$C$28:$Z$28, ROW(X10))</f>
        <v>0</v>
      </c>
      <c r="Y12" s="241" cm="1">
        <f t="array" ref="Y12">INDEX('Sales Goals'!$C$30:$Z$30, ROW(Y10))</f>
        <v>6635</v>
      </c>
    </row>
    <row r="13" spans="1:25">
      <c r="A13" t="s">
        <v>27</v>
      </c>
      <c r="B13" s="638"/>
      <c r="C13" s="168" t="s">
        <v>80</v>
      </c>
      <c r="D13" s="69">
        <f>Y9/$D$3</f>
        <v>537083.64229447895</v>
      </c>
      <c r="E13" s="69">
        <f>D13*$D$5</f>
        <v>378383.56595065416</v>
      </c>
      <c r="F13" s="69">
        <f>SUM(F51,F70,F89,F108,F127,F146,F165,F184)</f>
        <v>148106.49275655078</v>
      </c>
      <c r="G13" s="76">
        <f>D13+F13</f>
        <v>685190.13505102973</v>
      </c>
      <c r="H13" s="656"/>
      <c r="I13" s="93" t="s">
        <v>80</v>
      </c>
      <c r="J13" s="96">
        <f t="shared" si="2"/>
        <v>403559.4132647753</v>
      </c>
      <c r="K13" s="68">
        <f t="shared" si="3"/>
        <v>36820.717859005104</v>
      </c>
      <c r="L13" s="76">
        <f t="shared" si="0"/>
        <v>440380.13112378039</v>
      </c>
      <c r="N13" s="240" t="s">
        <v>84</v>
      </c>
      <c r="O13" s="228" cm="1">
        <f t="array" ref="O13">INDEX('Sales Goals'!$C$19:$Z$19, ROW(O11))</f>
        <v>620</v>
      </c>
      <c r="P13" s="228" cm="1">
        <f t="array" ref="P13">INDEX('Sales Goals'!$C$20:$Z$20, ROW(P11))</f>
        <v>340</v>
      </c>
      <c r="Q13" s="228" cm="1">
        <f t="array" ref="Q13">INDEX('Sales Goals'!$C$21:$Z$21, ROW(Q11))</f>
        <v>0</v>
      </c>
      <c r="R13" s="228" cm="1">
        <f t="array" ref="R13">INDEX('Sales Goals'!$C$22:$Z$22, ROW(R11))</f>
        <v>140</v>
      </c>
      <c r="S13" s="228" cm="1">
        <f t="array" ref="S13">INDEX('Sales Goals'!$C$23:$Z$23, ROW(S11))</f>
        <v>123</v>
      </c>
      <c r="T13" s="228" cm="1">
        <f t="array" ref="T13">INDEX('Sales Goals'!$C$24:$Z$24, ROW(T11))</f>
        <v>2462</v>
      </c>
      <c r="U13" s="228" cm="1">
        <f t="array" ref="U13">INDEX('Sales Goals'!$C$25:$Z$25, ROW(U11))</f>
        <v>110</v>
      </c>
      <c r="V13" s="228" cm="1">
        <f t="array" ref="V13">INDEX('Sales Goals'!$C$26:$Z$26, ROW(V11))</f>
        <v>330</v>
      </c>
      <c r="W13" s="228" cm="1">
        <f t="array" ref="W13">INDEX('Sales Goals'!$C$27:$Z$27, ROW(W11))</f>
        <v>2050</v>
      </c>
      <c r="X13" s="228" cm="1">
        <f t="array" ref="X13">INDEX('Sales Goals'!$C$28:$Z$28, ROW(X11))</f>
        <v>0</v>
      </c>
      <c r="Y13" s="241" cm="1">
        <f t="array" ref="Y13">INDEX('Sales Goals'!$C$30:$Z$30, ROW(Y11))</f>
        <v>6175</v>
      </c>
    </row>
    <row r="14" spans="1:25" ht="17" thickBot="1">
      <c r="A14" t="s">
        <v>27</v>
      </c>
      <c r="B14" s="638"/>
      <c r="C14" s="166" t="s">
        <v>81</v>
      </c>
      <c r="D14" s="69">
        <f>Y10/$D$3</f>
        <v>572833.79185897217</v>
      </c>
      <c r="E14" s="69">
        <f>D14*$D$5</f>
        <v>403570.08814241597</v>
      </c>
      <c r="F14" s="69">
        <f>SUM(F52,F71,F90,F109,F128,F147,F166,F185)</f>
        <v>155072.74000878894</v>
      </c>
      <c r="G14" s="76">
        <f>D14+F14</f>
        <v>727906.53186776116</v>
      </c>
      <c r="H14" s="656"/>
      <c r="I14" s="93" t="s">
        <v>81</v>
      </c>
      <c r="J14" s="96">
        <f>D14*$K$3</f>
        <v>430421.72715082078</v>
      </c>
      <c r="K14" s="68">
        <f t="shared" si="3"/>
        <v>38552.594833719202</v>
      </c>
      <c r="L14" s="76">
        <f t="shared" si="0"/>
        <v>468974.32198453997</v>
      </c>
      <c r="N14" s="242" t="s">
        <v>85</v>
      </c>
      <c r="O14" s="243" cm="1">
        <f t="array" ref="O14">INDEX('Sales Goals'!$C$19:$Z$19, ROW(O12))</f>
        <v>780</v>
      </c>
      <c r="P14" s="243" cm="1">
        <f t="array" ref="P14">INDEX('Sales Goals'!$C$20:$Z$20, ROW(P12))</f>
        <v>430</v>
      </c>
      <c r="Q14" s="243" cm="1">
        <f t="array" ref="Q14">INDEX('Sales Goals'!$C$21:$Z$21, ROW(Q12))</f>
        <v>0</v>
      </c>
      <c r="R14" s="243" cm="1">
        <f t="array" ref="R14">INDEX('Sales Goals'!$C$22:$Z$22, ROW(R12))</f>
        <v>195</v>
      </c>
      <c r="S14" s="243" cm="1">
        <f t="array" ref="S14">INDEX('Sales Goals'!$C$23:$Z$23, ROW(S12))</f>
        <v>135</v>
      </c>
      <c r="T14" s="243" cm="1">
        <f t="array" ref="T14">INDEX('Sales Goals'!$C$24:$Z$24, ROW(T12))</f>
        <v>3400</v>
      </c>
      <c r="U14" s="243" cm="1">
        <f t="array" ref="U14">INDEX('Sales Goals'!$C$25:$Z$25, ROW(U12))</f>
        <v>110</v>
      </c>
      <c r="V14" s="243" cm="1">
        <f t="array" ref="V14">INDEX('Sales Goals'!$C$26:$Z$26, ROW(V12))</f>
        <v>380</v>
      </c>
      <c r="W14" s="243" cm="1">
        <f t="array" ref="W14">INDEX('Sales Goals'!$C$27:$Z$27, ROW(W12))</f>
        <v>2510</v>
      </c>
      <c r="X14" s="243" cm="1">
        <f t="array" ref="X14">INDEX('Sales Goals'!$C$28:$Z$28, ROW(X12))</f>
        <v>0</v>
      </c>
      <c r="Y14" s="244" cm="1">
        <f t="array" ref="Y14">INDEX('Sales Goals'!$C$30:$Z$30, ROW(Y12))</f>
        <v>7940</v>
      </c>
    </row>
    <row r="15" spans="1:25" ht="17" thickBot="1">
      <c r="A15" t="s">
        <v>27</v>
      </c>
      <c r="B15" s="638"/>
      <c r="C15" s="168" t="s">
        <v>82</v>
      </c>
      <c r="D15" s="69">
        <f>Y11/$G$3</f>
        <v>562489.69006119249</v>
      </c>
      <c r="E15" s="69">
        <f>D15*$G$5</f>
        <v>372632.35469547356</v>
      </c>
      <c r="F15" s="69">
        <f t="shared" si="4"/>
        <v>169342.49708258713</v>
      </c>
      <c r="G15" s="76">
        <f t="shared" si="1"/>
        <v>731832.18714377959</v>
      </c>
      <c r="H15" s="656"/>
      <c r="I15" s="93" t="s">
        <v>82</v>
      </c>
      <c r="J15" s="96">
        <f t="shared" si="2"/>
        <v>422649.2698955051</v>
      </c>
      <c r="K15" s="68">
        <f t="shared" si="3"/>
        <v>42100.195545556504</v>
      </c>
      <c r="L15" s="76">
        <f t="shared" si="0"/>
        <v>464749.46544106159</v>
      </c>
      <c r="N15" s="245" t="s">
        <v>24</v>
      </c>
      <c r="O15" s="246" cm="1">
        <f t="array" ref="O15">INDEX('Sales Goals'!$C$19:$Z$19, ROW(O13))</f>
        <v>8615</v>
      </c>
      <c r="P15" s="246" cm="1">
        <f t="array" ref="P15">INDEX('Sales Goals'!$C$20:$Z$20, ROW(P13))</f>
        <v>3870</v>
      </c>
      <c r="Q15" s="246" cm="1">
        <f t="array" ref="Q15">INDEX('Sales Goals'!$C$21:$Z$21, ROW(Q13))</f>
        <v>0</v>
      </c>
      <c r="R15" s="246" cm="1">
        <f t="array" ref="R15">INDEX('Sales Goals'!$C$22:$Z$22, ROW(R13))</f>
        <v>1750</v>
      </c>
      <c r="S15" s="246" cm="1">
        <f t="array" ref="S15">INDEX('Sales Goals'!$C$23:$Z$23, ROW(S13))</f>
        <v>1370</v>
      </c>
      <c r="T15" s="246" cm="1">
        <f t="array" ref="T15">INDEX('Sales Goals'!$C$24:$Z$24, ROW(T13))</f>
        <v>32739</v>
      </c>
      <c r="U15" s="246" cm="1">
        <f t="array" ref="U15">INDEX('Sales Goals'!$C$25:$Z$25, ROW(U13))</f>
        <v>810</v>
      </c>
      <c r="V15" s="246" cm="1">
        <f t="array" ref="V15">INDEX('Sales Goals'!$C$26:$Z$26, ROW(V13))</f>
        <v>4043</v>
      </c>
      <c r="W15" s="246" cm="1">
        <f t="array" ref="W15">INDEX('Sales Goals'!$C$27:$Z$27, ROW(W13))</f>
        <v>22865</v>
      </c>
      <c r="X15" s="246" cm="1">
        <f t="array" ref="X15">INDEX('Sales Goals'!$C$28:$Z$28, ROW(X13))</f>
        <v>0</v>
      </c>
      <c r="Y15" s="247" cm="1">
        <f t="array" ref="Y15">INDEX('Sales Goals'!$C$30:$Z$30, ROW(Y13))</f>
        <v>76062</v>
      </c>
    </row>
    <row r="16" spans="1:25">
      <c r="A16" t="s">
        <v>27</v>
      </c>
      <c r="B16" s="638"/>
      <c r="C16" s="168" t="s">
        <v>83</v>
      </c>
      <c r="D16" s="69">
        <f>Y12/$G$3</f>
        <v>583143.60836812691</v>
      </c>
      <c r="E16" s="69">
        <f>D16*$G$5</f>
        <v>386314.94896944799</v>
      </c>
      <c r="F16" s="69">
        <f t="shared" si="4"/>
        <v>176547.13679575775</v>
      </c>
      <c r="G16" s="76">
        <f>D16+F16</f>
        <v>759690.74516388471</v>
      </c>
      <c r="H16" s="656"/>
      <c r="I16" s="93" t="s">
        <v>83</v>
      </c>
      <c r="J16" s="96">
        <f t="shared" si="2"/>
        <v>438168.42277448071</v>
      </c>
      <c r="K16" s="68">
        <f t="shared" si="3"/>
        <v>43891.339209936501</v>
      </c>
      <c r="L16" s="76">
        <f t="shared" si="0"/>
        <v>482059.76198441721</v>
      </c>
    </row>
    <row r="17" spans="1:18">
      <c r="A17" t="s">
        <v>27</v>
      </c>
      <c r="B17" s="638"/>
      <c r="C17" s="166" t="s">
        <v>84</v>
      </c>
      <c r="D17" s="69">
        <f>Y13/$D$3</f>
        <v>513388.77572266373</v>
      </c>
      <c r="E17" s="69">
        <f>D17*$D$5</f>
        <v>361690.17333518411</v>
      </c>
      <c r="F17" s="69">
        <f t="shared" si="4"/>
        <v>143421.93576844948</v>
      </c>
      <c r="G17" s="76">
        <f t="shared" si="1"/>
        <v>656810.71149111318</v>
      </c>
      <c r="H17" s="656"/>
      <c r="I17" s="93" t="s">
        <v>84</v>
      </c>
      <c r="J17" s="96">
        <f t="shared" si="2"/>
        <v>385755.32150309405</v>
      </c>
      <c r="K17" s="68">
        <f t="shared" si="3"/>
        <v>35656.091326143804</v>
      </c>
      <c r="L17" s="76">
        <f t="shared" si="0"/>
        <v>421411.41282923787</v>
      </c>
    </row>
    <row r="18" spans="1:18">
      <c r="A18" t="s">
        <v>27</v>
      </c>
      <c r="B18" s="638"/>
      <c r="C18" s="166" t="s">
        <v>85</v>
      </c>
      <c r="D18" s="69">
        <f>Y14/$D$3</f>
        <v>660130.66870250204</v>
      </c>
      <c r="E18" s="69">
        <f>D18*$D$5</f>
        <v>465072.06093625294</v>
      </c>
      <c r="F18" s="69">
        <f t="shared" si="4"/>
        <v>183138.25024254841</v>
      </c>
      <c r="G18" s="76">
        <f t="shared" si="1"/>
        <v>843268.91894505045</v>
      </c>
      <c r="H18" s="656"/>
      <c r="I18" s="93" t="s">
        <v>85</v>
      </c>
      <c r="J18" s="96">
        <f t="shared" si="2"/>
        <v>496015.7494306991</v>
      </c>
      <c r="K18" s="68">
        <f>F18*$K$4</f>
        <v>45529.954263767351</v>
      </c>
      <c r="L18" s="76">
        <f t="shared" si="0"/>
        <v>541545.7036944665</v>
      </c>
    </row>
    <row r="19" spans="1:18" ht="17" thickBot="1">
      <c r="B19" s="639"/>
      <c r="C19" s="77" t="s">
        <v>24</v>
      </c>
      <c r="D19" s="78">
        <f>SUM(D7:D18)</f>
        <v>6521857.7803410515</v>
      </c>
      <c r="E19" s="78">
        <f>SUM(E7:E18)</f>
        <v>4440626.229207566</v>
      </c>
      <c r="F19" s="78">
        <f t="shared" ref="F19" si="5">SUM(F7:F18)</f>
        <v>1688080.522883432</v>
      </c>
      <c r="G19" s="79">
        <f>SUM(G7:G18)</f>
        <v>8209938.3032244835</v>
      </c>
      <c r="H19" s="657"/>
      <c r="I19" s="94" t="s">
        <v>24</v>
      </c>
      <c r="J19" s="97">
        <f>SUM(J7:J18)</f>
        <v>4900460.360302059</v>
      </c>
      <c r="K19" s="78">
        <f>SUM(K7:K18)</f>
        <v>419673.27359875967</v>
      </c>
      <c r="L19" s="79">
        <f>SUM(L7:L18)</f>
        <v>5320133.6339008184</v>
      </c>
      <c r="O19" s="235"/>
      <c r="P19" s="99"/>
    </row>
    <row r="20" spans="1:18" ht="17" thickBot="1">
      <c r="D20" s="88"/>
      <c r="E20" s="88"/>
      <c r="F20" s="515"/>
      <c r="G20" s="512" t="s">
        <v>210</v>
      </c>
      <c r="H20" s="89"/>
      <c r="I20" s="89"/>
      <c r="J20" s="88"/>
      <c r="K20" s="88"/>
      <c r="O20" s="235"/>
      <c r="P20" s="99"/>
    </row>
    <row r="21" spans="1:18" ht="17" thickBot="1">
      <c r="B21" s="640" t="s">
        <v>197</v>
      </c>
      <c r="C21" s="632" t="s">
        <v>180</v>
      </c>
      <c r="D21" s="650"/>
      <c r="E21" s="633"/>
      <c r="F21" s="665" t="s">
        <v>181</v>
      </c>
      <c r="G21" s="636"/>
      <c r="H21" s="164" t="s">
        <v>198</v>
      </c>
      <c r="I21" s="165"/>
      <c r="J21" s="164" t="s">
        <v>183</v>
      </c>
      <c r="K21" s="165"/>
      <c r="L21" s="88"/>
      <c r="O21" s="649" t="s">
        <v>48</v>
      </c>
      <c r="P21" s="649"/>
      <c r="Q21" s="649"/>
      <c r="R21" s="46"/>
    </row>
    <row r="22" spans="1:18">
      <c r="B22" s="641"/>
      <c r="C22" s="221" t="s">
        <v>52</v>
      </c>
      <c r="D22" s="658" t="s">
        <v>174</v>
      </c>
      <c r="E22" s="659"/>
      <c r="F22" s="222" t="s">
        <v>52</v>
      </c>
      <c r="G22" s="223" t="s">
        <v>174</v>
      </c>
      <c r="H22" s="221" t="s">
        <v>52</v>
      </c>
      <c r="I22" s="223" t="s">
        <v>174</v>
      </c>
      <c r="J22" s="221" t="s">
        <v>52</v>
      </c>
      <c r="K22" s="223" t="s">
        <v>174</v>
      </c>
      <c r="M22" s="46"/>
      <c r="O22" s="537"/>
      <c r="P22" s="537"/>
      <c r="Q22" s="537"/>
      <c r="R22" s="46"/>
    </row>
    <row r="23" spans="1:18">
      <c r="B23" s="641"/>
      <c r="C23" s="221" t="s">
        <v>14</v>
      </c>
      <c r="D23" s="660" t="s">
        <v>174</v>
      </c>
      <c r="E23" s="661"/>
      <c r="F23" s="222" t="s">
        <v>14</v>
      </c>
      <c r="G23" s="223" t="s">
        <v>174</v>
      </c>
      <c r="H23" s="221" t="s">
        <v>14</v>
      </c>
      <c r="I23" s="223" t="s">
        <v>174</v>
      </c>
      <c r="J23" s="221" t="s">
        <v>14</v>
      </c>
      <c r="K23" s="223" t="s">
        <v>174</v>
      </c>
      <c r="M23" s="46"/>
      <c r="O23" s="537" t="s">
        <v>27</v>
      </c>
      <c r="P23" s="537" t="s">
        <v>211</v>
      </c>
      <c r="Q23" s="537" t="s">
        <v>212</v>
      </c>
      <c r="R23" s="46"/>
    </row>
    <row r="24" spans="1:18" ht="17" thickBot="1">
      <c r="B24" s="641"/>
      <c r="C24" s="224" t="s">
        <v>206</v>
      </c>
      <c r="D24" s="660" t="s">
        <v>174</v>
      </c>
      <c r="E24" s="661"/>
      <c r="F24" s="224" t="s">
        <v>206</v>
      </c>
      <c r="G24" s="225" t="s">
        <v>174</v>
      </c>
      <c r="H24" s="226" t="s">
        <v>24</v>
      </c>
      <c r="I24" s="225" t="s">
        <v>174</v>
      </c>
      <c r="J24" s="226" t="s">
        <v>24</v>
      </c>
      <c r="K24" s="225" t="s">
        <v>174</v>
      </c>
      <c r="O24" s="537" t="s">
        <v>52</v>
      </c>
      <c r="P24">
        <v>0.68910000000000005</v>
      </c>
      <c r="Q24" s="539"/>
      <c r="R24" s="46"/>
    </row>
    <row r="25" spans="1:18" ht="17" thickBot="1">
      <c r="B25" s="641"/>
      <c r="C25" s="70" t="s">
        <v>201</v>
      </c>
      <c r="D25" s="71" t="s">
        <v>52</v>
      </c>
      <c r="E25" s="71" t="s">
        <v>208</v>
      </c>
      <c r="F25" s="71" t="s">
        <v>14</v>
      </c>
      <c r="G25" s="72" t="s">
        <v>24</v>
      </c>
      <c r="H25" s="643" t="s">
        <v>195</v>
      </c>
      <c r="I25" s="70" t="s">
        <v>183</v>
      </c>
      <c r="J25" s="71" t="s">
        <v>52</v>
      </c>
      <c r="K25" s="71" t="s">
        <v>14</v>
      </c>
      <c r="L25" s="72" t="s">
        <v>24</v>
      </c>
      <c r="O25" s="537" t="s">
        <v>14</v>
      </c>
      <c r="P25" s="540">
        <v>0.22800000000000001</v>
      </c>
      <c r="Q25" s="539"/>
      <c r="R25" s="46"/>
    </row>
    <row r="26" spans="1:18" ht="17" customHeight="1">
      <c r="B26" s="641"/>
      <c r="C26" s="167" t="s">
        <v>74</v>
      </c>
      <c r="D26" s="74">
        <f t="shared" ref="D26:F37" si="6">SUM(D45,D64,D83,D102,D121,D140,D159,D178)</f>
        <v>341032.80625551689</v>
      </c>
      <c r="E26" s="155">
        <f>SUM(E45,E64,E83,E102,E121,E140,E159,E178)</f>
        <v>232533.88570753628</v>
      </c>
      <c r="F26" s="509">
        <f t="shared" si="6"/>
        <v>65770.631430934358</v>
      </c>
      <c r="G26" s="76">
        <f>D26+F26</f>
        <v>406803.43768645125</v>
      </c>
      <c r="H26" s="644"/>
      <c r="I26" s="73" t="s">
        <v>74</v>
      </c>
      <c r="J26" s="74">
        <f t="shared" ref="J26:K26" si="7">SUM(J45,J64,J83,J102,J121,J140,J159,J178)</f>
        <v>256248.7261919929</v>
      </c>
      <c r="K26" s="74">
        <f t="shared" si="7"/>
        <v>16351.220113676842</v>
      </c>
      <c r="L26" s="84">
        <f>SUM(J26:K26)</f>
        <v>272599.94630566973</v>
      </c>
      <c r="O26" s="537"/>
      <c r="P26" s="538"/>
      <c r="Q26" s="539"/>
      <c r="R26" s="46"/>
    </row>
    <row r="27" spans="1:18">
      <c r="B27" s="641"/>
      <c r="C27" s="168" t="s">
        <v>75</v>
      </c>
      <c r="D27" s="69">
        <f t="shared" si="6"/>
        <v>375754.67943753744</v>
      </c>
      <c r="E27" s="156">
        <f>SUM(E46,E65,E84,E103,E122,E141,E160,E179)</f>
        <v>256022.14200146985</v>
      </c>
      <c r="F27" s="510">
        <f t="shared" si="6"/>
        <v>72497.873678036878</v>
      </c>
      <c r="G27" s="76">
        <f t="shared" ref="G27:G37" si="8">D27+F27</f>
        <v>448252.55311557429</v>
      </c>
      <c r="H27" s="644"/>
      <c r="I27" s="45" t="s">
        <v>75</v>
      </c>
      <c r="J27" s="69">
        <f t="shared" ref="J27:K27" si="9">SUM(J46,J65,J84,J103,J122,J141,J160,J179)</f>
        <v>282338.403228009</v>
      </c>
      <c r="K27" s="69">
        <f t="shared" si="9"/>
        <v>18023.678114264974</v>
      </c>
      <c r="L27" s="85">
        <f t="shared" ref="L27:L38" si="10">SUM(J27:K27)</f>
        <v>300362.08134227397</v>
      </c>
      <c r="O27" s="537"/>
      <c r="P27" s="538"/>
      <c r="Q27" s="537"/>
      <c r="R27" s="46"/>
    </row>
    <row r="28" spans="1:18">
      <c r="B28" s="641"/>
      <c r="C28" s="166" t="s">
        <v>76</v>
      </c>
      <c r="D28" s="69">
        <f t="shared" si="6"/>
        <v>454293.09385638626</v>
      </c>
      <c r="E28" s="156">
        <f t="shared" si="6"/>
        <v>323671.27943320852</v>
      </c>
      <c r="F28" s="510">
        <f t="shared" si="6"/>
        <v>90664.080701288985</v>
      </c>
      <c r="G28" s="76">
        <f t="shared" si="8"/>
        <v>544957.17455767526</v>
      </c>
      <c r="H28" s="644"/>
      <c r="I28" s="45" t="s">
        <v>76</v>
      </c>
      <c r="J28" s="69">
        <f t="shared" ref="J28:K28" si="11">SUM(J47,J66,J85,J104,J123,J142,J161,J180)</f>
        <v>341351.40222051658</v>
      </c>
      <c r="K28" s="69">
        <f t="shared" si="11"/>
        <v>22539.974266594581</v>
      </c>
      <c r="L28" s="85">
        <f t="shared" si="10"/>
        <v>363891.37648711115</v>
      </c>
      <c r="O28" s="537" t="s">
        <v>97</v>
      </c>
      <c r="R28" s="46"/>
    </row>
    <row r="29" spans="1:18">
      <c r="B29" s="641"/>
      <c r="C29" s="168" t="s">
        <v>77</v>
      </c>
      <c r="D29" s="69">
        <f t="shared" si="6"/>
        <v>414138.11274758645</v>
      </c>
      <c r="E29" s="156">
        <f t="shared" si="6"/>
        <v>281104.72358141211</v>
      </c>
      <c r="F29" s="69">
        <f t="shared" si="6"/>
        <v>153724.17006409017</v>
      </c>
      <c r="G29" s="76">
        <f t="shared" si="8"/>
        <v>567862.28281167662</v>
      </c>
      <c r="H29" s="644"/>
      <c r="I29" s="45" t="s">
        <v>77</v>
      </c>
      <c r="J29" s="69">
        <f>SUM(J48,J67,J86,J105,J124,J143,J162,J181)</f>
        <v>311179.34085090156</v>
      </c>
      <c r="K29" s="69">
        <f t="shared" ref="K29" si="12">SUM(K48,K67,K86,K105,K124,K143,K162,K181)</f>
        <v>38217.3271994467</v>
      </c>
      <c r="L29" s="85">
        <f t="shared" si="10"/>
        <v>349396.66805034823</v>
      </c>
      <c r="O29" s="537" t="s">
        <v>52</v>
      </c>
      <c r="P29">
        <v>0.68910000000000005</v>
      </c>
      <c r="R29" s="46"/>
    </row>
    <row r="30" spans="1:18">
      <c r="B30" s="641"/>
      <c r="C30" s="168" t="s">
        <v>78</v>
      </c>
      <c r="D30" s="69">
        <f t="shared" si="6"/>
        <v>461755.73832373647</v>
      </c>
      <c r="E30" s="156">
        <f t="shared" si="6"/>
        <v>313741.82180833019</v>
      </c>
      <c r="F30" s="69">
        <f t="shared" si="6"/>
        <v>169931.61377031216</v>
      </c>
      <c r="G30" s="76">
        <f>D30+F30</f>
        <v>631687.35209404863</v>
      </c>
      <c r="H30" s="644"/>
      <c r="I30" s="45" t="s">
        <v>78</v>
      </c>
      <c r="J30" s="69">
        <f t="shared" ref="J30:K30" si="13">SUM(J49,J68,J87,J106,J125,J144,J163,J182)</f>
        <v>346958.76052653661</v>
      </c>
      <c r="K30" s="69">
        <f t="shared" si="13"/>
        <v>42246.655696904556</v>
      </c>
      <c r="L30" s="85">
        <f t="shared" si="10"/>
        <v>389205.41622344119</v>
      </c>
      <c r="O30" s="537" t="s">
        <v>14</v>
      </c>
      <c r="P30" s="540">
        <v>0.22800000000000001</v>
      </c>
      <c r="R30" s="46"/>
    </row>
    <row r="31" spans="1:18">
      <c r="B31" s="641"/>
      <c r="C31" s="168" t="s">
        <v>79</v>
      </c>
      <c r="D31" s="69">
        <f t="shared" si="6"/>
        <v>431598.66507082677</v>
      </c>
      <c r="E31" s="156">
        <f t="shared" si="6"/>
        <v>293083.74883788725</v>
      </c>
      <c r="F31" s="69">
        <f t="shared" si="6"/>
        <v>159863.10058408699</v>
      </c>
      <c r="G31" s="76">
        <f>D31+F31</f>
        <v>591461.76565491373</v>
      </c>
      <c r="H31" s="644"/>
      <c r="I31" s="45" t="s">
        <v>79</v>
      </c>
      <c r="J31" s="69">
        <f t="shared" ref="J31:K31" si="14">SUM(J50,J69,J88,J107,J126,J145,J164,J183)</f>
        <v>324299.0296590412</v>
      </c>
      <c r="K31" s="69">
        <f t="shared" si="14"/>
        <v>39743.525169743582</v>
      </c>
      <c r="L31" s="85">
        <f t="shared" si="10"/>
        <v>364042.55482878478</v>
      </c>
      <c r="O31" s="537"/>
      <c r="R31" s="46"/>
    </row>
    <row r="32" spans="1:18">
      <c r="B32" s="641"/>
      <c r="C32" s="168" t="s">
        <v>80</v>
      </c>
      <c r="D32" s="69">
        <f t="shared" si="6"/>
        <v>430977.99917862762</v>
      </c>
      <c r="E32" s="156">
        <f t="shared" si="6"/>
        <v>306548.4178417676</v>
      </c>
      <c r="F32" s="69">
        <f t="shared" si="6"/>
        <v>148106.49275655078</v>
      </c>
      <c r="G32" s="76">
        <f t="shared" si="8"/>
        <v>579084.4919351784</v>
      </c>
      <c r="H32" s="644"/>
      <c r="I32" s="45" t="s">
        <v>80</v>
      </c>
      <c r="J32" s="69">
        <f t="shared" ref="J32:K32" si="15">SUM(J51,J70,J89,J108,J127,J146,J165,J184)</f>
        <v>323832.66735796782</v>
      </c>
      <c r="K32" s="69">
        <f t="shared" si="15"/>
        <v>36820.717859005104</v>
      </c>
      <c r="L32" s="85">
        <f t="shared" si="10"/>
        <v>360653.38521697291</v>
      </c>
      <c r="O32" s="537"/>
      <c r="P32" s="538"/>
      <c r="Q32" s="537"/>
      <c r="R32" s="46"/>
    </row>
    <row r="33" spans="1:17" ht="16" customHeight="1">
      <c r="B33" s="641"/>
      <c r="C33" s="166" t="s">
        <v>81</v>
      </c>
      <c r="D33" s="69">
        <f t="shared" si="6"/>
        <v>458709.063123942</v>
      </c>
      <c r="E33" s="156">
        <f t="shared" si="6"/>
        <v>326284.90283887042</v>
      </c>
      <c r="F33" s="69">
        <f t="shared" si="6"/>
        <v>155072.74000878894</v>
      </c>
      <c r="G33" s="76">
        <f t="shared" si="8"/>
        <v>613781.803132731</v>
      </c>
      <c r="H33" s="644"/>
      <c r="I33" s="45" t="s">
        <v>81</v>
      </c>
      <c r="J33" s="69">
        <f t="shared" ref="J33:K33" si="16">SUM(J52,J71,J90,J109,J128,J147,J166,J185)</f>
        <v>344669.51848076365</v>
      </c>
      <c r="K33" s="69">
        <f t="shared" si="16"/>
        <v>38552.594833719202</v>
      </c>
      <c r="L33" s="85">
        <f t="shared" si="10"/>
        <v>383222.11331448285</v>
      </c>
      <c r="O33" s="537" t="s">
        <v>96</v>
      </c>
      <c r="P33" s="538"/>
      <c r="Q33" s="537"/>
    </row>
    <row r="34" spans="1:17" ht="17" customHeight="1">
      <c r="B34" s="641"/>
      <c r="C34" s="168" t="s">
        <v>82</v>
      </c>
      <c r="D34" s="69">
        <f t="shared" si="6"/>
        <v>462162.58398937125</v>
      </c>
      <c r="E34" s="156">
        <f t="shared" si="6"/>
        <v>312544.10614015732</v>
      </c>
      <c r="F34" s="69">
        <f t="shared" si="6"/>
        <v>169342.49708258713</v>
      </c>
      <c r="G34" s="76">
        <f t="shared" si="8"/>
        <v>631505.08107195841</v>
      </c>
      <c r="H34" s="644"/>
      <c r="I34" s="45" t="s">
        <v>82</v>
      </c>
      <c r="J34" s="69">
        <f t="shared" ref="J34" si="17">SUM(J53,J72,J91,J110,J129,J148,J167,J186)</f>
        <v>347264.46039371466</v>
      </c>
      <c r="K34" s="69">
        <f>SUM(K53,K72,K91,K110,K129,K148,K167,K186)</f>
        <v>42100.195545556497</v>
      </c>
      <c r="L34" s="85">
        <f t="shared" si="10"/>
        <v>389364.65593927115</v>
      </c>
      <c r="O34" s="537" t="s">
        <v>52</v>
      </c>
      <c r="P34">
        <v>0.68910000000000005</v>
      </c>
      <c r="Q34" s="539"/>
    </row>
    <row r="35" spans="1:17">
      <c r="B35" s="641"/>
      <c r="C35" s="168" t="s">
        <v>83</v>
      </c>
      <c r="D35" s="69">
        <f t="shared" si="6"/>
        <v>478575.92340212862</v>
      </c>
      <c r="E35" s="156">
        <f t="shared" si="6"/>
        <v>323634.72255830152</v>
      </c>
      <c r="F35" s="69">
        <f t="shared" si="6"/>
        <v>176547.13679575775</v>
      </c>
      <c r="G35" s="76">
        <f t="shared" si="8"/>
        <v>655123.06019788631</v>
      </c>
      <c r="H35" s="644"/>
      <c r="I35" s="45" t="s">
        <v>83</v>
      </c>
      <c r="J35" s="69">
        <f t="shared" ref="J35:K35" si="18">SUM(J54,J73,J92,J111,J130,J149,J168,J187)</f>
        <v>359597.28362927353</v>
      </c>
      <c r="K35" s="69">
        <f t="shared" si="18"/>
        <v>43891.339209936516</v>
      </c>
      <c r="L35" s="85">
        <f t="shared" si="10"/>
        <v>403488.62283921003</v>
      </c>
      <c r="O35" s="537" t="s">
        <v>14</v>
      </c>
      <c r="P35" s="540">
        <v>0.22800000000000001</v>
      </c>
      <c r="Q35" s="539"/>
    </row>
    <row r="36" spans="1:17">
      <c r="B36" s="641"/>
      <c r="C36" s="166" t="s">
        <v>84</v>
      </c>
      <c r="D36" s="69">
        <f t="shared" si="6"/>
        <v>412157.39904531953</v>
      </c>
      <c r="E36" s="156">
        <f t="shared" si="6"/>
        <v>292193.86656024173</v>
      </c>
      <c r="F36" s="69">
        <f t="shared" si="6"/>
        <v>143421.93576844948</v>
      </c>
      <c r="G36" s="76">
        <f t="shared" si="8"/>
        <v>555579.33481376898</v>
      </c>
      <c r="H36" s="644"/>
      <c r="I36" s="45" t="s">
        <v>84</v>
      </c>
      <c r="J36" s="69">
        <f t="shared" ref="J36:K36" si="19">SUM(J55,J74,J93,J112,J131,J150,J169,J188)</f>
        <v>309691.05188325117</v>
      </c>
      <c r="K36" s="69">
        <f t="shared" si="19"/>
        <v>35656.091326143804</v>
      </c>
      <c r="L36" s="85">
        <f t="shared" si="10"/>
        <v>345347.143209395</v>
      </c>
      <c r="O36" s="537"/>
      <c r="P36" s="538"/>
      <c r="Q36" s="539"/>
    </row>
    <row r="37" spans="1:17">
      <c r="B37" s="641"/>
      <c r="C37" s="166" t="s">
        <v>85</v>
      </c>
      <c r="D37" s="69">
        <f t="shared" si="6"/>
        <v>524078.53853584873</v>
      </c>
      <c r="E37" s="156">
        <f t="shared" si="6"/>
        <v>372634.24006945692</v>
      </c>
      <c r="F37" s="69">
        <f t="shared" si="6"/>
        <v>183138.25024254841</v>
      </c>
      <c r="G37" s="76">
        <f t="shared" si="8"/>
        <v>707216.78877839714</v>
      </c>
      <c r="H37" s="644"/>
      <c r="I37" s="45" t="s">
        <v>85</v>
      </c>
      <c r="J37" s="69">
        <f t="shared" ref="J37:K37" si="20">SUM(J56,J75,J94,J113,J132,J151,J170,J189)</f>
        <v>393787.50507584057</v>
      </c>
      <c r="K37" s="69">
        <f t="shared" si="20"/>
        <v>45529.954263767344</v>
      </c>
      <c r="L37" s="85">
        <f t="shared" si="10"/>
        <v>439317.45933960791</v>
      </c>
      <c r="O37" s="537"/>
      <c r="P37" s="538"/>
      <c r="Q37" s="537"/>
    </row>
    <row r="38" spans="1:17" ht="17" thickBot="1">
      <c r="B38" s="642"/>
      <c r="C38" s="77" t="s">
        <v>24</v>
      </c>
      <c r="D38" s="78">
        <f>SUM(D26:D37)</f>
        <v>5245234.6029668264</v>
      </c>
      <c r="E38" s="157">
        <f>SUM(E26:E37)</f>
        <v>3633997.8573786397</v>
      </c>
      <c r="F38" s="78">
        <f>SUM(F26:F37)</f>
        <v>1688080.522883432</v>
      </c>
      <c r="G38" s="79">
        <f>SUM(G26:G37)</f>
        <v>6933315.1258502584</v>
      </c>
      <c r="H38" s="645"/>
      <c r="I38" s="77" t="s">
        <v>24</v>
      </c>
      <c r="J38" s="78">
        <f>SUM(J26:J37)</f>
        <v>3941218.1494978094</v>
      </c>
      <c r="K38" s="78">
        <f>SUM(K26:K37)</f>
        <v>419673.27359875967</v>
      </c>
      <c r="L38" s="79">
        <f t="shared" si="10"/>
        <v>4360891.4230965693</v>
      </c>
      <c r="O38" s="537" t="s">
        <v>94</v>
      </c>
      <c r="P38" s="538"/>
      <c r="Q38" s="537"/>
    </row>
    <row r="39" spans="1:17" ht="17" thickBot="1">
      <c r="O39" s="537" t="s">
        <v>52</v>
      </c>
      <c r="P39">
        <v>0.68910000000000005</v>
      </c>
      <c r="Q39" s="539"/>
    </row>
    <row r="40" spans="1:17" ht="17" thickBot="1">
      <c r="B40" s="640" t="s">
        <v>97</v>
      </c>
      <c r="C40" s="632" t="s">
        <v>180</v>
      </c>
      <c r="D40" s="650"/>
      <c r="E40" s="633"/>
      <c r="F40" s="634" t="s">
        <v>181</v>
      </c>
      <c r="G40" s="636"/>
      <c r="H40" s="164" t="s">
        <v>213</v>
      </c>
      <c r="I40" s="165"/>
      <c r="J40" s="164" t="s">
        <v>183</v>
      </c>
      <c r="K40" s="165"/>
      <c r="O40" s="537" t="s">
        <v>14</v>
      </c>
      <c r="P40" s="540">
        <v>0.22800000000000001</v>
      </c>
      <c r="Q40" s="539"/>
    </row>
    <row r="41" spans="1:17">
      <c r="B41" s="641"/>
      <c r="C41" s="60" t="s">
        <v>52</v>
      </c>
      <c r="D41" s="651">
        <f>'Historic Data'!V6/'Historic Data'!DZ6</f>
        <v>1.6108618932268469E-2</v>
      </c>
      <c r="E41" s="652"/>
      <c r="F41" s="60" t="s">
        <v>52</v>
      </c>
      <c r="G41" s="91">
        <f>'Historic Data'!V7/'Historic Data'!DZ7</f>
        <v>1.3684028249425296E-2</v>
      </c>
      <c r="H41" s="60" t="s">
        <v>52</v>
      </c>
      <c r="I41" s="65">
        <v>0.68910000000000005</v>
      </c>
      <c r="J41" s="60" t="s">
        <v>52</v>
      </c>
      <c r="K41" s="66">
        <f>I41/I43</f>
        <v>0.75139025188092901</v>
      </c>
      <c r="O41" s="537"/>
      <c r="P41" s="538"/>
      <c r="Q41" s="539"/>
    </row>
    <row r="42" spans="1:17">
      <c r="B42" s="641"/>
      <c r="C42" s="60" t="s">
        <v>14</v>
      </c>
      <c r="D42" s="653">
        <f>'Historic Data'!V6/'Historic Data'!GY6</f>
        <v>4.2838628822080123E-2</v>
      </c>
      <c r="E42" s="654"/>
      <c r="F42" s="60" t="s">
        <v>14</v>
      </c>
      <c r="G42" s="91">
        <f>'Historic Data'!V7/'Historic Data'!GY7</f>
        <v>3.4226005228432714E-2</v>
      </c>
      <c r="H42" s="60" t="s">
        <v>14</v>
      </c>
      <c r="I42" s="65">
        <v>0.22800000000000001</v>
      </c>
      <c r="J42" s="60" t="s">
        <v>14</v>
      </c>
      <c r="K42" s="66">
        <f>I42/I43</f>
        <v>0.24860974811907099</v>
      </c>
      <c r="O42" s="537"/>
      <c r="P42" s="538"/>
      <c r="Q42" s="537"/>
    </row>
    <row r="43" spans="1:17" ht="17" thickBot="1">
      <c r="B43" s="641"/>
      <c r="C43" s="203" t="s">
        <v>206</v>
      </c>
      <c r="D43" s="653">
        <f>'Historic Data'!EL6/'Historic Data'!DZ6</f>
        <v>0.7347236775634286</v>
      </c>
      <c r="E43" s="654"/>
      <c r="F43" s="203" t="s">
        <v>206</v>
      </c>
      <c r="G43" s="227">
        <f>'Historic Data'!EL7/'Historic Data'!DZ7</f>
        <v>0.71724963163968813</v>
      </c>
      <c r="H43" s="63" t="s">
        <v>24</v>
      </c>
      <c r="I43" s="87">
        <f>SUM(I41:I42)</f>
        <v>0.91710000000000003</v>
      </c>
      <c r="J43" s="63" t="s">
        <v>24</v>
      </c>
      <c r="K43" s="67">
        <f>SUM(K41:K42)</f>
        <v>1</v>
      </c>
      <c r="O43" s="537" t="s">
        <v>95</v>
      </c>
      <c r="P43" s="538"/>
      <c r="Q43" s="537"/>
    </row>
    <row r="44" spans="1:17" ht="17" thickBot="1">
      <c r="B44" s="641"/>
      <c r="C44" s="70" t="str">
        <f>B40</f>
        <v>GV80</v>
      </c>
      <c r="D44" s="71" t="s">
        <v>52</v>
      </c>
      <c r="E44" s="71" t="s">
        <v>208</v>
      </c>
      <c r="F44" s="71" t="s">
        <v>14</v>
      </c>
      <c r="G44" s="72" t="s">
        <v>24</v>
      </c>
      <c r="H44" s="643" t="s">
        <v>195</v>
      </c>
      <c r="I44" s="70" t="s">
        <v>183</v>
      </c>
      <c r="J44" s="71" t="s">
        <v>52</v>
      </c>
      <c r="K44" s="71" t="s">
        <v>14</v>
      </c>
      <c r="L44" s="72" t="s">
        <v>24</v>
      </c>
      <c r="O44" s="537" t="s">
        <v>52</v>
      </c>
      <c r="P44">
        <v>0.68910000000000005</v>
      </c>
      <c r="Q44" s="539"/>
    </row>
    <row r="45" spans="1:17" ht="17" customHeight="1">
      <c r="A45" t="s">
        <v>97</v>
      </c>
      <c r="B45" s="641"/>
      <c r="C45" s="167" t="s">
        <v>74</v>
      </c>
      <c r="D45" s="74">
        <f>W3/$G$41</f>
        <v>109616.84473744033</v>
      </c>
      <c r="E45" s="74">
        <f>D45*$G$43</f>
        <v>78622.641509433961</v>
      </c>
      <c r="F45" s="509">
        <v>19155.489884064558</v>
      </c>
      <c r="G45" s="76">
        <f>D45+F45</f>
        <v>128772.3346215049</v>
      </c>
      <c r="H45" s="644"/>
      <c r="I45" s="73" t="s">
        <v>74</v>
      </c>
      <c r="J45" s="74">
        <f t="shared" ref="J45:J56" si="21">D45*K$41</f>
        <v>82365.028577657984</v>
      </c>
      <c r="K45" s="74">
        <f t="shared" ref="K45:K56" si="22">F45*K$42</f>
        <v>4762.2415151747027</v>
      </c>
      <c r="L45" s="84">
        <f t="shared" ref="L45:L57" si="23">SUM(J45:K45)</f>
        <v>87127.270092832681</v>
      </c>
      <c r="M45" s="171"/>
      <c r="N45" s="171"/>
      <c r="O45" s="537" t="s">
        <v>14</v>
      </c>
      <c r="P45" s="540">
        <v>0.22800000000000001</v>
      </c>
      <c r="Q45" s="539"/>
    </row>
    <row r="46" spans="1:17">
      <c r="A46" t="s">
        <v>97</v>
      </c>
      <c r="B46" s="641"/>
      <c r="C46" s="168" t="s">
        <v>75</v>
      </c>
      <c r="D46" s="69">
        <f>W4/$G$41</f>
        <v>114001.51852693794</v>
      </c>
      <c r="E46" s="69">
        <f>D46*$G$43</f>
        <v>81767.547169811325</v>
      </c>
      <c r="F46" s="510">
        <v>19921.709479427143</v>
      </c>
      <c r="G46" s="76">
        <f t="shared" ref="G46:G56" si="24">D46+F46</f>
        <v>133923.2280063651</v>
      </c>
      <c r="H46" s="644"/>
      <c r="I46" s="45" t="s">
        <v>75</v>
      </c>
      <c r="J46" s="69">
        <f t="shared" si="21"/>
        <v>85659.629720764293</v>
      </c>
      <c r="K46" s="69">
        <f t="shared" si="22"/>
        <v>4952.7311757816915</v>
      </c>
      <c r="L46" s="85">
        <f t="shared" si="23"/>
        <v>90612.360896545986</v>
      </c>
      <c r="O46" s="537"/>
      <c r="P46" s="538"/>
      <c r="Q46" s="539"/>
    </row>
    <row r="47" spans="1:17">
      <c r="A47" t="s">
        <v>97</v>
      </c>
      <c r="B47" s="641"/>
      <c r="C47" s="166" t="s">
        <v>76</v>
      </c>
      <c r="D47" s="69">
        <f>W5/$D$41</f>
        <v>130675.3861923759</v>
      </c>
      <c r="E47" s="69">
        <f>D47*$D$43</f>
        <v>96010.300310283696</v>
      </c>
      <c r="F47" s="510">
        <v>25344.909131205673</v>
      </c>
      <c r="G47" s="76">
        <f t="shared" si="24"/>
        <v>156020.29532358158</v>
      </c>
      <c r="H47" s="644"/>
      <c r="I47" s="45" t="s">
        <v>76</v>
      </c>
      <c r="J47" s="69">
        <f t="shared" si="21"/>
        <v>98188.211345727002</v>
      </c>
      <c r="K47" s="69">
        <f t="shared" si="22"/>
        <v>6300.9914752097848</v>
      </c>
      <c r="L47" s="85">
        <f t="shared" si="23"/>
        <v>104489.20282093679</v>
      </c>
      <c r="O47" s="537"/>
      <c r="P47" s="538"/>
      <c r="Q47" s="537"/>
    </row>
    <row r="48" spans="1:17">
      <c r="A48" t="s">
        <v>97</v>
      </c>
      <c r="B48" s="641"/>
      <c r="C48" s="168" t="s">
        <v>77</v>
      </c>
      <c r="D48" s="69">
        <f>W6/$G$41</f>
        <v>124232.42403576571</v>
      </c>
      <c r="E48" s="69">
        <f t="shared" ref="E48:E54" si="25">D48*$G$43</f>
        <v>89105.660377358494</v>
      </c>
      <c r="F48" s="69">
        <f>W6/$G$42</f>
        <v>49669.83405319391</v>
      </c>
      <c r="G48" s="76">
        <f t="shared" si="24"/>
        <v>173902.25808895961</v>
      </c>
      <c r="H48" s="644"/>
      <c r="I48" s="45" t="s">
        <v>77</v>
      </c>
      <c r="J48" s="69">
        <f t="shared" si="21"/>
        <v>93347.032388012376</v>
      </c>
      <c r="K48" s="69">
        <f t="shared" si="22"/>
        <v>12348.404933080594</v>
      </c>
      <c r="L48" s="85">
        <f>SUM(J48:K48)</f>
        <v>105695.43732109296</v>
      </c>
      <c r="O48" s="537" t="s">
        <v>88</v>
      </c>
      <c r="P48" s="538"/>
      <c r="Q48" s="537"/>
    </row>
    <row r="49" spans="1:17">
      <c r="A49" t="s">
        <v>97</v>
      </c>
      <c r="B49" s="641"/>
      <c r="C49" s="168" t="s">
        <v>78</v>
      </c>
      <c r="D49" s="69">
        <f>W7/$G$41</f>
        <v>136655.66643934228</v>
      </c>
      <c r="E49" s="69">
        <f t="shared" si="25"/>
        <v>98016.226415094352</v>
      </c>
      <c r="F49" s="156">
        <f>W7/$G$42</f>
        <v>54636.817458513302</v>
      </c>
      <c r="G49" s="76">
        <f>D49+F49</f>
        <v>191292.48389785559</v>
      </c>
      <c r="H49" s="644"/>
      <c r="I49" s="45" t="s">
        <v>78</v>
      </c>
      <c r="J49" s="69">
        <f t="shared" si="21"/>
        <v>102681.73562681362</v>
      </c>
      <c r="K49" s="69">
        <f t="shared" si="22"/>
        <v>13583.245426388652</v>
      </c>
      <c r="L49" s="85">
        <f t="shared" si="23"/>
        <v>116264.98105320227</v>
      </c>
      <c r="O49" s="537" t="s">
        <v>52</v>
      </c>
      <c r="P49">
        <v>0.68910000000000005</v>
      </c>
      <c r="Q49" s="539"/>
    </row>
    <row r="50" spans="1:17">
      <c r="A50" t="s">
        <v>97</v>
      </c>
      <c r="B50" s="641"/>
      <c r="C50" s="168" t="s">
        <v>79</v>
      </c>
      <c r="D50" s="69">
        <f>W8/$G$41</f>
        <v>124232.42403576571</v>
      </c>
      <c r="E50" s="69">
        <f t="shared" si="25"/>
        <v>89105.660377358494</v>
      </c>
      <c r="F50" s="69">
        <f>W8/$G$42</f>
        <v>49669.83405319391</v>
      </c>
      <c r="G50" s="76">
        <f>D50+F50</f>
        <v>173902.25808895961</v>
      </c>
      <c r="H50" s="644"/>
      <c r="I50" s="45" t="s">
        <v>79</v>
      </c>
      <c r="J50" s="69">
        <f t="shared" si="21"/>
        <v>93347.032388012376</v>
      </c>
      <c r="K50" s="69">
        <f t="shared" si="22"/>
        <v>12348.404933080594</v>
      </c>
      <c r="L50" s="85">
        <f t="shared" si="23"/>
        <v>105695.43732109296</v>
      </c>
      <c r="O50" s="537" t="s">
        <v>14</v>
      </c>
      <c r="P50" s="540">
        <v>0.22800000000000001</v>
      </c>
      <c r="Q50" s="539"/>
    </row>
    <row r="51" spans="1:17">
      <c r="A51" t="s">
        <v>97</v>
      </c>
      <c r="B51" s="641"/>
      <c r="C51" s="168" t="s">
        <v>80</v>
      </c>
      <c r="D51" s="69">
        <f>W9/$D$41</f>
        <v>117949.27969858157</v>
      </c>
      <c r="E51" s="69">
        <f>D51*$D$43</f>
        <v>86660.128546099295</v>
      </c>
      <c r="F51" s="69">
        <f>W9/$D$42</f>
        <v>44352.493351063829</v>
      </c>
      <c r="G51" s="76">
        <f t="shared" si="24"/>
        <v>162301.77304964539</v>
      </c>
      <c r="H51" s="644"/>
      <c r="I51" s="45" t="s">
        <v>80</v>
      </c>
      <c r="J51" s="69">
        <f t="shared" si="21"/>
        <v>88625.938981891348</v>
      </c>
      <c r="K51" s="69">
        <f t="shared" si="22"/>
        <v>11026.46220046075</v>
      </c>
      <c r="L51" s="85">
        <f t="shared" si="23"/>
        <v>99652.4011823521</v>
      </c>
      <c r="O51" s="537"/>
      <c r="P51" s="538"/>
      <c r="Q51" s="539"/>
    </row>
    <row r="52" spans="1:17">
      <c r="A52" t="s">
        <v>97</v>
      </c>
      <c r="B52" s="641"/>
      <c r="C52" s="166" t="s">
        <v>81</v>
      </c>
      <c r="D52" s="69">
        <f>W10/$D$41</f>
        <v>119811.63674645391</v>
      </c>
      <c r="E52" s="69">
        <f>D52*$D$43</f>
        <v>88028.446365248237</v>
      </c>
      <c r="F52" s="69">
        <f>W10/$D$42</f>
        <v>45052.795877659577</v>
      </c>
      <c r="G52" s="76">
        <f t="shared" si="24"/>
        <v>164864.43262411348</v>
      </c>
      <c r="H52" s="644"/>
      <c r="I52" s="45" t="s">
        <v>81</v>
      </c>
      <c r="J52" s="69">
        <f t="shared" si="21"/>
        <v>90025.295913184367</v>
      </c>
      <c r="K52" s="69">
        <f t="shared" si="22"/>
        <v>11200.564235204867</v>
      </c>
      <c r="L52" s="85">
        <f t="shared" si="23"/>
        <v>101225.86014838924</v>
      </c>
      <c r="O52" s="537"/>
      <c r="P52" s="538"/>
      <c r="Q52" s="537"/>
    </row>
    <row r="53" spans="1:17">
      <c r="A53" t="s">
        <v>97</v>
      </c>
      <c r="B53" s="641"/>
      <c r="C53" s="168" t="s">
        <v>82</v>
      </c>
      <c r="D53" s="69">
        <f>W11/$G$41</f>
        <v>143232.67712358868</v>
      </c>
      <c r="E53" s="69">
        <f t="shared" si="25"/>
        <v>102733.58490566038</v>
      </c>
      <c r="F53" s="69">
        <f>W11/$G$42</f>
        <v>57266.396908388269</v>
      </c>
      <c r="G53" s="76">
        <f t="shared" si="24"/>
        <v>200499.07403197695</v>
      </c>
      <c r="H53" s="644"/>
      <c r="I53" s="45" t="s">
        <v>82</v>
      </c>
      <c r="J53" s="69">
        <f t="shared" si="21"/>
        <v>107623.63734147308</v>
      </c>
      <c r="K53" s="69">
        <f t="shared" si="22"/>
        <v>14236.984511081153</v>
      </c>
      <c r="L53" s="85">
        <f t="shared" si="23"/>
        <v>121860.62185255424</v>
      </c>
      <c r="O53" s="537" t="s">
        <v>93</v>
      </c>
      <c r="P53" s="538"/>
      <c r="Q53" s="537"/>
    </row>
    <row r="54" spans="1:17">
      <c r="A54" t="s">
        <v>97</v>
      </c>
      <c r="B54" s="641"/>
      <c r="C54" s="168" t="s">
        <v>83</v>
      </c>
      <c r="D54" s="69">
        <f>W12/$G$41</f>
        <v>152002.02470258393</v>
      </c>
      <c r="E54" s="69">
        <f t="shared" si="25"/>
        <v>109023.39622641511</v>
      </c>
      <c r="F54" s="69">
        <f>W12/$G$42</f>
        <v>60772.502841554902</v>
      </c>
      <c r="G54" s="76">
        <f t="shared" si="24"/>
        <v>212774.52754413884</v>
      </c>
      <c r="H54" s="644"/>
      <c r="I54" s="45" t="s">
        <v>83</v>
      </c>
      <c r="J54" s="69">
        <f t="shared" si="21"/>
        <v>114212.83962768574</v>
      </c>
      <c r="K54" s="69">
        <f t="shared" si="22"/>
        <v>15108.63662400449</v>
      </c>
      <c r="L54" s="85">
        <f t="shared" si="23"/>
        <v>129321.47625169023</v>
      </c>
      <c r="O54" s="537" t="s">
        <v>52</v>
      </c>
      <c r="P54">
        <v>0.68910000000000005</v>
      </c>
      <c r="Q54" s="539"/>
    </row>
    <row r="55" spans="1:17">
      <c r="A55" t="s">
        <v>97</v>
      </c>
      <c r="B55" s="641"/>
      <c r="C55" s="166" t="s">
        <v>84</v>
      </c>
      <c r="D55" s="69">
        <f>W13/$D$41</f>
        <v>127261.06493794327</v>
      </c>
      <c r="E55" s="69">
        <f>D55*$D$43</f>
        <v>93501.717641843978</v>
      </c>
      <c r="F55" s="69">
        <f t="shared" ref="F55" si="26">W13/$D$42</f>
        <v>47854.005984042553</v>
      </c>
      <c r="G55" s="76">
        <f t="shared" si="24"/>
        <v>175115.07092198584</v>
      </c>
      <c r="H55" s="644"/>
      <c r="I55" s="45" t="s">
        <v>84</v>
      </c>
      <c r="J55" s="69">
        <f t="shared" si="21"/>
        <v>95622.72363835646</v>
      </c>
      <c r="K55" s="69">
        <f t="shared" si="22"/>
        <v>11896.972374181336</v>
      </c>
      <c r="L55" s="85">
        <f t="shared" si="23"/>
        <v>107519.6960125378</v>
      </c>
      <c r="O55" s="537" t="s">
        <v>14</v>
      </c>
      <c r="P55" s="540">
        <v>0.22800000000000001</v>
      </c>
      <c r="Q55" s="539"/>
    </row>
    <row r="56" spans="1:17">
      <c r="A56" t="s">
        <v>97</v>
      </c>
      <c r="B56" s="641"/>
      <c r="C56" s="166" t="s">
        <v>85</v>
      </c>
      <c r="D56" s="69">
        <f>W14/$D$41</f>
        <v>155817.2063386525</v>
      </c>
      <c r="E56" s="69">
        <f>D56*$D$43</f>
        <v>114482.59086879434</v>
      </c>
      <c r="F56" s="69">
        <f>W14/$D$42</f>
        <v>58591.978058510642</v>
      </c>
      <c r="G56" s="76">
        <f t="shared" si="24"/>
        <v>214409.18439716313</v>
      </c>
      <c r="H56" s="644"/>
      <c r="I56" s="45" t="s">
        <v>85</v>
      </c>
      <c r="J56" s="69">
        <f t="shared" si="21"/>
        <v>117079.52991818279</v>
      </c>
      <c r="K56" s="69">
        <f t="shared" si="22"/>
        <v>14566.536906924464</v>
      </c>
      <c r="L56" s="85">
        <f t="shared" si="23"/>
        <v>131646.06682510726</v>
      </c>
      <c r="O56" s="537"/>
      <c r="P56" s="538"/>
      <c r="Q56" s="539"/>
    </row>
    <row r="57" spans="1:17" ht="17" thickBot="1">
      <c r="B57" s="642"/>
      <c r="C57" s="77" t="s">
        <v>24</v>
      </c>
      <c r="D57" s="78">
        <f>SUM(D45:D56)</f>
        <v>1555488.1535154318</v>
      </c>
      <c r="E57" s="78">
        <f>SUM(E45:E56)</f>
        <v>1127057.9007134016</v>
      </c>
      <c r="F57" s="78">
        <f>SUM(F45:F56)</f>
        <v>532288.7670808183</v>
      </c>
      <c r="G57" s="79">
        <f>SUM(G45:G56)</f>
        <v>2087776.9205962501</v>
      </c>
      <c r="H57" s="645"/>
      <c r="I57" s="77" t="s">
        <v>24</v>
      </c>
      <c r="J57" s="78">
        <f>SUM(J45:J56)</f>
        <v>1168778.6354677617</v>
      </c>
      <c r="K57" s="78">
        <f>SUM(K45:K56)</f>
        <v>132332.17631057309</v>
      </c>
      <c r="L57" s="79">
        <f t="shared" si="23"/>
        <v>1301110.8117783347</v>
      </c>
      <c r="O57" s="537"/>
      <c r="P57" s="538"/>
      <c r="Q57" s="537"/>
    </row>
    <row r="58" spans="1:17" ht="17" thickBot="1">
      <c r="O58" s="537" t="s">
        <v>89</v>
      </c>
      <c r="P58" s="538"/>
      <c r="Q58" s="537"/>
    </row>
    <row r="59" spans="1:17" ht="17" thickBot="1">
      <c r="B59" s="640" t="s">
        <v>96</v>
      </c>
      <c r="C59" s="632" t="s">
        <v>180</v>
      </c>
      <c r="D59" s="650"/>
      <c r="E59" s="633"/>
      <c r="F59" s="634" t="s">
        <v>181</v>
      </c>
      <c r="G59" s="636"/>
      <c r="H59" s="164" t="s">
        <v>213</v>
      </c>
      <c r="I59" s="165"/>
      <c r="J59" s="164" t="s">
        <v>183</v>
      </c>
      <c r="K59" s="165"/>
      <c r="O59" s="537" t="s">
        <v>52</v>
      </c>
      <c r="P59">
        <v>0.68910000000000005</v>
      </c>
      <c r="Q59" s="539"/>
    </row>
    <row r="60" spans="1:17">
      <c r="B60" s="641"/>
      <c r="C60" s="60" t="s">
        <v>52</v>
      </c>
      <c r="D60" s="651">
        <f>'Historic Data'!W6/'Historic Data'!DY6</f>
        <v>1.1670020120724347E-2</v>
      </c>
      <c r="E60" s="652"/>
      <c r="F60" s="60" t="s">
        <v>52</v>
      </c>
      <c r="G60" s="91">
        <f>'Historic Data'!W7/'Historic Data'!DY7</f>
        <v>9.5809377529629085E-3</v>
      </c>
      <c r="H60" s="60" t="s">
        <v>52</v>
      </c>
      <c r="I60" s="65">
        <v>0.68910000000000005</v>
      </c>
      <c r="J60" s="60" t="s">
        <v>52</v>
      </c>
      <c r="K60" s="66">
        <f>I60/I62</f>
        <v>0.75139025188092901</v>
      </c>
      <c r="O60" s="537" t="s">
        <v>14</v>
      </c>
      <c r="P60" s="540">
        <v>0.22800000000000001</v>
      </c>
      <c r="Q60" s="539"/>
    </row>
    <row r="61" spans="1:17">
      <c r="B61" s="641"/>
      <c r="C61" s="60" t="s">
        <v>14</v>
      </c>
      <c r="D61" s="653">
        <f>'Historic Data'!W6/'Historic Data'!GZ6</f>
        <v>5.3046983503268856E-2</v>
      </c>
      <c r="E61" s="654"/>
      <c r="F61" s="60" t="s">
        <v>14</v>
      </c>
      <c r="G61" s="91">
        <f>'Historic Data'!W7/'Historic Data'!GZ7</f>
        <v>0.10331706880343794</v>
      </c>
      <c r="H61" s="60" t="s">
        <v>14</v>
      </c>
      <c r="I61" s="65">
        <v>0.22800000000000001</v>
      </c>
      <c r="J61" s="60" t="s">
        <v>14</v>
      </c>
      <c r="K61" s="66">
        <f>I61/I62</f>
        <v>0.24860974811907099</v>
      </c>
      <c r="O61" s="537"/>
      <c r="P61" s="538"/>
      <c r="Q61" s="539"/>
    </row>
    <row r="62" spans="1:17" ht="17" thickBot="1">
      <c r="B62" s="641"/>
      <c r="C62" s="203" t="s">
        <v>206</v>
      </c>
      <c r="D62" s="653">
        <f>'Historic Data'!EK6/'Historic Data'!DY6</f>
        <v>0.6659438110142335</v>
      </c>
      <c r="E62" s="654"/>
      <c r="F62" s="203" t="s">
        <v>206</v>
      </c>
      <c r="G62" s="227">
        <f>'Historic Data'!EK7/'Historic Data'!DY7</f>
        <v>0.66901347059922378</v>
      </c>
      <c r="H62" s="63" t="s">
        <v>24</v>
      </c>
      <c r="I62" s="87">
        <f>SUM(I60:I61)</f>
        <v>0.91710000000000003</v>
      </c>
      <c r="J62" s="63" t="s">
        <v>24</v>
      </c>
      <c r="K62" s="67">
        <f>SUM(K60:K61)</f>
        <v>1</v>
      </c>
      <c r="O62" s="537"/>
      <c r="P62" s="538"/>
      <c r="Q62" s="537"/>
    </row>
    <row r="63" spans="1:17" ht="17" thickBot="1">
      <c r="B63" s="641"/>
      <c r="C63" s="70" t="str">
        <f>B59</f>
        <v>GV80 Coupe</v>
      </c>
      <c r="D63" s="71" t="s">
        <v>52</v>
      </c>
      <c r="E63" s="71" t="s">
        <v>208</v>
      </c>
      <c r="F63" s="71" t="s">
        <v>14</v>
      </c>
      <c r="G63" s="72" t="s">
        <v>24</v>
      </c>
      <c r="H63" s="662" t="s">
        <v>195</v>
      </c>
      <c r="I63" s="70" t="s">
        <v>183</v>
      </c>
      <c r="J63" s="71" t="s">
        <v>52</v>
      </c>
      <c r="K63" s="71" t="s">
        <v>14</v>
      </c>
      <c r="L63" s="72" t="s">
        <v>24</v>
      </c>
      <c r="O63" s="537" t="s">
        <v>92</v>
      </c>
      <c r="P63" s="538"/>
      <c r="Q63" s="537"/>
    </row>
    <row r="64" spans="1:17" ht="17" customHeight="1">
      <c r="A64" t="s">
        <v>96</v>
      </c>
      <c r="B64" s="641"/>
      <c r="C64" s="167" t="s">
        <v>74</v>
      </c>
      <c r="D64" s="74">
        <f>V3/$G$60</f>
        <v>30268.435875216641</v>
      </c>
      <c r="E64" s="74">
        <f>D64*$G$62</f>
        <v>20249.991334488739</v>
      </c>
      <c r="F64" s="509">
        <v>4408.4272097053727</v>
      </c>
      <c r="G64" s="76">
        <f>D64+F64</f>
        <v>34676.863084922014</v>
      </c>
      <c r="H64" s="663"/>
      <c r="I64" s="174" t="s">
        <v>74</v>
      </c>
      <c r="J64" s="172">
        <f t="shared" ref="J64:J75" si="27">D64*K$60</f>
        <v>22743.407656320778</v>
      </c>
      <c r="K64" s="172">
        <f>F64*K$61</f>
        <v>1095.9779782061116</v>
      </c>
      <c r="L64" s="173">
        <f t="shared" ref="L64:L75" si="28">SUM(J64:K64)</f>
        <v>23839.38563452689</v>
      </c>
      <c r="O64" s="537" t="s">
        <v>52</v>
      </c>
      <c r="P64">
        <v>0.68910000000000005</v>
      </c>
      <c r="Q64" s="539"/>
    </row>
    <row r="65" spans="1:17">
      <c r="A65" t="s">
        <v>96</v>
      </c>
      <c r="B65" s="641"/>
      <c r="C65" s="168" t="s">
        <v>75</v>
      </c>
      <c r="D65" s="69">
        <f>V4/$G$60</f>
        <v>29224.696707105722</v>
      </c>
      <c r="E65" s="69">
        <f>D65*$G$62</f>
        <v>19551.715771230505</v>
      </c>
      <c r="F65" s="510">
        <v>4256.4124783362222</v>
      </c>
      <c r="G65" s="76">
        <f t="shared" ref="G65:G75" si="29">D65+F65</f>
        <v>33481.109185441943</v>
      </c>
      <c r="H65" s="663"/>
      <c r="I65" s="45" t="s">
        <v>75</v>
      </c>
      <c r="J65" s="69">
        <f t="shared" si="27"/>
        <v>21959.152219895925</v>
      </c>
      <c r="K65" s="69">
        <f t="shared" ref="K65:K75" si="30">F65*K$61</f>
        <v>1058.185634130039</v>
      </c>
      <c r="L65" s="85">
        <f t="shared" si="28"/>
        <v>23017.337854025965</v>
      </c>
      <c r="O65" s="537" t="s">
        <v>14</v>
      </c>
      <c r="P65" s="540">
        <v>0.22800000000000001</v>
      </c>
      <c r="Q65" s="539"/>
    </row>
    <row r="66" spans="1:17">
      <c r="A66" t="s">
        <v>96</v>
      </c>
      <c r="B66" s="641"/>
      <c r="C66" s="166" t="s">
        <v>76</v>
      </c>
      <c r="D66" s="69">
        <f>V5/$D$60</f>
        <v>31705.172413793101</v>
      </c>
      <c r="E66" s="69">
        <f>D66*$D$62</f>
        <v>21113.863346104721</v>
      </c>
      <c r="F66" s="510">
        <v>8290.0319284802044</v>
      </c>
      <c r="G66" s="76">
        <f t="shared" si="29"/>
        <v>39995.204342273304</v>
      </c>
      <c r="H66" s="663"/>
      <c r="I66" s="45" t="s">
        <v>76</v>
      </c>
      <c r="J66" s="69">
        <f t="shared" si="27"/>
        <v>23822.95748592828</v>
      </c>
      <c r="K66" s="69">
        <f t="shared" si="30"/>
        <v>2060.9827496385201</v>
      </c>
      <c r="L66" s="85">
        <f t="shared" si="28"/>
        <v>25883.940235566799</v>
      </c>
      <c r="O66" s="537"/>
      <c r="P66" s="538"/>
      <c r="Q66" s="539"/>
    </row>
    <row r="67" spans="1:17">
      <c r="A67" t="s">
        <v>96</v>
      </c>
      <c r="B67" s="641"/>
      <c r="C67" s="168" t="s">
        <v>77</v>
      </c>
      <c r="D67" s="69">
        <f>V6/$G$60</f>
        <v>32355.914211438478</v>
      </c>
      <c r="E67" s="69">
        <f t="shared" ref="E67:E73" si="31">D67*$G$62</f>
        <v>21646.542461005203</v>
      </c>
      <c r="F67" s="69">
        <f>V6/$G$61</f>
        <v>3000.4722703639513</v>
      </c>
      <c r="G67" s="76">
        <f t="shared" si="29"/>
        <v>35356.38648180243</v>
      </c>
      <c r="H67" s="663"/>
      <c r="I67" s="45" t="s">
        <v>77</v>
      </c>
      <c r="J67" s="69">
        <f t="shared" si="27"/>
        <v>24311.918529170489</v>
      </c>
      <c r="K67" s="69">
        <f t="shared" si="30"/>
        <v>745.94665537343906</v>
      </c>
      <c r="L67" s="85">
        <f t="shared" si="28"/>
        <v>25057.865184543927</v>
      </c>
      <c r="O67" s="537"/>
      <c r="P67" s="538"/>
      <c r="Q67" s="537"/>
    </row>
    <row r="68" spans="1:17">
      <c r="A68" t="s">
        <v>96</v>
      </c>
      <c r="B68" s="641"/>
      <c r="C68" s="168" t="s">
        <v>78</v>
      </c>
      <c r="D68" s="69">
        <f>V7/$G$60</f>
        <v>37574.61005199307</v>
      </c>
      <c r="E68" s="69">
        <f t="shared" si="31"/>
        <v>25137.920277296365</v>
      </c>
      <c r="F68" s="69">
        <f>V7/$G$61</f>
        <v>3484.4194107452336</v>
      </c>
      <c r="G68" s="76">
        <f>D68+F68</f>
        <v>41059.029462738305</v>
      </c>
      <c r="H68" s="663"/>
      <c r="I68" s="45" t="s">
        <v>78</v>
      </c>
      <c r="J68" s="69">
        <f t="shared" si="27"/>
        <v>28233.19571129476</v>
      </c>
      <c r="K68" s="69">
        <f t="shared" si="30"/>
        <v>866.2606320465743</v>
      </c>
      <c r="L68" s="85">
        <f>SUM(J68:K68)</f>
        <v>29099.456343341335</v>
      </c>
    </row>
    <row r="69" spans="1:17">
      <c r="A69" t="s">
        <v>96</v>
      </c>
      <c r="B69" s="641"/>
      <c r="C69" s="168" t="s">
        <v>79</v>
      </c>
      <c r="D69" s="69">
        <f>V8/$G$60</f>
        <v>31312.175043327559</v>
      </c>
      <c r="E69" s="69">
        <f t="shared" si="31"/>
        <v>20948.266897746969</v>
      </c>
      <c r="F69" s="69">
        <f>V8/$G$61</f>
        <v>2903.6828422876947</v>
      </c>
      <c r="G69" s="76">
        <f>D69+F69</f>
        <v>34215.857885615253</v>
      </c>
      <c r="H69" s="663"/>
      <c r="I69" s="45" t="s">
        <v>79</v>
      </c>
      <c r="J69" s="69">
        <f t="shared" si="27"/>
        <v>23527.663092745635</v>
      </c>
      <c r="K69" s="69">
        <f t="shared" si="30"/>
        <v>721.88386003881192</v>
      </c>
      <c r="L69" s="85">
        <f t="shared" si="28"/>
        <v>24249.546952784447</v>
      </c>
    </row>
    <row r="70" spans="1:17">
      <c r="A70" t="s">
        <v>96</v>
      </c>
      <c r="B70" s="641"/>
      <c r="C70" s="168" t="s">
        <v>80</v>
      </c>
      <c r="D70" s="69">
        <f>V9/$D$60</f>
        <v>29134.482758620688</v>
      </c>
      <c r="E70" s="69">
        <f>D70*$D$62</f>
        <v>19401.92848020434</v>
      </c>
      <c r="F70" s="69">
        <f>V9/$D$61</f>
        <v>6409.4125159642408</v>
      </c>
      <c r="G70" s="76">
        <f t="shared" si="29"/>
        <v>35543.895274584931</v>
      </c>
      <c r="H70" s="663"/>
      <c r="I70" s="45" t="s">
        <v>80</v>
      </c>
      <c r="J70" s="69">
        <f t="shared" si="27"/>
        <v>21891.366338420583</v>
      </c>
      <c r="K70" s="69">
        <f t="shared" si="30"/>
        <v>1593.442431185091</v>
      </c>
      <c r="L70" s="85">
        <f t="shared" si="28"/>
        <v>23484.808769605675</v>
      </c>
    </row>
    <row r="71" spans="1:17">
      <c r="A71" t="s">
        <v>96</v>
      </c>
      <c r="B71" s="641"/>
      <c r="C71" s="166" t="s">
        <v>81</v>
      </c>
      <c r="D71" s="69">
        <f>V10/$D$60</f>
        <v>31705.172413793101</v>
      </c>
      <c r="E71" s="69">
        <f>D71*$D$62</f>
        <v>21113.863346104721</v>
      </c>
      <c r="F71" s="69">
        <f t="shared" ref="F71:F75" si="32">V10/$D$61</f>
        <v>6974.9489144316731</v>
      </c>
      <c r="G71" s="76">
        <f t="shared" si="29"/>
        <v>38680.121328224777</v>
      </c>
      <c r="H71" s="663"/>
      <c r="I71" s="45" t="s">
        <v>81</v>
      </c>
      <c r="J71" s="69">
        <f t="shared" si="27"/>
        <v>23822.95748592828</v>
      </c>
      <c r="K71" s="69">
        <f t="shared" si="30"/>
        <v>1734.0402927602458</v>
      </c>
      <c r="L71" s="85">
        <f t="shared" si="28"/>
        <v>25556.997778688525</v>
      </c>
    </row>
    <row r="72" spans="1:17">
      <c r="A72" t="s">
        <v>96</v>
      </c>
      <c r="B72" s="641"/>
      <c r="C72" s="168" t="s">
        <v>82</v>
      </c>
      <c r="D72" s="69">
        <f>V11/$G$60</f>
        <v>36843.992634315429</v>
      </c>
      <c r="E72" s="69">
        <f t="shared" si="31"/>
        <v>24649.127383015602</v>
      </c>
      <c r="F72" s="69">
        <f>V11/$G$61</f>
        <v>3416.666811091854</v>
      </c>
      <c r="G72" s="76">
        <f t="shared" si="29"/>
        <v>40260.659445407284</v>
      </c>
      <c r="H72" s="663"/>
      <c r="I72" s="45" t="s">
        <v>82</v>
      </c>
      <c r="J72" s="69">
        <f t="shared" si="27"/>
        <v>27684.216905797362</v>
      </c>
      <c r="K72" s="69">
        <f t="shared" si="30"/>
        <v>849.41667531233531</v>
      </c>
      <c r="L72" s="85">
        <f t="shared" si="28"/>
        <v>28533.633581109698</v>
      </c>
    </row>
    <row r="73" spans="1:17">
      <c r="A73" t="s">
        <v>96</v>
      </c>
      <c r="B73" s="641"/>
      <c r="C73" s="168" t="s">
        <v>83</v>
      </c>
      <c r="D73" s="69">
        <f>V12/$G$60</f>
        <v>37574.61005199307</v>
      </c>
      <c r="E73" s="69">
        <f t="shared" si="31"/>
        <v>25137.920277296365</v>
      </c>
      <c r="F73" s="69">
        <f>V12/$G$61</f>
        <v>3484.4194107452336</v>
      </c>
      <c r="G73" s="76">
        <f t="shared" si="29"/>
        <v>41059.029462738305</v>
      </c>
      <c r="H73" s="663"/>
      <c r="I73" s="45" t="s">
        <v>83</v>
      </c>
      <c r="J73" s="69">
        <f t="shared" si="27"/>
        <v>28233.19571129476</v>
      </c>
      <c r="K73" s="69">
        <f t="shared" si="30"/>
        <v>866.2606320465743</v>
      </c>
      <c r="L73" s="85">
        <f t="shared" si="28"/>
        <v>29099.456343341335</v>
      </c>
    </row>
    <row r="74" spans="1:17">
      <c r="A74" t="s">
        <v>96</v>
      </c>
      <c r="B74" s="641"/>
      <c r="C74" s="166" t="s">
        <v>84</v>
      </c>
      <c r="D74" s="69">
        <f>V13/$D$60</f>
        <v>28277.586206896551</v>
      </c>
      <c r="E74" s="69">
        <f>D74*$D$62</f>
        <v>18831.283524904211</v>
      </c>
      <c r="F74" s="69">
        <f>V13/$D$61</f>
        <v>6220.9003831417631</v>
      </c>
      <c r="G74" s="76">
        <f t="shared" si="29"/>
        <v>34498.486590038316</v>
      </c>
      <c r="H74" s="663"/>
      <c r="I74" s="45" t="s">
        <v>84</v>
      </c>
      <c r="J74" s="69">
        <f t="shared" si="27"/>
        <v>21247.502622584681</v>
      </c>
      <c r="K74" s="69">
        <f t="shared" si="30"/>
        <v>1546.576477326706</v>
      </c>
      <c r="L74" s="85">
        <f t="shared" si="28"/>
        <v>22794.079099911389</v>
      </c>
    </row>
    <row r="75" spans="1:17">
      <c r="A75" t="s">
        <v>96</v>
      </c>
      <c r="B75" s="641"/>
      <c r="C75" s="166" t="s">
        <v>85</v>
      </c>
      <c r="D75" s="69">
        <f>V14/$D$60</f>
        <v>32562.068965517239</v>
      </c>
      <c r="E75" s="69">
        <f>D75*$D$62</f>
        <v>21684.50830140485</v>
      </c>
      <c r="F75" s="69">
        <f t="shared" si="32"/>
        <v>7163.4610472541508</v>
      </c>
      <c r="G75" s="76">
        <f t="shared" si="29"/>
        <v>39725.530012771393</v>
      </c>
      <c r="H75" s="663"/>
      <c r="I75" s="45" t="s">
        <v>85</v>
      </c>
      <c r="J75" s="69">
        <f t="shared" si="27"/>
        <v>24466.821201764178</v>
      </c>
      <c r="K75" s="69">
        <f t="shared" si="30"/>
        <v>1780.906246618631</v>
      </c>
      <c r="L75" s="85">
        <f t="shared" si="28"/>
        <v>26247.727448382808</v>
      </c>
    </row>
    <row r="76" spans="1:17" ht="17" thickBot="1">
      <c r="A76" t="s">
        <v>96</v>
      </c>
      <c r="B76" s="642"/>
      <c r="C76" s="77" t="s">
        <v>24</v>
      </c>
      <c r="D76" s="78">
        <f>SUM(D64:D75)</f>
        <v>388538.91733401059</v>
      </c>
      <c r="E76" s="78">
        <f>SUM(E64:E75)</f>
        <v>259466.9314008026</v>
      </c>
      <c r="F76" s="78">
        <f>SUM(F64:F75)</f>
        <v>60013.255222547603</v>
      </c>
      <c r="G76" s="79">
        <f>SUM(G64:G75)</f>
        <v>448552.17255655827</v>
      </c>
      <c r="H76" s="664"/>
      <c r="I76" s="77" t="s">
        <v>24</v>
      </c>
      <c r="J76" s="78">
        <f>SUM(J64:J75)</f>
        <v>291944.35496114573</v>
      </c>
      <c r="K76" s="78">
        <f>SUM(K64:K75)</f>
        <v>14919.880264683079</v>
      </c>
      <c r="L76" s="79">
        <f>SUM(J76:K76)</f>
        <v>306864.23522582883</v>
      </c>
    </row>
    <row r="77" spans="1:17" ht="17" thickBot="1"/>
    <row r="78" spans="1:17" ht="17" thickBot="1">
      <c r="B78" s="640" t="s">
        <v>94</v>
      </c>
      <c r="C78" s="632" t="s">
        <v>180</v>
      </c>
      <c r="D78" s="650"/>
      <c r="E78" s="633"/>
      <c r="F78" s="634" t="s">
        <v>181</v>
      </c>
      <c r="G78" s="636"/>
      <c r="H78" s="164" t="s">
        <v>213</v>
      </c>
      <c r="I78" s="165"/>
      <c r="J78" s="164" t="s">
        <v>183</v>
      </c>
      <c r="K78" s="165"/>
    </row>
    <row r="79" spans="1:17">
      <c r="B79" s="641"/>
      <c r="C79" s="60" t="s">
        <v>52</v>
      </c>
      <c r="D79" s="651">
        <f>'Historic Data'!U6/'Historic Data'!EA6</f>
        <v>1.8040032521351529E-2</v>
      </c>
      <c r="E79" s="652"/>
      <c r="F79" s="60" t="s">
        <v>52</v>
      </c>
      <c r="G79" s="91">
        <f>'Historic Data'!U7/'Historic Data'!EA7</f>
        <v>1.7200985350467875E-2</v>
      </c>
      <c r="H79" s="60" t="s">
        <v>52</v>
      </c>
      <c r="I79" s="65">
        <v>0.68910000000000005</v>
      </c>
      <c r="J79" s="60" t="s">
        <v>52</v>
      </c>
      <c r="K79" s="66">
        <f>I79/I81</f>
        <v>0.75139025188092901</v>
      </c>
    </row>
    <row r="80" spans="1:17">
      <c r="B80" s="641"/>
      <c r="C80" s="60" t="s">
        <v>14</v>
      </c>
      <c r="D80" s="653">
        <f>'Historic Data'!U6/'Historic Data'!GX6</f>
        <v>7.6570772469222434E-2</v>
      </c>
      <c r="E80" s="654"/>
      <c r="F80" s="60" t="s">
        <v>14</v>
      </c>
      <c r="G80" s="91">
        <f>'Historic Data'!U7/'Historic Data'!GX7</f>
        <v>5.9569563109445785E-2</v>
      </c>
      <c r="H80" s="60" t="s">
        <v>14</v>
      </c>
      <c r="I80" s="65">
        <v>0.22800000000000001</v>
      </c>
      <c r="J80" s="60" t="s">
        <v>14</v>
      </c>
      <c r="K80" s="66">
        <f>I80/I81</f>
        <v>0.24860974811907099</v>
      </c>
    </row>
    <row r="81" spans="1:12" ht="17" thickBot="1">
      <c r="B81" s="641"/>
      <c r="C81" s="203" t="s">
        <v>206</v>
      </c>
      <c r="D81" s="653">
        <f>'Historic Data'!EM6/'Historic Data'!EA6</f>
        <v>0.75983042008749502</v>
      </c>
      <c r="E81" s="654"/>
      <c r="F81" s="203" t="s">
        <v>206</v>
      </c>
      <c r="G81" s="227">
        <f>'Historic Data'!EM7/'Historic Data'!EA7</f>
        <v>0.70387937708197934</v>
      </c>
      <c r="H81" s="63" t="s">
        <v>24</v>
      </c>
      <c r="I81" s="87">
        <f>SUM(I79:I80)</f>
        <v>0.91710000000000003</v>
      </c>
      <c r="J81" s="63" t="s">
        <v>24</v>
      </c>
      <c r="K81" s="67">
        <f>SUM(K79:K80)</f>
        <v>1</v>
      </c>
    </row>
    <row r="82" spans="1:12" ht="17" thickBot="1">
      <c r="B82" s="641"/>
      <c r="C82" s="70" t="str">
        <f>B78</f>
        <v>GV70</v>
      </c>
      <c r="D82" s="71" t="s">
        <v>52</v>
      </c>
      <c r="E82" s="71" t="s">
        <v>208</v>
      </c>
      <c r="F82" s="71" t="s">
        <v>14</v>
      </c>
      <c r="G82" s="72" t="s">
        <v>24</v>
      </c>
      <c r="H82" s="643" t="s">
        <v>195</v>
      </c>
      <c r="I82" s="70" t="s">
        <v>183</v>
      </c>
      <c r="J82" s="71" t="s">
        <v>52</v>
      </c>
      <c r="K82" s="71" t="s">
        <v>14</v>
      </c>
      <c r="L82" s="72" t="s">
        <v>24</v>
      </c>
    </row>
    <row r="83" spans="1:12" ht="17" customHeight="1">
      <c r="A83" t="s">
        <v>94</v>
      </c>
      <c r="B83" s="641"/>
      <c r="C83" s="167" t="s">
        <v>74</v>
      </c>
      <c r="D83" s="69">
        <f>T3/$G$79</f>
        <v>121504.66716972996</v>
      </c>
      <c r="E83" s="74">
        <f>D83*$G$81</f>
        <v>85524.629439982746</v>
      </c>
      <c r="F83" s="510">
        <v>21072.80547620331</v>
      </c>
      <c r="G83" s="76">
        <f>D83+F83</f>
        <v>142577.47264593327</v>
      </c>
      <c r="H83" s="644"/>
      <c r="I83" s="73" t="s">
        <v>74</v>
      </c>
      <c r="J83" s="172">
        <f t="shared" ref="J83:J94" si="33">D83*K$79</f>
        <v>91297.422469371842</v>
      </c>
      <c r="K83" s="172">
        <f>F83*K$80</f>
        <v>5238.904861601085</v>
      </c>
      <c r="L83" s="84">
        <f t="shared" ref="L83:L95" si="34">SUM(J83:K83)</f>
        <v>96536.327330972927</v>
      </c>
    </row>
    <row r="84" spans="1:12">
      <c r="A84" t="s">
        <v>94</v>
      </c>
      <c r="B84" s="641"/>
      <c r="C84" s="168" t="s">
        <v>75</v>
      </c>
      <c r="D84" s="69">
        <f>T4/$G$79</f>
        <v>138364.16644208482</v>
      </c>
      <c r="E84" s="69">
        <f>D84*$G$81</f>
        <v>97391.683285721971</v>
      </c>
      <c r="F84" s="510">
        <v>23996.783269552092</v>
      </c>
      <c r="G84" s="76">
        <f t="shared" ref="G84:G94" si="35">D84+F84</f>
        <v>162360.94971163693</v>
      </c>
      <c r="H84" s="644"/>
      <c r="I84" s="45" t="s">
        <v>75</v>
      </c>
      <c r="J84" s="69">
        <f t="shared" si="33"/>
        <v>103965.4858742129</v>
      </c>
      <c r="K84" s="69">
        <f>F84*K$80</f>
        <v>5965.8342443112824</v>
      </c>
      <c r="L84" s="85">
        <f t="shared" si="34"/>
        <v>109931.32011852418</v>
      </c>
    </row>
    <row r="85" spans="1:12">
      <c r="A85" t="s">
        <v>94</v>
      </c>
      <c r="B85" s="641"/>
      <c r="C85" s="166" t="s">
        <v>76</v>
      </c>
      <c r="D85" s="69">
        <f>T5/$D$79</f>
        <v>162416.55864711764</v>
      </c>
      <c r="E85" s="69">
        <f>D85*$D$81</f>
        <v>123409.04198600467</v>
      </c>
      <c r="F85" s="510">
        <v>22993.567977340888</v>
      </c>
      <c r="G85" s="76">
        <f t="shared" si="35"/>
        <v>185410.12662445853</v>
      </c>
      <c r="H85" s="644"/>
      <c r="I85" s="45" t="s">
        <v>76</v>
      </c>
      <c r="J85" s="69">
        <f t="shared" si="33"/>
        <v>122038.21891149139</v>
      </c>
      <c r="K85" s="69">
        <f t="shared" ref="K85:K93" si="36">F85*K$80</f>
        <v>5716.4251432054552</v>
      </c>
      <c r="L85" s="85">
        <f t="shared" si="34"/>
        <v>127754.64405469685</v>
      </c>
    </row>
    <row r="86" spans="1:12">
      <c r="A86" t="s">
        <v>94</v>
      </c>
      <c r="B86" s="641"/>
      <c r="C86" s="168" t="s">
        <v>77</v>
      </c>
      <c r="D86" s="69">
        <f>T6/$G$79</f>
        <v>148654.27461866004</v>
      </c>
      <c r="E86" s="69">
        <f t="shared" ref="E86:E92" si="37">D86*$G$81</f>
        <v>104634.67821915592</v>
      </c>
      <c r="F86" s="69">
        <f>T6/$G$80</f>
        <v>42924.605562442732</v>
      </c>
      <c r="G86" s="76">
        <f t="shared" si="35"/>
        <v>191578.88018110278</v>
      </c>
      <c r="H86" s="644"/>
      <c r="I86" s="45" t="s">
        <v>77</v>
      </c>
      <c r="J86" s="69">
        <f t="shared" si="33"/>
        <v>111697.37284889175</v>
      </c>
      <c r="K86" s="69">
        <f t="shared" si="36"/>
        <v>10671.475376989361</v>
      </c>
      <c r="L86" s="85">
        <f t="shared" si="34"/>
        <v>122368.84822588111</v>
      </c>
    </row>
    <row r="87" spans="1:12">
      <c r="A87" t="s">
        <v>94</v>
      </c>
      <c r="B87" s="641"/>
      <c r="C87" s="168" t="s">
        <v>78</v>
      </c>
      <c r="D87" s="69">
        <f>T7/$G$79</f>
        <v>168594.99272354876</v>
      </c>
      <c r="E87" s="69">
        <f t="shared" si="37"/>
        <v>118670.53845739234</v>
      </c>
      <c r="F87" s="69">
        <f>T7/$G$80</f>
        <v>48682.579636716437</v>
      </c>
      <c r="G87" s="76">
        <f>D87+F87</f>
        <v>217277.57236026519</v>
      </c>
      <c r="H87" s="644"/>
      <c r="I87" s="45" t="s">
        <v>78</v>
      </c>
      <c r="J87" s="69">
        <f t="shared" si="33"/>
        <v>126680.63404841069</v>
      </c>
      <c r="K87" s="69">
        <f t="shared" si="36"/>
        <v>12102.963861270688</v>
      </c>
      <c r="L87" s="85">
        <f t="shared" si="34"/>
        <v>138783.59790968138</v>
      </c>
    </row>
    <row r="88" spans="1:12">
      <c r="A88" t="s">
        <v>94</v>
      </c>
      <c r="B88" s="641"/>
      <c r="C88" s="168" t="s">
        <v>79</v>
      </c>
      <c r="D88" s="69">
        <f>T8/$G$79</f>
        <v>161560.51199266964</v>
      </c>
      <c r="E88" s="69">
        <f t="shared" si="37"/>
        <v>113719.11254244596</v>
      </c>
      <c r="F88" s="69">
        <f>T8/$G$80</f>
        <v>46651.34096911551</v>
      </c>
      <c r="G88" s="76">
        <f>D88+F88</f>
        <v>208211.85296178516</v>
      </c>
      <c r="H88" s="644"/>
      <c r="I88" s="45" t="s">
        <v>79</v>
      </c>
      <c r="J88" s="69">
        <f t="shared" si="33"/>
        <v>121394.99380018389</v>
      </c>
      <c r="K88" s="69">
        <f t="shared" si="36"/>
        <v>11597.978127748704</v>
      </c>
      <c r="L88" s="85">
        <f t="shared" si="34"/>
        <v>132992.97192793258</v>
      </c>
    </row>
    <row r="89" spans="1:12">
      <c r="A89" t="s">
        <v>94</v>
      </c>
      <c r="B89" s="641"/>
      <c r="C89" s="168" t="s">
        <v>80</v>
      </c>
      <c r="D89" s="69">
        <f>T9/$D$79</f>
        <v>155154.93093968678</v>
      </c>
      <c r="E89" s="69">
        <f>D89*$D$81</f>
        <v>117891.43635454848</v>
      </c>
      <c r="F89" s="69">
        <f>T9/$D$80</f>
        <v>36554.417694101961</v>
      </c>
      <c r="G89" s="76">
        <f t="shared" si="35"/>
        <v>191709.34863378873</v>
      </c>
      <c r="H89" s="644"/>
      <c r="I89" s="45" t="s">
        <v>80</v>
      </c>
      <c r="J89" s="69">
        <f t="shared" si="33"/>
        <v>116581.90263933939</v>
      </c>
      <c r="K89" s="69">
        <f t="shared" si="36"/>
        <v>9087.78457557</v>
      </c>
      <c r="L89" s="85">
        <f t="shared" si="34"/>
        <v>125669.68721490938</v>
      </c>
    </row>
    <row r="90" spans="1:12">
      <c r="A90" t="s">
        <v>94</v>
      </c>
      <c r="B90" s="641"/>
      <c r="C90" s="166" t="s">
        <v>81</v>
      </c>
      <c r="D90" s="69">
        <f>T10/$D$79</f>
        <v>172671.52907364213</v>
      </c>
      <c r="E90" s="69">
        <f>D90*$D$81</f>
        <v>131201.08047317562</v>
      </c>
      <c r="F90" s="69">
        <f t="shared" ref="F90:F94" si="38">T10/$D$80</f>
        <v>40681.318727090969</v>
      </c>
      <c r="G90" s="76">
        <f t="shared" si="35"/>
        <v>213352.84780073311</v>
      </c>
      <c r="H90" s="644"/>
      <c r="I90" s="45" t="s">
        <v>81</v>
      </c>
      <c r="J90" s="69">
        <f t="shared" si="33"/>
        <v>129743.70372330911</v>
      </c>
      <c r="K90" s="69">
        <f t="shared" si="36"/>
        <v>10113.772401893732</v>
      </c>
      <c r="L90" s="85">
        <f t="shared" si="34"/>
        <v>139857.47612520284</v>
      </c>
    </row>
    <row r="91" spans="1:12">
      <c r="A91" t="s">
        <v>94</v>
      </c>
      <c r="B91" s="641"/>
      <c r="C91" s="168" t="s">
        <v>82</v>
      </c>
      <c r="D91" s="69">
        <f>T11/$G$79</f>
        <v>152142.4468819059</v>
      </c>
      <c r="E91" s="69">
        <f t="shared" si="37"/>
        <v>107089.93073896405</v>
      </c>
      <c r="F91" s="69">
        <f>T11/$G$80</f>
        <v>43931.831348029969</v>
      </c>
      <c r="G91" s="76">
        <f t="shared" si="35"/>
        <v>196074.27822993585</v>
      </c>
      <c r="H91" s="644"/>
      <c r="I91" s="45" t="s">
        <v>82</v>
      </c>
      <c r="J91" s="69">
        <f t="shared" si="33"/>
        <v>114318.35148437614</v>
      </c>
      <c r="K91" s="69">
        <f t="shared" si="36"/>
        <v>10921.881525843239</v>
      </c>
      <c r="L91" s="85">
        <f t="shared" si="34"/>
        <v>125240.23301021938</v>
      </c>
    </row>
    <row r="92" spans="1:12">
      <c r="A92" t="s">
        <v>94</v>
      </c>
      <c r="B92" s="641"/>
      <c r="C92" s="168" t="s">
        <v>83</v>
      </c>
      <c r="D92" s="69">
        <f>T12/$G$79</f>
        <v>157549.11388993694</v>
      </c>
      <c r="E92" s="69">
        <f t="shared" si="37"/>
        <v>110895.57214466663</v>
      </c>
      <c r="F92" s="69">
        <f>T12/$G$80</f>
        <v>45493.03131569019</v>
      </c>
      <c r="G92" s="76">
        <f t="shared" si="35"/>
        <v>203042.14520562714</v>
      </c>
      <c r="H92" s="644"/>
      <c r="I92" s="45" t="s">
        <v>83</v>
      </c>
      <c r="J92" s="69">
        <f t="shared" si="33"/>
        <v>118380.86836937688</v>
      </c>
      <c r="K92" s="69">
        <f t="shared" si="36"/>
        <v>11310.011056566747</v>
      </c>
      <c r="L92" s="85">
        <f t="shared" si="34"/>
        <v>129690.87942594363</v>
      </c>
    </row>
    <row r="93" spans="1:12">
      <c r="A93" t="s">
        <v>94</v>
      </c>
      <c r="B93" s="641"/>
      <c r="C93" s="166" t="s">
        <v>84</v>
      </c>
      <c r="D93" s="69">
        <f>T13/$D$79</f>
        <v>136474.25508163945</v>
      </c>
      <c r="E93" s="69">
        <f>D93*$D$81</f>
        <v>103697.29056981005</v>
      </c>
      <c r="F93" s="69">
        <f t="shared" si="38"/>
        <v>32153.260579806727</v>
      </c>
      <c r="G93" s="76">
        <f t="shared" si="35"/>
        <v>168627.51566144617</v>
      </c>
      <c r="H93" s="644"/>
      <c r="I93" s="45" t="s">
        <v>84</v>
      </c>
      <c r="J93" s="69">
        <f t="shared" si="33"/>
        <v>102545.42490105522</v>
      </c>
      <c r="K93" s="69">
        <f t="shared" si="36"/>
        <v>7993.6140139526051</v>
      </c>
      <c r="L93" s="85">
        <f t="shared" si="34"/>
        <v>110539.03891500783</v>
      </c>
    </row>
    <row r="94" spans="1:12">
      <c r="A94" t="s">
        <v>94</v>
      </c>
      <c r="B94" s="641"/>
      <c r="C94" s="166" t="s">
        <v>85</v>
      </c>
      <c r="D94" s="69">
        <f>T14/$D$79</f>
        <v>188469.72675774741</v>
      </c>
      <c r="E94" s="69">
        <f>D94*$D$81</f>
        <v>143205.03165611462</v>
      </c>
      <c r="F94" s="69">
        <f t="shared" si="38"/>
        <v>44403.365544818393</v>
      </c>
      <c r="G94" s="76">
        <f t="shared" si="35"/>
        <v>232873.09230256581</v>
      </c>
      <c r="H94" s="644"/>
      <c r="I94" s="45" t="s">
        <v>85</v>
      </c>
      <c r="J94" s="69">
        <f t="shared" si="33"/>
        <v>141614.31546043369</v>
      </c>
      <c r="K94" s="69">
        <f>F94*K$80</f>
        <v>11039.109523736337</v>
      </c>
      <c r="L94" s="85">
        <f t="shared" si="34"/>
        <v>152653.42498417004</v>
      </c>
    </row>
    <row r="95" spans="1:12" ht="17" thickBot="1">
      <c r="B95" s="642"/>
      <c r="C95" s="77" t="s">
        <v>24</v>
      </c>
      <c r="D95" s="78">
        <f>SUM(D83:D94)</f>
        <v>1863557.1742183692</v>
      </c>
      <c r="E95" s="78">
        <f>SUM(E83:E94)</f>
        <v>1357330.025867983</v>
      </c>
      <c r="F95" s="78">
        <f>SUM(F83:F94)</f>
        <v>449538.9081009092</v>
      </c>
      <c r="G95" s="79">
        <f>SUM(G83:G94)</f>
        <v>2313096.0823192787</v>
      </c>
      <c r="H95" s="645"/>
      <c r="I95" s="77" t="s">
        <v>24</v>
      </c>
      <c r="J95" s="78">
        <f>SUM(J83:J94)</f>
        <v>1400258.6945304528</v>
      </c>
      <c r="K95" s="78">
        <f>SUM(K83:K94)</f>
        <v>111759.75471268923</v>
      </c>
      <c r="L95" s="79">
        <f t="shared" si="34"/>
        <v>1512018.449243142</v>
      </c>
    </row>
    <row r="96" spans="1:12" ht="17" thickBot="1"/>
    <row r="97" spans="1:12" ht="17" thickBot="1">
      <c r="B97" s="640" t="s">
        <v>95</v>
      </c>
      <c r="C97" s="632" t="s">
        <v>180</v>
      </c>
      <c r="D97" s="650"/>
      <c r="E97" s="633"/>
      <c r="F97" s="634" t="s">
        <v>181</v>
      </c>
      <c r="G97" s="636"/>
      <c r="H97" s="164" t="s">
        <v>213</v>
      </c>
      <c r="I97" s="165"/>
      <c r="J97" s="164" t="s">
        <v>183</v>
      </c>
      <c r="K97" s="165"/>
    </row>
    <row r="98" spans="1:12">
      <c r="B98" s="641"/>
      <c r="C98" s="60" t="s">
        <v>52</v>
      </c>
      <c r="D98" s="651">
        <f>'Historic Data'!P6/'Historic Data'!EC6</f>
        <v>8.3658892703523929E-3</v>
      </c>
      <c r="E98" s="652"/>
      <c r="F98" s="60" t="s">
        <v>52</v>
      </c>
      <c r="G98" s="91">
        <f>'Historic Data'!P7/'Historic Data'!EC7</f>
        <v>8.3560008610399014E-3</v>
      </c>
      <c r="H98" s="60" t="s">
        <v>52</v>
      </c>
      <c r="I98" s="65">
        <v>0.68910000000000005</v>
      </c>
      <c r="J98" s="60" t="s">
        <v>52</v>
      </c>
      <c r="K98" s="66">
        <f>I98/I100</f>
        <v>0.75139025188092901</v>
      </c>
    </row>
    <row r="99" spans="1:12">
      <c r="B99" s="641"/>
      <c r="C99" s="60" t="s">
        <v>14</v>
      </c>
      <c r="D99" s="653">
        <f>'Historic Data'!P6/'Historic Data'!GS6</f>
        <v>5.1871788597993636E-2</v>
      </c>
      <c r="E99" s="654"/>
      <c r="F99" s="60" t="s">
        <v>14</v>
      </c>
      <c r="G99" s="91">
        <f>'Historic Data'!P7/'Historic Data'!GS7</f>
        <v>5.1536852269069844E-2</v>
      </c>
      <c r="H99" s="60" t="s">
        <v>14</v>
      </c>
      <c r="I99" s="65">
        <v>0.22800000000000001</v>
      </c>
      <c r="J99" s="60" t="s">
        <v>14</v>
      </c>
      <c r="K99" s="66">
        <f>I99/I100</f>
        <v>0.24860974811907099</v>
      </c>
    </row>
    <row r="100" spans="1:12" ht="17" thickBot="1">
      <c r="B100" s="641"/>
      <c r="C100" s="203" t="s">
        <v>206</v>
      </c>
      <c r="D100" s="653">
        <f>'Historic Data'!EO6/'Historic Data'!EC6</f>
        <v>0.62708653959985794</v>
      </c>
      <c r="E100" s="654"/>
      <c r="F100" s="203" t="s">
        <v>206</v>
      </c>
      <c r="G100" s="227">
        <f>'Historic Data'!EO7/'Historic Data'!EC7</f>
        <v>0.59885977443363791</v>
      </c>
      <c r="H100" s="63" t="s">
        <v>24</v>
      </c>
      <c r="I100" s="87">
        <f>SUM(I98:I99)</f>
        <v>0.91710000000000003</v>
      </c>
      <c r="J100" s="63" t="s">
        <v>24</v>
      </c>
      <c r="K100" s="67">
        <f>SUM(K98:K99)</f>
        <v>1</v>
      </c>
    </row>
    <row r="101" spans="1:12" ht="17" thickBot="1">
      <c r="B101" s="641"/>
      <c r="C101" s="70" t="str">
        <f>B97</f>
        <v>GV70 EV</v>
      </c>
      <c r="D101" s="71" t="s">
        <v>52</v>
      </c>
      <c r="E101" s="71" t="s">
        <v>208</v>
      </c>
      <c r="F101" s="71" t="s">
        <v>14</v>
      </c>
      <c r="G101" s="72" t="s">
        <v>24</v>
      </c>
      <c r="H101" s="643" t="s">
        <v>195</v>
      </c>
      <c r="I101" s="70" t="s">
        <v>183</v>
      </c>
      <c r="J101" s="71" t="s">
        <v>52</v>
      </c>
      <c r="K101" s="71" t="s">
        <v>14</v>
      </c>
      <c r="L101" s="72" t="s">
        <v>24</v>
      </c>
    </row>
    <row r="102" spans="1:12" ht="17" customHeight="1">
      <c r="A102" t="s">
        <v>142</v>
      </c>
      <c r="B102" s="641"/>
      <c r="C102" s="167" t="s">
        <v>74</v>
      </c>
      <c r="D102" s="69">
        <f>U3/$G$98</f>
        <v>2393.4894613583137</v>
      </c>
      <c r="E102" s="74">
        <f>D102*$G$100</f>
        <v>1433.3645589383293</v>
      </c>
      <c r="F102" s="510">
        <v>520.48399687743949</v>
      </c>
      <c r="G102" s="76">
        <f>D102+F102</f>
        <v>2913.9734582357532</v>
      </c>
      <c r="H102" s="644"/>
      <c r="I102" s="73" t="s">
        <v>74</v>
      </c>
      <c r="J102" s="172">
        <f t="shared" ref="J102:J113" si="39">D102*K$98</f>
        <v>1798.4446492443724</v>
      </c>
      <c r="K102" s="172">
        <f>F102*K$99</f>
        <v>129.39739536370757</v>
      </c>
      <c r="L102" s="84">
        <f t="shared" ref="L102:L114" si="40">SUM(J102:K102)</f>
        <v>1927.84204460808</v>
      </c>
    </row>
    <row r="103" spans="1:12">
      <c r="A103" t="s">
        <v>142</v>
      </c>
      <c r="B103" s="641"/>
      <c r="C103" s="168" t="s">
        <v>75</v>
      </c>
      <c r="D103" s="69">
        <f>U4/$G$98</f>
        <v>3590.2341920374706</v>
      </c>
      <c r="E103" s="69">
        <f>D103*$G$100</f>
        <v>2150.0468384074939</v>
      </c>
      <c r="F103" s="510">
        <v>780.72599531615924</v>
      </c>
      <c r="G103" s="76">
        <f t="shared" ref="G103:G113" si="41">D103+F103</f>
        <v>4370.9601873536303</v>
      </c>
      <c r="H103" s="644"/>
      <c r="I103" s="45" t="s">
        <v>75</v>
      </c>
      <c r="J103" s="69">
        <f>D103*K$98</f>
        <v>2697.6669738665587</v>
      </c>
      <c r="K103" s="69">
        <f>F103*K$99</f>
        <v>194.09609304556136</v>
      </c>
      <c r="L103" s="85">
        <f t="shared" si="40"/>
        <v>2891.7630669121199</v>
      </c>
    </row>
    <row r="104" spans="1:12">
      <c r="A104" t="s">
        <v>142</v>
      </c>
      <c r="B104" s="641"/>
      <c r="C104" s="166" t="s">
        <v>76</v>
      </c>
      <c r="D104" s="69">
        <f>U5/$D$98</f>
        <v>4183.6556603773588</v>
      </c>
      <c r="E104" s="69">
        <f>D104*$D$100</f>
        <v>2623.5141509433965</v>
      </c>
      <c r="F104" s="510">
        <v>721.46226415094338</v>
      </c>
      <c r="G104" s="76">
        <f t="shared" si="41"/>
        <v>4905.117924528302</v>
      </c>
      <c r="H104" s="644"/>
      <c r="I104" s="45" t="s">
        <v>76</v>
      </c>
      <c r="J104" s="69">
        <f t="shared" si="39"/>
        <v>3143.5580804340179</v>
      </c>
      <c r="K104" s="69">
        <f t="shared" ref="K104:K113" si="42">F104*K$99</f>
        <v>179.3625517679807</v>
      </c>
      <c r="L104" s="85">
        <f t="shared" si="40"/>
        <v>3322.9206322019986</v>
      </c>
    </row>
    <row r="105" spans="1:12">
      <c r="A105" t="s">
        <v>142</v>
      </c>
      <c r="B105" s="641"/>
      <c r="C105" s="168" t="s">
        <v>77</v>
      </c>
      <c r="D105" s="69">
        <f>U6/$G$98</f>
        <v>2154.1405152224825</v>
      </c>
      <c r="E105" s="69">
        <f t="shared" ref="E105:E111" si="43">D105*$G$100</f>
        <v>1290.0281030444964</v>
      </c>
      <c r="F105" s="69">
        <f>U6/$G$99</f>
        <v>349.26463700234189</v>
      </c>
      <c r="G105" s="76">
        <f t="shared" si="41"/>
        <v>2503.4051522248242</v>
      </c>
      <c r="H105" s="644"/>
      <c r="I105" s="45" t="s">
        <v>77</v>
      </c>
      <c r="J105" s="69">
        <f t="shared" si="39"/>
        <v>1618.6001843199354</v>
      </c>
      <c r="K105" s="69">
        <f t="shared" si="42"/>
        <v>86.830593432050975</v>
      </c>
      <c r="L105" s="85">
        <f t="shared" si="40"/>
        <v>1705.4307777519864</v>
      </c>
    </row>
    <row r="106" spans="1:12">
      <c r="A106" t="s">
        <v>142</v>
      </c>
      <c r="B106" s="641"/>
      <c r="C106" s="168" t="s">
        <v>78</v>
      </c>
      <c r="D106" s="69">
        <f>U7/$G$98</f>
        <v>2154.1405152224825</v>
      </c>
      <c r="E106" s="69">
        <f t="shared" si="43"/>
        <v>1290.0281030444964</v>
      </c>
      <c r="F106" s="69">
        <f>U7/$G$99</f>
        <v>349.26463700234189</v>
      </c>
      <c r="G106" s="76">
        <f>D106+F106</f>
        <v>2503.4051522248242</v>
      </c>
      <c r="H106" s="644"/>
      <c r="I106" s="45" t="s">
        <v>78</v>
      </c>
      <c r="J106" s="69">
        <f t="shared" si="39"/>
        <v>1618.6001843199354</v>
      </c>
      <c r="K106" s="69">
        <f t="shared" si="42"/>
        <v>86.830593432050975</v>
      </c>
      <c r="L106" s="85">
        <f t="shared" si="40"/>
        <v>1705.4307777519864</v>
      </c>
    </row>
    <row r="107" spans="1:12">
      <c r="A107" t="s">
        <v>142</v>
      </c>
      <c r="B107" s="641"/>
      <c r="C107" s="168" t="s">
        <v>79</v>
      </c>
      <c r="D107" s="69">
        <f>U8/$G$98</f>
        <v>2154.1405152224825</v>
      </c>
      <c r="E107" s="69">
        <f t="shared" si="43"/>
        <v>1290.0281030444964</v>
      </c>
      <c r="F107" s="69">
        <f>U8/$G$99</f>
        <v>349.26463700234189</v>
      </c>
      <c r="G107" s="76">
        <f>D107+F107</f>
        <v>2503.4051522248242</v>
      </c>
      <c r="H107" s="644"/>
      <c r="I107" s="45" t="s">
        <v>79</v>
      </c>
      <c r="J107" s="69">
        <f t="shared" si="39"/>
        <v>1618.6001843199354</v>
      </c>
      <c r="K107" s="69">
        <f t="shared" si="42"/>
        <v>86.830593432050975</v>
      </c>
      <c r="L107" s="85">
        <f t="shared" si="40"/>
        <v>1705.4307777519864</v>
      </c>
    </row>
    <row r="108" spans="1:12">
      <c r="A108" t="s">
        <v>142</v>
      </c>
      <c r="B108" s="641"/>
      <c r="C108" s="168" t="s">
        <v>80</v>
      </c>
      <c r="D108" s="69">
        <f>U9/$D$98</f>
        <v>7889.1792452830196</v>
      </c>
      <c r="E108" s="69">
        <f>D108*$D$100</f>
        <v>4947.198113207548</v>
      </c>
      <c r="F108" s="69">
        <f>U9/$D$99</f>
        <v>1272.367924528302</v>
      </c>
      <c r="G108" s="76">
        <f t="shared" si="41"/>
        <v>9161.5471698113215</v>
      </c>
      <c r="H108" s="644"/>
      <c r="I108" s="45" t="s">
        <v>80</v>
      </c>
      <c r="J108" s="69">
        <f t="shared" si="39"/>
        <v>5927.8523802470054</v>
      </c>
      <c r="K108" s="69">
        <f t="shared" si="42"/>
        <v>316.32306923176628</v>
      </c>
      <c r="L108" s="85">
        <f t="shared" si="40"/>
        <v>6244.175449478772</v>
      </c>
    </row>
    <row r="109" spans="1:12">
      <c r="A109" t="s">
        <v>142</v>
      </c>
      <c r="B109" s="641"/>
      <c r="C109" s="166" t="s">
        <v>81</v>
      </c>
      <c r="D109" s="69">
        <f>U10/$D$98</f>
        <v>14343.962264150945</v>
      </c>
      <c r="E109" s="69">
        <f>D109*$D$100</f>
        <v>8994.9056603773588</v>
      </c>
      <c r="F109" s="69">
        <f t="shared" ref="F109:F113" si="44">U10/$D$99</f>
        <v>2313.3962264150946</v>
      </c>
      <c r="G109" s="76">
        <f t="shared" si="41"/>
        <v>16657.358490566039</v>
      </c>
      <c r="H109" s="644"/>
      <c r="I109" s="45" t="s">
        <v>81</v>
      </c>
      <c r="J109" s="69">
        <f t="shared" si="39"/>
        <v>10777.913418630918</v>
      </c>
      <c r="K109" s="69">
        <f t="shared" si="42"/>
        <v>575.13285314866596</v>
      </c>
      <c r="L109" s="85">
        <f t="shared" si="40"/>
        <v>11353.046271779584</v>
      </c>
    </row>
    <row r="110" spans="1:12">
      <c r="A110" t="s">
        <v>142</v>
      </c>
      <c r="B110" s="641"/>
      <c r="C110" s="168" t="s">
        <v>82</v>
      </c>
      <c r="D110" s="69">
        <f>U11/$G$98</f>
        <v>14360.936768149882</v>
      </c>
      <c r="E110" s="69">
        <f t="shared" si="43"/>
        <v>8600.1873536299754</v>
      </c>
      <c r="F110" s="69">
        <f>U11/$G$99</f>
        <v>2328.430913348946</v>
      </c>
      <c r="G110" s="76">
        <f t="shared" si="41"/>
        <v>16689.367681498828</v>
      </c>
      <c r="H110" s="644"/>
      <c r="I110" s="45" t="s">
        <v>82</v>
      </c>
      <c r="J110" s="69">
        <f t="shared" si="39"/>
        <v>10790.667895466235</v>
      </c>
      <c r="K110" s="69">
        <f t="shared" si="42"/>
        <v>578.87062288033985</v>
      </c>
      <c r="L110" s="85">
        <f t="shared" si="40"/>
        <v>11369.538518346575</v>
      </c>
    </row>
    <row r="111" spans="1:12">
      <c r="A111" t="s">
        <v>142</v>
      </c>
      <c r="B111" s="641"/>
      <c r="C111" s="168" t="s">
        <v>83</v>
      </c>
      <c r="D111" s="69">
        <f>U12/$G$98</f>
        <v>17352.798594847776</v>
      </c>
      <c r="E111" s="69">
        <f t="shared" si="43"/>
        <v>10391.893052302888</v>
      </c>
      <c r="F111" s="69">
        <f>U12/$G$99</f>
        <v>2813.5206869633098</v>
      </c>
      <c r="G111" s="76">
        <f t="shared" si="41"/>
        <v>20166.319281811087</v>
      </c>
      <c r="H111" s="644"/>
      <c r="I111" s="45" t="s">
        <v>83</v>
      </c>
      <c r="J111" s="69">
        <f t="shared" si="39"/>
        <v>13038.723707021702</v>
      </c>
      <c r="K111" s="69">
        <f t="shared" si="42"/>
        <v>699.46866931374404</v>
      </c>
      <c r="L111" s="85">
        <f t="shared" si="40"/>
        <v>13738.192376335446</v>
      </c>
    </row>
    <row r="112" spans="1:12">
      <c r="A112" t="s">
        <v>142</v>
      </c>
      <c r="B112" s="641"/>
      <c r="C112" s="166" t="s">
        <v>84</v>
      </c>
      <c r="D112" s="69">
        <f>U13/$D$98</f>
        <v>13148.632075471698</v>
      </c>
      <c r="E112" s="69">
        <f>D112*$D$100</f>
        <v>8245.3301886792451</v>
      </c>
      <c r="F112" s="69">
        <f t="shared" si="44"/>
        <v>2120.6132075471701</v>
      </c>
      <c r="G112" s="76">
        <f t="shared" si="41"/>
        <v>15269.245283018869</v>
      </c>
      <c r="H112" s="644"/>
      <c r="I112" s="45" t="s">
        <v>84</v>
      </c>
      <c r="J112" s="69">
        <f t="shared" si="39"/>
        <v>9879.7539670783408</v>
      </c>
      <c r="K112" s="69">
        <f t="shared" si="42"/>
        <v>527.20511538627716</v>
      </c>
      <c r="L112" s="85">
        <f t="shared" si="40"/>
        <v>10406.959082464618</v>
      </c>
    </row>
    <row r="113" spans="1:12">
      <c r="A113" t="s">
        <v>142</v>
      </c>
      <c r="B113" s="641"/>
      <c r="C113" s="166" t="s">
        <v>85</v>
      </c>
      <c r="D113" s="69">
        <f>U14/$D$98</f>
        <v>13148.632075471698</v>
      </c>
      <c r="E113" s="69">
        <f>D113*$D$100</f>
        <v>8245.3301886792451</v>
      </c>
      <c r="F113" s="69">
        <f t="shared" si="44"/>
        <v>2120.6132075471701</v>
      </c>
      <c r="G113" s="76">
        <f t="shared" si="41"/>
        <v>15269.245283018869</v>
      </c>
      <c r="H113" s="644"/>
      <c r="I113" s="45" t="s">
        <v>85</v>
      </c>
      <c r="J113" s="69">
        <f t="shared" si="39"/>
        <v>9879.7539670783408</v>
      </c>
      <c r="K113" s="69">
        <f t="shared" si="42"/>
        <v>527.20511538627716</v>
      </c>
      <c r="L113" s="85">
        <f t="shared" si="40"/>
        <v>10406.959082464618</v>
      </c>
    </row>
    <row r="114" spans="1:12" ht="17" thickBot="1">
      <c r="B114" s="642"/>
      <c r="C114" s="77" t="s">
        <v>24</v>
      </c>
      <c r="D114" s="78">
        <f>SUM(D102:D113)</f>
        <v>96873.941882815619</v>
      </c>
      <c r="E114" s="78">
        <f>SUM(E102:E113)</f>
        <v>59501.854414298978</v>
      </c>
      <c r="F114" s="78">
        <f>SUM(F102:F113)</f>
        <v>16039.40833370156</v>
      </c>
      <c r="G114" s="79">
        <f>SUM(G102:G113)</f>
        <v>112913.35021651717</v>
      </c>
      <c r="H114" s="645"/>
      <c r="I114" s="77" t="s">
        <v>24</v>
      </c>
      <c r="J114" s="78">
        <f>SUM(J102:J113)</f>
        <v>72790.135592027305</v>
      </c>
      <c r="K114" s="78">
        <f>SUM(K102:K113)</f>
        <v>3987.5532658204729</v>
      </c>
      <c r="L114" s="79">
        <f t="shared" si="40"/>
        <v>76777.688857847781</v>
      </c>
    </row>
    <row r="115" spans="1:12" ht="17" thickBot="1"/>
    <row r="116" spans="1:12" ht="17" thickBot="1">
      <c r="B116" s="640" t="s">
        <v>88</v>
      </c>
      <c r="C116" s="632" t="s">
        <v>180</v>
      </c>
      <c r="D116" s="650"/>
      <c r="E116" s="633"/>
      <c r="F116" s="634" t="s">
        <v>181</v>
      </c>
      <c r="G116" s="636"/>
      <c r="H116" s="164" t="s">
        <v>213</v>
      </c>
      <c r="I116" s="165"/>
      <c r="J116" s="164" t="s">
        <v>183</v>
      </c>
      <c r="K116" s="165"/>
    </row>
    <row r="117" spans="1:12">
      <c r="B117" s="641"/>
      <c r="C117" s="60" t="s">
        <v>52</v>
      </c>
      <c r="D117" s="651">
        <f>'Historic Data'!Q6/'Historic Data'!EG6</f>
        <v>1.2523104069110608E-2</v>
      </c>
      <c r="E117" s="652"/>
      <c r="F117" s="60" t="s">
        <v>52</v>
      </c>
      <c r="G117" s="91">
        <f>'Historic Data'!Q7/'Historic Data'!EG7</f>
        <v>1.2516264346610219E-2</v>
      </c>
      <c r="H117" s="60" t="s">
        <v>52</v>
      </c>
      <c r="I117" s="65">
        <v>0.68910000000000005</v>
      </c>
      <c r="J117" s="60" t="s">
        <v>52</v>
      </c>
      <c r="K117" s="66">
        <f>I117/I119</f>
        <v>0.75139025188092901</v>
      </c>
    </row>
    <row r="118" spans="1:12">
      <c r="B118" s="641"/>
      <c r="C118" s="60" t="s">
        <v>14</v>
      </c>
      <c r="D118" s="653">
        <f>'Historic Data'!Q6/'Historic Data'!GT6</f>
        <v>3.4506654933450669E-2</v>
      </c>
      <c r="E118" s="654"/>
      <c r="F118" s="60" t="s">
        <v>14</v>
      </c>
      <c r="G118" s="91">
        <f>'Historic Data'!Q7/'Historic Data'!GT7</f>
        <v>2.8805917615969519E-2</v>
      </c>
      <c r="H118" s="60" t="s">
        <v>14</v>
      </c>
      <c r="I118" s="65">
        <v>0.22800000000000001</v>
      </c>
      <c r="J118" s="60" t="s">
        <v>14</v>
      </c>
      <c r="K118" s="66">
        <f>I118/I119</f>
        <v>0.24860974811907099</v>
      </c>
    </row>
    <row r="119" spans="1:12" ht="17" thickBot="1">
      <c r="B119" s="641"/>
      <c r="C119" s="203" t="s">
        <v>206</v>
      </c>
      <c r="D119" s="653">
        <f>'Historic Data'!ES6/'Historic Data'!EG6</f>
        <v>0.72952171083885231</v>
      </c>
      <c r="E119" s="654"/>
      <c r="F119" s="203" t="s">
        <v>206</v>
      </c>
      <c r="G119" s="227">
        <f>'Historic Data'!ES7/'Historic Data'!EG7</f>
        <v>0.65774474200376754</v>
      </c>
      <c r="H119" s="63" t="s">
        <v>24</v>
      </c>
      <c r="I119" s="87">
        <f>SUM(I117:I118)</f>
        <v>0.91710000000000003</v>
      </c>
      <c r="J119" s="63" t="s">
        <v>24</v>
      </c>
      <c r="K119" s="67">
        <f>SUM(K117:K118)</f>
        <v>1</v>
      </c>
    </row>
    <row r="120" spans="1:12" ht="17" thickBot="1">
      <c r="B120" s="641"/>
      <c r="C120" s="70" t="str">
        <f>B116</f>
        <v>G70</v>
      </c>
      <c r="D120" s="71" t="s">
        <v>52</v>
      </c>
      <c r="E120" s="71" t="s">
        <v>208</v>
      </c>
      <c r="F120" s="71" t="s">
        <v>14</v>
      </c>
      <c r="G120" s="72" t="s">
        <v>24</v>
      </c>
      <c r="H120" s="643" t="s">
        <v>195</v>
      </c>
      <c r="I120" s="70" t="s">
        <v>183</v>
      </c>
      <c r="J120" s="71" t="s">
        <v>52</v>
      </c>
      <c r="K120" s="71" t="s">
        <v>14</v>
      </c>
      <c r="L120" s="72" t="s">
        <v>24</v>
      </c>
    </row>
    <row r="121" spans="1:12">
      <c r="A121" t="s">
        <v>88</v>
      </c>
      <c r="B121" s="641"/>
      <c r="C121" s="167" t="s">
        <v>74</v>
      </c>
      <c r="D121" s="69">
        <f>O3/$G$117</f>
        <v>44741.784328937159</v>
      </c>
      <c r="E121" s="74">
        <f>D121*$G$119</f>
        <v>29428.67339022498</v>
      </c>
      <c r="F121" s="510">
        <v>8887.3390224980612</v>
      </c>
      <c r="G121" s="76">
        <f>D121+F121</f>
        <v>53629.123351435221</v>
      </c>
      <c r="H121" s="644"/>
      <c r="I121" s="73" t="s">
        <v>74</v>
      </c>
      <c r="J121" s="172">
        <f t="shared" ref="J121:J132" si="45">D121*K$117</f>
        <v>33618.540596522296</v>
      </c>
      <c r="K121" s="172">
        <f>F121*K$118</f>
        <v>2209.4791158320336</v>
      </c>
      <c r="L121" s="84">
        <f t="shared" ref="L121:L133" si="46">SUM(J121:K121)</f>
        <v>35828.019712354333</v>
      </c>
    </row>
    <row r="122" spans="1:12">
      <c r="A122" t="s">
        <v>88</v>
      </c>
      <c r="B122" s="641"/>
      <c r="C122" s="168" t="s">
        <v>75</v>
      </c>
      <c r="D122" s="69">
        <f>O4/$G$117</f>
        <v>55128.269976726144</v>
      </c>
      <c r="E122" s="69">
        <f>D122*$G$119</f>
        <v>36260.329712955783</v>
      </c>
      <c r="F122" s="510">
        <v>10950.471295577969</v>
      </c>
      <c r="G122" s="76">
        <f t="shared" ref="G122:G132" si="47">D122+F122</f>
        <v>66078.74127230412</v>
      </c>
      <c r="H122" s="644"/>
      <c r="I122" s="45" t="s">
        <v>75</v>
      </c>
      <c r="J122" s="69">
        <f t="shared" si="45"/>
        <v>41422.844663572112</v>
      </c>
      <c r="K122" s="69">
        <f>F122*K$118</f>
        <v>2722.3939105787558</v>
      </c>
      <c r="L122" s="85">
        <f t="shared" si="46"/>
        <v>44145.23857415087</v>
      </c>
    </row>
    <row r="123" spans="1:12">
      <c r="A123" t="s">
        <v>88</v>
      </c>
      <c r="B123" s="641"/>
      <c r="C123" s="166" t="s">
        <v>76</v>
      </c>
      <c r="D123" s="69">
        <f>O5/$D$117</f>
        <v>63881.925406439274</v>
      </c>
      <c r="E123" s="69">
        <f>D123*$D$119</f>
        <v>46603.251514185526</v>
      </c>
      <c r="F123" s="510">
        <v>11502.96461587504</v>
      </c>
      <c r="G123" s="76">
        <f t="shared" si="47"/>
        <v>75384.890022314314</v>
      </c>
      <c r="H123" s="644"/>
      <c r="I123" s="45" t="s">
        <v>76</v>
      </c>
      <c r="J123" s="69">
        <f t="shared" si="45"/>
        <v>48000.256021783127</v>
      </c>
      <c r="K123" s="69">
        <f t="shared" ref="K123:K132" si="48">F123*K$118</f>
        <v>2859.7491357752801</v>
      </c>
      <c r="L123" s="85">
        <f t="shared" si="46"/>
        <v>50860.005157558408</v>
      </c>
    </row>
    <row r="124" spans="1:12">
      <c r="A124" t="s">
        <v>88</v>
      </c>
      <c r="B124" s="641"/>
      <c r="C124" s="168" t="s">
        <v>77</v>
      </c>
      <c r="D124" s="69">
        <f>O6/$G$117</f>
        <v>55927.230411171447</v>
      </c>
      <c r="E124" s="69">
        <f t="shared" ref="E124:E130" si="49">D124*$G$119</f>
        <v>36785.841737781222</v>
      </c>
      <c r="F124" s="69">
        <f>O6/$G$118</f>
        <v>24300.5624515128</v>
      </c>
      <c r="G124" s="76">
        <f t="shared" si="47"/>
        <v>80227.792862684248</v>
      </c>
      <c r="H124" s="644"/>
      <c r="I124" s="45" t="s">
        <v>77</v>
      </c>
      <c r="J124" s="69">
        <f t="shared" si="45"/>
        <v>42023.175745652865</v>
      </c>
      <c r="K124" s="69">
        <f t="shared" si="48"/>
        <v>6041.3567102223515</v>
      </c>
      <c r="L124" s="85">
        <f t="shared" si="46"/>
        <v>48064.532455875218</v>
      </c>
    </row>
    <row r="125" spans="1:12">
      <c r="A125" t="s">
        <v>88</v>
      </c>
      <c r="B125" s="641"/>
      <c r="C125" s="168" t="s">
        <v>78</v>
      </c>
      <c r="D125" s="69">
        <f>O7/$G$117</f>
        <v>62318.913886733899</v>
      </c>
      <c r="E125" s="69">
        <f t="shared" si="49"/>
        <v>40989.937936384791</v>
      </c>
      <c r="F125" s="69">
        <f>O7/$G$118</f>
        <v>27077.769588828549</v>
      </c>
      <c r="G125" s="76">
        <f>D125+F125</f>
        <v>89396.683475562444</v>
      </c>
      <c r="H125" s="644"/>
      <c r="I125" s="45" t="s">
        <v>78</v>
      </c>
      <c r="J125" s="69">
        <f t="shared" si="45"/>
        <v>46825.824402298909</v>
      </c>
      <c r="K125" s="69">
        <f t="shared" si="48"/>
        <v>6731.7974771049057</v>
      </c>
      <c r="L125" s="85">
        <f t="shared" si="46"/>
        <v>53557.621879403814</v>
      </c>
    </row>
    <row r="126" spans="1:12">
      <c r="A126" t="s">
        <v>88</v>
      </c>
      <c r="B126" s="641"/>
      <c r="C126" s="168" t="s">
        <v>79</v>
      </c>
      <c r="D126" s="69">
        <f>O8/$G$117</f>
        <v>60720.993017843291</v>
      </c>
      <c r="E126" s="69">
        <f t="shared" si="49"/>
        <v>39938.913886733906</v>
      </c>
      <c r="F126" s="69">
        <f>O8/$G$118</f>
        <v>26383.467804499611</v>
      </c>
      <c r="G126" s="76">
        <f>D126+F126</f>
        <v>87104.460822342895</v>
      </c>
      <c r="H126" s="644"/>
      <c r="I126" s="45" t="s">
        <v>79</v>
      </c>
      <c r="J126" s="69">
        <f t="shared" si="45"/>
        <v>45625.162238137404</v>
      </c>
      <c r="K126" s="69">
        <f t="shared" si="48"/>
        <v>6559.1872853842669</v>
      </c>
      <c r="L126" s="85">
        <f t="shared" si="46"/>
        <v>52184.349523521669</v>
      </c>
    </row>
    <row r="127" spans="1:12">
      <c r="A127" t="s">
        <v>88</v>
      </c>
      <c r="B127" s="641"/>
      <c r="C127" s="168" t="s">
        <v>80</v>
      </c>
      <c r="D127" s="69">
        <f>O9/$D$117</f>
        <v>61885.615237488048</v>
      </c>
      <c r="E127" s="69">
        <f>D127*$D$119</f>
        <v>45146.89990436723</v>
      </c>
      <c r="F127" s="69">
        <f>O9/$D$118</f>
        <v>22459.435766656039</v>
      </c>
      <c r="G127" s="76">
        <f t="shared" si="47"/>
        <v>84345.051004144087</v>
      </c>
      <c r="H127" s="644"/>
      <c r="I127" s="45" t="s">
        <v>80</v>
      </c>
      <c r="J127" s="69">
        <f t="shared" si="45"/>
        <v>46500.248021102401</v>
      </c>
      <c r="K127" s="69">
        <f>F127*K$118</f>
        <v>5583.634668844812</v>
      </c>
      <c r="L127" s="85">
        <f t="shared" si="46"/>
        <v>52083.882689947211</v>
      </c>
    </row>
    <row r="128" spans="1:12">
      <c r="A128" t="s">
        <v>88</v>
      </c>
      <c r="B128" s="641"/>
      <c r="C128" s="166" t="s">
        <v>81</v>
      </c>
      <c r="D128" s="69">
        <f>O10/$D$117</f>
        <v>59889.305068536822</v>
      </c>
      <c r="E128" s="69">
        <f>D128*$D$119</f>
        <v>43690.548294548935</v>
      </c>
      <c r="F128" s="69">
        <f t="shared" ref="F128:F132" si="50">O10/$D$118</f>
        <v>21734.937838699392</v>
      </c>
      <c r="G128" s="76">
        <f t="shared" si="47"/>
        <v>81624.242907236214</v>
      </c>
      <c r="H128" s="644"/>
      <c r="I128" s="45" t="s">
        <v>81</v>
      </c>
      <c r="J128" s="69">
        <f t="shared" si="45"/>
        <v>45000.240020421683</v>
      </c>
      <c r="K128" s="69">
        <f t="shared" si="48"/>
        <v>5403.5174214627214</v>
      </c>
      <c r="L128" s="85">
        <f t="shared" si="46"/>
        <v>50403.757441884401</v>
      </c>
    </row>
    <row r="129" spans="1:12">
      <c r="A129" t="s">
        <v>88</v>
      </c>
      <c r="B129" s="641"/>
      <c r="C129" s="168" t="s">
        <v>82</v>
      </c>
      <c r="D129" s="69">
        <f>O11/$G$117</f>
        <v>57125.671062839414</v>
      </c>
      <c r="E129" s="69">
        <f t="shared" si="49"/>
        <v>37574.109775019402</v>
      </c>
      <c r="F129" s="69">
        <f>O11/$G$118</f>
        <v>24821.288789759503</v>
      </c>
      <c r="G129" s="76">
        <f t="shared" si="47"/>
        <v>81946.959852598913</v>
      </c>
      <c r="H129" s="644"/>
      <c r="I129" s="45" t="s">
        <v>82</v>
      </c>
      <c r="J129" s="69">
        <f t="shared" si="45"/>
        <v>42923.672368774001</v>
      </c>
      <c r="K129" s="69">
        <f t="shared" si="48"/>
        <v>6170.8143540128303</v>
      </c>
      <c r="L129" s="85">
        <f t="shared" si="46"/>
        <v>49094.486722786831</v>
      </c>
    </row>
    <row r="130" spans="1:12">
      <c r="A130" t="s">
        <v>88</v>
      </c>
      <c r="B130" s="641"/>
      <c r="C130" s="168" t="s">
        <v>83</v>
      </c>
      <c r="D130" s="69">
        <f>O12/$G$117</f>
        <v>54728.789759503488</v>
      </c>
      <c r="E130" s="69">
        <f t="shared" si="49"/>
        <v>35997.573700543056</v>
      </c>
      <c r="F130" s="69">
        <f>O12/$G$118</f>
        <v>23779.836113266098</v>
      </c>
      <c r="G130" s="76">
        <f t="shared" si="47"/>
        <v>78508.625872769582</v>
      </c>
      <c r="H130" s="644"/>
      <c r="I130" s="45" t="s">
        <v>83</v>
      </c>
      <c r="J130" s="69">
        <f t="shared" si="45"/>
        <v>41122.679122531736</v>
      </c>
      <c r="K130" s="69">
        <f t="shared" si="48"/>
        <v>5911.8990664318726</v>
      </c>
      <c r="L130" s="85">
        <f t="shared" si="46"/>
        <v>47034.578188963605</v>
      </c>
    </row>
    <row r="131" spans="1:12">
      <c r="A131" t="s">
        <v>88</v>
      </c>
      <c r="B131" s="641"/>
      <c r="C131" s="166" t="s">
        <v>84</v>
      </c>
      <c r="D131" s="69">
        <f>O13/$D$117</f>
        <v>49508.492189990437</v>
      </c>
      <c r="E131" s="69">
        <f>D131*$D$119</f>
        <v>36117.519923493783</v>
      </c>
      <c r="F131" s="69">
        <f t="shared" si="50"/>
        <v>17967.548613324831</v>
      </c>
      <c r="G131" s="76">
        <f t="shared" si="47"/>
        <v>67476.040803315263</v>
      </c>
      <c r="H131" s="644"/>
      <c r="I131" s="45" t="s">
        <v>84</v>
      </c>
      <c r="J131" s="69">
        <f t="shared" si="45"/>
        <v>37200.198416881918</v>
      </c>
      <c r="K131" s="69">
        <f t="shared" si="48"/>
        <v>4466.9077350758498</v>
      </c>
      <c r="L131" s="85">
        <f t="shared" si="46"/>
        <v>41667.106151957771</v>
      </c>
    </row>
    <row r="132" spans="1:12">
      <c r="A132" t="s">
        <v>88</v>
      </c>
      <c r="B132" s="641"/>
      <c r="C132" s="166" t="s">
        <v>85</v>
      </c>
      <c r="D132" s="69">
        <f>O14/$D$117</f>
        <v>62284.877271278288</v>
      </c>
      <c r="E132" s="69">
        <f>D132*$D$119</f>
        <v>45438.170226330883</v>
      </c>
      <c r="F132" s="69">
        <f t="shared" si="50"/>
        <v>22604.335352247366</v>
      </c>
      <c r="G132" s="76">
        <f t="shared" si="47"/>
        <v>84889.212623525658</v>
      </c>
      <c r="H132" s="644"/>
      <c r="I132" s="45" t="s">
        <v>85</v>
      </c>
      <c r="J132" s="69">
        <f t="shared" si="45"/>
        <v>46800.249621238545</v>
      </c>
      <c r="K132" s="69">
        <f t="shared" si="48"/>
        <v>5619.6581183212293</v>
      </c>
      <c r="L132" s="85">
        <f t="shared" si="46"/>
        <v>52419.907739559771</v>
      </c>
    </row>
    <row r="133" spans="1:12" ht="17" thickBot="1">
      <c r="B133" s="642"/>
      <c r="C133" s="77" t="s">
        <v>24</v>
      </c>
      <c r="D133" s="78">
        <f>SUM(D121:D132)</f>
        <v>688141.86761748767</v>
      </c>
      <c r="E133" s="78">
        <f>SUM(E121:E132)</f>
        <v>473971.77000256948</v>
      </c>
      <c r="F133" s="78">
        <f>SUM(F121:F132)</f>
        <v>242469.95725274523</v>
      </c>
      <c r="G133" s="79">
        <f>SUM(G121:G132)</f>
        <v>930611.82487023296</v>
      </c>
      <c r="H133" s="645"/>
      <c r="I133" s="77" t="s">
        <v>24</v>
      </c>
      <c r="J133" s="78">
        <f>SUM(J121:J132)</f>
        <v>517063.09123891697</v>
      </c>
      <c r="K133" s="78">
        <f>SUM(K121:K132)</f>
        <v>60280.394999046897</v>
      </c>
      <c r="L133" s="79">
        <f t="shared" si="46"/>
        <v>577343.48623796389</v>
      </c>
    </row>
    <row r="134" spans="1:12" ht="17" thickBot="1"/>
    <row r="135" spans="1:12" ht="17" thickBot="1">
      <c r="B135" s="640" t="s">
        <v>93</v>
      </c>
      <c r="C135" s="632" t="s">
        <v>180</v>
      </c>
      <c r="D135" s="650"/>
      <c r="E135" s="633"/>
      <c r="F135" s="634" t="s">
        <v>181</v>
      </c>
      <c r="G135" s="636"/>
      <c r="H135" s="164" t="s">
        <v>213</v>
      </c>
      <c r="I135" s="165"/>
      <c r="J135" s="164" t="s">
        <v>183</v>
      </c>
      <c r="K135" s="165"/>
    </row>
    <row r="136" spans="1:12">
      <c r="B136" s="641"/>
      <c r="C136" s="60" t="s">
        <v>52</v>
      </c>
      <c r="D136" s="651">
        <f>'Historic Data'!T6/'Historic Data'!EF6</f>
        <v>6.8589341692789968E-3</v>
      </c>
      <c r="E136" s="652"/>
      <c r="F136" s="60" t="s">
        <v>52</v>
      </c>
      <c r="G136" s="91">
        <f>'Historic Data'!T7/'Historic Data'!EF7</f>
        <v>8.1435625322426111E-3</v>
      </c>
      <c r="H136" s="60" t="s">
        <v>52</v>
      </c>
      <c r="I136" s="65">
        <v>0.68910000000000005</v>
      </c>
      <c r="J136" s="60" t="s">
        <v>52</v>
      </c>
      <c r="K136" s="66">
        <f>I136/I138</f>
        <v>0.75139025188092901</v>
      </c>
    </row>
    <row r="137" spans="1:12">
      <c r="B137" s="641"/>
      <c r="C137" s="60" t="s">
        <v>14</v>
      </c>
      <c r="D137" s="653">
        <f>'Historic Data'!T6/'Historic Data'!GW6</f>
        <v>2.7193636589609743E-2</v>
      </c>
      <c r="E137" s="654"/>
      <c r="F137" s="60" t="s">
        <v>14</v>
      </c>
      <c r="G137" s="91">
        <f>'Historic Data'!T7/'Historic Data'!GW7</f>
        <v>3.1499429874572403E-2</v>
      </c>
      <c r="H137" s="60" t="s">
        <v>14</v>
      </c>
      <c r="I137" s="65">
        <v>0.22800000000000001</v>
      </c>
      <c r="J137" s="60" t="s">
        <v>14</v>
      </c>
      <c r="K137" s="66">
        <f>I137/I138</f>
        <v>0.24860974811907099</v>
      </c>
    </row>
    <row r="138" spans="1:12" ht="17" thickBot="1">
      <c r="B138" s="641"/>
      <c r="C138" s="203" t="s">
        <v>206</v>
      </c>
      <c r="D138" s="653">
        <f>'Historic Data'!ER6/'Historic Data'!EF6</f>
        <v>0.56944200626959252</v>
      </c>
      <c r="E138" s="654"/>
      <c r="F138" s="203" t="s">
        <v>206</v>
      </c>
      <c r="G138" s="227">
        <f>'Historic Data'!ER7/'Historic Data'!EF7</f>
        <v>0.58246124745129835</v>
      </c>
      <c r="H138" s="63" t="s">
        <v>24</v>
      </c>
      <c r="I138" s="87">
        <f>SUM(I136:I137)</f>
        <v>0.91710000000000003</v>
      </c>
      <c r="J138" s="63" t="s">
        <v>24</v>
      </c>
      <c r="K138" s="67">
        <f>SUM(K136:K137)</f>
        <v>1</v>
      </c>
    </row>
    <row r="139" spans="1:12" ht="17" thickBot="1">
      <c r="B139" s="641"/>
      <c r="C139" s="70" t="str">
        <f>B135</f>
        <v>GV60</v>
      </c>
      <c r="D139" s="71" t="s">
        <v>52</v>
      </c>
      <c r="E139" s="71" t="s">
        <v>208</v>
      </c>
      <c r="F139" s="71" t="s">
        <v>14</v>
      </c>
      <c r="G139" s="72" t="s">
        <v>24</v>
      </c>
      <c r="H139" s="643" t="s">
        <v>195</v>
      </c>
      <c r="I139" s="70" t="s">
        <v>183</v>
      </c>
      <c r="J139" s="71" t="s">
        <v>52</v>
      </c>
      <c r="K139" s="71" t="s">
        <v>14</v>
      </c>
      <c r="L139" s="72" t="s">
        <v>24</v>
      </c>
    </row>
    <row r="140" spans="1:12">
      <c r="A140" t="s">
        <v>93</v>
      </c>
      <c r="B140" s="641"/>
      <c r="C140" s="167" t="s">
        <v>74</v>
      </c>
      <c r="D140" s="74">
        <f>S3/$G$136</f>
        <v>1841.9457013574663</v>
      </c>
      <c r="E140" s="74">
        <f>D140*$G$138</f>
        <v>1072.8619909502265</v>
      </c>
      <c r="F140" s="510">
        <v>440.18099547511315</v>
      </c>
      <c r="G140" s="76">
        <f>D140+F140</f>
        <v>2282.1266968325795</v>
      </c>
      <c r="H140" s="644"/>
      <c r="I140" s="73" t="s">
        <v>74</v>
      </c>
      <c r="J140" s="172">
        <f t="shared" ref="J140:J151" si="51">D140*K$136</f>
        <v>1384.020044493981</v>
      </c>
      <c r="K140" s="172">
        <f>F140*K$137</f>
        <v>109.43328641186982</v>
      </c>
      <c r="L140" s="84">
        <f t="shared" ref="L140:L152" si="52">SUM(J140:K140)</f>
        <v>1493.4533309058509</v>
      </c>
    </row>
    <row r="141" spans="1:12">
      <c r="A141" t="s">
        <v>93</v>
      </c>
      <c r="B141" s="641"/>
      <c r="C141" s="168" t="s">
        <v>75</v>
      </c>
      <c r="D141" s="69">
        <f>S4/$G$136</f>
        <v>3683.8914027149326</v>
      </c>
      <c r="E141" s="69">
        <f>D141*$G$138</f>
        <v>2145.7239819004531</v>
      </c>
      <c r="F141" s="510">
        <v>880.3619909502263</v>
      </c>
      <c r="G141" s="76">
        <f t="shared" ref="G141:G151" si="53">D141+F141</f>
        <v>4564.2533936651589</v>
      </c>
      <c r="H141" s="644"/>
      <c r="I141" s="45" t="s">
        <v>75</v>
      </c>
      <c r="J141" s="69">
        <f t="shared" si="51"/>
        <v>2768.040088987962</v>
      </c>
      <c r="K141" s="69">
        <f>F141*K$137</f>
        <v>218.86657282373963</v>
      </c>
      <c r="L141" s="85">
        <f t="shared" si="52"/>
        <v>2986.9066618117017</v>
      </c>
    </row>
    <row r="142" spans="1:12">
      <c r="A142" t="s">
        <v>93</v>
      </c>
      <c r="B142" s="641"/>
      <c r="C142" s="166" t="s">
        <v>76</v>
      </c>
      <c r="D142" s="69">
        <f>S5/$D$136</f>
        <v>17495.429616087753</v>
      </c>
      <c r="E142" s="69">
        <f>D142*$D$138</f>
        <v>9962.6325411334565</v>
      </c>
      <c r="F142" s="510">
        <v>3808.6288848263252</v>
      </c>
      <c r="G142" s="76">
        <f t="shared" si="53"/>
        <v>21304.058500914078</v>
      </c>
      <c r="H142" s="644"/>
      <c r="I142" s="45" t="s">
        <v>76</v>
      </c>
      <c r="J142" s="69">
        <f t="shared" si="51"/>
        <v>13145.895265997242</v>
      </c>
      <c r="K142" s="69">
        <f t="shared" ref="K142:K150" si="54">F142*K$137</f>
        <v>946.86226773569092</v>
      </c>
      <c r="L142" s="85">
        <f t="shared" si="52"/>
        <v>14092.757533732933</v>
      </c>
    </row>
    <row r="143" spans="1:12">
      <c r="A143" t="s">
        <v>93</v>
      </c>
      <c r="B143" s="641"/>
      <c r="C143" s="168" t="s">
        <v>77</v>
      </c>
      <c r="D143" s="69">
        <f>S6/$G$136</f>
        <v>14735.56561085973</v>
      </c>
      <c r="E143" s="69">
        <f t="shared" ref="E143:E149" si="55">D143*$G$138</f>
        <v>8582.8959276018122</v>
      </c>
      <c r="F143" s="69">
        <f>S6/$G$137</f>
        <v>3809.5927601809958</v>
      </c>
      <c r="G143" s="76">
        <f t="shared" si="53"/>
        <v>18545.158371040725</v>
      </c>
      <c r="H143" s="644"/>
      <c r="I143" s="45" t="s">
        <v>77</v>
      </c>
      <c r="J143" s="69">
        <f t="shared" si="51"/>
        <v>11072.160355951848</v>
      </c>
      <c r="K143" s="69">
        <f t="shared" si="54"/>
        <v>947.10189654483383</v>
      </c>
      <c r="L143" s="85">
        <f t="shared" si="52"/>
        <v>12019.262252496683</v>
      </c>
    </row>
    <row r="144" spans="1:12">
      <c r="A144" t="s">
        <v>93</v>
      </c>
      <c r="B144" s="641"/>
      <c r="C144" s="168" t="s">
        <v>78</v>
      </c>
      <c r="D144" s="69">
        <f>S7/$G$136</f>
        <v>16209.122171945703</v>
      </c>
      <c r="E144" s="69">
        <f t="shared" si="55"/>
        <v>9441.1855203619925</v>
      </c>
      <c r="F144" s="69">
        <f>S7/$G$137</f>
        <v>4190.5520361990957</v>
      </c>
      <c r="G144" s="76">
        <f>D144+F144</f>
        <v>20399.674208144799</v>
      </c>
      <c r="H144" s="644"/>
      <c r="I144" s="45" t="s">
        <v>78</v>
      </c>
      <c r="J144" s="69">
        <f t="shared" si="51"/>
        <v>12179.376391547032</v>
      </c>
      <c r="K144" s="69">
        <f t="shared" si="54"/>
        <v>1041.8120861993173</v>
      </c>
      <c r="L144" s="85">
        <f t="shared" si="52"/>
        <v>13221.188477746349</v>
      </c>
    </row>
    <row r="145" spans="1:12">
      <c r="A145" t="s">
        <v>93</v>
      </c>
      <c r="B145" s="641"/>
      <c r="C145" s="168" t="s">
        <v>79</v>
      </c>
      <c r="D145" s="69">
        <f>S8/$G$136</f>
        <v>15349.547511312219</v>
      </c>
      <c r="E145" s="69">
        <f t="shared" si="55"/>
        <v>8940.5165912518878</v>
      </c>
      <c r="F145" s="69">
        <f>S8/$G$137</f>
        <v>3968.325791855204</v>
      </c>
      <c r="G145" s="76">
        <f>D145+F145</f>
        <v>19317.873303167424</v>
      </c>
      <c r="H145" s="644"/>
      <c r="I145" s="45" t="s">
        <v>79</v>
      </c>
      <c r="J145" s="69">
        <f t="shared" si="51"/>
        <v>11533.500370783175</v>
      </c>
      <c r="K145" s="69">
        <f t="shared" si="54"/>
        <v>986.56447556753517</v>
      </c>
      <c r="L145" s="85">
        <f t="shared" si="52"/>
        <v>12520.06484635071</v>
      </c>
    </row>
    <row r="146" spans="1:12">
      <c r="A146" t="s">
        <v>93</v>
      </c>
      <c r="B146" s="641"/>
      <c r="C146" s="168" t="s">
        <v>80</v>
      </c>
      <c r="D146" s="69">
        <f>S9/$D$136</f>
        <v>21869.287020109688</v>
      </c>
      <c r="E146" s="69">
        <f>D146*$D$138</f>
        <v>12453.29067641682</v>
      </c>
      <c r="F146" s="69">
        <f>S9/$D$137</f>
        <v>5515.9963436928701</v>
      </c>
      <c r="G146" s="76">
        <f t="shared" si="53"/>
        <v>27385.283363802559</v>
      </c>
      <c r="H146" s="644"/>
      <c r="I146" s="45" t="s">
        <v>80</v>
      </c>
      <c r="J146" s="69">
        <f t="shared" si="51"/>
        <v>16432.369082496549</v>
      </c>
      <c r="K146" s="69">
        <f t="shared" si="54"/>
        <v>1371.3304616312009</v>
      </c>
      <c r="L146" s="85">
        <f t="shared" si="52"/>
        <v>17803.69954412775</v>
      </c>
    </row>
    <row r="147" spans="1:12">
      <c r="A147" t="s">
        <v>93</v>
      </c>
      <c r="B147" s="641"/>
      <c r="C147" s="166" t="s">
        <v>81</v>
      </c>
      <c r="D147" s="69">
        <f>S10/$D$136</f>
        <v>21140.310786106034</v>
      </c>
      <c r="E147" s="69">
        <f>D147*$D$138</f>
        <v>12038.180987202926</v>
      </c>
      <c r="F147" s="69">
        <f t="shared" ref="F147:F151" si="56">S10/$D$137</f>
        <v>5332.1297989031082</v>
      </c>
      <c r="G147" s="76">
        <f t="shared" si="53"/>
        <v>26472.440585009143</v>
      </c>
      <c r="H147" s="644"/>
      <c r="I147" s="45" t="s">
        <v>81</v>
      </c>
      <c r="J147" s="69">
        <f t="shared" si="51"/>
        <v>15884.623446413334</v>
      </c>
      <c r="K147" s="69">
        <f t="shared" si="54"/>
        <v>1325.6194462434944</v>
      </c>
      <c r="L147" s="85">
        <f t="shared" si="52"/>
        <v>17210.242892656828</v>
      </c>
    </row>
    <row r="148" spans="1:12">
      <c r="A148" t="s">
        <v>93</v>
      </c>
      <c r="B148" s="641"/>
      <c r="C148" s="168" t="s">
        <v>82</v>
      </c>
      <c r="D148" s="69">
        <f>S11/$G$136</f>
        <v>18419.457013574662</v>
      </c>
      <c r="E148" s="69">
        <f t="shared" si="55"/>
        <v>10728.619909502264</v>
      </c>
      <c r="F148" s="69">
        <f>S11/$G$137</f>
        <v>4761.9909502262444</v>
      </c>
      <c r="G148" s="76">
        <f t="shared" si="53"/>
        <v>23181.447963800907</v>
      </c>
      <c r="H148" s="644"/>
      <c r="I148" s="45" t="s">
        <v>82</v>
      </c>
      <c r="J148" s="69">
        <f t="shared" si="51"/>
        <v>13840.20044493981</v>
      </c>
      <c r="K148" s="69">
        <f t="shared" si="54"/>
        <v>1183.8773706810421</v>
      </c>
      <c r="L148" s="85">
        <f t="shared" si="52"/>
        <v>15024.077815620853</v>
      </c>
    </row>
    <row r="149" spans="1:12">
      <c r="A149" t="s">
        <v>93</v>
      </c>
      <c r="B149" s="641"/>
      <c r="C149" s="168" t="s">
        <v>83</v>
      </c>
      <c r="D149" s="69">
        <f>S12/$G$136</f>
        <v>15349.547511312219</v>
      </c>
      <c r="E149" s="69">
        <f t="shared" si="55"/>
        <v>8940.5165912518878</v>
      </c>
      <c r="F149" s="69">
        <f>S12/$G$137</f>
        <v>3968.325791855204</v>
      </c>
      <c r="G149" s="76">
        <f t="shared" si="53"/>
        <v>19317.873303167424</v>
      </c>
      <c r="H149" s="644"/>
      <c r="I149" s="45" t="s">
        <v>83</v>
      </c>
      <c r="J149" s="69">
        <f t="shared" si="51"/>
        <v>11533.500370783175</v>
      </c>
      <c r="K149" s="69">
        <f t="shared" si="54"/>
        <v>986.56447556753517</v>
      </c>
      <c r="L149" s="85">
        <f t="shared" si="52"/>
        <v>12520.06484635071</v>
      </c>
    </row>
    <row r="150" spans="1:12">
      <c r="A150" t="s">
        <v>93</v>
      </c>
      <c r="B150" s="641"/>
      <c r="C150" s="166" t="s">
        <v>84</v>
      </c>
      <c r="D150" s="69">
        <f>S13/$D$136</f>
        <v>17932.815356489944</v>
      </c>
      <c r="E150" s="69">
        <f>D150*$D$138</f>
        <v>10211.698354661792</v>
      </c>
      <c r="F150" s="69">
        <f t="shared" si="56"/>
        <v>4523.1170018281537</v>
      </c>
      <c r="G150" s="76">
        <f t="shared" si="53"/>
        <v>22455.932358318096</v>
      </c>
      <c r="H150" s="644"/>
      <c r="I150" s="45" t="s">
        <v>84</v>
      </c>
      <c r="J150" s="69">
        <f t="shared" si="51"/>
        <v>13474.542647647171</v>
      </c>
      <c r="K150" s="69">
        <f t="shared" si="54"/>
        <v>1124.4909785375849</v>
      </c>
      <c r="L150" s="85">
        <f t="shared" si="52"/>
        <v>14599.033626184755</v>
      </c>
    </row>
    <row r="151" spans="1:12">
      <c r="A151" t="s">
        <v>93</v>
      </c>
      <c r="B151" s="641"/>
      <c r="C151" s="166" t="s">
        <v>85</v>
      </c>
      <c r="D151" s="69">
        <f>S14/$D$136</f>
        <v>19682.358318098719</v>
      </c>
      <c r="E151" s="69">
        <f>D151*$D$138</f>
        <v>11207.961608775136</v>
      </c>
      <c r="F151" s="69">
        <f t="shared" si="56"/>
        <v>4964.3967093235833</v>
      </c>
      <c r="G151" s="76">
        <f t="shared" si="53"/>
        <v>24646.755027422303</v>
      </c>
      <c r="H151" s="644"/>
      <c r="I151" s="45" t="s">
        <v>85</v>
      </c>
      <c r="J151" s="69">
        <f t="shared" si="51"/>
        <v>14789.132174246895</v>
      </c>
      <c r="K151" s="69">
        <f>F151*K$137</f>
        <v>1234.1974154680809</v>
      </c>
      <c r="L151" s="85">
        <f t="shared" si="52"/>
        <v>16023.329589714976</v>
      </c>
    </row>
    <row r="152" spans="1:12" ht="17" thickBot="1">
      <c r="B152" s="642"/>
      <c r="C152" s="77" t="s">
        <v>24</v>
      </c>
      <c r="D152" s="78">
        <f>SUM(D140:D151)</f>
        <v>183709.27801996906</v>
      </c>
      <c r="E152" s="78">
        <f>SUM(E140:E151)</f>
        <v>105726.08468101066</v>
      </c>
      <c r="F152" s="78">
        <f>SUM(F140:F151)</f>
        <v>46163.599055316125</v>
      </c>
      <c r="G152" s="79">
        <f>SUM(G140:G151)</f>
        <v>229872.87707528521</v>
      </c>
      <c r="H152" s="645"/>
      <c r="I152" s="77" t="s">
        <v>24</v>
      </c>
      <c r="J152" s="78">
        <f>SUM(J140:J151)</f>
        <v>138037.36068428817</v>
      </c>
      <c r="K152" s="78">
        <f>SUM(K140:K151)</f>
        <v>11476.720733411925</v>
      </c>
      <c r="L152" s="79">
        <f t="shared" si="52"/>
        <v>149514.0814177001</v>
      </c>
    </row>
    <row r="153" spans="1:12" ht="17" thickBot="1"/>
    <row r="154" spans="1:12" ht="17" thickBot="1">
      <c r="B154" s="640" t="s">
        <v>89</v>
      </c>
      <c r="C154" s="632" t="s">
        <v>180</v>
      </c>
      <c r="D154" s="650"/>
      <c r="E154" s="633"/>
      <c r="F154" s="634" t="s">
        <v>181</v>
      </c>
      <c r="G154" s="636"/>
      <c r="H154" s="164" t="s">
        <v>213</v>
      </c>
      <c r="I154" s="165"/>
      <c r="J154" s="164" t="s">
        <v>183</v>
      </c>
      <c r="K154" s="165"/>
    </row>
    <row r="155" spans="1:12">
      <c r="B155" s="641"/>
      <c r="C155" s="60" t="s">
        <v>52</v>
      </c>
      <c r="D155" s="651">
        <f>'Historic Data'!R6/'Historic Data'!EB6</f>
        <v>1.4620435280132429E-2</v>
      </c>
      <c r="E155" s="652"/>
      <c r="F155" s="60" t="s">
        <v>52</v>
      </c>
      <c r="G155" s="91">
        <f>'Historic Data'!R7/'Historic Data'!EB7</f>
        <v>1.3973428363010177E-2</v>
      </c>
      <c r="H155" s="60" t="s">
        <v>52</v>
      </c>
      <c r="I155" s="65">
        <v>0.68910000000000005</v>
      </c>
      <c r="J155" s="60" t="s">
        <v>52</v>
      </c>
      <c r="K155" s="66">
        <f>I155/I157</f>
        <v>0.75139025188092901</v>
      </c>
    </row>
    <row r="156" spans="1:12">
      <c r="B156" s="641"/>
      <c r="C156" s="60" t="s">
        <v>14</v>
      </c>
      <c r="D156" s="653">
        <f>'Historic Data'!R6/'Historic Data'!GU6</f>
        <v>2.0821137568230362E-2</v>
      </c>
      <c r="E156" s="654"/>
      <c r="F156" s="60" t="s">
        <v>14</v>
      </c>
      <c r="G156" s="91">
        <f>'Historic Data'!R7/'Historic Data'!GU7</f>
        <v>1.9147105812953178E-2</v>
      </c>
      <c r="H156" s="60" t="s">
        <v>14</v>
      </c>
      <c r="I156" s="65">
        <v>0.22800000000000001</v>
      </c>
      <c r="J156" s="60" t="s">
        <v>14</v>
      </c>
      <c r="K156" s="66">
        <f>I156/I157</f>
        <v>0.24860974811907099</v>
      </c>
    </row>
    <row r="157" spans="1:12" ht="17" thickBot="1">
      <c r="B157" s="641"/>
      <c r="C157" s="203" t="s">
        <v>206</v>
      </c>
      <c r="D157" s="653">
        <f>'Historic Data'!EN6/'Historic Data'!EB6</f>
        <v>0.57036362222395043</v>
      </c>
      <c r="E157" s="654"/>
      <c r="F157" s="203" t="s">
        <v>206</v>
      </c>
      <c r="G157" s="227">
        <f>'Historic Data'!EN7/'Historic Data'!EB7</f>
        <v>0.54360044485368852</v>
      </c>
      <c r="H157" s="63" t="s">
        <v>24</v>
      </c>
      <c r="I157" s="87">
        <f>SUM(I155:I156)</f>
        <v>0.91710000000000003</v>
      </c>
      <c r="J157" s="63" t="s">
        <v>24</v>
      </c>
      <c r="K157" s="67">
        <f>SUM(K155:K156)</f>
        <v>1</v>
      </c>
    </row>
    <row r="158" spans="1:12" ht="17" thickBot="1">
      <c r="B158" s="641"/>
      <c r="C158" s="70" t="str">
        <f>B154</f>
        <v>G80</v>
      </c>
      <c r="D158" s="71" t="s">
        <v>52</v>
      </c>
      <c r="E158" s="71" t="s">
        <v>208</v>
      </c>
      <c r="F158" s="71" t="s">
        <v>14</v>
      </c>
      <c r="G158" s="72" t="s">
        <v>24</v>
      </c>
      <c r="H158" s="643" t="s">
        <v>195</v>
      </c>
      <c r="I158" s="70" t="s">
        <v>183</v>
      </c>
      <c r="J158" s="71" t="s">
        <v>52</v>
      </c>
      <c r="K158" s="71" t="s">
        <v>14</v>
      </c>
      <c r="L158" s="72" t="s">
        <v>24</v>
      </c>
    </row>
    <row r="159" spans="1:12">
      <c r="A159" t="s">
        <v>89</v>
      </c>
      <c r="B159" s="641"/>
      <c r="C159" s="167" t="s">
        <v>74</v>
      </c>
      <c r="D159" s="69">
        <f>P3/$G$155</f>
        <v>18606.743688489514</v>
      </c>
      <c r="E159" s="74">
        <f>D159*$G$157</f>
        <v>10114.634146341461</v>
      </c>
      <c r="F159" s="510">
        <v>6605.35729567822</v>
      </c>
      <c r="G159" s="76">
        <f>D159+F159</f>
        <v>25212.100984167733</v>
      </c>
      <c r="H159" s="644"/>
      <c r="I159" s="73" t="s">
        <v>74</v>
      </c>
      <c r="J159" s="172">
        <f t="shared" ref="J159:J170" si="57">D159*K$155</f>
        <v>13980.925826778022</v>
      </c>
      <c r="K159" s="172">
        <f>F159*K$156</f>
        <v>1642.1562135150302</v>
      </c>
      <c r="L159" s="84">
        <f t="shared" ref="L159:L171" si="58">SUM(J159:K159)</f>
        <v>15623.082040293053</v>
      </c>
    </row>
    <row r="160" spans="1:12">
      <c r="A160" t="s">
        <v>89</v>
      </c>
      <c r="B160" s="641"/>
      <c r="C160" s="168" t="s">
        <v>75</v>
      </c>
      <c r="D160" s="69">
        <f>P4/$G$155</f>
        <v>18606.743688489514</v>
      </c>
      <c r="E160" s="69">
        <f>D160*$G$157</f>
        <v>10114.634146341461</v>
      </c>
      <c r="F160" s="510">
        <v>6605.35729567822</v>
      </c>
      <c r="G160" s="76">
        <f t="shared" ref="G160:G170" si="59">D160+F160</f>
        <v>25212.100984167733</v>
      </c>
      <c r="H160" s="644"/>
      <c r="I160" s="45" t="s">
        <v>75</v>
      </c>
      <c r="J160" s="69">
        <f t="shared" si="57"/>
        <v>13980.925826778022</v>
      </c>
      <c r="K160" s="69">
        <f>F160*K$156</f>
        <v>1642.1562135150302</v>
      </c>
      <c r="L160" s="85">
        <f t="shared" si="58"/>
        <v>15623.082040293053</v>
      </c>
    </row>
    <row r="161" spans="1:12">
      <c r="A161" t="s">
        <v>89</v>
      </c>
      <c r="B161" s="641"/>
      <c r="C161" s="166" t="s">
        <v>76</v>
      </c>
      <c r="D161" s="69">
        <f>P5/$D$155</f>
        <v>25307.044072948327</v>
      </c>
      <c r="E161" s="69">
        <f>D161*$D$157</f>
        <v>14434.217325227963</v>
      </c>
      <c r="F161" s="510">
        <v>9436.4057750759875</v>
      </c>
      <c r="G161" s="76">
        <f t="shared" si="59"/>
        <v>34743.449848024313</v>
      </c>
      <c r="H161" s="644"/>
      <c r="I161" s="45" t="s">
        <v>76</v>
      </c>
      <c r="J161" s="69">
        <f t="shared" si="57"/>
        <v>19015.466220334416</v>
      </c>
      <c r="K161" s="69">
        <f t="shared" ref="K161:K170" si="60">F161*K$156</f>
        <v>2345.9824628909882</v>
      </c>
      <c r="L161" s="85">
        <f t="shared" si="58"/>
        <v>21361.448683225404</v>
      </c>
    </row>
    <row r="162" spans="1:12">
      <c r="A162" t="s">
        <v>89</v>
      </c>
      <c r="B162" s="641"/>
      <c r="C162" s="168" t="s">
        <v>77</v>
      </c>
      <c r="D162" s="69">
        <f>P6/$G$155</f>
        <v>21827.14163457424</v>
      </c>
      <c r="E162" s="69">
        <f t="shared" ref="E162:E168" si="61">D162*$G$157</f>
        <v>11865.243902439022</v>
      </c>
      <c r="F162" s="69">
        <f>P6/$G$156</f>
        <v>15929.300385109113</v>
      </c>
      <c r="G162" s="76">
        <f t="shared" si="59"/>
        <v>37756.442019683353</v>
      </c>
      <c r="H162" s="644"/>
      <c r="I162" s="45" t="s">
        <v>77</v>
      </c>
      <c r="J162" s="69">
        <f t="shared" si="57"/>
        <v>16400.70145064345</v>
      </c>
      <c r="K162" s="69">
        <f t="shared" si="60"/>
        <v>3960.1793564549971</v>
      </c>
      <c r="L162" s="85">
        <f t="shared" si="58"/>
        <v>20360.880807098445</v>
      </c>
    </row>
    <row r="163" spans="1:12">
      <c r="A163" t="s">
        <v>89</v>
      </c>
      <c r="B163" s="641"/>
      <c r="C163" s="168" t="s">
        <v>78</v>
      </c>
      <c r="D163" s="69">
        <f>P7/$G$155</f>
        <v>22900.60761660248</v>
      </c>
      <c r="E163" s="69">
        <f t="shared" si="61"/>
        <v>12448.780487804876</v>
      </c>
      <c r="F163" s="69">
        <f>P7/$G$156</f>
        <v>16712.708600770216</v>
      </c>
      <c r="G163" s="76">
        <f>D163+F163</f>
        <v>39613.316217372696</v>
      </c>
      <c r="H163" s="644"/>
      <c r="I163" s="45" t="s">
        <v>78</v>
      </c>
      <c r="J163" s="69">
        <f t="shared" si="57"/>
        <v>17207.293325265258</v>
      </c>
      <c r="K163" s="69">
        <f t="shared" si="60"/>
        <v>4154.9422756249151</v>
      </c>
      <c r="L163" s="85">
        <f t="shared" si="58"/>
        <v>21362.235600890173</v>
      </c>
    </row>
    <row r="164" spans="1:12">
      <c r="A164" t="s">
        <v>89</v>
      </c>
      <c r="B164" s="641"/>
      <c r="C164" s="168" t="s">
        <v>79</v>
      </c>
      <c r="D164" s="69">
        <f>P8/$G$155</f>
        <v>21469.319640564827</v>
      </c>
      <c r="E164" s="69">
        <f t="shared" si="61"/>
        <v>11670.731707317073</v>
      </c>
      <c r="F164" s="69">
        <f>P8/$G$156</f>
        <v>15668.164313222078</v>
      </c>
      <c r="G164" s="76">
        <f>D164+F164</f>
        <v>37137.483953786905</v>
      </c>
      <c r="H164" s="644"/>
      <c r="I164" s="45" t="s">
        <v>79</v>
      </c>
      <c r="J164" s="69">
        <f t="shared" si="57"/>
        <v>16131.837492436181</v>
      </c>
      <c r="K164" s="69">
        <f t="shared" si="60"/>
        <v>3895.2583833983576</v>
      </c>
      <c r="L164" s="85">
        <f t="shared" si="58"/>
        <v>20027.09587583454</v>
      </c>
    </row>
    <row r="165" spans="1:12">
      <c r="A165" t="s">
        <v>89</v>
      </c>
      <c r="B165" s="641"/>
      <c r="C165" s="168" t="s">
        <v>80</v>
      </c>
      <c r="D165" s="69">
        <f>P9/$D$155</f>
        <v>18467.30243161094</v>
      </c>
      <c r="E165" s="69">
        <f>D165*$D$157</f>
        <v>10533.077507598784</v>
      </c>
      <c r="F165" s="69">
        <f>P9/$D$156</f>
        <v>12967.591185410334</v>
      </c>
      <c r="G165" s="76">
        <f t="shared" si="59"/>
        <v>31434.893617021276</v>
      </c>
      <c r="H165" s="644"/>
      <c r="I165" s="45" t="s">
        <v>80</v>
      </c>
      <c r="J165" s="69">
        <f t="shared" si="57"/>
        <v>13876.151025649437</v>
      </c>
      <c r="K165" s="69">
        <f t="shared" si="60"/>
        <v>3223.8695783159483</v>
      </c>
      <c r="L165" s="85">
        <f t="shared" si="58"/>
        <v>17100.020603965386</v>
      </c>
    </row>
    <row r="166" spans="1:12">
      <c r="A166" t="s">
        <v>89</v>
      </c>
      <c r="B166" s="641"/>
      <c r="C166" s="166" t="s">
        <v>81</v>
      </c>
      <c r="D166" s="69">
        <f>P10/$D$155</f>
        <v>20519.224924012156</v>
      </c>
      <c r="E166" s="69">
        <f>D166*$D$157</f>
        <v>11703.419452887538</v>
      </c>
      <c r="F166" s="69">
        <f t="shared" ref="F166:F170" si="62">P10/$D$156</f>
        <v>14408.434650455927</v>
      </c>
      <c r="G166" s="76">
        <f t="shared" si="59"/>
        <v>34927.659574468082</v>
      </c>
      <c r="H166" s="644"/>
      <c r="I166" s="45" t="s">
        <v>81</v>
      </c>
      <c r="J166" s="69">
        <f t="shared" si="57"/>
        <v>15417.945584054931</v>
      </c>
      <c r="K166" s="69">
        <f t="shared" si="60"/>
        <v>3582.0773092399427</v>
      </c>
      <c r="L166" s="85">
        <f t="shared" si="58"/>
        <v>19000.022893294874</v>
      </c>
    </row>
    <row r="167" spans="1:12">
      <c r="A167" t="s">
        <v>89</v>
      </c>
      <c r="B167" s="641"/>
      <c r="C167" s="168" t="s">
        <v>82</v>
      </c>
      <c r="D167" s="69">
        <f>P11/$G$155</f>
        <v>24689.717586649549</v>
      </c>
      <c r="E167" s="69">
        <f t="shared" si="61"/>
        <v>13421.341463414632</v>
      </c>
      <c r="F167" s="69">
        <f>P11/$G$156</f>
        <v>18018.38896020539</v>
      </c>
      <c r="G167" s="76">
        <f t="shared" si="59"/>
        <v>42708.106546854935</v>
      </c>
      <c r="H167" s="644"/>
      <c r="I167" s="45" t="s">
        <v>82</v>
      </c>
      <c r="J167" s="69">
        <f t="shared" si="57"/>
        <v>18551.613116301607</v>
      </c>
      <c r="K167" s="69">
        <f t="shared" si="60"/>
        <v>4479.547140908111</v>
      </c>
      <c r="L167" s="85">
        <f t="shared" si="58"/>
        <v>23031.160257209718</v>
      </c>
    </row>
    <row r="168" spans="1:12">
      <c r="A168" t="s">
        <v>89</v>
      </c>
      <c r="B168" s="641"/>
      <c r="C168" s="168" t="s">
        <v>83</v>
      </c>
      <c r="D168" s="69">
        <f>P12/$G$155</f>
        <v>26478.827556696619</v>
      </c>
      <c r="E168" s="69">
        <f t="shared" si="61"/>
        <v>14393.902439024389</v>
      </c>
      <c r="F168" s="69">
        <f>P12/$G$156</f>
        <v>19324.069319640563</v>
      </c>
      <c r="G168" s="76">
        <f t="shared" si="59"/>
        <v>45802.896876337181</v>
      </c>
      <c r="H168" s="644"/>
      <c r="I168" s="45" t="s">
        <v>83</v>
      </c>
      <c r="J168" s="69">
        <f t="shared" si="57"/>
        <v>19895.932907337956</v>
      </c>
      <c r="K168" s="69">
        <f t="shared" si="60"/>
        <v>4804.1520061913079</v>
      </c>
      <c r="L168" s="85">
        <f t="shared" si="58"/>
        <v>24700.084913529263</v>
      </c>
    </row>
    <row r="169" spans="1:12">
      <c r="A169" t="s">
        <v>89</v>
      </c>
      <c r="B169" s="641"/>
      <c r="C169" s="166" t="s">
        <v>84</v>
      </c>
      <c r="D169" s="69">
        <f>P13/$D$155</f>
        <v>23255.121580547111</v>
      </c>
      <c r="E169" s="69">
        <f>D169*$D$157</f>
        <v>13263.875379939209</v>
      </c>
      <c r="F169" s="69">
        <f t="shared" si="62"/>
        <v>16329.559270516716</v>
      </c>
      <c r="G169" s="76">
        <f t="shared" si="59"/>
        <v>39584.680851063829</v>
      </c>
      <c r="H169" s="644"/>
      <c r="I169" s="45" t="s">
        <v>84</v>
      </c>
      <c r="J169" s="69">
        <f t="shared" si="57"/>
        <v>17473.671661928922</v>
      </c>
      <c r="K169" s="69">
        <f t="shared" si="60"/>
        <v>4059.6876171386016</v>
      </c>
      <c r="L169" s="85">
        <f t="shared" si="58"/>
        <v>21533.359279067525</v>
      </c>
    </row>
    <row r="170" spans="1:12">
      <c r="A170" t="s">
        <v>89</v>
      </c>
      <c r="B170" s="641"/>
      <c r="C170" s="166" t="s">
        <v>85</v>
      </c>
      <c r="D170" s="69">
        <f>P14/$D$155</f>
        <v>29410.889057750759</v>
      </c>
      <c r="E170" s="69">
        <f>D170*$D$157</f>
        <v>16774.901215805472</v>
      </c>
      <c r="F170" s="69">
        <f t="shared" si="62"/>
        <v>20652.089665653493</v>
      </c>
      <c r="G170" s="76">
        <f t="shared" si="59"/>
        <v>50062.978723404252</v>
      </c>
      <c r="H170" s="644"/>
      <c r="I170" s="45" t="s">
        <v>85</v>
      </c>
      <c r="J170" s="69">
        <f t="shared" si="57"/>
        <v>22099.055337145401</v>
      </c>
      <c r="K170" s="69">
        <f t="shared" si="60"/>
        <v>5134.3108099105839</v>
      </c>
      <c r="L170" s="85">
        <f t="shared" si="58"/>
        <v>27233.366147055985</v>
      </c>
    </row>
    <row r="171" spans="1:12" ht="17" thickBot="1">
      <c r="B171" s="642"/>
      <c r="C171" s="77" t="s">
        <v>24</v>
      </c>
      <c r="D171" s="78">
        <f>SUM(D159:D170)</f>
        <v>271538.68347893603</v>
      </c>
      <c r="E171" s="78">
        <f>SUM(E159:E170)</f>
        <v>150738.75917414186</v>
      </c>
      <c r="F171" s="78">
        <f>SUM(F159:F170)</f>
        <v>172657.42671741627</v>
      </c>
      <c r="G171" s="79">
        <f>SUM(G159:G170)</f>
        <v>444196.11019635224</v>
      </c>
      <c r="H171" s="645"/>
      <c r="I171" s="77" t="s">
        <v>24</v>
      </c>
      <c r="J171" s="78">
        <f>SUM(J159:J170)</f>
        <v>204031.5197746536</v>
      </c>
      <c r="K171" s="78">
        <f>SUM(K159:K170)</f>
        <v>42924.319367103817</v>
      </c>
      <c r="L171" s="79">
        <f t="shared" si="58"/>
        <v>246955.8391417574</v>
      </c>
    </row>
    <row r="172" spans="1:12" ht="17" thickBot="1"/>
    <row r="173" spans="1:12" ht="17" thickBot="1">
      <c r="B173" s="640" t="s">
        <v>92</v>
      </c>
      <c r="C173" s="632" t="s">
        <v>180</v>
      </c>
      <c r="D173" s="650"/>
      <c r="E173" s="633"/>
      <c r="F173" s="634" t="s">
        <v>181</v>
      </c>
      <c r="G173" s="636"/>
      <c r="H173" s="164" t="s">
        <v>213</v>
      </c>
      <c r="I173" s="165"/>
      <c r="J173" s="164" t="s">
        <v>183</v>
      </c>
      <c r="K173" s="165"/>
    </row>
    <row r="174" spans="1:12">
      <c r="B174" s="641"/>
      <c r="C174" s="60" t="s">
        <v>52</v>
      </c>
      <c r="D174" s="651">
        <f>'Historic Data'!S6/'Historic Data'!ED6</f>
        <v>8.5892565639922504E-3</v>
      </c>
      <c r="E174" s="652"/>
      <c r="F174" s="60" t="s">
        <v>52</v>
      </c>
      <c r="G174" s="91">
        <f>'Historic Data'!S7/'Historic Data'!ED7</f>
        <v>9.1218969339560644E-3</v>
      </c>
      <c r="H174" s="60" t="s">
        <v>52</v>
      </c>
      <c r="I174" s="65">
        <v>0.68910000000000005</v>
      </c>
      <c r="J174" s="60" t="s">
        <v>52</v>
      </c>
      <c r="K174" s="66">
        <f>I174/I176</f>
        <v>0.75139025188092901</v>
      </c>
    </row>
    <row r="175" spans="1:12">
      <c r="B175" s="641"/>
      <c r="C175" s="60" t="s">
        <v>14</v>
      </c>
      <c r="D175" s="653">
        <f>'Historic Data'!S6/'Historic Data'!GV6</f>
        <v>8.6138310893512857E-3</v>
      </c>
      <c r="E175" s="654"/>
      <c r="F175" s="60" t="s">
        <v>14</v>
      </c>
      <c r="G175" s="91">
        <f>'Historic Data'!S7/'Historic Data'!GV7</f>
        <v>9.4610560756157418E-3</v>
      </c>
      <c r="H175" s="60" t="s">
        <v>14</v>
      </c>
      <c r="I175" s="65">
        <v>0.22800000000000001</v>
      </c>
      <c r="J175" s="60" t="s">
        <v>14</v>
      </c>
      <c r="K175" s="66">
        <f>I175/I176</f>
        <v>0.24860974811907099</v>
      </c>
    </row>
    <row r="176" spans="1:12" ht="17" thickBot="1">
      <c r="B176" s="641"/>
      <c r="C176" s="203" t="s">
        <v>206</v>
      </c>
      <c r="D176" s="653">
        <f>'Historic Data'!EP6/'Historic Data'!ED6</f>
        <v>0.51076326910461201</v>
      </c>
      <c r="E176" s="654"/>
      <c r="F176" s="203" t="s">
        <v>206</v>
      </c>
      <c r="G176" s="227">
        <f>'Historic Data'!EP7/'Historic Data'!ED7</f>
        <v>0.50478001419545926</v>
      </c>
      <c r="H176" s="63" t="s">
        <v>24</v>
      </c>
      <c r="I176" s="87">
        <f>SUM(I174:I175)</f>
        <v>0.91710000000000003</v>
      </c>
      <c r="J176" s="63" t="s">
        <v>24</v>
      </c>
      <c r="K176" s="67">
        <f>SUM(K174:K175)</f>
        <v>1</v>
      </c>
    </row>
    <row r="177" spans="1:12" ht="17" thickBot="1">
      <c r="B177" s="641"/>
      <c r="C177" s="70" t="str">
        <f>B173</f>
        <v>G90</v>
      </c>
      <c r="D177" s="71" t="s">
        <v>52</v>
      </c>
      <c r="E177" s="71" t="s">
        <v>208</v>
      </c>
      <c r="F177" s="71" t="s">
        <v>14</v>
      </c>
      <c r="G177" s="72" t="s">
        <v>24</v>
      </c>
      <c r="H177" s="643" t="s">
        <v>195</v>
      </c>
      <c r="I177" s="70" t="s">
        <v>183</v>
      </c>
      <c r="J177" s="71" t="s">
        <v>52</v>
      </c>
      <c r="K177" s="71" t="s">
        <v>14</v>
      </c>
      <c r="L177" s="72" t="s">
        <v>24</v>
      </c>
    </row>
    <row r="178" spans="1:12">
      <c r="A178" t="s">
        <v>92</v>
      </c>
      <c r="B178" s="641"/>
      <c r="C178" s="167" t="s">
        <v>74</v>
      </c>
      <c r="D178" s="69">
        <f>R3/$G$174</f>
        <v>12058.895292987512</v>
      </c>
      <c r="E178" s="74">
        <f>D178*$G$176</f>
        <v>6087.0893371757929</v>
      </c>
      <c r="F178" s="510">
        <v>4680.5475504322767</v>
      </c>
      <c r="G178" s="76">
        <f>D178+F178</f>
        <v>16739.442843419791</v>
      </c>
      <c r="H178" s="644"/>
      <c r="I178" s="73" t="s">
        <v>74</v>
      </c>
      <c r="J178" s="172">
        <f t="shared" ref="J178:J189" si="63">D178*K$174</f>
        <v>9060.9363716036369</v>
      </c>
      <c r="K178" s="172">
        <f>F178*K$175</f>
        <v>1163.6297475723031</v>
      </c>
      <c r="L178" s="84">
        <f t="shared" ref="L178:L190" si="64">SUM(J178:K178)</f>
        <v>10224.566119175939</v>
      </c>
    </row>
    <row r="179" spans="1:12">
      <c r="A179" t="s">
        <v>92</v>
      </c>
      <c r="B179" s="641"/>
      <c r="C179" s="168" t="s">
        <v>75</v>
      </c>
      <c r="D179" s="69">
        <f>R4/$G$174</f>
        <v>13155.158501440921</v>
      </c>
      <c r="E179" s="69">
        <f>D179*$G$176</f>
        <v>6640.4610951008644</v>
      </c>
      <c r="F179" s="510">
        <v>5106.0518731988477</v>
      </c>
      <c r="G179" s="76">
        <f t="shared" ref="G179:G189" si="65">D179+F179</f>
        <v>18261.21037463977</v>
      </c>
      <c r="H179" s="644"/>
      <c r="I179" s="45" t="s">
        <v>75</v>
      </c>
      <c r="J179" s="69">
        <f t="shared" si="63"/>
        <v>9884.6578599312379</v>
      </c>
      <c r="K179" s="69">
        <f>F179*K$175</f>
        <v>1269.4142700788761</v>
      </c>
      <c r="L179" s="85">
        <f t="shared" si="64"/>
        <v>11154.072130010114</v>
      </c>
    </row>
    <row r="180" spans="1:12">
      <c r="A180" t="s">
        <v>92</v>
      </c>
      <c r="B180" s="641"/>
      <c r="C180" s="166" t="s">
        <v>76</v>
      </c>
      <c r="D180" s="69">
        <f>R5/$D$174</f>
        <v>18627.921847246889</v>
      </c>
      <c r="E180" s="69">
        <f>D180*$D$176</f>
        <v>9514.4582593250434</v>
      </c>
      <c r="F180" s="510">
        <v>8566.1101243339253</v>
      </c>
      <c r="G180" s="76">
        <f t="shared" si="65"/>
        <v>27194.031971580815</v>
      </c>
      <c r="H180" s="644"/>
      <c r="I180" s="45" t="s">
        <v>76</v>
      </c>
      <c r="J180" s="69">
        <f t="shared" si="63"/>
        <v>13996.838888821101</v>
      </c>
      <c r="K180" s="69">
        <f t="shared" ref="K180:K188" si="66">F180*K$175</f>
        <v>2129.6184803708811</v>
      </c>
      <c r="L180" s="85">
        <f t="shared" si="64"/>
        <v>16126.457369191983</v>
      </c>
    </row>
    <row r="181" spans="1:12">
      <c r="A181" t="s">
        <v>92</v>
      </c>
      <c r="B181" s="641"/>
      <c r="C181" s="168" t="s">
        <v>77</v>
      </c>
      <c r="D181" s="69">
        <f>R6/$G$174</f>
        <v>14251.421709894332</v>
      </c>
      <c r="E181" s="69">
        <f t="shared" ref="E181:E187" si="67">D181*$G$176</f>
        <v>7193.8328530259369</v>
      </c>
      <c r="F181" s="69">
        <f>R6/$G$175</f>
        <v>13740.53794428434</v>
      </c>
      <c r="G181" s="76">
        <f t="shared" si="65"/>
        <v>27991.959654178674</v>
      </c>
      <c r="H181" s="644"/>
      <c r="I181" s="45" t="s">
        <v>77</v>
      </c>
      <c r="J181" s="69">
        <f t="shared" si="63"/>
        <v>10708.379348258843</v>
      </c>
      <c r="K181" s="69">
        <f t="shared" si="66"/>
        <v>3416.0316773490676</v>
      </c>
      <c r="L181" s="85">
        <f t="shared" si="64"/>
        <v>14124.411025607911</v>
      </c>
    </row>
    <row r="182" spans="1:12">
      <c r="A182" t="s">
        <v>92</v>
      </c>
      <c r="B182" s="641"/>
      <c r="C182" s="168" t="s">
        <v>78</v>
      </c>
      <c r="D182" s="69">
        <f>R7/$G$174</f>
        <v>15347.684918347742</v>
      </c>
      <c r="E182" s="69">
        <f t="shared" si="67"/>
        <v>7747.2046109510093</v>
      </c>
      <c r="F182" s="69">
        <f>R7/$G$175</f>
        <v>14797.502401536984</v>
      </c>
      <c r="G182" s="76">
        <f>D182+F182</f>
        <v>30145.187319884724</v>
      </c>
      <c r="H182" s="644"/>
      <c r="I182" s="45" t="s">
        <v>78</v>
      </c>
      <c r="J182" s="69">
        <f t="shared" si="63"/>
        <v>11532.100836586445</v>
      </c>
      <c r="K182" s="69">
        <f t="shared" si="66"/>
        <v>3678.8033448374576</v>
      </c>
      <c r="L182" s="85">
        <f t="shared" si="64"/>
        <v>15210.904181423903</v>
      </c>
    </row>
    <row r="183" spans="1:12">
      <c r="A183" t="s">
        <v>92</v>
      </c>
      <c r="B183" s="641"/>
      <c r="C183" s="168" t="s">
        <v>79</v>
      </c>
      <c r="D183" s="69">
        <f>R8/$G$174</f>
        <v>14799.553314121036</v>
      </c>
      <c r="E183" s="69">
        <f t="shared" si="67"/>
        <v>7470.5187319884726</v>
      </c>
      <c r="F183" s="69">
        <f>R8/$G$175</f>
        <v>14269.020172910661</v>
      </c>
      <c r="G183" s="76">
        <f>D183+F183</f>
        <v>29068.573487031696</v>
      </c>
      <c r="H183" s="644"/>
      <c r="I183" s="45" t="s">
        <v>79</v>
      </c>
      <c r="J183" s="69">
        <f t="shared" si="63"/>
        <v>11120.240092422642</v>
      </c>
      <c r="K183" s="69">
        <f t="shared" si="66"/>
        <v>3547.4175110932624</v>
      </c>
      <c r="L183" s="85">
        <f t="shared" si="64"/>
        <v>14667.657603515905</v>
      </c>
    </row>
    <row r="184" spans="1:12">
      <c r="A184" t="s">
        <v>92</v>
      </c>
      <c r="B184" s="641"/>
      <c r="C184" s="168" t="s">
        <v>80</v>
      </c>
      <c r="D184" s="69">
        <f>R9/$D$174</f>
        <v>18627.921847246889</v>
      </c>
      <c r="E184" s="69">
        <f>D184*$D$176</f>
        <v>9514.4582593250434</v>
      </c>
      <c r="F184" s="69">
        <f>R9/$D$175</f>
        <v>18574.777975133213</v>
      </c>
      <c r="G184" s="76">
        <f t="shared" si="65"/>
        <v>37202.699822380106</v>
      </c>
      <c r="H184" s="644"/>
      <c r="I184" s="45" t="s">
        <v>80</v>
      </c>
      <c r="J184" s="69">
        <f t="shared" si="63"/>
        <v>13996.838888821101</v>
      </c>
      <c r="K184" s="69">
        <f t="shared" si="66"/>
        <v>4617.8708737655352</v>
      </c>
      <c r="L184" s="85">
        <f t="shared" si="64"/>
        <v>18614.709762586637</v>
      </c>
    </row>
    <row r="185" spans="1:12">
      <c r="A185" t="s">
        <v>92</v>
      </c>
      <c r="B185" s="641"/>
      <c r="C185" s="166" t="s">
        <v>81</v>
      </c>
      <c r="D185" s="69">
        <f>R10/$D$174</f>
        <v>18627.921847246889</v>
      </c>
      <c r="E185" s="69">
        <f>D185*$D$176</f>
        <v>9514.4582593250434</v>
      </c>
      <c r="F185" s="69">
        <f t="shared" ref="F185:F188" si="68">R10/$D$175</f>
        <v>18574.777975133213</v>
      </c>
      <c r="G185" s="76">
        <f t="shared" si="65"/>
        <v>37202.699822380106</v>
      </c>
      <c r="H185" s="644"/>
      <c r="I185" s="45" t="s">
        <v>81</v>
      </c>
      <c r="J185" s="69">
        <f t="shared" si="63"/>
        <v>13996.838888821101</v>
      </c>
      <c r="K185" s="69">
        <f t="shared" si="66"/>
        <v>4617.8708737655352</v>
      </c>
      <c r="L185" s="85">
        <f t="shared" si="64"/>
        <v>18614.709762586637</v>
      </c>
    </row>
    <row r="186" spans="1:12">
      <c r="A186" t="s">
        <v>92</v>
      </c>
      <c r="B186" s="641"/>
      <c r="C186" s="168" t="s">
        <v>82</v>
      </c>
      <c r="D186" s="69">
        <f>R11/$G$174</f>
        <v>15347.684918347742</v>
      </c>
      <c r="E186" s="69">
        <f t="shared" si="67"/>
        <v>7747.2046109510093</v>
      </c>
      <c r="F186" s="69">
        <f>R11/$G$175</f>
        <v>14797.502401536984</v>
      </c>
      <c r="G186" s="76">
        <f>D186+F186</f>
        <v>30145.187319884724</v>
      </c>
      <c r="H186" s="644"/>
      <c r="I186" s="45" t="s">
        <v>82</v>
      </c>
      <c r="J186" s="69">
        <f t="shared" si="63"/>
        <v>11532.100836586445</v>
      </c>
      <c r="K186" s="69">
        <f t="shared" si="66"/>
        <v>3678.8033448374576</v>
      </c>
      <c r="L186" s="85">
        <f t="shared" si="64"/>
        <v>15210.904181423903</v>
      </c>
    </row>
    <row r="187" spans="1:12">
      <c r="A187" t="s">
        <v>92</v>
      </c>
      <c r="B187" s="641"/>
      <c r="C187" s="168" t="s">
        <v>83</v>
      </c>
      <c r="D187" s="69">
        <f>R12/$G$174</f>
        <v>17540.211335254564</v>
      </c>
      <c r="E187" s="69">
        <f t="shared" si="67"/>
        <v>8853.948126801155</v>
      </c>
      <c r="F187" s="69">
        <f>R12/$G$175</f>
        <v>16911.431316042264</v>
      </c>
      <c r="G187" s="76">
        <f t="shared" si="65"/>
        <v>34451.642651296832</v>
      </c>
      <c r="H187" s="644"/>
      <c r="I187" s="45" t="s">
        <v>83</v>
      </c>
      <c r="J187" s="69">
        <f t="shared" si="63"/>
        <v>13179.543813241653</v>
      </c>
      <c r="K187" s="69">
        <f t="shared" si="66"/>
        <v>4204.3466798142363</v>
      </c>
      <c r="L187" s="85">
        <f t="shared" si="64"/>
        <v>17383.890493055889</v>
      </c>
    </row>
    <row r="188" spans="1:12">
      <c r="A188" t="s">
        <v>92</v>
      </c>
      <c r="B188" s="641"/>
      <c r="C188" s="166" t="s">
        <v>84</v>
      </c>
      <c r="D188" s="69">
        <f>R13/$D$174</f>
        <v>16299.431616341029</v>
      </c>
      <c r="E188" s="69">
        <f>D188*$D$176</f>
        <v>8325.1509769094137</v>
      </c>
      <c r="F188" s="69">
        <f t="shared" si="68"/>
        <v>16252.930728241563</v>
      </c>
      <c r="G188" s="76">
        <f t="shared" si="65"/>
        <v>32552.362344582594</v>
      </c>
      <c r="H188" s="644"/>
      <c r="I188" s="45" t="s">
        <v>84</v>
      </c>
      <c r="J188" s="69">
        <f t="shared" si="63"/>
        <v>12247.234027718463</v>
      </c>
      <c r="K188" s="69">
        <f t="shared" si="66"/>
        <v>4040.6370145448441</v>
      </c>
      <c r="L188" s="85">
        <f t="shared" si="64"/>
        <v>16287.871042263307</v>
      </c>
    </row>
    <row r="189" spans="1:12">
      <c r="A189" t="s">
        <v>92</v>
      </c>
      <c r="B189" s="641"/>
      <c r="C189" s="166" t="s">
        <v>85</v>
      </c>
      <c r="D189" s="69">
        <f>R14/$D$174</f>
        <v>22702.779751332149</v>
      </c>
      <c r="E189" s="69">
        <f>D189*$D$176</f>
        <v>11595.746003552398</v>
      </c>
      <c r="F189" s="69">
        <f>R14/$D$175</f>
        <v>22638.010657193605</v>
      </c>
      <c r="G189" s="76">
        <f t="shared" si="65"/>
        <v>45340.790408525754</v>
      </c>
      <c r="H189" s="644"/>
      <c r="I189" s="45" t="s">
        <v>85</v>
      </c>
      <c r="J189" s="69">
        <f t="shared" si="63"/>
        <v>17058.647395750719</v>
      </c>
      <c r="K189" s="69">
        <f>F189*K$175</f>
        <v>5628.0301274017465</v>
      </c>
      <c r="L189" s="85">
        <f t="shared" si="64"/>
        <v>22686.677523152466</v>
      </c>
    </row>
    <row r="190" spans="1:12" ht="17" thickBot="1">
      <c r="B190" s="642"/>
      <c r="C190" s="77" t="s">
        <v>24</v>
      </c>
      <c r="D190" s="78">
        <f>SUM(D178:D189)</f>
        <v>197386.58689980771</v>
      </c>
      <c r="E190" s="78">
        <f>SUM(E178:E189)</f>
        <v>100204.53112443119</v>
      </c>
      <c r="F190" s="78">
        <f>SUM(F178:F189)</f>
        <v>168909.20111997786</v>
      </c>
      <c r="G190" s="79">
        <f>SUM(G178:G189)</f>
        <v>366295.78801978554</v>
      </c>
      <c r="H190" s="645"/>
      <c r="I190" s="77" t="s">
        <v>24</v>
      </c>
      <c r="J190" s="78">
        <f>SUM(J178:J189)</f>
        <v>148314.35724856338</v>
      </c>
      <c r="K190" s="78">
        <f>SUM(K178:K189)</f>
        <v>41992.473945431208</v>
      </c>
      <c r="L190" s="79">
        <f t="shared" si="64"/>
        <v>190306.83119399459</v>
      </c>
    </row>
  </sheetData>
  <mergeCells count="72">
    <mergeCell ref="B2:B5"/>
    <mergeCell ref="B116:B133"/>
    <mergeCell ref="F116:G116"/>
    <mergeCell ref="H120:H133"/>
    <mergeCell ref="B40:B57"/>
    <mergeCell ref="F40:G40"/>
    <mergeCell ref="H44:H57"/>
    <mergeCell ref="B59:B76"/>
    <mergeCell ref="F59:G59"/>
    <mergeCell ref="H63:H76"/>
    <mergeCell ref="F2:G2"/>
    <mergeCell ref="B6:B19"/>
    <mergeCell ref="D41:E41"/>
    <mergeCell ref="B21:B38"/>
    <mergeCell ref="F21:G21"/>
    <mergeCell ref="H25:H38"/>
    <mergeCell ref="B173:B190"/>
    <mergeCell ref="F173:G173"/>
    <mergeCell ref="H177:H190"/>
    <mergeCell ref="B154:B171"/>
    <mergeCell ref="F154:G154"/>
    <mergeCell ref="D155:E155"/>
    <mergeCell ref="D156:E156"/>
    <mergeCell ref="D157:E157"/>
    <mergeCell ref="C173:E173"/>
    <mergeCell ref="D174:E174"/>
    <mergeCell ref="D175:E175"/>
    <mergeCell ref="D176:E176"/>
    <mergeCell ref="C154:E154"/>
    <mergeCell ref="B78:B95"/>
    <mergeCell ref="H158:H171"/>
    <mergeCell ref="H101:H114"/>
    <mergeCell ref="C78:E78"/>
    <mergeCell ref="D79:E79"/>
    <mergeCell ref="D80:E80"/>
    <mergeCell ref="B135:B152"/>
    <mergeCell ref="F135:G135"/>
    <mergeCell ref="D81:E81"/>
    <mergeCell ref="C97:E97"/>
    <mergeCell ref="D98:E98"/>
    <mergeCell ref="D99:E99"/>
    <mergeCell ref="D100:E100"/>
    <mergeCell ref="B97:B114"/>
    <mergeCell ref="F97:G97"/>
    <mergeCell ref="C116:E116"/>
    <mergeCell ref="D117:E117"/>
    <mergeCell ref="D118:E118"/>
    <mergeCell ref="D22:E22"/>
    <mergeCell ref="D23:E23"/>
    <mergeCell ref="D24:E24"/>
    <mergeCell ref="F78:G78"/>
    <mergeCell ref="C21:E21"/>
    <mergeCell ref="H139:H152"/>
    <mergeCell ref="C40:E40"/>
    <mergeCell ref="C59:E59"/>
    <mergeCell ref="D42:E42"/>
    <mergeCell ref="D43:E43"/>
    <mergeCell ref="D60:E60"/>
    <mergeCell ref="D61:E61"/>
    <mergeCell ref="D62:E62"/>
    <mergeCell ref="H82:H95"/>
    <mergeCell ref="D119:E119"/>
    <mergeCell ref="C135:E135"/>
    <mergeCell ref="D136:E136"/>
    <mergeCell ref="D137:E137"/>
    <mergeCell ref="D138:E138"/>
    <mergeCell ref="O21:Q21"/>
    <mergeCell ref="C2:E2"/>
    <mergeCell ref="D3:E3"/>
    <mergeCell ref="D4:E4"/>
    <mergeCell ref="D5:E5"/>
    <mergeCell ref="H6:H19"/>
  </mergeCells>
  <phoneticPr fontId="28" type="noConversion"/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69BE-898E-5940-8DDA-7C0AEBC38A31}">
  <sheetPr>
    <tabColor theme="8" tint="0.79998168889431442"/>
  </sheetPr>
  <dimension ref="A1:E180"/>
  <sheetViews>
    <sheetView topLeftCell="A23" zoomScale="90" zoomScaleNormal="90" workbookViewId="0">
      <selection activeCell="E49" sqref="E49"/>
    </sheetView>
  </sheetViews>
  <sheetFormatPr baseColWidth="10" defaultColWidth="11" defaultRowHeight="16"/>
  <cols>
    <col min="1" max="1" width="2.83203125" customWidth="1"/>
    <col min="2" max="15" width="22.83203125" customWidth="1"/>
    <col min="16" max="17" width="20.83203125" customWidth="1"/>
  </cols>
  <sheetData>
    <row r="1" spans="1:5" ht="17" thickBot="1"/>
    <row r="2" spans="1:5" ht="17" thickBot="1">
      <c r="B2" s="666" t="s">
        <v>214</v>
      </c>
      <c r="C2" s="667"/>
      <c r="D2" s="668" t="s">
        <v>215</v>
      </c>
      <c r="E2" s="669"/>
    </row>
    <row r="3" spans="1:5">
      <c r="B3" s="203" t="s">
        <v>216</v>
      </c>
      <c r="C3" s="204">
        <f>'Historic Data'!DX6/'Historic Data'!AJ6</f>
        <v>0.18251663307737928</v>
      </c>
      <c r="D3" s="203" t="s">
        <v>216</v>
      </c>
      <c r="E3" s="204">
        <f>'Historic Data'!DX7/'Historic Data'!AJ7</f>
        <v>0.16872260756359278</v>
      </c>
    </row>
    <row r="4" spans="1:5" ht="17" thickBot="1">
      <c r="B4" s="203" t="s">
        <v>217</v>
      </c>
      <c r="C4" s="205">
        <f>'Historic Data'!DX6/'Historic Data'!AV6</f>
        <v>0.23280268117756564</v>
      </c>
      <c r="D4" s="203" t="s">
        <v>217</v>
      </c>
      <c r="E4" s="204">
        <f>'Historic Data'!DX7/'Historic Data'!AV7</f>
        <v>0.22825578023033427</v>
      </c>
    </row>
    <row r="5" spans="1:5" ht="17" thickBot="1">
      <c r="B5" s="637" t="s">
        <v>27</v>
      </c>
      <c r="C5" s="164" t="s">
        <v>24</v>
      </c>
      <c r="D5" s="164" t="s">
        <v>218</v>
      </c>
      <c r="E5" s="165" t="s">
        <v>219</v>
      </c>
    </row>
    <row r="6" spans="1:5">
      <c r="A6" t="s">
        <v>27</v>
      </c>
      <c r="B6" s="638"/>
      <c r="C6" s="213" t="s">
        <v>74</v>
      </c>
      <c r="D6" s="217">
        <f>'Research Goals'!D7/'Consideration Goals'!$E$3</f>
        <v>2523800.925840016</v>
      </c>
      <c r="E6" s="212">
        <f>SUM(E42,E60,E78,E96,E114,E132,E150,E168)</f>
        <v>1832612.3923070789</v>
      </c>
    </row>
    <row r="7" spans="1:5">
      <c r="A7" t="s">
        <v>27</v>
      </c>
      <c r="B7" s="638"/>
      <c r="C7" s="214" t="s">
        <v>75</v>
      </c>
      <c r="D7" s="216">
        <f>'Research Goals'!D8/'Consideration Goals'!$E$3</f>
        <v>2786859.6394724636</v>
      </c>
      <c r="E7" s="76">
        <f>SUM(E43,E61,E79,E97,E115,E133,E151,E169)</f>
        <v>2030382.5573380601</v>
      </c>
    </row>
    <row r="8" spans="1:5">
      <c r="A8" t="s">
        <v>27</v>
      </c>
      <c r="B8" s="638"/>
      <c r="C8" s="215" t="s">
        <v>76</v>
      </c>
      <c r="D8" s="216">
        <f>'Research Goals'!D9/'Consideration Goals'!$C$3</f>
        <v>3138529.2518305168</v>
      </c>
      <c r="E8" s="76">
        <f t="shared" ref="E8:E17" si="0">SUM(E44,E62,E80,E98,E116,E134,E152,E170)</f>
        <v>2427801.1675551562</v>
      </c>
    </row>
    <row r="9" spans="1:5">
      <c r="A9" t="s">
        <v>27</v>
      </c>
      <c r="B9" s="638"/>
      <c r="C9" s="214" t="s">
        <v>77</v>
      </c>
      <c r="D9" s="216">
        <f>'Research Goals'!D10/'Consideration Goals'!$E$3</f>
        <v>3042104.7279475117</v>
      </c>
      <c r="E9" s="76">
        <f t="shared" si="0"/>
        <v>2205501.7300772332</v>
      </c>
    </row>
    <row r="10" spans="1:5">
      <c r="A10" t="s">
        <v>27</v>
      </c>
      <c r="B10" s="638"/>
      <c r="C10" s="214" t="s">
        <v>78</v>
      </c>
      <c r="D10" s="216">
        <f>'Research Goals'!D11/'Consideration Goals'!$E$3</f>
        <v>3396322.4017496188</v>
      </c>
      <c r="E10" s="76">
        <f t="shared" si="0"/>
        <v>2466640.6241467311</v>
      </c>
    </row>
    <row r="11" spans="1:5">
      <c r="A11" t="s">
        <v>27</v>
      </c>
      <c r="B11" s="638"/>
      <c r="C11" s="214" t="s">
        <v>79</v>
      </c>
      <c r="D11" s="216">
        <f>'Research Goals'!D12/'Consideration Goals'!$E$3</f>
        <v>3186396.3391874875</v>
      </c>
      <c r="E11" s="76">
        <f t="shared" si="0"/>
        <v>2311908.5078209699</v>
      </c>
    </row>
    <row r="12" spans="1:5">
      <c r="A12" t="s">
        <v>27</v>
      </c>
      <c r="B12" s="638"/>
      <c r="C12" s="215" t="s">
        <v>80</v>
      </c>
      <c r="D12" s="216">
        <f>'Research Goals'!D13/'Consideration Goals'!$C$3</f>
        <v>2942655.8732692506</v>
      </c>
      <c r="E12" s="76">
        <f>SUM(E48,E66,E84,E102,E120,E138,E156,E174)</f>
        <v>2306121.4385163425</v>
      </c>
    </row>
    <row r="13" spans="1:5">
      <c r="A13" t="s">
        <v>27</v>
      </c>
      <c r="B13" s="638"/>
      <c r="C13" s="215" t="s">
        <v>81</v>
      </c>
      <c r="D13" s="216">
        <f>'Research Goals'!D14/'Consideration Goals'!$C$3</f>
        <v>3138529.2518305168</v>
      </c>
      <c r="E13" s="76">
        <f>SUM(E49,E67,E85,E103,E121,E139,E157,E175)</f>
        <v>2470200.8770111175</v>
      </c>
    </row>
    <row r="14" spans="1:5">
      <c r="A14" t="s">
        <v>27</v>
      </c>
      <c r="B14" s="638"/>
      <c r="C14" s="214" t="s">
        <v>82</v>
      </c>
      <c r="D14" s="216">
        <f>'Research Goals'!D15/'Consideration Goals'!$E$3</f>
        <v>3333813.4004904237</v>
      </c>
      <c r="E14" s="76">
        <f t="shared" si="0"/>
        <v>2440916.3537094942</v>
      </c>
    </row>
    <row r="15" spans="1:5">
      <c r="A15" t="s">
        <v>27</v>
      </c>
      <c r="B15" s="638"/>
      <c r="C15" s="214" t="s">
        <v>83</v>
      </c>
      <c r="D15" s="216">
        <f>'Research Goals'!D16/'Consideration Goals'!$E$3</f>
        <v>3456226.8612896814</v>
      </c>
      <c r="E15" s="76">
        <f t="shared" si="0"/>
        <v>2529853.0880972929</v>
      </c>
    </row>
    <row r="16" spans="1:5">
      <c r="A16" t="s">
        <v>27</v>
      </c>
      <c r="B16" s="638"/>
      <c r="C16" s="215" t="s">
        <v>84</v>
      </c>
      <c r="D16" s="216">
        <f>'Research Goals'!D17/'Consideration Goals'!$C$3</f>
        <v>2812832.8200367838</v>
      </c>
      <c r="E16" s="76">
        <f t="shared" si="0"/>
        <v>2174035.9735123864</v>
      </c>
    </row>
    <row r="17" spans="1:5">
      <c r="A17" t="s">
        <v>27</v>
      </c>
      <c r="B17" s="638"/>
      <c r="C17" s="215" t="s">
        <v>85</v>
      </c>
      <c r="D17" s="216">
        <f>'Research Goals'!D18/'Consideration Goals'!$C$3</f>
        <v>3616824.7111080266</v>
      </c>
      <c r="E17" s="76">
        <f t="shared" si="0"/>
        <v>2799227.2552875602</v>
      </c>
    </row>
    <row r="18" spans="1:5" ht="17" thickBot="1">
      <c r="B18" s="639"/>
      <c r="C18" s="94" t="s">
        <v>24</v>
      </c>
      <c r="D18" s="218">
        <f>SUM(D6:D17)</f>
        <v>37374896.204052299</v>
      </c>
      <c r="E18" s="79">
        <f>SUM(E6:E17)</f>
        <v>27995201.965379424</v>
      </c>
    </row>
    <row r="19" spans="1:5" ht="17" thickBot="1"/>
    <row r="20" spans="1:5" ht="17" thickBot="1">
      <c r="B20" s="666" t="s">
        <v>214</v>
      </c>
      <c r="C20" s="667"/>
      <c r="D20" s="668" t="s">
        <v>215</v>
      </c>
      <c r="E20" s="669"/>
    </row>
    <row r="21" spans="1:5">
      <c r="B21" s="203" t="s">
        <v>216</v>
      </c>
      <c r="C21" s="219" t="s">
        <v>174</v>
      </c>
      <c r="D21" s="203" t="s">
        <v>216</v>
      </c>
      <c r="E21" s="219" t="s">
        <v>174</v>
      </c>
    </row>
    <row r="22" spans="1:5" ht="17" thickBot="1">
      <c r="B22" s="203" t="s">
        <v>217</v>
      </c>
      <c r="C22" s="220"/>
      <c r="D22" s="203" t="s">
        <v>217</v>
      </c>
      <c r="E22" s="219"/>
    </row>
    <row r="23" spans="1:5" ht="17" thickBot="1">
      <c r="B23" s="637" t="s">
        <v>197</v>
      </c>
      <c r="C23" s="164" t="s">
        <v>24</v>
      </c>
      <c r="D23" s="164" t="s">
        <v>218</v>
      </c>
      <c r="E23" s="165" t="s">
        <v>219</v>
      </c>
    </row>
    <row r="24" spans="1:5">
      <c r="B24" s="638"/>
      <c r="C24" s="213" t="s">
        <v>74</v>
      </c>
      <c r="D24" s="217"/>
      <c r="E24" s="212"/>
    </row>
    <row r="25" spans="1:5">
      <c r="B25" s="638"/>
      <c r="C25" s="214" t="s">
        <v>75</v>
      </c>
      <c r="D25" s="216"/>
      <c r="E25" s="76"/>
    </row>
    <row r="26" spans="1:5">
      <c r="B26" s="638"/>
      <c r="C26" s="215" t="s">
        <v>76</v>
      </c>
      <c r="D26" s="216"/>
      <c r="E26" s="76"/>
    </row>
    <row r="27" spans="1:5">
      <c r="B27" s="638"/>
      <c r="C27" s="214" t="s">
        <v>77</v>
      </c>
      <c r="D27" s="216"/>
      <c r="E27" s="76"/>
    </row>
    <row r="28" spans="1:5">
      <c r="B28" s="638"/>
      <c r="C28" s="214" t="s">
        <v>78</v>
      </c>
      <c r="D28" s="216"/>
      <c r="E28" s="76"/>
    </row>
    <row r="29" spans="1:5">
      <c r="B29" s="638"/>
      <c r="C29" s="214" t="s">
        <v>79</v>
      </c>
      <c r="D29" s="216"/>
      <c r="E29" s="76"/>
    </row>
    <row r="30" spans="1:5">
      <c r="B30" s="638"/>
      <c r="C30" s="214" t="s">
        <v>80</v>
      </c>
      <c r="D30" s="216"/>
      <c r="E30" s="76"/>
    </row>
    <row r="31" spans="1:5">
      <c r="B31" s="638"/>
      <c r="C31" s="215" t="s">
        <v>81</v>
      </c>
      <c r="D31" s="216"/>
      <c r="E31" s="76"/>
    </row>
    <row r="32" spans="1:5">
      <c r="B32" s="638"/>
      <c r="C32" s="214" t="s">
        <v>82</v>
      </c>
      <c r="D32" s="216"/>
      <c r="E32" s="76"/>
    </row>
    <row r="33" spans="1:5">
      <c r="B33" s="638"/>
      <c r="C33" s="214" t="s">
        <v>83</v>
      </c>
      <c r="D33" s="216"/>
      <c r="E33" s="76"/>
    </row>
    <row r="34" spans="1:5">
      <c r="B34" s="638"/>
      <c r="C34" s="215" t="s">
        <v>84</v>
      </c>
      <c r="D34" s="216"/>
      <c r="E34" s="76"/>
    </row>
    <row r="35" spans="1:5">
      <c r="B35" s="638"/>
      <c r="C35" s="215" t="s">
        <v>85</v>
      </c>
      <c r="D35" s="216"/>
      <c r="E35" s="76"/>
    </row>
    <row r="36" spans="1:5" ht="17" thickBot="1">
      <c r="B36" s="639"/>
      <c r="C36" s="94" t="s">
        <v>24</v>
      </c>
      <c r="D36" s="218">
        <f>SUM(D24:D35)</f>
        <v>0</v>
      </c>
      <c r="E36" s="79">
        <f>SUM(E24:E35)</f>
        <v>0</v>
      </c>
    </row>
    <row r="37" spans="1:5" ht="17" thickBot="1"/>
    <row r="38" spans="1:5" ht="17" thickBot="1">
      <c r="B38" s="666" t="s">
        <v>214</v>
      </c>
      <c r="C38" s="667"/>
      <c r="D38" s="668" t="s">
        <v>215</v>
      </c>
      <c r="E38" s="669"/>
    </row>
    <row r="39" spans="1:5">
      <c r="B39" s="203" t="s">
        <v>216</v>
      </c>
      <c r="C39" s="219" t="s">
        <v>174</v>
      </c>
      <c r="D39" s="203" t="s">
        <v>216</v>
      </c>
      <c r="E39" s="219" t="s">
        <v>174</v>
      </c>
    </row>
    <row r="40" spans="1:5" ht="17" thickBot="1">
      <c r="B40" s="203" t="s">
        <v>217</v>
      </c>
      <c r="C40" s="220">
        <f>'Historic Data'!DZ6/'Historic Data'!AN6</f>
        <v>0.19498480523517167</v>
      </c>
      <c r="D40" s="203" t="s">
        <v>217</v>
      </c>
      <c r="E40" s="219">
        <f>'Historic Data'!DZ7/'Historic Data'!AN7</f>
        <v>0.18050767403133849</v>
      </c>
    </row>
    <row r="41" spans="1:5" ht="17" customHeight="1" thickBot="1">
      <c r="B41" s="637" t="s">
        <v>97</v>
      </c>
      <c r="C41" s="368" t="s">
        <v>97</v>
      </c>
      <c r="D41" s="164" t="s">
        <v>218</v>
      </c>
      <c r="E41" s="165" t="s">
        <v>219</v>
      </c>
    </row>
    <row r="42" spans="1:5">
      <c r="A42" t="s">
        <v>97</v>
      </c>
      <c r="B42" s="638"/>
      <c r="C42" s="369" t="s">
        <v>74</v>
      </c>
      <c r="D42" s="217"/>
      <c r="E42" s="212">
        <f>'Research Goals'!D45/'Consideration Goals'!$E$40</f>
        <v>607269.72039099794</v>
      </c>
    </row>
    <row r="43" spans="1:5">
      <c r="A43" t="s">
        <v>97</v>
      </c>
      <c r="B43" s="638"/>
      <c r="C43" s="370" t="s">
        <v>75</v>
      </c>
      <c r="D43" s="216"/>
      <c r="E43" s="212">
        <f>'Research Goals'!D46/'Consideration Goals'!$E$40</f>
        <v>631560.50920663786</v>
      </c>
    </row>
    <row r="44" spans="1:5">
      <c r="A44" t="s">
        <v>97</v>
      </c>
      <c r="B44" s="638"/>
      <c r="C44" s="371" t="s">
        <v>76</v>
      </c>
      <c r="D44" s="216"/>
      <c r="E44" s="212">
        <f>'Research Goals'!D47/'Consideration Goals'!$C$40</f>
        <v>670182.40746897168</v>
      </c>
    </row>
    <row r="45" spans="1:5">
      <c r="A45" t="s">
        <v>97</v>
      </c>
      <c r="B45" s="638"/>
      <c r="C45" s="370" t="s">
        <v>77</v>
      </c>
      <c r="D45" s="216"/>
      <c r="E45" s="212">
        <f>'Research Goals'!D48/'Consideration Goals'!$E$40</f>
        <v>688239.01644313103</v>
      </c>
    </row>
    <row r="46" spans="1:5">
      <c r="A46" t="s">
        <v>97</v>
      </c>
      <c r="B46" s="638"/>
      <c r="C46" s="370" t="s">
        <v>78</v>
      </c>
      <c r="D46" s="216"/>
      <c r="E46" s="212">
        <f>'Research Goals'!D49/'Consideration Goals'!$E$40</f>
        <v>757062.91808744415</v>
      </c>
    </row>
    <row r="47" spans="1:5">
      <c r="A47" t="s">
        <v>97</v>
      </c>
      <c r="B47" s="638"/>
      <c r="C47" s="370" t="s">
        <v>79</v>
      </c>
      <c r="D47" s="216"/>
      <c r="E47" s="212">
        <f>'Research Goals'!D50/'Consideration Goals'!$E$40</f>
        <v>688239.01644313103</v>
      </c>
    </row>
    <row r="48" spans="1:5">
      <c r="A48" t="s">
        <v>97</v>
      </c>
      <c r="B48" s="638"/>
      <c r="C48" s="370" t="s">
        <v>80</v>
      </c>
      <c r="D48" s="216"/>
      <c r="E48" s="212">
        <f>'Research Goals'!D51/'Consideration Goals'!$C$40</f>
        <v>604915.23714539001</v>
      </c>
    </row>
    <row r="49" spans="1:5">
      <c r="A49" t="s">
        <v>97</v>
      </c>
      <c r="B49" s="638"/>
      <c r="C49" s="371" t="s">
        <v>81</v>
      </c>
      <c r="D49" s="216"/>
      <c r="E49" s="212">
        <f>'Research Goals'!D52/'Consideration Goals'!$C$40</f>
        <v>614466.53036347521</v>
      </c>
    </row>
    <row r="50" spans="1:5">
      <c r="A50" t="s">
        <v>97</v>
      </c>
      <c r="B50" s="638"/>
      <c r="C50" s="370" t="s">
        <v>82</v>
      </c>
      <c r="D50" s="216"/>
      <c r="E50" s="212">
        <f>'Research Goals'!D53/'Consideration Goals'!$E$40</f>
        <v>793499.1013109039</v>
      </c>
    </row>
    <row r="51" spans="1:5">
      <c r="A51" t="s">
        <v>97</v>
      </c>
      <c r="B51" s="638"/>
      <c r="C51" s="370" t="s">
        <v>83</v>
      </c>
      <c r="D51" s="216"/>
      <c r="E51" s="212">
        <f>'Research Goals'!D54/'Consideration Goals'!$E$40</f>
        <v>842080.67894218385</v>
      </c>
    </row>
    <row r="52" spans="1:5">
      <c r="A52" t="s">
        <v>97</v>
      </c>
      <c r="B52" s="638"/>
      <c r="C52" s="371" t="s">
        <v>84</v>
      </c>
      <c r="D52" s="216"/>
      <c r="E52" s="212">
        <f>'Research Goals'!D55/'Consideration Goals'!$C$40</f>
        <v>652671.70323581563</v>
      </c>
    </row>
    <row r="53" spans="1:5">
      <c r="A53" t="s">
        <v>97</v>
      </c>
      <c r="B53" s="638"/>
      <c r="C53" s="371" t="s">
        <v>85</v>
      </c>
      <c r="D53" s="216"/>
      <c r="E53" s="212">
        <f>'Research Goals'!D56/'Consideration Goals'!$C$40</f>
        <v>799124.86591312056</v>
      </c>
    </row>
    <row r="54" spans="1:5" ht="17" thickBot="1">
      <c r="B54" s="639"/>
      <c r="C54" s="372" t="s">
        <v>24</v>
      </c>
      <c r="D54" s="218">
        <f>SUM(D42:D53)</f>
        <v>0</v>
      </c>
      <c r="E54" s="79">
        <f>SUM(E42:E53)</f>
        <v>8349311.7049512025</v>
      </c>
    </row>
    <row r="55" spans="1:5" ht="17" thickBot="1"/>
    <row r="56" spans="1:5" ht="17" thickBot="1">
      <c r="B56" s="666" t="s">
        <v>214</v>
      </c>
      <c r="C56" s="667"/>
      <c r="D56" s="668" t="s">
        <v>215</v>
      </c>
      <c r="E56" s="669"/>
    </row>
    <row r="57" spans="1:5">
      <c r="B57" s="203" t="s">
        <v>216</v>
      </c>
      <c r="C57" s="219" t="s">
        <v>174</v>
      </c>
      <c r="D57" s="203" t="s">
        <v>216</v>
      </c>
      <c r="E57" s="219" t="s">
        <v>174</v>
      </c>
    </row>
    <row r="58" spans="1:5" ht="17" thickBot="1">
      <c r="B58" s="203" t="s">
        <v>217</v>
      </c>
      <c r="C58" s="205">
        <f>'Historic Data'!DY6/'Historic Data'!AM6</f>
        <v>0.22924550059365684</v>
      </c>
      <c r="D58" s="203" t="s">
        <v>217</v>
      </c>
      <c r="E58" s="204">
        <f>'Historic Data'!DY7/'Historic Data'!AM7</f>
        <v>0.24609850682837925</v>
      </c>
    </row>
    <row r="59" spans="1:5" ht="17" thickBot="1">
      <c r="A59" t="s">
        <v>96</v>
      </c>
      <c r="B59" s="637" t="s">
        <v>96</v>
      </c>
      <c r="C59" s="164" t="s">
        <v>24</v>
      </c>
      <c r="D59" s="164" t="s">
        <v>218</v>
      </c>
      <c r="E59" s="165" t="s">
        <v>219</v>
      </c>
    </row>
    <row r="60" spans="1:5">
      <c r="A60" t="s">
        <v>96</v>
      </c>
      <c r="B60" s="638"/>
      <c r="C60" s="213" t="s">
        <v>74</v>
      </c>
      <c r="D60" s="217"/>
      <c r="E60" s="212">
        <f>'Research Goals'!D64/'Consideration Goals'!$E$58</f>
        <v>122993.17157712307</v>
      </c>
    </row>
    <row r="61" spans="1:5">
      <c r="A61" t="s">
        <v>96</v>
      </c>
      <c r="B61" s="638"/>
      <c r="C61" s="214" t="s">
        <v>75</v>
      </c>
      <c r="D61" s="216"/>
      <c r="E61" s="76">
        <f>'Research Goals'!D65/'Consideration Goals'!$E$58</f>
        <v>118752.02772963606</v>
      </c>
    </row>
    <row r="62" spans="1:5">
      <c r="A62" t="s">
        <v>96</v>
      </c>
      <c r="B62" s="638"/>
      <c r="C62" s="215" t="s">
        <v>76</v>
      </c>
      <c r="D62" s="216"/>
      <c r="E62" s="76">
        <f>'Research Goals'!D66/'Consideration Goals'!$C$58</f>
        <v>138302.26692209451</v>
      </c>
    </row>
    <row r="63" spans="1:5">
      <c r="A63" t="s">
        <v>96</v>
      </c>
      <c r="B63" s="638"/>
      <c r="C63" s="214" t="s">
        <v>77</v>
      </c>
      <c r="D63" s="216"/>
      <c r="E63" s="76">
        <f>'Research Goals'!D67/'Consideration Goals'!$E$58</f>
        <v>131475.45927209707</v>
      </c>
    </row>
    <row r="64" spans="1:5">
      <c r="A64" t="s">
        <v>96</v>
      </c>
      <c r="B64" s="638"/>
      <c r="C64" s="214" t="s">
        <v>78</v>
      </c>
      <c r="D64" s="216"/>
      <c r="E64" s="76">
        <f>'Research Goals'!D68/'Consideration Goals'!$E$58</f>
        <v>152681.17850953207</v>
      </c>
    </row>
    <row r="65" spans="1:5">
      <c r="A65" t="s">
        <v>96</v>
      </c>
      <c r="B65" s="638"/>
      <c r="C65" s="214" t="s">
        <v>79</v>
      </c>
      <c r="D65" s="216"/>
      <c r="E65" s="76">
        <f>'Research Goals'!D69/'Consideration Goals'!$E$58</f>
        <v>127234.31542461006</v>
      </c>
    </row>
    <row r="66" spans="1:5">
      <c r="A66" t="s">
        <v>96</v>
      </c>
      <c r="B66" s="638"/>
      <c r="C66" s="214" t="s">
        <v>80</v>
      </c>
      <c r="D66" s="216"/>
      <c r="E66" s="76">
        <f>'Research Goals'!D70/'Consideration Goals'!$C$58</f>
        <v>127088.56960408684</v>
      </c>
    </row>
    <row r="67" spans="1:5">
      <c r="A67" t="s">
        <v>96</v>
      </c>
      <c r="B67" s="638"/>
      <c r="C67" s="215" t="s">
        <v>81</v>
      </c>
      <c r="D67" s="216"/>
      <c r="E67" s="76">
        <f>'Research Goals'!D71/'Consideration Goals'!$C$58</f>
        <v>138302.26692209451</v>
      </c>
    </row>
    <row r="68" spans="1:5">
      <c r="A68" t="s">
        <v>96</v>
      </c>
      <c r="B68" s="638"/>
      <c r="C68" s="214" t="s">
        <v>82</v>
      </c>
      <c r="D68" s="216"/>
      <c r="E68" s="76">
        <f>'Research Goals'!D72/'Consideration Goals'!$E$58</f>
        <v>149712.37781629118</v>
      </c>
    </row>
    <row r="69" spans="1:5">
      <c r="A69" t="s">
        <v>96</v>
      </c>
      <c r="B69" s="638"/>
      <c r="C69" s="214" t="s">
        <v>83</v>
      </c>
      <c r="D69" s="216"/>
      <c r="E69" s="76">
        <f>'Research Goals'!D73/'Consideration Goals'!$E$58</f>
        <v>152681.17850953207</v>
      </c>
    </row>
    <row r="70" spans="1:5">
      <c r="A70" t="s">
        <v>96</v>
      </c>
      <c r="B70" s="638"/>
      <c r="C70" s="215" t="s">
        <v>84</v>
      </c>
      <c r="D70" s="216"/>
      <c r="E70" s="76">
        <f>'Research Goals'!D74/'Consideration Goals'!$C$58</f>
        <v>123350.67049808429</v>
      </c>
    </row>
    <row r="71" spans="1:5">
      <c r="A71" t="s">
        <v>96</v>
      </c>
      <c r="B71" s="638"/>
      <c r="C71" s="215" t="s">
        <v>85</v>
      </c>
      <c r="D71" s="216"/>
      <c r="E71" s="76">
        <f>'Research Goals'!D75/'Consideration Goals'!$C$58</f>
        <v>142040.16602809707</v>
      </c>
    </row>
    <row r="72" spans="1:5" ht="17" thickBot="1">
      <c r="B72" s="639"/>
      <c r="C72" s="94" t="s">
        <v>24</v>
      </c>
      <c r="D72" s="218">
        <f>SUM(D60:D71)</f>
        <v>0</v>
      </c>
      <c r="E72" s="79">
        <f>SUM(E60:E71)</f>
        <v>1624613.6488132786</v>
      </c>
    </row>
    <row r="73" spans="1:5" ht="17" thickBot="1"/>
    <row r="74" spans="1:5" ht="17" thickBot="1">
      <c r="B74" s="666" t="s">
        <v>214</v>
      </c>
      <c r="C74" s="667"/>
      <c r="D74" s="668" t="s">
        <v>215</v>
      </c>
      <c r="E74" s="669"/>
    </row>
    <row r="75" spans="1:5">
      <c r="B75" s="203" t="s">
        <v>216</v>
      </c>
      <c r="C75" s="219" t="s">
        <v>174</v>
      </c>
      <c r="D75" s="203" t="s">
        <v>216</v>
      </c>
      <c r="E75" s="219" t="s">
        <v>174</v>
      </c>
    </row>
    <row r="76" spans="1:5" ht="17" thickBot="1">
      <c r="B76" s="203" t="s">
        <v>217</v>
      </c>
      <c r="C76" s="205">
        <f>'Historic Data'!EA6/'Historic Data'!AO6</f>
        <v>0.14335483698616797</v>
      </c>
      <c r="D76" s="203" t="s">
        <v>217</v>
      </c>
      <c r="E76" s="204">
        <f>'Historic Data'!EA7/'Historic Data'!AO7</f>
        <v>0.15612923192189898</v>
      </c>
    </row>
    <row r="77" spans="1:5" ht="17" thickBot="1">
      <c r="B77" s="637" t="s">
        <v>94</v>
      </c>
      <c r="C77" s="164" t="s">
        <v>24</v>
      </c>
      <c r="D77" s="164" t="s">
        <v>218</v>
      </c>
      <c r="E77" s="165" t="s">
        <v>219</v>
      </c>
    </row>
    <row r="78" spans="1:5">
      <c r="A78" t="s">
        <v>94</v>
      </c>
      <c r="B78" s="638"/>
      <c r="C78" s="213" t="s">
        <v>74</v>
      </c>
      <c r="D78" s="217"/>
      <c r="E78" s="212">
        <f>'Research Goals'!D83/'Consideration Goals'!$E$76</f>
        <v>778231.37713577319</v>
      </c>
    </row>
    <row r="79" spans="1:5">
      <c r="A79" t="s">
        <v>94</v>
      </c>
      <c r="B79" s="638"/>
      <c r="C79" s="214" t="s">
        <v>75</v>
      </c>
      <c r="D79" s="216"/>
      <c r="E79" s="212">
        <f>'Research Goals'!D84/'Consideration Goals'!$E$76</f>
        <v>886215.63520724396</v>
      </c>
    </row>
    <row r="80" spans="1:5">
      <c r="A80" t="s">
        <v>94</v>
      </c>
      <c r="B80" s="638"/>
      <c r="C80" s="215" t="s">
        <v>76</v>
      </c>
      <c r="D80" s="216"/>
      <c r="E80" s="212">
        <f>'Research Goals'!D85/'Consideration Goals'!$C$76</f>
        <v>1132968.807064312</v>
      </c>
    </row>
    <row r="81" spans="1:5">
      <c r="A81" t="s">
        <v>94</v>
      </c>
      <c r="B81" s="638"/>
      <c r="C81" s="214" t="s">
        <v>77</v>
      </c>
      <c r="D81" s="216"/>
      <c r="E81" s="212">
        <f>'Research Goals'!D86/'Consideration Goals'!$E$76</f>
        <v>952123.2685819004</v>
      </c>
    </row>
    <row r="82" spans="1:5">
      <c r="A82" t="s">
        <v>94</v>
      </c>
      <c r="B82" s="638"/>
      <c r="C82" s="214" t="s">
        <v>78</v>
      </c>
      <c r="D82" s="216"/>
      <c r="E82" s="212">
        <f>'Research Goals'!D87/'Consideration Goals'!$E$76</f>
        <v>1079842.5807147091</v>
      </c>
    </row>
    <row r="83" spans="1:5">
      <c r="A83" t="s">
        <v>94</v>
      </c>
      <c r="B83" s="638"/>
      <c r="C83" s="214" t="s">
        <v>79</v>
      </c>
      <c r="D83" s="216"/>
      <c r="E83" s="212">
        <f>'Research Goals'!D88/'Consideration Goals'!$E$76</f>
        <v>1034787.0799331643</v>
      </c>
    </row>
    <row r="84" spans="1:5">
      <c r="A84" t="s">
        <v>94</v>
      </c>
      <c r="B84" s="638"/>
      <c r="C84" s="214" t="s">
        <v>80</v>
      </c>
      <c r="D84" s="216"/>
      <c r="E84" s="212">
        <f>'Research Goals'!D89/'Consideration Goals'!$C$76</f>
        <v>1082313.8877040988</v>
      </c>
    </row>
    <row r="85" spans="1:5">
      <c r="A85" t="s">
        <v>94</v>
      </c>
      <c r="B85" s="638"/>
      <c r="C85" s="215" t="s">
        <v>81</v>
      </c>
      <c r="D85" s="216"/>
      <c r="E85" s="212">
        <f>'Research Goals'!D90/'Consideration Goals'!$C$76</f>
        <v>1204504.380206598</v>
      </c>
    </row>
    <row r="86" spans="1:5">
      <c r="A86" t="s">
        <v>94</v>
      </c>
      <c r="B86" s="638"/>
      <c r="C86" s="214" t="s">
        <v>82</v>
      </c>
      <c r="D86" s="216"/>
      <c r="E86" s="212">
        <f>'Research Goals'!D91/'Consideration Goals'!$E$76</f>
        <v>974464.83921737724</v>
      </c>
    </row>
    <row r="87" spans="1:5">
      <c r="A87" t="s">
        <v>94</v>
      </c>
      <c r="B87" s="638"/>
      <c r="C87" s="214" t="s">
        <v>83</v>
      </c>
      <c r="D87" s="216"/>
      <c r="E87" s="212">
        <f>'Research Goals'!D92/'Consideration Goals'!$E$76</f>
        <v>1009094.2737023662</v>
      </c>
    </row>
    <row r="88" spans="1:5">
      <c r="A88" t="s">
        <v>94</v>
      </c>
      <c r="B88" s="638"/>
      <c r="C88" s="215" t="s">
        <v>84</v>
      </c>
      <c r="D88" s="216"/>
      <c r="E88" s="212">
        <f>'Research Goals'!D93/'Consideration Goals'!$C$76</f>
        <v>952003.14095301565</v>
      </c>
    </row>
    <row r="89" spans="1:5">
      <c r="A89" t="s">
        <v>94</v>
      </c>
      <c r="B89" s="638"/>
      <c r="C89" s="215" t="s">
        <v>85</v>
      </c>
      <c r="D89" s="216"/>
      <c r="E89" s="212">
        <f>'Research Goals'!D94/'Consideration Goals'!$C$76</f>
        <v>1314707.8307230924</v>
      </c>
    </row>
    <row r="90" spans="1:5" ht="17" thickBot="1">
      <c r="B90" s="639"/>
      <c r="C90" s="94" t="s">
        <v>24</v>
      </c>
      <c r="D90" s="218">
        <f>SUM(D78:D89)</f>
        <v>0</v>
      </c>
      <c r="E90" s="79">
        <f>SUM(E78:E89)</f>
        <v>12401257.101143651</v>
      </c>
    </row>
    <row r="91" spans="1:5" ht="17" thickBot="1"/>
    <row r="92" spans="1:5" ht="17" thickBot="1">
      <c r="B92" s="666" t="s">
        <v>214</v>
      </c>
      <c r="C92" s="667"/>
      <c r="D92" s="668" t="s">
        <v>215</v>
      </c>
      <c r="E92" s="669"/>
    </row>
    <row r="93" spans="1:5">
      <c r="B93" s="203" t="s">
        <v>216</v>
      </c>
      <c r="C93" s="219" t="s">
        <v>174</v>
      </c>
      <c r="D93" s="203" t="s">
        <v>216</v>
      </c>
      <c r="E93" s="219" t="s">
        <v>174</v>
      </c>
    </row>
    <row r="94" spans="1:5" ht="17" thickBot="1">
      <c r="B94" s="203" t="s">
        <v>217</v>
      </c>
      <c r="C94" s="205">
        <f>'Historic Data'!EC6/'Historic Data'!AQ6</f>
        <v>0.22179465111461855</v>
      </c>
      <c r="D94" s="203" t="s">
        <v>217</v>
      </c>
      <c r="E94" s="204">
        <f>'Historic Data'!EC7/'Historic Data'!AQ7</f>
        <v>0.19263139641835755</v>
      </c>
    </row>
    <row r="95" spans="1:5" ht="17" thickBot="1">
      <c r="B95" s="637" t="s">
        <v>95</v>
      </c>
      <c r="C95" s="164" t="s">
        <v>24</v>
      </c>
      <c r="D95" s="164" t="s">
        <v>218</v>
      </c>
      <c r="E95" s="165" t="s">
        <v>219</v>
      </c>
    </row>
    <row r="96" spans="1:5">
      <c r="A96" t="s">
        <v>142</v>
      </c>
      <c r="B96" s="638"/>
      <c r="C96" s="213" t="s">
        <v>74</v>
      </c>
      <c r="D96" s="217"/>
      <c r="E96" s="212">
        <f>'Research Goals'!D102/'Consideration Goals'!$E$94</f>
        <v>12425.230288836845</v>
      </c>
    </row>
    <row r="97" spans="1:5">
      <c r="A97" t="s">
        <v>142</v>
      </c>
      <c r="B97" s="638"/>
      <c r="C97" s="214" t="s">
        <v>75</v>
      </c>
      <c r="D97" s="216"/>
      <c r="E97" s="212">
        <f>'Research Goals'!D103/'Consideration Goals'!$E$94</f>
        <v>18637.845433255268</v>
      </c>
    </row>
    <row r="98" spans="1:5">
      <c r="A98" t="s">
        <v>142</v>
      </c>
      <c r="B98" s="638"/>
      <c r="C98" s="215" t="s">
        <v>76</v>
      </c>
      <c r="D98" s="216"/>
      <c r="E98" s="212">
        <f>'Research Goals'!D104/'Consideration Goals'!$C$94</f>
        <v>18862.743710691826</v>
      </c>
    </row>
    <row r="99" spans="1:5">
      <c r="A99" t="s">
        <v>142</v>
      </c>
      <c r="B99" s="638"/>
      <c r="C99" s="214" t="s">
        <v>77</v>
      </c>
      <c r="D99" s="216"/>
      <c r="E99" s="212">
        <f>'Research Goals'!D105/'Consideration Goals'!$E$94</f>
        <v>11182.707259953162</v>
      </c>
    </row>
    <row r="100" spans="1:5">
      <c r="A100" t="s">
        <v>142</v>
      </c>
      <c r="B100" s="638"/>
      <c r="C100" s="214" t="s">
        <v>78</v>
      </c>
      <c r="D100" s="216"/>
      <c r="E100" s="212">
        <f>'Research Goals'!D106/'Consideration Goals'!$E$94</f>
        <v>11182.707259953162</v>
      </c>
    </row>
    <row r="101" spans="1:5">
      <c r="A101" t="s">
        <v>142</v>
      </c>
      <c r="B101" s="638"/>
      <c r="C101" s="214" t="s">
        <v>79</v>
      </c>
      <c r="D101" s="216"/>
      <c r="E101" s="212">
        <f>'Research Goals'!D107/'Consideration Goals'!$E$94</f>
        <v>11182.707259953162</v>
      </c>
    </row>
    <row r="102" spans="1:5">
      <c r="A102" t="s">
        <v>142</v>
      </c>
      <c r="B102" s="638"/>
      <c r="C102" s="214" t="s">
        <v>80</v>
      </c>
      <c r="D102" s="216"/>
      <c r="E102" s="212">
        <f>'Research Goals'!D108/'Consideration Goals'!$C$94</f>
        <v>35569.74528301887</v>
      </c>
    </row>
    <row r="103" spans="1:5">
      <c r="A103" t="s">
        <v>142</v>
      </c>
      <c r="B103" s="638"/>
      <c r="C103" s="215" t="s">
        <v>81</v>
      </c>
      <c r="D103" s="216"/>
      <c r="E103" s="212">
        <f>'Research Goals'!D109/'Consideration Goals'!$C$94</f>
        <v>64672.264150943403</v>
      </c>
    </row>
    <row r="104" spans="1:5">
      <c r="A104" t="s">
        <v>142</v>
      </c>
      <c r="B104" s="638"/>
      <c r="C104" s="214" t="s">
        <v>82</v>
      </c>
      <c r="D104" s="216"/>
      <c r="E104" s="212">
        <f>'Research Goals'!D110/'Consideration Goals'!$E$94</f>
        <v>74551.381733021073</v>
      </c>
    </row>
    <row r="105" spans="1:5">
      <c r="A105" t="s">
        <v>142</v>
      </c>
      <c r="B105" s="638"/>
      <c r="C105" s="214" t="s">
        <v>83</v>
      </c>
      <c r="D105" s="216"/>
      <c r="E105" s="212">
        <f>'Research Goals'!D111/'Consideration Goals'!$E$94</f>
        <v>90082.919594067134</v>
      </c>
    </row>
    <row r="106" spans="1:5">
      <c r="A106" t="s">
        <v>142</v>
      </c>
      <c r="B106" s="638"/>
      <c r="C106" s="215" t="s">
        <v>84</v>
      </c>
      <c r="D106" s="216"/>
      <c r="E106" s="212">
        <f>'Research Goals'!D112/'Consideration Goals'!$C$94</f>
        <v>59282.908805031446</v>
      </c>
    </row>
    <row r="107" spans="1:5">
      <c r="A107" t="s">
        <v>142</v>
      </c>
      <c r="B107" s="638"/>
      <c r="C107" s="215" t="s">
        <v>85</v>
      </c>
      <c r="D107" s="216"/>
      <c r="E107" s="212">
        <f>'Research Goals'!D113/'Consideration Goals'!$C$94</f>
        <v>59282.908805031446</v>
      </c>
    </row>
    <row r="108" spans="1:5" ht="17" thickBot="1">
      <c r="B108" s="639"/>
      <c r="C108" s="94" t="s">
        <v>24</v>
      </c>
      <c r="D108" s="218">
        <f>SUM(D96:D107)</f>
        <v>0</v>
      </c>
      <c r="E108" s="79">
        <f>SUM(E96:E107)</f>
        <v>466916.06958375679</v>
      </c>
    </row>
    <row r="109" spans="1:5" ht="17" thickBot="1"/>
    <row r="110" spans="1:5" ht="17" thickBot="1">
      <c r="B110" s="666" t="s">
        <v>214</v>
      </c>
      <c r="C110" s="667"/>
      <c r="D110" s="668" t="s">
        <v>215</v>
      </c>
      <c r="E110" s="669"/>
    </row>
    <row r="111" spans="1:5">
      <c r="B111" s="203" t="s">
        <v>216</v>
      </c>
      <c r="C111" s="219" t="s">
        <v>174</v>
      </c>
      <c r="D111" s="203" t="s">
        <v>216</v>
      </c>
      <c r="E111" s="219" t="s">
        <v>174</v>
      </c>
    </row>
    <row r="112" spans="1:5" ht="17" thickBot="1">
      <c r="B112" s="203" t="s">
        <v>217</v>
      </c>
      <c r="C112" s="205">
        <f>'Historic Data'!EG6/'Historic Data'!AU6</f>
        <v>0.19933236782633607</v>
      </c>
      <c r="D112" s="203" t="s">
        <v>217</v>
      </c>
      <c r="E112" s="204">
        <f>'Historic Data'!EG7/'Historic Data'!AU7</f>
        <v>0.18858614866179479</v>
      </c>
    </row>
    <row r="113" spans="1:5" ht="17" thickBot="1">
      <c r="B113" s="637" t="s">
        <v>88</v>
      </c>
      <c r="C113" s="164" t="s">
        <v>24</v>
      </c>
      <c r="D113" s="164" t="s">
        <v>218</v>
      </c>
      <c r="E113" s="165" t="s">
        <v>219</v>
      </c>
    </row>
    <row r="114" spans="1:5">
      <c r="A114" t="s">
        <v>88</v>
      </c>
      <c r="B114" s="638"/>
      <c r="C114" s="213" t="s">
        <v>74</v>
      </c>
      <c r="D114" s="217"/>
      <c r="E114" s="212">
        <f>'Research Goals'!D121/'Consideration Goals'!$E$112</f>
        <v>237248.51823118699</v>
      </c>
    </row>
    <row r="115" spans="1:5">
      <c r="A115" t="s">
        <v>88</v>
      </c>
      <c r="B115" s="638"/>
      <c r="C115" s="214" t="s">
        <v>75</v>
      </c>
      <c r="D115" s="216"/>
      <c r="E115" s="212">
        <f>'Research Goals'!D122/'Consideration Goals'!$E$112</f>
        <v>292324.06710628397</v>
      </c>
    </row>
    <row r="116" spans="1:5">
      <c r="A116" t="s">
        <v>88</v>
      </c>
      <c r="B116" s="638"/>
      <c r="C116" s="215" t="s">
        <v>76</v>
      </c>
      <c r="D116" s="216"/>
      <c r="E116" s="212">
        <f>'Research Goals'!D123/'Consideration Goals'!$C$112</f>
        <v>320479.43895441503</v>
      </c>
    </row>
    <row r="117" spans="1:5">
      <c r="A117" t="s">
        <v>88</v>
      </c>
      <c r="B117" s="638"/>
      <c r="C117" s="214" t="s">
        <v>77</v>
      </c>
      <c r="D117" s="216"/>
      <c r="E117" s="212">
        <f>'Research Goals'!D124/'Consideration Goals'!$E$112</f>
        <v>296560.64778898371</v>
      </c>
    </row>
    <row r="118" spans="1:5">
      <c r="A118" t="s">
        <v>88</v>
      </c>
      <c r="B118" s="638"/>
      <c r="C118" s="214" t="s">
        <v>78</v>
      </c>
      <c r="D118" s="216"/>
      <c r="E118" s="212">
        <f>'Research Goals'!D125/'Consideration Goals'!$E$112</f>
        <v>330453.29325058183</v>
      </c>
    </row>
    <row r="119" spans="1:5">
      <c r="A119" t="s">
        <v>88</v>
      </c>
      <c r="B119" s="638"/>
      <c r="C119" s="214" t="s">
        <v>79</v>
      </c>
      <c r="D119" s="216"/>
      <c r="E119" s="212">
        <f>'Research Goals'!D126/'Consideration Goals'!$E$112</f>
        <v>321980.13188518235</v>
      </c>
    </row>
    <row r="120" spans="1:5">
      <c r="A120" t="s">
        <v>88</v>
      </c>
      <c r="B120" s="638"/>
      <c r="C120" s="214" t="s">
        <v>80</v>
      </c>
      <c r="D120" s="216"/>
      <c r="E120" s="212">
        <f>'Research Goals'!D127/'Consideration Goals'!$C$112</f>
        <v>310464.45648708957</v>
      </c>
    </row>
    <row r="121" spans="1:5">
      <c r="A121" t="s">
        <v>88</v>
      </c>
      <c r="B121" s="638"/>
      <c r="C121" s="215" t="s">
        <v>81</v>
      </c>
      <c r="D121" s="216"/>
      <c r="E121" s="212">
        <f>'Research Goals'!D128/'Consideration Goals'!$C$112</f>
        <v>300449.47401976411</v>
      </c>
    </row>
    <row r="122" spans="1:5">
      <c r="A122" t="s">
        <v>88</v>
      </c>
      <c r="B122" s="638"/>
      <c r="C122" s="214" t="s">
        <v>82</v>
      </c>
      <c r="D122" s="216"/>
      <c r="E122" s="212">
        <f>'Research Goals'!D129/'Consideration Goals'!$E$112</f>
        <v>302915.51881303341</v>
      </c>
    </row>
    <row r="123" spans="1:5">
      <c r="A123" t="s">
        <v>88</v>
      </c>
      <c r="B123" s="638"/>
      <c r="C123" s="214" t="s">
        <v>83</v>
      </c>
      <c r="D123" s="216"/>
      <c r="E123" s="212">
        <f>'Research Goals'!D130/'Consideration Goals'!$E$112</f>
        <v>290205.77676493407</v>
      </c>
    </row>
    <row r="124" spans="1:5">
      <c r="A124" t="s">
        <v>88</v>
      </c>
      <c r="B124" s="638"/>
      <c r="C124" s="215" t="s">
        <v>84</v>
      </c>
      <c r="D124" s="216"/>
      <c r="E124" s="212">
        <f>'Research Goals'!D131/'Consideration Goals'!$C$112</f>
        <v>248371.56518967164</v>
      </c>
    </row>
    <row r="125" spans="1:5">
      <c r="A125" t="s">
        <v>88</v>
      </c>
      <c r="B125" s="638"/>
      <c r="C125" s="215" t="s">
        <v>85</v>
      </c>
      <c r="D125" s="216"/>
      <c r="E125" s="212">
        <f>'Research Goals'!D132/'Consideration Goals'!$C$112</f>
        <v>312467.45298055466</v>
      </c>
    </row>
    <row r="126" spans="1:5" ht="17" thickBot="1">
      <c r="B126" s="639"/>
      <c r="C126" s="94" t="s">
        <v>24</v>
      </c>
      <c r="D126" s="218">
        <f>SUM(D114:D125)</f>
        <v>0</v>
      </c>
      <c r="E126" s="79">
        <f>SUM(E114:E125)</f>
        <v>3563920.3414716814</v>
      </c>
    </row>
    <row r="127" spans="1:5" ht="17" thickBot="1"/>
    <row r="128" spans="1:5" ht="17" thickBot="1">
      <c r="B128" s="666" t="s">
        <v>214</v>
      </c>
      <c r="C128" s="667"/>
      <c r="D128" s="668" t="s">
        <v>215</v>
      </c>
      <c r="E128" s="669"/>
    </row>
    <row r="129" spans="1:5">
      <c r="B129" s="203" t="s">
        <v>216</v>
      </c>
      <c r="C129" s="219" t="s">
        <v>174</v>
      </c>
      <c r="D129" s="203" t="s">
        <v>216</v>
      </c>
      <c r="E129" s="219" t="s">
        <v>174</v>
      </c>
    </row>
    <row r="130" spans="1:5" ht="17" thickBot="1">
      <c r="B130" s="203" t="s">
        <v>217</v>
      </c>
      <c r="C130" s="205">
        <f>'Historic Data'!EF6/'Historic Data'!AT6</f>
        <v>0.35012622105147623</v>
      </c>
      <c r="D130" s="203" t="s">
        <v>217</v>
      </c>
      <c r="E130" s="204">
        <f>'Historic Data'!EF7/'Historic Data'!AT7</f>
        <v>0.32816118246695269</v>
      </c>
    </row>
    <row r="131" spans="1:5" ht="17" thickBot="1">
      <c r="B131" s="637" t="s">
        <v>93</v>
      </c>
      <c r="C131" s="164" t="s">
        <v>24</v>
      </c>
      <c r="D131" s="164" t="s">
        <v>218</v>
      </c>
      <c r="E131" s="165" t="s">
        <v>219</v>
      </c>
    </row>
    <row r="132" spans="1:5">
      <c r="A132" t="s">
        <v>93</v>
      </c>
      <c r="B132" s="638"/>
      <c r="C132" s="213" t="s">
        <v>74</v>
      </c>
      <c r="D132" s="217"/>
      <c r="E132" s="212">
        <f>'Research Goals'!D140/'Consideration Goals'!$E$130</f>
        <v>5612.929864253395</v>
      </c>
    </row>
    <row r="133" spans="1:5">
      <c r="A133" t="s">
        <v>93</v>
      </c>
      <c r="B133" s="638"/>
      <c r="C133" s="214" t="s">
        <v>75</v>
      </c>
      <c r="D133" s="216"/>
      <c r="E133" s="212">
        <f>'Research Goals'!D141/'Consideration Goals'!$E$130</f>
        <v>11225.85972850679</v>
      </c>
    </row>
    <row r="134" spans="1:5">
      <c r="A134" t="s">
        <v>93</v>
      </c>
      <c r="B134" s="638"/>
      <c r="C134" s="215" t="s">
        <v>76</v>
      </c>
      <c r="D134" s="216"/>
      <c r="E134" s="212">
        <f>'Research Goals'!D142/'Consideration Goals'!$C$130</f>
        <v>49968.921389396717</v>
      </c>
    </row>
    <row r="135" spans="1:5">
      <c r="A135" t="s">
        <v>93</v>
      </c>
      <c r="B135" s="638"/>
      <c r="C135" s="214" t="s">
        <v>77</v>
      </c>
      <c r="D135" s="216"/>
      <c r="E135" s="212">
        <f>'Research Goals'!D143/'Consideration Goals'!$E$130</f>
        <v>44903.43891402716</v>
      </c>
    </row>
    <row r="136" spans="1:5">
      <c r="A136" t="s">
        <v>93</v>
      </c>
      <c r="B136" s="638"/>
      <c r="C136" s="214" t="s">
        <v>78</v>
      </c>
      <c r="D136" s="216"/>
      <c r="E136" s="212">
        <f>'Research Goals'!D144/'Consideration Goals'!$E$130</f>
        <v>49393.782805429873</v>
      </c>
    </row>
    <row r="137" spans="1:5">
      <c r="A137" t="s">
        <v>93</v>
      </c>
      <c r="B137" s="638"/>
      <c r="C137" s="214" t="s">
        <v>79</v>
      </c>
      <c r="D137" s="216"/>
      <c r="E137" s="212">
        <f>'Research Goals'!D145/'Consideration Goals'!$E$130</f>
        <v>46774.415535444954</v>
      </c>
    </row>
    <row r="138" spans="1:5">
      <c r="A138" t="s">
        <v>93</v>
      </c>
      <c r="B138" s="638"/>
      <c r="C138" s="214" t="s">
        <v>80</v>
      </c>
      <c r="D138" s="216"/>
      <c r="E138" s="212">
        <f>'Research Goals'!D146/'Consideration Goals'!$C$130</f>
        <v>62461.151736745887</v>
      </c>
    </row>
    <row r="139" spans="1:5">
      <c r="A139" t="s">
        <v>93</v>
      </c>
      <c r="B139" s="638"/>
      <c r="C139" s="215" t="s">
        <v>81</v>
      </c>
      <c r="D139" s="216"/>
      <c r="E139" s="212">
        <f>'Research Goals'!D147/'Consideration Goals'!$C$130</f>
        <v>60379.113345521029</v>
      </c>
    </row>
    <row r="140" spans="1:5">
      <c r="A140" t="s">
        <v>93</v>
      </c>
      <c r="B140" s="638"/>
      <c r="C140" s="214" t="s">
        <v>82</v>
      </c>
      <c r="D140" s="216"/>
      <c r="E140" s="212">
        <f>'Research Goals'!D148/'Consideration Goals'!$E$130</f>
        <v>56129.29864253394</v>
      </c>
    </row>
    <row r="141" spans="1:5">
      <c r="A141" t="s">
        <v>93</v>
      </c>
      <c r="B141" s="638"/>
      <c r="C141" s="214" t="s">
        <v>83</v>
      </c>
      <c r="D141" s="216"/>
      <c r="E141" s="212">
        <f>'Research Goals'!D149/'Consideration Goals'!$E$130</f>
        <v>46774.415535444954</v>
      </c>
    </row>
    <row r="142" spans="1:5">
      <c r="A142" t="s">
        <v>93</v>
      </c>
      <c r="B142" s="638"/>
      <c r="C142" s="215" t="s">
        <v>84</v>
      </c>
      <c r="D142" s="216"/>
      <c r="E142" s="212">
        <f>'Research Goals'!D150/'Consideration Goals'!$C$130</f>
        <v>51218.144424131628</v>
      </c>
    </row>
    <row r="143" spans="1:5">
      <c r="A143" t="s">
        <v>93</v>
      </c>
      <c r="B143" s="638"/>
      <c r="C143" s="215" t="s">
        <v>85</v>
      </c>
      <c r="D143" s="216"/>
      <c r="E143" s="212">
        <f>'Research Goals'!D151/'Consideration Goals'!$C$130</f>
        <v>56215.036563071299</v>
      </c>
    </row>
    <row r="144" spans="1:5" ht="17" thickBot="1">
      <c r="B144" s="639"/>
      <c r="C144" s="94" t="s">
        <v>24</v>
      </c>
      <c r="D144" s="218">
        <f>SUM(D132:D143)</f>
        <v>0</v>
      </c>
      <c r="E144" s="79">
        <f>SUM(E132:E143)</f>
        <v>541056.50848450756</v>
      </c>
    </row>
    <row r="145" spans="1:5" ht="17" thickBot="1"/>
    <row r="146" spans="1:5" ht="17" thickBot="1">
      <c r="B146" s="666" t="s">
        <v>214</v>
      </c>
      <c r="C146" s="667"/>
      <c r="D146" s="668" t="s">
        <v>215</v>
      </c>
      <c r="E146" s="669"/>
    </row>
    <row r="147" spans="1:5">
      <c r="B147" s="203" t="s">
        <v>216</v>
      </c>
      <c r="C147" s="219" t="s">
        <v>174</v>
      </c>
      <c r="D147" s="203" t="s">
        <v>216</v>
      </c>
      <c r="E147" s="219" t="s">
        <v>174</v>
      </c>
    </row>
    <row r="148" spans="1:5" ht="17" thickBot="1">
      <c r="B148" s="203" t="s">
        <v>217</v>
      </c>
      <c r="C148" s="205">
        <f>'Historic Data'!EB6/'Historic Data'!AP6</f>
        <v>0.49822597875602642</v>
      </c>
      <c r="D148" s="203" t="s">
        <v>217</v>
      </c>
      <c r="E148" s="204">
        <f>'Historic Data'!EB7/'Historic Data'!AP7</f>
        <v>0.4942739687971936</v>
      </c>
    </row>
    <row r="149" spans="1:5" ht="17" thickBot="1">
      <c r="B149" s="637" t="s">
        <v>89</v>
      </c>
      <c r="C149" s="164" t="s">
        <v>24</v>
      </c>
      <c r="D149" s="164" t="s">
        <v>218</v>
      </c>
      <c r="E149" s="165" t="s">
        <v>219</v>
      </c>
    </row>
    <row r="150" spans="1:5">
      <c r="A150" t="s">
        <v>89</v>
      </c>
      <c r="B150" s="638"/>
      <c r="C150" s="213" t="s">
        <v>74</v>
      </c>
      <c r="D150" s="217"/>
      <c r="E150" s="212">
        <f>'Research Goals'!D159/'Consideration Goals'!$E$148</f>
        <v>37644.595635430036</v>
      </c>
    </row>
    <row r="151" spans="1:5">
      <c r="A151" t="s">
        <v>89</v>
      </c>
      <c r="B151" s="638"/>
      <c r="C151" s="214" t="s">
        <v>75</v>
      </c>
      <c r="D151" s="216"/>
      <c r="E151" s="212">
        <f>'Research Goals'!D160/'Consideration Goals'!$E$148</f>
        <v>37644.595635430036</v>
      </c>
    </row>
    <row r="152" spans="1:5">
      <c r="A152" t="s">
        <v>89</v>
      </c>
      <c r="B152" s="638"/>
      <c r="C152" s="215" t="s">
        <v>76</v>
      </c>
      <c r="D152" s="216"/>
      <c r="E152" s="212">
        <f>'Research Goals'!D161/'Consideration Goals'!$C$148</f>
        <v>50794.308510638293</v>
      </c>
    </row>
    <row r="153" spans="1:5">
      <c r="A153" t="s">
        <v>89</v>
      </c>
      <c r="B153" s="638"/>
      <c r="C153" s="214" t="s">
        <v>77</v>
      </c>
      <c r="D153" s="216"/>
      <c r="E153" s="212">
        <f>'Research Goals'!D162/'Consideration Goals'!$E$148</f>
        <v>44160.006418485238</v>
      </c>
    </row>
    <row r="154" spans="1:5">
      <c r="A154" t="s">
        <v>89</v>
      </c>
      <c r="B154" s="638"/>
      <c r="C154" s="214" t="s">
        <v>78</v>
      </c>
      <c r="D154" s="216"/>
      <c r="E154" s="212">
        <f>'Research Goals'!D163/'Consideration Goals'!$E$148</f>
        <v>46331.810012836962</v>
      </c>
    </row>
    <row r="155" spans="1:5">
      <c r="A155" t="s">
        <v>89</v>
      </c>
      <c r="B155" s="638"/>
      <c r="C155" s="214" t="s">
        <v>79</v>
      </c>
      <c r="D155" s="216"/>
      <c r="E155" s="212">
        <f>'Research Goals'!D164/'Consideration Goals'!$E$148</f>
        <v>43436.071887034661</v>
      </c>
    </row>
    <row r="156" spans="1:5">
      <c r="A156" t="s">
        <v>89</v>
      </c>
      <c r="B156" s="638"/>
      <c r="C156" s="214" t="s">
        <v>80</v>
      </c>
      <c r="D156" s="216"/>
      <c r="E156" s="212">
        <f>'Research Goals'!D165/'Consideration Goals'!$C$148</f>
        <v>37066.117021276594</v>
      </c>
    </row>
    <row r="157" spans="1:5">
      <c r="A157" t="s">
        <v>89</v>
      </c>
      <c r="B157" s="638"/>
      <c r="C157" s="215" t="s">
        <v>81</v>
      </c>
      <c r="D157" s="216"/>
      <c r="E157" s="212">
        <f>'Research Goals'!D166/'Consideration Goals'!$C$148</f>
        <v>41184.574468085106</v>
      </c>
    </row>
    <row r="158" spans="1:5">
      <c r="A158" t="s">
        <v>89</v>
      </c>
      <c r="B158" s="638"/>
      <c r="C158" s="214" t="s">
        <v>82</v>
      </c>
      <c r="D158" s="216"/>
      <c r="E158" s="212">
        <f>'Research Goals'!D167/'Consideration Goals'!$E$148</f>
        <v>49951.482670089856</v>
      </c>
    </row>
    <row r="159" spans="1:5">
      <c r="A159" t="s">
        <v>89</v>
      </c>
      <c r="B159" s="638"/>
      <c r="C159" s="214" t="s">
        <v>83</v>
      </c>
      <c r="D159" s="216"/>
      <c r="E159" s="212">
        <f>'Research Goals'!D168/'Consideration Goals'!$E$148</f>
        <v>53571.155327342742</v>
      </c>
    </row>
    <row r="160" spans="1:5">
      <c r="A160" t="s">
        <v>89</v>
      </c>
      <c r="B160" s="638"/>
      <c r="C160" s="215" t="s">
        <v>84</v>
      </c>
      <c r="D160" s="216"/>
      <c r="E160" s="212">
        <f>'Research Goals'!D169/'Consideration Goals'!$C$148</f>
        <v>46675.851063829781</v>
      </c>
    </row>
    <row r="161" spans="1:5">
      <c r="A161" t="s">
        <v>89</v>
      </c>
      <c r="B161" s="638"/>
      <c r="C161" s="215" t="s">
        <v>85</v>
      </c>
      <c r="D161" s="216"/>
      <c r="E161" s="212">
        <f>'Research Goals'!D170/'Consideration Goals'!$C$148</f>
        <v>59031.223404255317</v>
      </c>
    </row>
    <row r="162" spans="1:5" ht="17" thickBot="1">
      <c r="B162" s="639"/>
      <c r="C162" s="94" t="s">
        <v>24</v>
      </c>
      <c r="D162" s="218">
        <f>SUM(D150:D161)</f>
        <v>0</v>
      </c>
      <c r="E162" s="79">
        <f>SUM(E150:E161)</f>
        <v>547491.79205473466</v>
      </c>
    </row>
    <row r="163" spans="1:5" ht="17" thickBot="1"/>
    <row r="164" spans="1:5" ht="17" thickBot="1">
      <c r="B164" s="666" t="s">
        <v>214</v>
      </c>
      <c r="C164" s="667"/>
      <c r="D164" s="668" t="s">
        <v>215</v>
      </c>
      <c r="E164" s="669"/>
    </row>
    <row r="165" spans="1:5">
      <c r="B165" s="203" t="s">
        <v>216</v>
      </c>
      <c r="C165" s="219" t="s">
        <v>174</v>
      </c>
      <c r="D165" s="203" t="s">
        <v>216</v>
      </c>
      <c r="E165" s="219" t="s">
        <v>174</v>
      </c>
    </row>
    <row r="166" spans="1:5" ht="17" thickBot="1">
      <c r="B166" s="203" t="s">
        <v>217</v>
      </c>
      <c r="C166" s="205">
        <f>'Historic Data'!ED6/'Historic Data'!AR6</f>
        <v>0.40283317456903173</v>
      </c>
      <c r="D166" s="203" t="s">
        <v>217</v>
      </c>
      <c r="E166" s="204">
        <f>'Historic Data'!ED7/'Historic Data'!AR7</f>
        <v>0.38666603420060242</v>
      </c>
    </row>
    <row r="167" spans="1:5" ht="17" thickBot="1">
      <c r="B167" s="637" t="s">
        <v>92</v>
      </c>
      <c r="C167" s="164" t="s">
        <v>24</v>
      </c>
      <c r="D167" s="164" t="s">
        <v>218</v>
      </c>
      <c r="E167" s="165" t="s">
        <v>219</v>
      </c>
    </row>
    <row r="168" spans="1:5">
      <c r="A168" t="s">
        <v>92</v>
      </c>
      <c r="B168" s="638"/>
      <c r="C168" s="213" t="s">
        <v>74</v>
      </c>
      <c r="D168" s="217"/>
      <c r="E168" s="212">
        <f>'Research Goals'!D178/'Consideration Goals'!$E$166</f>
        <v>31186.849183477429</v>
      </c>
    </row>
    <row r="169" spans="1:5">
      <c r="A169" t="s">
        <v>92</v>
      </c>
      <c r="B169" s="638"/>
      <c r="C169" s="214" t="s">
        <v>75</v>
      </c>
      <c r="D169" s="216"/>
      <c r="E169" s="212">
        <f>'Research Goals'!D179/'Consideration Goals'!$E$166</f>
        <v>34022.01729106628</v>
      </c>
    </row>
    <row r="170" spans="1:5">
      <c r="A170" t="s">
        <v>92</v>
      </c>
      <c r="B170" s="638"/>
      <c r="C170" s="215" t="s">
        <v>76</v>
      </c>
      <c r="D170" s="216"/>
      <c r="E170" s="212">
        <f>'Research Goals'!D180/'Consideration Goals'!$C$166</f>
        <v>46242.273534635875</v>
      </c>
    </row>
    <row r="171" spans="1:5">
      <c r="A171" t="s">
        <v>92</v>
      </c>
      <c r="B171" s="638"/>
      <c r="C171" s="214" t="s">
        <v>77</v>
      </c>
      <c r="D171" s="216"/>
      <c r="E171" s="212">
        <f>'Research Goals'!D181/'Consideration Goals'!$E$166</f>
        <v>36857.185398655136</v>
      </c>
    </row>
    <row r="172" spans="1:5">
      <c r="A172" t="s">
        <v>92</v>
      </c>
      <c r="B172" s="638"/>
      <c r="C172" s="214" t="s">
        <v>78</v>
      </c>
      <c r="D172" s="216"/>
      <c r="E172" s="212">
        <f>'Research Goals'!D182/'Consideration Goals'!$E$166</f>
        <v>39692.353506243999</v>
      </c>
    </row>
    <row r="173" spans="1:5">
      <c r="A173" t="s">
        <v>92</v>
      </c>
      <c r="B173" s="638"/>
      <c r="C173" s="214" t="s">
        <v>79</v>
      </c>
      <c r="D173" s="216"/>
      <c r="E173" s="212">
        <f>'Research Goals'!D183/'Consideration Goals'!$E$166</f>
        <v>38274.769452449567</v>
      </c>
    </row>
    <row r="174" spans="1:5">
      <c r="A174" t="s">
        <v>92</v>
      </c>
      <c r="B174" s="638"/>
      <c r="C174" s="214" t="s">
        <v>80</v>
      </c>
      <c r="D174" s="216"/>
      <c r="E174" s="212">
        <f>'Research Goals'!D184/'Consideration Goals'!$C$166</f>
        <v>46242.273534635875</v>
      </c>
    </row>
    <row r="175" spans="1:5">
      <c r="A175" t="s">
        <v>92</v>
      </c>
      <c r="B175" s="638"/>
      <c r="C175" s="215" t="s">
        <v>81</v>
      </c>
      <c r="D175" s="216"/>
      <c r="E175" s="212">
        <f>'Research Goals'!D185/'Consideration Goals'!$C$166</f>
        <v>46242.273534635875</v>
      </c>
    </row>
    <row r="176" spans="1:5">
      <c r="A176" t="s">
        <v>92</v>
      </c>
      <c r="B176" s="638"/>
      <c r="C176" s="214" t="s">
        <v>82</v>
      </c>
      <c r="D176" s="216"/>
      <c r="E176" s="212">
        <f>'Research Goals'!D186/'Consideration Goals'!$E$166</f>
        <v>39692.353506243999</v>
      </c>
    </row>
    <row r="177" spans="1:5">
      <c r="A177" t="s">
        <v>92</v>
      </c>
      <c r="B177" s="638"/>
      <c r="C177" s="214" t="s">
        <v>83</v>
      </c>
      <c r="D177" s="216"/>
      <c r="E177" s="212">
        <f>'Research Goals'!D187/'Consideration Goals'!$E$166</f>
        <v>45362.689721421717</v>
      </c>
    </row>
    <row r="178" spans="1:5">
      <c r="A178" t="s">
        <v>92</v>
      </c>
      <c r="B178" s="638"/>
      <c r="C178" s="215" t="s">
        <v>84</v>
      </c>
      <c r="D178" s="216"/>
      <c r="E178" s="212">
        <f>'Research Goals'!D188/'Consideration Goals'!$C$166</f>
        <v>40461.989342806395</v>
      </c>
    </row>
    <row r="179" spans="1:5">
      <c r="A179" t="s">
        <v>92</v>
      </c>
      <c r="B179" s="638"/>
      <c r="C179" s="215" t="s">
        <v>85</v>
      </c>
      <c r="D179" s="216"/>
      <c r="E179" s="212">
        <f>'Research Goals'!D189/'Consideration Goals'!$C$166</f>
        <v>56357.770870337481</v>
      </c>
    </row>
    <row r="180" spans="1:5" ht="17" thickBot="1">
      <c r="B180" s="639"/>
      <c r="C180" s="94" t="s">
        <v>24</v>
      </c>
      <c r="D180" s="218">
        <f>SUM(D168:D179)</f>
        <v>0</v>
      </c>
      <c r="E180" s="79">
        <f>SUM(E168:E179)</f>
        <v>500634.79887660965</v>
      </c>
    </row>
  </sheetData>
  <mergeCells count="30">
    <mergeCell ref="B2:C2"/>
    <mergeCell ref="D2:E2"/>
    <mergeCell ref="B5:B18"/>
    <mergeCell ref="B20:C20"/>
    <mergeCell ref="D20:E20"/>
    <mergeCell ref="B23:B36"/>
    <mergeCell ref="B38:C38"/>
    <mergeCell ref="D38:E38"/>
    <mergeCell ref="B41:B54"/>
    <mergeCell ref="B56:C56"/>
    <mergeCell ref="D56:E56"/>
    <mergeCell ref="B59:B72"/>
    <mergeCell ref="B74:C74"/>
    <mergeCell ref="D74:E74"/>
    <mergeCell ref="B77:B90"/>
    <mergeCell ref="B92:C92"/>
    <mergeCell ref="D92:E92"/>
    <mergeCell ref="B95:B108"/>
    <mergeCell ref="B110:C110"/>
    <mergeCell ref="D110:E110"/>
    <mergeCell ref="B149:B162"/>
    <mergeCell ref="B164:C164"/>
    <mergeCell ref="D164:E164"/>
    <mergeCell ref="B167:B180"/>
    <mergeCell ref="B113:B126"/>
    <mergeCell ref="B128:C128"/>
    <mergeCell ref="D128:E128"/>
    <mergeCell ref="B131:B144"/>
    <mergeCell ref="B146:C146"/>
    <mergeCell ref="D146:E146"/>
  </mergeCells>
  <phoneticPr fontId="2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2F40-883A-284D-BA79-B21A5518DA7B}">
  <sheetPr>
    <tabColor theme="7"/>
  </sheetPr>
  <dimension ref="B1:AA200"/>
  <sheetViews>
    <sheetView workbookViewId="0">
      <selection activeCell="I24" sqref="I24"/>
    </sheetView>
  </sheetViews>
  <sheetFormatPr baseColWidth="10" defaultColWidth="11" defaultRowHeight="16"/>
  <cols>
    <col min="1" max="1" width="3.33203125" customWidth="1"/>
    <col min="2" max="14" width="20.83203125" customWidth="1"/>
    <col min="15" max="15" width="3.83203125" customWidth="1"/>
    <col min="16" max="16" width="12.33203125" customWidth="1"/>
    <col min="17" max="17" width="18.5" bestFit="1" customWidth="1"/>
    <col min="18" max="27" width="12.33203125" customWidth="1"/>
  </cols>
  <sheetData>
    <row r="1" spans="2:27" ht="17" thickBot="1"/>
    <row r="2" spans="2:27" ht="17" thickBot="1">
      <c r="B2" s="81" t="s">
        <v>220</v>
      </c>
      <c r="C2" s="634" t="s">
        <v>221</v>
      </c>
      <c r="D2" s="636"/>
      <c r="E2" s="670" t="s">
        <v>182</v>
      </c>
      <c r="F2" s="671"/>
      <c r="G2" s="670" t="s">
        <v>183</v>
      </c>
      <c r="H2" s="671"/>
      <c r="P2" s="47" t="s">
        <v>222</v>
      </c>
      <c r="Q2" s="47" t="s">
        <v>88</v>
      </c>
      <c r="R2" s="47" t="s">
        <v>89</v>
      </c>
      <c r="S2" s="47" t="s">
        <v>91</v>
      </c>
      <c r="T2" s="47" t="s">
        <v>92</v>
      </c>
      <c r="U2" s="47" t="s">
        <v>93</v>
      </c>
      <c r="V2" s="47" t="s">
        <v>94</v>
      </c>
      <c r="W2" s="47" t="s">
        <v>95</v>
      </c>
      <c r="X2" s="47" t="s">
        <v>108</v>
      </c>
      <c r="Y2" s="47" t="s">
        <v>97</v>
      </c>
      <c r="Z2" s="47" t="s">
        <v>111</v>
      </c>
      <c r="AA2" s="47" t="s">
        <v>24</v>
      </c>
    </row>
    <row r="3" spans="2:27">
      <c r="B3" s="82"/>
      <c r="C3" s="60" t="s">
        <v>185</v>
      </c>
      <c r="D3" s="61">
        <f>'Historic Data'!CZ6</f>
        <v>267840</v>
      </c>
      <c r="E3" s="60" t="s">
        <v>186</v>
      </c>
      <c r="F3" s="65">
        <v>0.67</v>
      </c>
      <c r="G3" s="60" t="s">
        <v>186</v>
      </c>
      <c r="H3" s="66">
        <f>F3/$F$6</f>
        <v>0.36340776683757681</v>
      </c>
      <c r="P3" s="47" t="s">
        <v>74</v>
      </c>
      <c r="Q3" s="46">
        <v>590</v>
      </c>
      <c r="R3" s="46">
        <v>280</v>
      </c>
      <c r="S3" s="46">
        <v>0</v>
      </c>
      <c r="T3" s="46">
        <v>130</v>
      </c>
      <c r="U3" s="46">
        <v>20</v>
      </c>
      <c r="V3" s="46">
        <v>2020</v>
      </c>
      <c r="W3" s="46">
        <v>25</v>
      </c>
      <c r="X3" s="46">
        <v>280</v>
      </c>
      <c r="Y3" s="46">
        <v>1500</v>
      </c>
      <c r="Z3" s="46">
        <v>0</v>
      </c>
      <c r="AA3" s="46">
        <v>4845</v>
      </c>
    </row>
    <row r="4" spans="2:27">
      <c r="B4" s="82"/>
      <c r="C4" s="60" t="s">
        <v>187</v>
      </c>
      <c r="D4" s="61">
        <f>'Historic Data'!DL6</f>
        <v>354493</v>
      </c>
      <c r="E4" s="60" t="s">
        <v>188</v>
      </c>
      <c r="F4" s="65">
        <v>0.54</v>
      </c>
      <c r="G4" s="60" t="s">
        <v>188</v>
      </c>
      <c r="H4" s="66">
        <f>F4/$F$6</f>
        <v>0.29289581207804699</v>
      </c>
      <c r="P4" s="47" t="s">
        <v>75</v>
      </c>
      <c r="Q4" s="46">
        <v>580</v>
      </c>
      <c r="R4" s="46">
        <v>280</v>
      </c>
      <c r="S4" s="46">
        <v>0</v>
      </c>
      <c r="T4" s="46">
        <v>140</v>
      </c>
      <c r="U4" s="46">
        <v>85</v>
      </c>
      <c r="V4" s="46">
        <v>2190</v>
      </c>
      <c r="W4" s="46">
        <v>25</v>
      </c>
      <c r="X4" s="46">
        <v>320</v>
      </c>
      <c r="Y4" s="46">
        <v>1600</v>
      </c>
      <c r="Z4" s="46">
        <v>0</v>
      </c>
      <c r="AA4" s="46">
        <v>5220</v>
      </c>
    </row>
    <row r="5" spans="2:27">
      <c r="B5" s="82"/>
      <c r="C5" s="60" t="s">
        <v>189</v>
      </c>
      <c r="D5" s="61">
        <f>'Historic Data'!BM6</f>
        <v>9082638</v>
      </c>
      <c r="E5" s="60" t="s">
        <v>6</v>
      </c>
      <c r="F5" s="86">
        <v>0.63365899999999997</v>
      </c>
      <c r="G5" s="60" t="s">
        <v>6</v>
      </c>
      <c r="H5" s="66">
        <f>F5/$F$6</f>
        <v>0.3436964210843762</v>
      </c>
      <c r="P5" s="47" t="s">
        <v>76</v>
      </c>
      <c r="Q5" s="46">
        <v>750</v>
      </c>
      <c r="R5" s="46">
        <v>330</v>
      </c>
      <c r="S5" s="46">
        <v>0</v>
      </c>
      <c r="T5" s="46">
        <v>140</v>
      </c>
      <c r="U5" s="46">
        <v>120</v>
      </c>
      <c r="V5" s="46">
        <v>2830</v>
      </c>
      <c r="W5" s="46">
        <v>0</v>
      </c>
      <c r="X5" s="46">
        <v>350</v>
      </c>
      <c r="Y5" s="46">
        <v>1960</v>
      </c>
      <c r="Z5" s="46">
        <v>0</v>
      </c>
      <c r="AA5" s="46">
        <v>6480</v>
      </c>
    </row>
    <row r="6" spans="2:27" ht="17" thickBot="1">
      <c r="B6" s="83"/>
      <c r="C6" s="63" t="s">
        <v>24</v>
      </c>
      <c r="D6" s="64" t="e">
        <f>'Historic Data'!#REF!</f>
        <v>#REF!</v>
      </c>
      <c r="E6" s="63" t="s">
        <v>24</v>
      </c>
      <c r="F6" s="87">
        <f>SUM(F3:F5)</f>
        <v>1.8436589999999999</v>
      </c>
      <c r="G6" s="63" t="s">
        <v>24</v>
      </c>
      <c r="H6" s="67">
        <f>SUM(H3:H5)</f>
        <v>1</v>
      </c>
      <c r="P6" s="47" t="s">
        <v>77</v>
      </c>
      <c r="Q6" s="46">
        <v>700</v>
      </c>
      <c r="R6" s="46">
        <v>305</v>
      </c>
      <c r="S6" s="46">
        <v>0</v>
      </c>
      <c r="T6" s="46">
        <v>130</v>
      </c>
      <c r="U6" s="46">
        <v>120</v>
      </c>
      <c r="V6" s="46">
        <v>2475</v>
      </c>
      <c r="W6" s="46">
        <v>0</v>
      </c>
      <c r="X6" s="46">
        <v>310</v>
      </c>
      <c r="Y6" s="46">
        <v>1700</v>
      </c>
      <c r="Z6" s="46">
        <v>0</v>
      </c>
      <c r="AA6" s="46">
        <v>5740</v>
      </c>
    </row>
    <row r="7" spans="2:27" ht="17" customHeight="1" thickBot="1">
      <c r="B7" s="637" t="s">
        <v>191</v>
      </c>
      <c r="C7" s="70" t="s">
        <v>223</v>
      </c>
      <c r="D7" s="71" t="s">
        <v>192</v>
      </c>
      <c r="E7" s="71" t="s">
        <v>196</v>
      </c>
      <c r="F7" s="71" t="s">
        <v>6</v>
      </c>
      <c r="G7" s="72" t="s">
        <v>24</v>
      </c>
      <c r="H7" s="637" t="s">
        <v>195</v>
      </c>
      <c r="I7" s="70" t="s">
        <v>183</v>
      </c>
      <c r="J7" s="71" t="s">
        <v>192</v>
      </c>
      <c r="K7" s="71" t="s">
        <v>196</v>
      </c>
      <c r="L7" s="71" t="s">
        <v>6</v>
      </c>
      <c r="M7" s="72" t="s">
        <v>24</v>
      </c>
      <c r="P7" s="47" t="s">
        <v>78</v>
      </c>
      <c r="Q7" s="46">
        <v>780</v>
      </c>
      <c r="R7" s="46">
        <v>320</v>
      </c>
      <c r="S7" s="46">
        <v>0</v>
      </c>
      <c r="T7" s="46">
        <v>140</v>
      </c>
      <c r="U7" s="46">
        <v>150</v>
      </c>
      <c r="V7" s="46">
        <v>2860</v>
      </c>
      <c r="W7" s="46">
        <v>0</v>
      </c>
      <c r="X7" s="46">
        <v>360</v>
      </c>
      <c r="Y7" s="46">
        <v>1870</v>
      </c>
      <c r="Z7" s="46">
        <v>0</v>
      </c>
      <c r="AA7" s="46">
        <v>6480</v>
      </c>
    </row>
    <row r="8" spans="2:27">
      <c r="B8" s="638"/>
      <c r="C8" s="73" t="s">
        <v>74</v>
      </c>
      <c r="D8" s="74">
        <f>AA3/$D$3</f>
        <v>1.8089157706093189E-2</v>
      </c>
      <c r="E8" s="74">
        <f t="shared" ref="E8:E19" si="0">AA3/$D$4</f>
        <v>1.3667406690682185E-2</v>
      </c>
      <c r="F8" s="74">
        <f t="shared" ref="F8:F19" si="1">AA3/$D$5</f>
        <v>5.3343533013206076E-4</v>
      </c>
      <c r="G8" s="75">
        <f t="shared" ref="G8:G19" si="2">SUM(D8:F8)</f>
        <v>3.2289999726907437E-2</v>
      </c>
      <c r="H8" s="638"/>
      <c r="I8" s="73" t="s">
        <v>74</v>
      </c>
      <c r="J8" s="80">
        <f>D8*$H3</f>
        <v>6.5737404059440689E-3</v>
      </c>
      <c r="K8" s="80">
        <f t="shared" ref="K8:K19" si="3">E8*$H$4</f>
        <v>4.0031261816682916E-3</v>
      </c>
      <c r="L8" s="80">
        <f t="shared" ref="L8:L19" si="4">F8*$H$5</f>
        <v>1.8333981384635199E-4</v>
      </c>
      <c r="M8" s="75">
        <f t="shared" ref="M8:M19" si="5">SUM(J8:L8)</f>
        <v>1.0760206401458713E-2</v>
      </c>
      <c r="P8" s="47" t="s">
        <v>79</v>
      </c>
      <c r="Q8" s="46">
        <v>700</v>
      </c>
      <c r="R8" s="46">
        <v>300</v>
      </c>
      <c r="S8" s="46">
        <v>0</v>
      </c>
      <c r="T8" s="46">
        <v>135</v>
      </c>
      <c r="U8" s="46">
        <v>140</v>
      </c>
      <c r="V8" s="46">
        <v>2585</v>
      </c>
      <c r="W8" s="46">
        <v>30</v>
      </c>
      <c r="X8" s="46">
        <v>300</v>
      </c>
      <c r="Y8" s="46">
        <v>1700</v>
      </c>
      <c r="Z8" s="46">
        <v>0</v>
      </c>
      <c r="AA8" s="46">
        <v>5890</v>
      </c>
    </row>
    <row r="9" spans="2:27">
      <c r="B9" s="638"/>
      <c r="C9" s="45" t="s">
        <v>75</v>
      </c>
      <c r="D9" s="69">
        <f t="shared" ref="D9:D19" si="6">AA4/$D$3</f>
        <v>1.9489247311827957E-2</v>
      </c>
      <c r="E9" s="69">
        <f t="shared" si="0"/>
        <v>1.4725255505750465E-2</v>
      </c>
      <c r="F9" s="69">
        <f t="shared" si="1"/>
        <v>5.7472289438376828E-4</v>
      </c>
      <c r="G9" s="76">
        <f t="shared" si="2"/>
        <v>3.4789225711962191E-2</v>
      </c>
      <c r="H9" s="638"/>
      <c r="I9" s="45" t="s">
        <v>75</v>
      </c>
      <c r="J9" s="68">
        <f t="shared" ref="J9:J18" si="7">D9*$H$3</f>
        <v>7.0825438429366451E-3</v>
      </c>
      <c r="K9" s="68">
        <f t="shared" si="3"/>
        <v>4.3129656694135153E-3</v>
      </c>
      <c r="L9" s="68">
        <f t="shared" si="4"/>
        <v>1.9753020191495509E-4</v>
      </c>
      <c r="M9" s="76">
        <f t="shared" si="5"/>
        <v>1.1593039714265115E-2</v>
      </c>
      <c r="P9" s="47" t="s">
        <v>80</v>
      </c>
      <c r="Q9" s="46">
        <v>730</v>
      </c>
      <c r="R9" s="46">
        <v>270</v>
      </c>
      <c r="S9" s="46">
        <v>0</v>
      </c>
      <c r="T9" s="46">
        <v>160</v>
      </c>
      <c r="U9" s="46">
        <v>130</v>
      </c>
      <c r="V9" s="46">
        <v>2690</v>
      </c>
      <c r="W9" s="46">
        <v>150</v>
      </c>
      <c r="X9" s="46">
        <v>340</v>
      </c>
      <c r="Y9" s="46">
        <v>1900</v>
      </c>
      <c r="Z9" s="46">
        <v>0</v>
      </c>
      <c r="AA9" s="46">
        <v>6370</v>
      </c>
    </row>
    <row r="10" spans="2:27">
      <c r="B10" s="638"/>
      <c r="C10" s="45" t="s">
        <v>76</v>
      </c>
      <c r="D10" s="69">
        <f t="shared" si="6"/>
        <v>2.4193548387096774E-2</v>
      </c>
      <c r="E10" s="69">
        <f t="shared" si="0"/>
        <v>1.827962752437989E-2</v>
      </c>
      <c r="F10" s="69">
        <f>AA5/$D$5</f>
        <v>7.1344911026950545E-4</v>
      </c>
      <c r="G10" s="76">
        <f t="shared" si="2"/>
        <v>4.3186625021746167E-2</v>
      </c>
      <c r="H10" s="638"/>
      <c r="I10" s="45" t="s">
        <v>76</v>
      </c>
      <c r="J10" s="68">
        <f t="shared" si="7"/>
        <v>8.792123391231697E-3</v>
      </c>
      <c r="K10" s="68">
        <f t="shared" si="3"/>
        <v>5.354026348237468E-3</v>
      </c>
      <c r="L10" s="68">
        <f t="shared" si="4"/>
        <v>2.4520990582546149E-4</v>
      </c>
      <c r="M10" s="76">
        <f t="shared" si="5"/>
        <v>1.4391359645294626E-2</v>
      </c>
      <c r="P10" s="47" t="s">
        <v>81</v>
      </c>
      <c r="Q10" s="46">
        <v>720</v>
      </c>
      <c r="R10" s="46">
        <v>300</v>
      </c>
      <c r="S10" s="46">
        <v>0</v>
      </c>
      <c r="T10" s="46">
        <v>160</v>
      </c>
      <c r="U10" s="46">
        <v>160</v>
      </c>
      <c r="V10" s="46">
        <v>2880</v>
      </c>
      <c r="W10" s="46">
        <v>140</v>
      </c>
      <c r="X10" s="46">
        <v>370</v>
      </c>
      <c r="Y10" s="46">
        <v>1950</v>
      </c>
      <c r="Z10" s="46">
        <v>0</v>
      </c>
      <c r="AA10" s="46">
        <v>6680</v>
      </c>
    </row>
    <row r="11" spans="2:27">
      <c r="B11" s="638"/>
      <c r="C11" s="45" t="s">
        <v>77</v>
      </c>
      <c r="D11" s="69">
        <f>AA6/$D$3</f>
        <v>2.1430704898446833E-2</v>
      </c>
      <c r="E11" s="69">
        <f t="shared" si="0"/>
        <v>1.6192139195978481E-2</v>
      </c>
      <c r="F11" s="69">
        <f>AA6/$D$5</f>
        <v>6.3197498347946929E-4</v>
      </c>
      <c r="G11" s="76">
        <f t="shared" si="2"/>
        <v>3.8254819077904789E-2</v>
      </c>
      <c r="H11" s="638"/>
      <c r="I11" s="45" t="s">
        <v>77</v>
      </c>
      <c r="J11" s="68">
        <f t="shared" si="7"/>
        <v>7.7880846088996813E-3</v>
      </c>
      <c r="K11" s="68">
        <f t="shared" si="3"/>
        <v>4.7426097590868924E-3</v>
      </c>
      <c r="L11" s="68">
        <f t="shared" si="4"/>
        <v>2.1720754003675137E-4</v>
      </c>
      <c r="M11" s="76">
        <f t="shared" si="5"/>
        <v>1.2747901908023326E-2</v>
      </c>
      <c r="P11" s="47" t="s">
        <v>82</v>
      </c>
      <c r="Q11" s="46">
        <v>710</v>
      </c>
      <c r="R11" s="46">
        <v>345</v>
      </c>
      <c r="S11" s="46">
        <v>0</v>
      </c>
      <c r="T11" s="46">
        <v>140</v>
      </c>
      <c r="U11" s="46">
        <v>150</v>
      </c>
      <c r="V11" s="46">
        <v>2510</v>
      </c>
      <c r="W11" s="46">
        <v>140</v>
      </c>
      <c r="X11" s="46">
        <v>350</v>
      </c>
      <c r="Y11" s="46">
        <v>1950</v>
      </c>
      <c r="Z11" s="46">
        <v>0</v>
      </c>
      <c r="AA11" s="46">
        <v>6295</v>
      </c>
    </row>
    <row r="12" spans="2:27">
      <c r="B12" s="638"/>
      <c r="C12" s="45" t="s">
        <v>78</v>
      </c>
      <c r="D12" s="69">
        <f t="shared" si="6"/>
        <v>2.4193548387096774E-2</v>
      </c>
      <c r="E12" s="69">
        <f t="shared" si="0"/>
        <v>1.827962752437989E-2</v>
      </c>
      <c r="F12" s="69">
        <f t="shared" si="1"/>
        <v>7.1344911026950545E-4</v>
      </c>
      <c r="G12" s="76">
        <f t="shared" si="2"/>
        <v>4.3186625021746167E-2</v>
      </c>
      <c r="H12" s="638"/>
      <c r="I12" s="45" t="s">
        <v>78</v>
      </c>
      <c r="J12" s="68">
        <f t="shared" si="7"/>
        <v>8.792123391231697E-3</v>
      </c>
      <c r="K12" s="68">
        <f t="shared" si="3"/>
        <v>5.354026348237468E-3</v>
      </c>
      <c r="L12" s="68">
        <f t="shared" si="4"/>
        <v>2.4520990582546149E-4</v>
      </c>
      <c r="M12" s="76">
        <f t="shared" si="5"/>
        <v>1.4391359645294626E-2</v>
      </c>
      <c r="P12" s="47" t="s">
        <v>83</v>
      </c>
      <c r="Q12" s="46">
        <v>735</v>
      </c>
      <c r="R12" s="46">
        <v>370</v>
      </c>
      <c r="S12" s="46">
        <v>0</v>
      </c>
      <c r="T12" s="46">
        <v>150</v>
      </c>
      <c r="U12" s="46">
        <v>160</v>
      </c>
      <c r="V12" s="46">
        <v>2535</v>
      </c>
      <c r="W12" s="46">
        <v>155</v>
      </c>
      <c r="X12" s="46">
        <v>360</v>
      </c>
      <c r="Y12" s="46">
        <v>2170</v>
      </c>
      <c r="Z12" s="46">
        <v>0</v>
      </c>
      <c r="AA12" s="46">
        <v>6635</v>
      </c>
    </row>
    <row r="13" spans="2:27">
      <c r="B13" s="638"/>
      <c r="C13" s="45" t="s">
        <v>79</v>
      </c>
      <c r="D13" s="69">
        <f t="shared" si="6"/>
        <v>2.1990740740740741E-2</v>
      </c>
      <c r="E13" s="69">
        <f>AA8/$D$4</f>
        <v>1.6615278722005793E-2</v>
      </c>
      <c r="F13" s="69">
        <f t="shared" si="1"/>
        <v>6.4849000918015224E-4</v>
      </c>
      <c r="G13" s="76">
        <f t="shared" si="2"/>
        <v>3.9254509471926685E-2</v>
      </c>
      <c r="H13" s="638"/>
      <c r="I13" s="45" t="s">
        <v>79</v>
      </c>
      <c r="J13" s="68">
        <f t="shared" si="7"/>
        <v>7.9916059836967132E-3</v>
      </c>
      <c r="K13" s="68">
        <f t="shared" si="3"/>
        <v>4.8665455541849817E-3</v>
      </c>
      <c r="L13" s="68">
        <f t="shared" si="4"/>
        <v>2.228836952641926E-4</v>
      </c>
      <c r="M13" s="76">
        <f t="shared" si="5"/>
        <v>1.3081035233145888E-2</v>
      </c>
      <c r="P13" s="47" t="s">
        <v>84</v>
      </c>
      <c r="Q13" s="46">
        <v>620</v>
      </c>
      <c r="R13" s="46">
        <v>340</v>
      </c>
      <c r="S13" s="46">
        <v>0</v>
      </c>
      <c r="T13" s="46">
        <v>130</v>
      </c>
      <c r="U13" s="46">
        <v>145</v>
      </c>
      <c r="V13" s="46">
        <v>2475</v>
      </c>
      <c r="W13" s="46">
        <v>135</v>
      </c>
      <c r="X13" s="46">
        <v>330</v>
      </c>
      <c r="Y13" s="46">
        <v>2000</v>
      </c>
      <c r="Z13" s="46">
        <v>0</v>
      </c>
      <c r="AA13" s="46">
        <v>6175</v>
      </c>
    </row>
    <row r="14" spans="2:27">
      <c r="B14" s="638"/>
      <c r="C14" s="45" t="s">
        <v>80</v>
      </c>
      <c r="D14" s="69">
        <f t="shared" si="6"/>
        <v>2.3782855436081243E-2</v>
      </c>
      <c r="E14" s="69">
        <f t="shared" si="0"/>
        <v>1.7969325205293193E-2</v>
      </c>
      <c r="F14" s="69">
        <f t="shared" si="1"/>
        <v>7.0133809142233783E-4</v>
      </c>
      <c r="G14" s="76">
        <f t="shared" si="2"/>
        <v>4.2453518732796777E-2</v>
      </c>
      <c r="H14" s="638"/>
      <c r="I14" s="45" t="s">
        <v>80</v>
      </c>
      <c r="J14" s="68">
        <f t="shared" si="7"/>
        <v>8.6428743830472086E-3</v>
      </c>
      <c r="K14" s="68">
        <f t="shared" si="3"/>
        <v>5.2631400984988683E-3</v>
      </c>
      <c r="L14" s="68">
        <f t="shared" si="4"/>
        <v>2.4104739199200457E-4</v>
      </c>
      <c r="M14" s="76">
        <f t="shared" si="5"/>
        <v>1.4147061873538081E-2</v>
      </c>
      <c r="P14" s="47" t="s">
        <v>85</v>
      </c>
      <c r="Q14" s="46">
        <v>780</v>
      </c>
      <c r="R14" s="46">
        <v>430</v>
      </c>
      <c r="S14" s="46">
        <v>0</v>
      </c>
      <c r="T14" s="46">
        <v>185</v>
      </c>
      <c r="U14" s="46">
        <v>170</v>
      </c>
      <c r="V14" s="46">
        <v>3375</v>
      </c>
      <c r="W14" s="46">
        <v>170</v>
      </c>
      <c r="X14" s="46">
        <v>380</v>
      </c>
      <c r="Y14" s="46">
        <v>2450</v>
      </c>
      <c r="Z14" s="46">
        <v>0</v>
      </c>
      <c r="AA14" s="46">
        <v>7940</v>
      </c>
    </row>
    <row r="15" spans="2:27">
      <c r="B15" s="638"/>
      <c r="C15" s="45" t="s">
        <v>81</v>
      </c>
      <c r="D15" s="69">
        <f t="shared" si="6"/>
        <v>2.4940262843488648E-2</v>
      </c>
      <c r="E15" s="69">
        <f t="shared" si="0"/>
        <v>1.8843813559082972E-2</v>
      </c>
      <c r="F15" s="69">
        <f t="shared" si="1"/>
        <v>7.354691445370827E-4</v>
      </c>
      <c r="G15" s="76">
        <f t="shared" si="2"/>
        <v>4.4519545547108699E-2</v>
      </c>
      <c r="H15" s="638"/>
      <c r="I15" s="45" t="s">
        <v>81</v>
      </c>
      <c r="J15" s="68">
        <f t="shared" si="7"/>
        <v>9.0634852242944038E-3</v>
      </c>
      <c r="K15" s="68">
        <f t="shared" si="3"/>
        <v>5.5192740750349203E-3</v>
      </c>
      <c r="L15" s="68">
        <f t="shared" si="4"/>
        <v>2.5277811279538311E-4</v>
      </c>
      <c r="M15" s="76">
        <f t="shared" si="5"/>
        <v>1.4835537412124707E-2</v>
      </c>
      <c r="P15" s="47" t="s">
        <v>24</v>
      </c>
      <c r="Q15" s="56">
        <v>8395</v>
      </c>
      <c r="R15" s="56">
        <v>3870</v>
      </c>
      <c r="S15" s="56">
        <v>0</v>
      </c>
      <c r="T15" s="56">
        <v>1740</v>
      </c>
      <c r="U15" s="56">
        <v>1550</v>
      </c>
      <c r="V15" s="56">
        <v>31425</v>
      </c>
      <c r="W15" s="56">
        <v>970</v>
      </c>
      <c r="X15" s="56">
        <v>4050</v>
      </c>
      <c r="Y15" s="56">
        <v>22750</v>
      </c>
      <c r="Z15" s="56">
        <v>0</v>
      </c>
      <c r="AA15" s="56">
        <v>74750</v>
      </c>
    </row>
    <row r="16" spans="2:27">
      <c r="B16" s="638"/>
      <c r="C16" s="45" t="s">
        <v>82</v>
      </c>
      <c r="D16" s="69">
        <f t="shared" si="6"/>
        <v>2.3502837514934288E-2</v>
      </c>
      <c r="E16" s="69">
        <f t="shared" si="0"/>
        <v>1.7757755442279536E-2</v>
      </c>
      <c r="F16" s="69">
        <f t="shared" si="1"/>
        <v>6.9308057857199641E-4</v>
      </c>
      <c r="G16" s="76">
        <f t="shared" si="2"/>
        <v>4.1953673535785815E-2</v>
      </c>
      <c r="H16" s="638"/>
      <c r="I16" s="45" t="s">
        <v>82</v>
      </c>
      <c r="J16" s="68">
        <f t="shared" si="7"/>
        <v>8.5411136956486926E-3</v>
      </c>
      <c r="K16" s="68">
        <f t="shared" si="3"/>
        <v>5.2011722009498232E-3</v>
      </c>
      <c r="L16" s="68">
        <f t="shared" si="4"/>
        <v>2.3820931437828395E-4</v>
      </c>
      <c r="M16" s="76">
        <f t="shared" si="5"/>
        <v>1.3980495210976799E-2</v>
      </c>
    </row>
    <row r="17" spans="2:19">
      <c r="B17" s="638"/>
      <c r="C17" s="45" t="s">
        <v>83</v>
      </c>
      <c r="D17" s="69">
        <f t="shared" si="6"/>
        <v>2.4772252090800476E-2</v>
      </c>
      <c r="E17" s="69">
        <f t="shared" si="0"/>
        <v>1.8716871701274777E-2</v>
      </c>
      <c r="F17" s="69">
        <f t="shared" si="1"/>
        <v>7.3051463682687783E-4</v>
      </c>
      <c r="G17" s="76">
        <f t="shared" si="2"/>
        <v>4.4219638428902135E-2</v>
      </c>
      <c r="H17" s="638"/>
      <c r="I17" s="45" t="s">
        <v>83</v>
      </c>
      <c r="J17" s="68">
        <f t="shared" si="7"/>
        <v>9.0024288118552946E-3</v>
      </c>
      <c r="K17" s="68">
        <f t="shared" si="3"/>
        <v>5.4820933365054931E-3</v>
      </c>
      <c r="L17" s="68">
        <f t="shared" si="4"/>
        <v>2.5107526622715075E-4</v>
      </c>
      <c r="M17" s="76">
        <f t="shared" si="5"/>
        <v>1.473559741458794E-2</v>
      </c>
    </row>
    <row r="18" spans="2:19">
      <c r="B18" s="638"/>
      <c r="C18" s="45" t="s">
        <v>84</v>
      </c>
      <c r="D18" s="69">
        <f t="shared" si="6"/>
        <v>2.3054808841099162E-2</v>
      </c>
      <c r="E18" s="69">
        <f t="shared" si="0"/>
        <v>1.7419243821457688E-2</v>
      </c>
      <c r="F18" s="69">
        <f t="shared" si="1"/>
        <v>6.7986855801145001E-4</v>
      </c>
      <c r="G18" s="76">
        <f>SUM(D18:F18)</f>
        <v>4.1153921220568303E-2</v>
      </c>
      <c r="H18" s="638"/>
      <c r="I18" s="45" t="s">
        <v>84</v>
      </c>
      <c r="J18" s="68">
        <f t="shared" si="7"/>
        <v>8.3782965958110692E-3</v>
      </c>
      <c r="K18" s="68">
        <f t="shared" si="3"/>
        <v>5.1020235648713518E-3</v>
      </c>
      <c r="L18" s="68">
        <f t="shared" si="4"/>
        <v>2.3366839019633097E-4</v>
      </c>
      <c r="M18" s="76">
        <f t="shared" si="5"/>
        <v>1.3713988550878752E-2</v>
      </c>
    </row>
    <row r="19" spans="2:19">
      <c r="B19" s="638"/>
      <c r="C19" s="45" t="s">
        <v>85</v>
      </c>
      <c r="D19" s="69">
        <f t="shared" si="6"/>
        <v>2.9644563918757468E-2</v>
      </c>
      <c r="E19" s="69">
        <f t="shared" si="0"/>
        <v>2.2398185577712396E-2</v>
      </c>
      <c r="F19" s="69">
        <f t="shared" si="1"/>
        <v>8.7419536042281987E-4</v>
      </c>
      <c r="G19" s="76">
        <f t="shared" si="2"/>
        <v>5.2916944856892682E-2</v>
      </c>
      <c r="H19" s="638"/>
      <c r="I19" s="45" t="s">
        <v>85</v>
      </c>
      <c r="J19" s="68">
        <f>D19*$H$3</f>
        <v>1.0773064772589457E-2</v>
      </c>
      <c r="K19" s="68">
        <f t="shared" si="3"/>
        <v>6.5603347538588722E-3</v>
      </c>
      <c r="L19" s="68">
        <f t="shared" si="4"/>
        <v>3.0045781670588951E-4</v>
      </c>
      <c r="M19" s="76">
        <f t="shared" si="5"/>
        <v>1.763385734315422E-2</v>
      </c>
    </row>
    <row r="20" spans="2:19" ht="17" thickBot="1">
      <c r="B20" s="639"/>
      <c r="C20" s="77" t="s">
        <v>24</v>
      </c>
      <c r="D20" s="78">
        <f>SUM(D8:D19)</f>
        <v>0.27908452807646356</v>
      </c>
      <c r="E20" s="78">
        <f t="shared" ref="E20:F20" si="8">SUM(E8:E19)</f>
        <v>0.21086453047027726</v>
      </c>
      <c r="F20" s="78">
        <f t="shared" si="8"/>
        <v>8.2299878075070259E-3</v>
      </c>
      <c r="G20" s="79">
        <f>SUM(G8:G19)</f>
        <v>0.49817904635424787</v>
      </c>
      <c r="H20" s="639"/>
      <c r="I20" s="77" t="s">
        <v>24</v>
      </c>
      <c r="J20" s="78">
        <f>SUM(J8:J19)</f>
        <v>0.10142148510718663</v>
      </c>
      <c r="K20" s="78">
        <f>SUM(K8:K19)</f>
        <v>6.1761337890547947E-2</v>
      </c>
      <c r="L20" s="78">
        <f t="shared" ref="L20" si="9">SUM(L8:L19)</f>
        <v>2.8286173550082171E-3</v>
      </c>
      <c r="M20" s="79">
        <f>SUM(M8:M19)</f>
        <v>0.16601144035274279</v>
      </c>
    </row>
    <row r="21" spans="2:19" ht="17" thickBot="1">
      <c r="D21" s="88"/>
      <c r="E21" s="88"/>
      <c r="F21" s="88"/>
      <c r="G21" s="89"/>
      <c r="H21" s="89"/>
      <c r="J21" s="98"/>
      <c r="K21" s="88"/>
      <c r="L21" s="88"/>
      <c r="Q21" s="129"/>
    </row>
    <row r="22" spans="2:19" ht="17" thickBot="1">
      <c r="B22" s="640" t="s">
        <v>197</v>
      </c>
      <c r="C22" s="634" t="s">
        <v>221</v>
      </c>
      <c r="D22" s="636"/>
      <c r="E22" s="670" t="s">
        <v>198</v>
      </c>
      <c r="F22" s="671"/>
      <c r="G22" s="670" t="s">
        <v>183</v>
      </c>
      <c r="H22" s="671"/>
      <c r="J22" s="99"/>
      <c r="Q22" s="90"/>
      <c r="R22" s="46"/>
      <c r="S22" s="46"/>
    </row>
    <row r="23" spans="2:19">
      <c r="B23" s="641"/>
      <c r="C23" s="158" t="s">
        <v>185</v>
      </c>
      <c r="D23" s="159" t="s">
        <v>199</v>
      </c>
      <c r="E23" s="160" t="s">
        <v>186</v>
      </c>
      <c r="F23" s="159" t="s">
        <v>199</v>
      </c>
      <c r="G23" s="160" t="s">
        <v>186</v>
      </c>
      <c r="H23" s="159" t="s">
        <v>199</v>
      </c>
      <c r="Q23" s="90"/>
      <c r="R23" s="46"/>
      <c r="S23" s="46"/>
    </row>
    <row r="24" spans="2:19">
      <c r="B24" s="641"/>
      <c r="C24" s="158" t="s">
        <v>187</v>
      </c>
      <c r="D24" s="159" t="s">
        <v>199</v>
      </c>
      <c r="E24" s="160" t="s">
        <v>188</v>
      </c>
      <c r="F24" s="159" t="s">
        <v>199</v>
      </c>
      <c r="G24" s="160" t="s">
        <v>188</v>
      </c>
      <c r="H24" s="159" t="s">
        <v>199</v>
      </c>
    </row>
    <row r="25" spans="2:19">
      <c r="B25" s="641"/>
      <c r="C25" s="158" t="s">
        <v>200</v>
      </c>
      <c r="D25" s="159" t="s">
        <v>199</v>
      </c>
      <c r="E25" s="160" t="s">
        <v>7</v>
      </c>
      <c r="F25" s="159" t="s">
        <v>199</v>
      </c>
      <c r="G25" s="160" t="s">
        <v>7</v>
      </c>
      <c r="H25" s="159" t="s">
        <v>199</v>
      </c>
    </row>
    <row r="26" spans="2:19" ht="17" thickBot="1">
      <c r="B26" s="641"/>
      <c r="C26" s="161" t="s">
        <v>24</v>
      </c>
      <c r="D26" s="159" t="s">
        <v>199</v>
      </c>
      <c r="E26" s="162" t="s">
        <v>24</v>
      </c>
      <c r="F26" s="159" t="s">
        <v>199</v>
      </c>
      <c r="G26" s="162" t="s">
        <v>24</v>
      </c>
      <c r="H26" s="159" t="s">
        <v>199</v>
      </c>
    </row>
    <row r="27" spans="2:19" ht="17" customHeight="1" thickBot="1">
      <c r="B27" s="641"/>
      <c r="C27" s="70" t="s">
        <v>201</v>
      </c>
      <c r="D27" s="71" t="s">
        <v>202</v>
      </c>
      <c r="E27" s="71" t="s">
        <v>203</v>
      </c>
      <c r="F27" s="71" t="s">
        <v>7</v>
      </c>
      <c r="G27" s="72" t="s">
        <v>24</v>
      </c>
      <c r="H27" s="643" t="s">
        <v>195</v>
      </c>
      <c r="I27" s="70" t="s">
        <v>183</v>
      </c>
      <c r="J27" s="71" t="s">
        <v>202</v>
      </c>
      <c r="K27" s="71" t="s">
        <v>203</v>
      </c>
      <c r="L27" s="71" t="s">
        <v>7</v>
      </c>
      <c r="M27" s="72" t="s">
        <v>24</v>
      </c>
    </row>
    <row r="28" spans="2:19">
      <c r="B28" s="641"/>
      <c r="C28" s="73" t="s">
        <v>74</v>
      </c>
      <c r="D28" s="74">
        <f>SUM(D48,D68,D88,D108,D128,D148,D168,D188)</f>
        <v>0.50621532450324158</v>
      </c>
      <c r="E28" s="74">
        <f t="shared" ref="E28:E29" si="10">SUM(E48,E68,E88,E108,E128,E148,E168,E188)</f>
        <v>8.8514981707034965E-2</v>
      </c>
      <c r="F28" s="74">
        <f>SUM(F48,F68,F88,F108,F128,F148,F168,F188)</f>
        <v>4.9408916970076766E-3</v>
      </c>
      <c r="G28" s="85">
        <f>SUM(D28:F28)</f>
        <v>0.59967119790728418</v>
      </c>
      <c r="H28" s="644"/>
      <c r="I28" s="73" t="s">
        <v>74</v>
      </c>
      <c r="J28" s="74">
        <f>SUM(J48,J68,J88,J108,J128,J148,J168,J188)</f>
        <v>0.18241503114998761</v>
      </c>
      <c r="K28" s="74">
        <f t="shared" ref="K28:K29" si="11">SUM(K48,K68,K88,K108,K128,K148,K168,K188)</f>
        <v>2.5707572807937874E-2</v>
      </c>
      <c r="L28" s="74">
        <f>SUM(L48,L68,L88,L108,L128,L148,L168,L188)</f>
        <v>1.7254455864395655E-3</v>
      </c>
      <c r="M28" s="84">
        <f>SUM(J28:L28)</f>
        <v>0.20984804954436503</v>
      </c>
    </row>
    <row r="29" spans="2:19">
      <c r="B29" s="641"/>
      <c r="C29" s="45" t="s">
        <v>75</v>
      </c>
      <c r="D29" s="69">
        <f>SUM(D49,D69,D89,D109,D129,D149,D169,D189)</f>
        <v>0.56289986816982274</v>
      </c>
      <c r="E29" s="69">
        <f t="shared" si="10"/>
        <v>9.923740278443309E-2</v>
      </c>
      <c r="F29" s="69">
        <f>SUM(F49,F69,F89,F109,F129,F149,F169,F189)</f>
        <v>5.6361554386439982E-3</v>
      </c>
      <c r="G29" s="85">
        <f>SUM(D29:F29)</f>
        <v>0.66777342639289983</v>
      </c>
      <c r="H29" s="644"/>
      <c r="I29" s="45" t="s">
        <v>75</v>
      </c>
      <c r="J29" s="69">
        <f>SUM(J49,J69,J89,J109,J129,J149,J169,J189)</f>
        <v>0.20284134441659832</v>
      </c>
      <c r="K29" s="69">
        <f t="shared" si="11"/>
        <v>2.8821705751408522E-2</v>
      </c>
      <c r="L29" s="69">
        <f>SUM(L49,L69,L89,L109,L129,L149,L169,L189)</f>
        <v>1.9682438155819654E-3</v>
      </c>
      <c r="M29" s="85">
        <f t="shared" ref="M29:M40" si="12">SUM(J29:L29)</f>
        <v>0.23363129398358881</v>
      </c>
    </row>
    <row r="30" spans="2:19">
      <c r="B30" s="641"/>
      <c r="C30" s="45" t="s">
        <v>76</v>
      </c>
      <c r="D30" s="69">
        <f t="shared" ref="D30:F30" si="13">SUM(D50,D70,D90,D110,D130,D150,D170,D190)</f>
        <v>0.66008481220925874</v>
      </c>
      <c r="E30" s="69">
        <f t="shared" si="13"/>
        <v>0.11623382202337051</v>
      </c>
      <c r="F30" s="69">
        <f t="shared" si="13"/>
        <v>6.6401298829803406E-3</v>
      </c>
      <c r="G30" s="85">
        <f t="shared" ref="G30:G39" si="14">SUM(D30:F30)</f>
        <v>0.78295876411560961</v>
      </c>
      <c r="H30" s="644"/>
      <c r="I30" s="45" t="s">
        <v>76</v>
      </c>
      <c r="J30" s="69">
        <f t="shared" ref="J30:L30" si="15">SUM(J50,J70,J90,J110,J130,J150,J170,J190)</f>
        <v>0.23786200407691252</v>
      </c>
      <c r="K30" s="69">
        <f t="shared" si="15"/>
        <v>3.3758007794664695E-2</v>
      </c>
      <c r="L30" s="69">
        <f t="shared" si="15"/>
        <v>2.318849208314492E-3</v>
      </c>
      <c r="M30" s="85">
        <f t="shared" si="12"/>
        <v>0.27393886107989168</v>
      </c>
    </row>
    <row r="31" spans="2:19">
      <c r="B31" s="641"/>
      <c r="C31" s="45" t="s">
        <v>77</v>
      </c>
      <c r="D31" s="69">
        <f t="shared" ref="D31:F31" si="16">SUM(D51,D71,D91,D111,D131,D151,D171,D191)</f>
        <v>0.59978375233720682</v>
      </c>
      <c r="E31" s="69">
        <f t="shared" si="16"/>
        <v>0.105307025113581</v>
      </c>
      <c r="F31" s="69">
        <f t="shared" si="16"/>
        <v>6.0284371463519559E-3</v>
      </c>
      <c r="G31" s="85">
        <f t="shared" si="14"/>
        <v>0.71111921459713978</v>
      </c>
      <c r="H31" s="644"/>
      <c r="I31" s="45" t="s">
        <v>77</v>
      </c>
      <c r="J31" s="69">
        <f t="shared" ref="J31:L31" si="17">SUM(J51,J71,J91,J111,J131,J151,J171,J191)</f>
        <v>0.21613247677401631</v>
      </c>
      <c r="K31" s="69">
        <f t="shared" si="17"/>
        <v>3.0584517593359728E-2</v>
      </c>
      <c r="L31" s="69">
        <f t="shared" si="17"/>
        <v>2.1052354322198276E-3</v>
      </c>
      <c r="M31" s="85">
        <f t="shared" si="12"/>
        <v>0.24882222979959587</v>
      </c>
    </row>
    <row r="32" spans="2:19">
      <c r="B32" s="641"/>
      <c r="C32" s="45" t="s">
        <v>78</v>
      </c>
      <c r="D32" s="69">
        <f t="shared" ref="D32:E32" si="18">SUM(D52,D72,D92,D112,D132,D152,D172,D192)</f>
        <v>0.67146743083486182</v>
      </c>
      <c r="E32" s="69">
        <f t="shared" si="18"/>
        <v>0.11833796647725314</v>
      </c>
      <c r="F32" s="69">
        <f>SUM(F52,F72,F92,F112,F132,F152,F172,F192)</f>
        <v>6.823750615581145E-3</v>
      </c>
      <c r="G32" s="85">
        <f t="shared" si="14"/>
        <v>0.79662914792769612</v>
      </c>
      <c r="H32" s="644"/>
      <c r="I32" s="45" t="s">
        <v>78</v>
      </c>
      <c r="J32" s="69">
        <f t="shared" ref="J32:K32" si="19">SUM(J52,J72,J92,J112,J132,J152,J172,J192)</f>
        <v>0.24196373832052789</v>
      </c>
      <c r="K32" s="69">
        <f t="shared" si="19"/>
        <v>3.4369118430439778E-2</v>
      </c>
      <c r="L32" s="69">
        <f>SUM(L52,L72,L92,L112,L132,L152,L172,L192)</f>
        <v>2.3829727718479199E-3</v>
      </c>
      <c r="M32" s="85">
        <f t="shared" si="12"/>
        <v>0.27871582952281559</v>
      </c>
    </row>
    <row r="33" spans="2:13">
      <c r="B33" s="641"/>
      <c r="C33" s="45" t="s">
        <v>79</v>
      </c>
      <c r="D33" s="69">
        <f t="shared" ref="D33:F33" si="20">SUM(D53,D73,D93,D113,D133,D153,D173,D193)</f>
        <v>0.62141975531194937</v>
      </c>
      <c r="E33" s="69">
        <f t="shared" si="20"/>
        <v>0.10984787284982286</v>
      </c>
      <c r="F33" s="69">
        <f t="shared" si="20"/>
        <v>6.4025842014881328E-3</v>
      </c>
      <c r="G33" s="85">
        <f t="shared" si="14"/>
        <v>0.73767021236326036</v>
      </c>
      <c r="H33" s="644"/>
      <c r="I33" s="45" t="s">
        <v>79</v>
      </c>
      <c r="J33" s="69">
        <f t="shared" ref="J33:L33" si="21">SUM(J53,J73,J93,J113,J133,J153,J173,J193)</f>
        <v>0.22392902493358041</v>
      </c>
      <c r="K33" s="69">
        <f t="shared" si="21"/>
        <v>3.190332455166156E-2</v>
      </c>
      <c r="L33" s="69">
        <f t="shared" si="21"/>
        <v>2.2358941117766066E-3</v>
      </c>
      <c r="M33" s="85">
        <f t="shared" si="12"/>
        <v>0.25806824359701858</v>
      </c>
    </row>
    <row r="34" spans="2:13" ht="16" customHeight="1">
      <c r="B34" s="641"/>
      <c r="C34" s="45" t="s">
        <v>80</v>
      </c>
      <c r="D34" s="69">
        <f t="shared" ref="D34:F34" si="22">SUM(D54,D74,D94,D114,D134,D154,D174,D194)</f>
        <v>0.68978721096553453</v>
      </c>
      <c r="E34" s="69">
        <f t="shared" si="22"/>
        <v>0.12438006901759163</v>
      </c>
      <c r="F34" s="69">
        <f t="shared" si="22"/>
        <v>7.4942027843249029E-3</v>
      </c>
      <c r="G34" s="85">
        <f t="shared" si="14"/>
        <v>0.82166148276745099</v>
      </c>
      <c r="H34" s="644"/>
      <c r="I34" s="45" t="s">
        <v>80</v>
      </c>
      <c r="J34" s="69">
        <f t="shared" ref="J34:L34" si="23">SUM(J54,J74,J94,J114,J134,J154,J174,J194)</f>
        <v>0.24856528335766584</v>
      </c>
      <c r="K34" s="69">
        <f t="shared" si="23"/>
        <v>3.6123937648308221E-2</v>
      </c>
      <c r="L34" s="69">
        <f t="shared" si="23"/>
        <v>2.6171063668381429E-3</v>
      </c>
      <c r="M34" s="85">
        <f t="shared" si="12"/>
        <v>0.2873063273728122</v>
      </c>
    </row>
    <row r="35" spans="2:13" ht="17" customHeight="1">
      <c r="B35" s="641"/>
      <c r="C35" s="45" t="s">
        <v>81</v>
      </c>
      <c r="D35" s="69">
        <f t="shared" ref="D35:F35" si="24">SUM(D55,D75,D95,D115,D135,D155,D175,D195)</f>
        <v>0.72743598586613945</v>
      </c>
      <c r="E35" s="69">
        <f t="shared" si="24"/>
        <v>0.13119314915097877</v>
      </c>
      <c r="F35" s="69">
        <f t="shared" si="24"/>
        <v>7.8947934002328128E-3</v>
      </c>
      <c r="G35" s="85">
        <f t="shared" si="14"/>
        <v>0.86652392841735104</v>
      </c>
      <c r="H35" s="644"/>
      <c r="I35" s="45" t="s">
        <v>81</v>
      </c>
      <c r="J35" s="69">
        <f t="shared" ref="J35:L35" si="25">SUM(J55,J75,J95,J115,J135,J155,J175,J195)</f>
        <v>0.26213204460297612</v>
      </c>
      <c r="K35" s="69">
        <f t="shared" si="25"/>
        <v>3.8102673340250928E-2</v>
      </c>
      <c r="L35" s="69">
        <f t="shared" si="25"/>
        <v>2.7569995991884935E-3</v>
      </c>
      <c r="M35" s="85">
        <f t="shared" si="12"/>
        <v>0.30299171754241555</v>
      </c>
    </row>
    <row r="36" spans="2:13">
      <c r="B36" s="641"/>
      <c r="C36" s="45" t="s">
        <v>82</v>
      </c>
      <c r="D36" s="69">
        <f t="shared" ref="D36:F36" si="26">SUM(D56,D76,D96,D116,D136,D156,D176,D196)</f>
        <v>0.70401269604848005</v>
      </c>
      <c r="E36" s="69">
        <f t="shared" si="26"/>
        <v>0.12654004469716057</v>
      </c>
      <c r="F36" s="69">
        <f t="shared" si="26"/>
        <v>7.6041407574658423E-3</v>
      </c>
      <c r="G36" s="85">
        <f t="shared" si="14"/>
        <v>0.83815688150310641</v>
      </c>
      <c r="H36" s="644"/>
      <c r="I36" s="45" t="s">
        <v>82</v>
      </c>
      <c r="J36" s="69">
        <f t="shared" ref="J36:L36" si="27">SUM(J56,J76,J96,J116,J136,J156,J176,J196)</f>
        <v>0.25369144643278752</v>
      </c>
      <c r="K36" s="69">
        <f t="shared" si="27"/>
        <v>3.6751263452087728E-2</v>
      </c>
      <c r="L36" s="69">
        <f t="shared" si="27"/>
        <v>2.6554986251936599E-3</v>
      </c>
      <c r="M36" s="85">
        <f t="shared" si="12"/>
        <v>0.2930982085100689</v>
      </c>
    </row>
    <row r="37" spans="2:13">
      <c r="B37" s="641"/>
      <c r="C37" s="45" t="s">
        <v>83</v>
      </c>
      <c r="D37" s="69">
        <f t="shared" ref="D37:F37" si="28">SUM(D57,D77,D97,D117,D137,D157,D177,D197)</f>
        <v>0.74732979790822562</v>
      </c>
      <c r="E37" s="69">
        <f t="shared" si="28"/>
        <v>0.13441653874917545</v>
      </c>
      <c r="F37" s="69">
        <f t="shared" si="28"/>
        <v>8.0752530588550954E-3</v>
      </c>
      <c r="G37" s="85">
        <f t="shared" si="14"/>
        <v>0.88982158971625624</v>
      </c>
      <c r="H37" s="644"/>
      <c r="I37" s="45" t="s">
        <v>83</v>
      </c>
      <c r="J37" s="69">
        <f t="shared" ref="J37:K37" si="29">SUM(J57,J77,J97,J117,J137,J157,J177,J197)</f>
        <v>0.26930079309337446</v>
      </c>
      <c r="K37" s="69">
        <f t="shared" si="29"/>
        <v>3.9038848450790482E-2</v>
      </c>
      <c r="L37" s="69">
        <f>SUM(L57,L77,L97,L117,L137,L157,L177,L197)</f>
        <v>2.8200192605360155E-3</v>
      </c>
      <c r="M37" s="85">
        <f t="shared" si="12"/>
        <v>0.31115966080470092</v>
      </c>
    </row>
    <row r="38" spans="2:13">
      <c r="B38" s="641"/>
      <c r="C38" s="45" t="s">
        <v>84</v>
      </c>
      <c r="D38" s="69">
        <f t="shared" ref="D38:F38" si="30">SUM(D58,D78,D98,D118,D138,D158,D178,D198)</f>
        <v>0.67827617742669488</v>
      </c>
      <c r="E38" s="69">
        <f t="shared" si="30"/>
        <v>0.12235301549936464</v>
      </c>
      <c r="F38" s="69">
        <f t="shared" si="30"/>
        <v>7.344303625805633E-3</v>
      </c>
      <c r="G38" s="85">
        <f t="shared" si="14"/>
        <v>0.80797349655186512</v>
      </c>
      <c r="H38" s="644"/>
      <c r="I38" s="45" t="s">
        <v>84</v>
      </c>
      <c r="J38" s="69">
        <f t="shared" ref="J38:L38" si="31">SUM(J58,J78,J98,J118,J138,J158,J178,J198)</f>
        <v>0.24441727471407823</v>
      </c>
      <c r="K38" s="69">
        <f t="shared" si="31"/>
        <v>3.5535216678135265E-2</v>
      </c>
      <c r="L38" s="69">
        <f t="shared" si="31"/>
        <v>2.564758965328671E-3</v>
      </c>
      <c r="M38" s="85">
        <f t="shared" si="12"/>
        <v>0.28251725035754216</v>
      </c>
    </row>
    <row r="39" spans="2:13">
      <c r="B39" s="641"/>
      <c r="C39" s="45" t="s">
        <v>85</v>
      </c>
      <c r="D39" s="69">
        <f t="shared" ref="D39:F39" si="32">SUM(D59,D79,D99,D119,D139,D159,D179,D199)</f>
        <v>0.86172529556594668</v>
      </c>
      <c r="E39" s="69">
        <f t="shared" si="32"/>
        <v>0.15507052007522393</v>
      </c>
      <c r="F39" s="69">
        <f t="shared" si="32"/>
        <v>9.2760978805413886E-3</v>
      </c>
      <c r="G39" s="85">
        <f t="shared" si="14"/>
        <v>1.026071913521712</v>
      </c>
      <c r="H39" s="644"/>
      <c r="I39" s="45" t="s">
        <v>85</v>
      </c>
      <c r="J39" s="69">
        <f t="shared" ref="J39:L39" si="33">SUM(J59,J79,J99,J119,J139,J159,J179,J199)</f>
        <v>0.31052328727434214</v>
      </c>
      <c r="K39" s="69">
        <f t="shared" si="33"/>
        <v>4.5037423138073955E-2</v>
      </c>
      <c r="L39" s="69">
        <f t="shared" si="33"/>
        <v>3.2393752239205749E-3</v>
      </c>
      <c r="M39" s="85">
        <f t="shared" si="12"/>
        <v>0.3588000856363367</v>
      </c>
    </row>
    <row r="40" spans="2:13" ht="17" thickBot="1">
      <c r="B40" s="642"/>
      <c r="C40" s="77" t="s">
        <v>24</v>
      </c>
      <c r="D40" s="78">
        <f>SUM(D28:D39)</f>
        <v>8.0304381071473614</v>
      </c>
      <c r="E40" s="78">
        <f>SUM(E28:E39)</f>
        <v>1.4314324081449903</v>
      </c>
      <c r="F40" s="78">
        <f>SUM(F28:F39)</f>
        <v>8.4160740489278921E-2</v>
      </c>
      <c r="G40" s="79">
        <f>SUM(G28:G39)</f>
        <v>9.5460312557816316</v>
      </c>
      <c r="H40" s="645"/>
      <c r="I40" s="77" t="s">
        <v>24</v>
      </c>
      <c r="J40" s="78">
        <f>SUM(J28:J39)</f>
        <v>2.8937737491468472</v>
      </c>
      <c r="K40" s="78">
        <f>SUM(K28:K39)</f>
        <v>0.4157336096371187</v>
      </c>
      <c r="L40" s="78">
        <f>SUM(L28:L39)</f>
        <v>2.9390398967185937E-2</v>
      </c>
      <c r="M40" s="79">
        <f t="shared" si="12"/>
        <v>3.3388977577511518</v>
      </c>
    </row>
    <row r="41" spans="2:13" ht="17" thickBot="1"/>
    <row r="42" spans="2:13" ht="17" thickBot="1">
      <c r="B42" s="640" t="s">
        <v>97</v>
      </c>
      <c r="C42" s="634" t="s">
        <v>221</v>
      </c>
      <c r="D42" s="636"/>
      <c r="E42" s="670" t="s">
        <v>198</v>
      </c>
      <c r="F42" s="671"/>
      <c r="G42" s="670" t="s">
        <v>183</v>
      </c>
      <c r="H42" s="671"/>
    </row>
    <row r="43" spans="2:13">
      <c r="B43" s="641"/>
      <c r="C43" s="60" t="s">
        <v>185</v>
      </c>
      <c r="D43" s="61">
        <f>'Historic Data'!DB6</f>
        <v>17913</v>
      </c>
      <c r="E43" s="60" t="s">
        <v>186</v>
      </c>
      <c r="F43" s="65">
        <v>0.67</v>
      </c>
      <c r="G43" s="60" t="s">
        <v>186</v>
      </c>
      <c r="H43" s="66">
        <f>F43/$F$46</f>
        <v>0.36035066960684131</v>
      </c>
    </row>
    <row r="44" spans="2:13">
      <c r="B44" s="641"/>
      <c r="C44" s="60" t="s">
        <v>187</v>
      </c>
      <c r="D44" s="61">
        <f>'Historic Data'!DN6</f>
        <v>91046</v>
      </c>
      <c r="E44" s="60" t="s">
        <v>188</v>
      </c>
      <c r="F44" s="65">
        <v>0.54</v>
      </c>
      <c r="G44" s="60" t="s">
        <v>188</v>
      </c>
      <c r="H44" s="66">
        <f>F44/$F$46</f>
        <v>0.29043188296670791</v>
      </c>
    </row>
    <row r="45" spans="2:13">
      <c r="B45" s="641"/>
      <c r="C45" s="60" t="s">
        <v>200</v>
      </c>
      <c r="D45" s="62">
        <f>'Historic Data'!BQ6</f>
        <v>1712642</v>
      </c>
      <c r="E45" s="60" t="s">
        <v>7</v>
      </c>
      <c r="F45" s="86">
        <v>0.64929999999999999</v>
      </c>
      <c r="G45" s="60" t="s">
        <v>7</v>
      </c>
      <c r="H45" s="66">
        <f>F45/$F$46</f>
        <v>0.34921744742645083</v>
      </c>
    </row>
    <row r="46" spans="2:13" ht="17" thickBot="1">
      <c r="B46" s="641"/>
      <c r="C46" s="63" t="s">
        <v>24</v>
      </c>
      <c r="D46" s="64" t="e">
        <f>'Historic Data'!#REF!</f>
        <v>#REF!</v>
      </c>
      <c r="E46" s="63" t="s">
        <v>24</v>
      </c>
      <c r="F46" s="87">
        <f>SUM(F43:F45)</f>
        <v>1.8593</v>
      </c>
      <c r="G46" s="63" t="s">
        <v>24</v>
      </c>
      <c r="H46" s="67">
        <f>SUM(H43:H45)</f>
        <v>1</v>
      </c>
    </row>
    <row r="47" spans="2:13" ht="17" customHeight="1" thickBot="1">
      <c r="B47" s="641"/>
      <c r="C47" s="70" t="str">
        <f>B42</f>
        <v>GV80</v>
      </c>
      <c r="D47" s="71" t="s">
        <v>202</v>
      </c>
      <c r="E47" s="71" t="s">
        <v>203</v>
      </c>
      <c r="F47" s="71" t="s">
        <v>7</v>
      </c>
      <c r="G47" s="72" t="s">
        <v>24</v>
      </c>
      <c r="H47" s="643" t="s">
        <v>195</v>
      </c>
      <c r="I47" s="70" t="s">
        <v>183</v>
      </c>
      <c r="J47" s="71" t="s">
        <v>202</v>
      </c>
      <c r="K47" s="71" t="s">
        <v>203</v>
      </c>
      <c r="L47" s="71" t="s">
        <v>7</v>
      </c>
      <c r="M47" s="72" t="s">
        <v>24</v>
      </c>
    </row>
    <row r="48" spans="2:13">
      <c r="B48" s="641"/>
      <c r="C48" s="73" t="s">
        <v>74</v>
      </c>
      <c r="D48" s="74">
        <f t="shared" ref="D48:D59" si="34">Y3/$D$43</f>
        <v>8.3738067325406132E-2</v>
      </c>
      <c r="E48" s="74">
        <f t="shared" ref="E48:E59" si="35">Y3/$D$44</f>
        <v>1.6475188366320323E-2</v>
      </c>
      <c r="F48" s="74">
        <f t="shared" ref="F48:F59" si="36">Y3/$D$45</f>
        <v>8.7583978437992299E-4</v>
      </c>
      <c r="G48" s="85">
        <f>SUM(D48:F48)</f>
        <v>0.10108909547610638</v>
      </c>
      <c r="H48" s="644"/>
      <c r="I48" s="73" t="s">
        <v>74</v>
      </c>
      <c r="J48" s="74">
        <f t="shared" ref="J48:J59" si="37">D48*H$43</f>
        <v>3.017506863229286E-2</v>
      </c>
      <c r="K48" s="74">
        <f t="shared" ref="K48:K59" si="38">E48*H$44</f>
        <v>4.784919979461612E-3</v>
      </c>
      <c r="L48" s="74">
        <f t="shared" ref="L48:L59" si="39">F48*H$45</f>
        <v>3.058585338556898E-4</v>
      </c>
      <c r="M48" s="84">
        <f>SUM(J48:L48)</f>
        <v>3.5265847145610159E-2</v>
      </c>
    </row>
    <row r="49" spans="2:13">
      <c r="B49" s="641"/>
      <c r="C49" s="45" t="s">
        <v>75</v>
      </c>
      <c r="D49" s="69">
        <f t="shared" si="34"/>
        <v>8.9320605147099871E-2</v>
      </c>
      <c r="E49" s="69">
        <f t="shared" si="35"/>
        <v>1.7573534257408343E-2</v>
      </c>
      <c r="F49" s="69">
        <f t="shared" si="36"/>
        <v>9.3422910333858451E-4</v>
      </c>
      <c r="G49" s="85">
        <f t="shared" ref="G49:G59" si="40">SUM(D49:F49)</f>
        <v>0.1078283685078468</v>
      </c>
      <c r="H49" s="644"/>
      <c r="I49" s="45" t="s">
        <v>75</v>
      </c>
      <c r="J49" s="69">
        <f t="shared" si="37"/>
        <v>3.2186739874445716E-2</v>
      </c>
      <c r="K49" s="69">
        <f t="shared" si="38"/>
        <v>5.1039146447590519E-3</v>
      </c>
      <c r="L49" s="69">
        <f t="shared" si="39"/>
        <v>3.2624910277940242E-4</v>
      </c>
      <c r="M49" s="85">
        <f t="shared" ref="M49:M59" si="41">SUM(J49:L49)</f>
        <v>3.7616903621984173E-2</v>
      </c>
    </row>
    <row r="50" spans="2:13">
      <c r="B50" s="641"/>
      <c r="C50" s="45" t="s">
        <v>76</v>
      </c>
      <c r="D50" s="69">
        <f t="shared" si="34"/>
        <v>0.10941774130519734</v>
      </c>
      <c r="E50" s="69">
        <f t="shared" si="35"/>
        <v>2.1527579465325221E-2</v>
      </c>
      <c r="F50" s="69">
        <f>Y5/$D$45</f>
        <v>1.144430651589766E-3</v>
      </c>
      <c r="G50" s="85">
        <f t="shared" si="40"/>
        <v>0.13208975142211232</v>
      </c>
      <c r="H50" s="644"/>
      <c r="I50" s="45" t="s">
        <v>76</v>
      </c>
      <c r="J50" s="69">
        <f t="shared" si="37"/>
        <v>3.9428756346195998E-2</v>
      </c>
      <c r="K50" s="69">
        <f t="shared" si="38"/>
        <v>6.2522954398298389E-3</v>
      </c>
      <c r="L50" s="69">
        <f t="shared" si="39"/>
        <v>3.9965515090476796E-4</v>
      </c>
      <c r="M50" s="85">
        <f t="shared" si="41"/>
        <v>4.6080706936930602E-2</v>
      </c>
    </row>
    <row r="51" spans="2:13">
      <c r="B51" s="641"/>
      <c r="C51" s="45" t="s">
        <v>77</v>
      </c>
      <c r="D51" s="69">
        <f t="shared" si="34"/>
        <v>9.4903142968793611E-2</v>
      </c>
      <c r="E51" s="69">
        <f t="shared" si="35"/>
        <v>1.8671880148496363E-2</v>
      </c>
      <c r="F51" s="69">
        <f t="shared" si="36"/>
        <v>9.9261842229724602E-4</v>
      </c>
      <c r="G51" s="85">
        <f t="shared" si="40"/>
        <v>0.11456764153958722</v>
      </c>
      <c r="H51" s="644"/>
      <c r="I51" s="45" t="s">
        <v>77</v>
      </c>
      <c r="J51" s="69">
        <f t="shared" si="37"/>
        <v>3.4198411116598569E-2</v>
      </c>
      <c r="K51" s="69">
        <f t="shared" si="38"/>
        <v>5.4229093100564927E-3</v>
      </c>
      <c r="L51" s="69">
        <f t="shared" si="39"/>
        <v>3.466396717031151E-4</v>
      </c>
      <c r="M51" s="85">
        <f t="shared" si="41"/>
        <v>3.9967960098358173E-2</v>
      </c>
    </row>
    <row r="52" spans="2:13">
      <c r="B52" s="641"/>
      <c r="C52" s="45" t="s">
        <v>78</v>
      </c>
      <c r="D52" s="69">
        <f t="shared" si="34"/>
        <v>0.10439345726567298</v>
      </c>
      <c r="E52" s="69">
        <f t="shared" si="35"/>
        <v>2.0539068163346001E-2</v>
      </c>
      <c r="F52" s="69">
        <f t="shared" si="36"/>
        <v>1.0918802645269706E-3</v>
      </c>
      <c r="G52" s="85">
        <f t="shared" si="40"/>
        <v>0.12602440569354595</v>
      </c>
      <c r="H52" s="644"/>
      <c r="I52" s="45" t="s">
        <v>78</v>
      </c>
      <c r="J52" s="69">
        <f t="shared" si="37"/>
        <v>3.7618252228258431E-2</v>
      </c>
      <c r="K52" s="69">
        <f t="shared" si="38"/>
        <v>5.965200241062142E-3</v>
      </c>
      <c r="L52" s="69">
        <f t="shared" si="39"/>
        <v>3.8130363887342659E-4</v>
      </c>
      <c r="M52" s="85">
        <f t="shared" si="41"/>
        <v>4.3964756108193996E-2</v>
      </c>
    </row>
    <row r="53" spans="2:13">
      <c r="B53" s="641"/>
      <c r="C53" s="45" t="s">
        <v>79</v>
      </c>
      <c r="D53" s="69">
        <f t="shared" si="34"/>
        <v>9.4903142968793611E-2</v>
      </c>
      <c r="E53" s="69">
        <f t="shared" si="35"/>
        <v>1.8671880148496363E-2</v>
      </c>
      <c r="F53" s="69">
        <f t="shared" si="36"/>
        <v>9.9261842229724602E-4</v>
      </c>
      <c r="G53" s="85">
        <f t="shared" si="40"/>
        <v>0.11456764153958722</v>
      </c>
      <c r="H53" s="644"/>
      <c r="I53" s="45" t="s">
        <v>79</v>
      </c>
      <c r="J53" s="69">
        <f t="shared" si="37"/>
        <v>3.4198411116598569E-2</v>
      </c>
      <c r="K53" s="69">
        <f t="shared" si="38"/>
        <v>5.4229093100564927E-3</v>
      </c>
      <c r="L53" s="69">
        <f t="shared" si="39"/>
        <v>3.466396717031151E-4</v>
      </c>
      <c r="M53" s="85">
        <f t="shared" si="41"/>
        <v>3.9967960098358173E-2</v>
      </c>
    </row>
    <row r="54" spans="2:13">
      <c r="B54" s="641"/>
      <c r="C54" s="45" t="s">
        <v>80</v>
      </c>
      <c r="D54" s="69">
        <f t="shared" si="34"/>
        <v>0.1060682186121811</v>
      </c>
      <c r="E54" s="69">
        <f t="shared" si="35"/>
        <v>2.0868571930672406E-2</v>
      </c>
      <c r="F54" s="69">
        <f t="shared" si="36"/>
        <v>1.109397060214569E-3</v>
      </c>
      <c r="G54" s="85">
        <f t="shared" si="40"/>
        <v>0.12804618760306807</v>
      </c>
      <c r="H54" s="644"/>
      <c r="I54" s="45" t="s">
        <v>80</v>
      </c>
      <c r="J54" s="69">
        <f t="shared" si="37"/>
        <v>3.8221753600904289E-2</v>
      </c>
      <c r="K54" s="69">
        <f t="shared" si="38"/>
        <v>6.0608986406513743E-3</v>
      </c>
      <c r="L54" s="69">
        <f t="shared" si="39"/>
        <v>3.8742080955054035E-4</v>
      </c>
      <c r="M54" s="85">
        <f t="shared" si="41"/>
        <v>4.46700730511062E-2</v>
      </c>
    </row>
    <row r="55" spans="2:13">
      <c r="B55" s="641"/>
      <c r="C55" s="45" t="s">
        <v>81</v>
      </c>
      <c r="D55" s="69">
        <f t="shared" si="34"/>
        <v>0.10885948752302797</v>
      </c>
      <c r="E55" s="69">
        <f t="shared" si="35"/>
        <v>2.1417744876216418E-2</v>
      </c>
      <c r="F55" s="69">
        <f t="shared" si="36"/>
        <v>1.1385917196938997E-3</v>
      </c>
      <c r="G55" s="85">
        <f t="shared" si="40"/>
        <v>0.13141582411893829</v>
      </c>
      <c r="H55" s="644"/>
      <c r="I55" s="45" t="s">
        <v>81</v>
      </c>
      <c r="J55" s="69">
        <f t="shared" si="37"/>
        <v>3.9227589221980719E-2</v>
      </c>
      <c r="K55" s="69">
        <f t="shared" si="38"/>
        <v>6.2203959733000943E-3</v>
      </c>
      <c r="L55" s="69">
        <f t="shared" si="39"/>
        <v>3.9761609401239666E-4</v>
      </c>
      <c r="M55" s="85">
        <f t="shared" si="41"/>
        <v>4.5845601289293214E-2</v>
      </c>
    </row>
    <row r="56" spans="2:13">
      <c r="B56" s="641"/>
      <c r="C56" s="45" t="s">
        <v>82</v>
      </c>
      <c r="D56" s="69">
        <f t="shared" si="34"/>
        <v>0.10885948752302797</v>
      </c>
      <c r="E56" s="69">
        <f t="shared" si="35"/>
        <v>2.1417744876216418E-2</v>
      </c>
      <c r="F56" s="69">
        <f t="shared" si="36"/>
        <v>1.1385917196938997E-3</v>
      </c>
      <c r="G56" s="85">
        <f t="shared" si="40"/>
        <v>0.13141582411893829</v>
      </c>
      <c r="H56" s="644"/>
      <c r="I56" s="45" t="s">
        <v>82</v>
      </c>
      <c r="J56" s="69">
        <f t="shared" si="37"/>
        <v>3.9227589221980719E-2</v>
      </c>
      <c r="K56" s="69">
        <f t="shared" si="38"/>
        <v>6.2203959733000943E-3</v>
      </c>
      <c r="L56" s="69">
        <f t="shared" si="39"/>
        <v>3.9761609401239666E-4</v>
      </c>
      <c r="M56" s="85">
        <f t="shared" si="41"/>
        <v>4.5845601289293214E-2</v>
      </c>
    </row>
    <row r="57" spans="2:13">
      <c r="B57" s="641"/>
      <c r="C57" s="45" t="s">
        <v>83</v>
      </c>
      <c r="D57" s="69">
        <f t="shared" si="34"/>
        <v>0.1211410707307542</v>
      </c>
      <c r="E57" s="69">
        <f t="shared" si="35"/>
        <v>2.3834105836610064E-2</v>
      </c>
      <c r="F57" s="69">
        <f t="shared" si="36"/>
        <v>1.2670482214029552E-3</v>
      </c>
      <c r="G57" s="85">
        <f t="shared" si="40"/>
        <v>0.14624222478876719</v>
      </c>
      <c r="H57" s="644"/>
      <c r="I57" s="45" t="s">
        <v>83</v>
      </c>
      <c r="J57" s="69">
        <f t="shared" si="37"/>
        <v>4.3653265954716997E-2</v>
      </c>
      <c r="K57" s="69">
        <f t="shared" si="38"/>
        <v>6.9221842369544644E-3</v>
      </c>
      <c r="L57" s="69">
        <f t="shared" si="39"/>
        <v>4.4247534564456457E-4</v>
      </c>
      <c r="M57" s="85">
        <f t="shared" si="41"/>
        <v>5.1017925537316031E-2</v>
      </c>
    </row>
    <row r="58" spans="2:13">
      <c r="B58" s="641"/>
      <c r="C58" s="45" t="s">
        <v>84</v>
      </c>
      <c r="D58" s="69">
        <f t="shared" si="34"/>
        <v>0.11165075643387484</v>
      </c>
      <c r="E58" s="69">
        <f t="shared" si="35"/>
        <v>2.196691782176043E-2</v>
      </c>
      <c r="F58" s="69">
        <f t="shared" si="36"/>
        <v>1.1677863791732307E-3</v>
      </c>
      <c r="G58" s="85">
        <f t="shared" si="40"/>
        <v>0.13478546063480851</v>
      </c>
      <c r="H58" s="644"/>
      <c r="I58" s="45" t="s">
        <v>84</v>
      </c>
      <c r="J58" s="69">
        <f t="shared" si="37"/>
        <v>4.0233424843057149E-2</v>
      </c>
      <c r="K58" s="69">
        <f t="shared" si="38"/>
        <v>6.3798933059488151E-3</v>
      </c>
      <c r="L58" s="69">
        <f t="shared" si="39"/>
        <v>4.0781137847425308E-4</v>
      </c>
      <c r="M58" s="85">
        <f t="shared" si="41"/>
        <v>4.7021129527480214E-2</v>
      </c>
    </row>
    <row r="59" spans="2:13">
      <c r="B59" s="641"/>
      <c r="C59" s="45" t="s">
        <v>85</v>
      </c>
      <c r="D59" s="69">
        <f t="shared" si="34"/>
        <v>0.13677217663149668</v>
      </c>
      <c r="E59" s="69">
        <f t="shared" si="35"/>
        <v>2.6909474331656524E-2</v>
      </c>
      <c r="F59" s="69">
        <f t="shared" si="36"/>
        <v>1.4305383144872074E-3</v>
      </c>
      <c r="G59" s="85">
        <f t="shared" si="40"/>
        <v>0.1651121892776404</v>
      </c>
      <c r="H59" s="644"/>
      <c r="I59" s="45" t="s">
        <v>85</v>
      </c>
      <c r="J59" s="69">
        <f t="shared" si="37"/>
        <v>4.9285945432745004E-2</v>
      </c>
      <c r="K59" s="69">
        <f t="shared" si="38"/>
        <v>7.8153692997872982E-3</v>
      </c>
      <c r="L59" s="69">
        <f t="shared" si="39"/>
        <v>4.9956893863095989E-4</v>
      </c>
      <c r="M59" s="85">
        <f t="shared" si="41"/>
        <v>5.7600883671163255E-2</v>
      </c>
    </row>
    <row r="60" spans="2:13" ht="17" thickBot="1">
      <c r="B60" s="642"/>
      <c r="C60" s="77" t="s">
        <v>24</v>
      </c>
      <c r="D60" s="78">
        <f>SUM(D48:D59)</f>
        <v>1.2700273544353264</v>
      </c>
      <c r="E60" s="78">
        <f>SUM(E48:E59)</f>
        <v>0.24987369022252487</v>
      </c>
      <c r="F60" s="78">
        <f>SUM(F48:F59)</f>
        <v>1.3283570063095497E-2</v>
      </c>
      <c r="G60" s="79">
        <f>SUM(G48:G59)</f>
        <v>1.5331846147209465</v>
      </c>
      <c r="H60" s="645"/>
      <c r="I60" s="77" t="s">
        <v>24</v>
      </c>
      <c r="J60" s="78">
        <f>SUM(J48:J59)</f>
        <v>0.45765520758977507</v>
      </c>
      <c r="K60" s="78">
        <f>SUM(K48:K59)</f>
        <v>7.2571286355167783E-2</v>
      </c>
      <c r="L60" s="78">
        <f>SUM(L48:L59)</f>
        <v>4.6388544301446287E-3</v>
      </c>
      <c r="M60" s="79">
        <f>SUM(J60:L60)</f>
        <v>0.53486534837508748</v>
      </c>
    </row>
    <row r="61" spans="2:13" ht="17" thickBot="1"/>
    <row r="62" spans="2:13" ht="17" thickBot="1">
      <c r="B62" s="640" t="s">
        <v>96</v>
      </c>
      <c r="C62" s="634" t="s">
        <v>221</v>
      </c>
      <c r="D62" s="636"/>
      <c r="E62" s="670" t="s">
        <v>198</v>
      </c>
      <c r="F62" s="671"/>
      <c r="G62" s="670" t="s">
        <v>183</v>
      </c>
      <c r="H62" s="671"/>
    </row>
    <row r="63" spans="2:13">
      <c r="B63" s="641"/>
      <c r="C63" s="60" t="s">
        <v>185</v>
      </c>
      <c r="D63" s="61">
        <f>'Historic Data'!DA6</f>
        <v>3951</v>
      </c>
      <c r="E63" s="60" t="s">
        <v>186</v>
      </c>
      <c r="F63" s="65">
        <v>0.67</v>
      </c>
      <c r="G63" s="60" t="s">
        <v>186</v>
      </c>
      <c r="H63" s="66">
        <f>F63/$F$46</f>
        <v>0.36035066960684131</v>
      </c>
    </row>
    <row r="64" spans="2:13">
      <c r="B64" s="641"/>
      <c r="C64" s="60" t="s">
        <v>187</v>
      </c>
      <c r="D64" s="61">
        <f>'Historic Data'!DM6</f>
        <v>20539</v>
      </c>
      <c r="E64" s="60" t="s">
        <v>188</v>
      </c>
      <c r="F64" s="65">
        <v>0.54</v>
      </c>
      <c r="G64" s="60" t="s">
        <v>188</v>
      </c>
      <c r="H64" s="66">
        <f>F64/$F$46</f>
        <v>0.29043188296670791</v>
      </c>
    </row>
    <row r="65" spans="2:13">
      <c r="B65" s="641"/>
      <c r="C65" s="60" t="s">
        <v>200</v>
      </c>
      <c r="D65" s="62">
        <f>'Historic Data'!BP6</f>
        <v>394941</v>
      </c>
      <c r="E65" s="60" t="s">
        <v>7</v>
      </c>
      <c r="F65" s="86">
        <v>0.64929999999999999</v>
      </c>
      <c r="G65" s="60" t="s">
        <v>7</v>
      </c>
      <c r="H65" s="66">
        <f>F65/$F$46</f>
        <v>0.34921744742645083</v>
      </c>
    </row>
    <row r="66" spans="2:13" ht="17" thickBot="1">
      <c r="B66" s="641"/>
      <c r="C66" s="63" t="s">
        <v>24</v>
      </c>
      <c r="D66" s="64"/>
      <c r="E66" s="63" t="s">
        <v>24</v>
      </c>
      <c r="F66" s="87">
        <f>SUM(F63:F65)</f>
        <v>1.8593</v>
      </c>
      <c r="G66" s="63" t="s">
        <v>24</v>
      </c>
      <c r="H66" s="67">
        <f>SUM(H63:H65)</f>
        <v>1</v>
      </c>
    </row>
    <row r="67" spans="2:13" ht="17" customHeight="1" thickBot="1">
      <c r="B67" s="641"/>
      <c r="C67" s="70" t="str">
        <f>B62</f>
        <v>GV80 Coupe</v>
      </c>
      <c r="D67" s="71" t="s">
        <v>202</v>
      </c>
      <c r="E67" s="71" t="s">
        <v>203</v>
      </c>
      <c r="F67" s="71" t="s">
        <v>7</v>
      </c>
      <c r="G67" s="72" t="s">
        <v>24</v>
      </c>
      <c r="H67" s="643" t="s">
        <v>195</v>
      </c>
      <c r="I67" s="70" t="s">
        <v>183</v>
      </c>
      <c r="J67" s="71" t="s">
        <v>202</v>
      </c>
      <c r="K67" s="71" t="s">
        <v>203</v>
      </c>
      <c r="L67" s="71" t="s">
        <v>7</v>
      </c>
      <c r="M67" s="72" t="s">
        <v>24</v>
      </c>
    </row>
    <row r="68" spans="2:13">
      <c r="B68" s="641"/>
      <c r="C68" s="73" t="s">
        <v>74</v>
      </c>
      <c r="D68" s="74">
        <f>X3/$D$63</f>
        <v>7.0868134649455836E-2</v>
      </c>
      <c r="E68" s="74">
        <f>X3/$D$64</f>
        <v>1.3632601392472856E-2</v>
      </c>
      <c r="F68" s="74">
        <f>X3/$D$65</f>
        <v>7.0896665577896444E-4</v>
      </c>
      <c r="G68" s="84">
        <f>SUM(D68,E68,F68)</f>
        <v>8.5209702697707654E-2</v>
      </c>
      <c r="H68" s="644"/>
      <c r="I68" s="73" t="s">
        <v>74</v>
      </c>
      <c r="J68" s="74">
        <f>D68*H$63</f>
        <v>2.5537379774719201E-2</v>
      </c>
      <c r="K68" s="74">
        <f>E68*H$64</f>
        <v>3.9593420921504559E-3</v>
      </c>
      <c r="L68" s="74">
        <f>F68*H$65</f>
        <v>2.4758352584159716E-4</v>
      </c>
      <c r="M68" s="84">
        <f>SUM(J68:L68)</f>
        <v>2.9744305392711255E-2</v>
      </c>
    </row>
    <row r="69" spans="2:13">
      <c r="B69" s="641"/>
      <c r="C69" s="45" t="s">
        <v>75</v>
      </c>
      <c r="D69" s="69">
        <f t="shared" ref="D69:D78" si="42">X4/$D$63</f>
        <v>8.0992153885092386E-2</v>
      </c>
      <c r="E69" s="69">
        <f t="shared" ref="E69:E79" si="43">X4/$D$64</f>
        <v>1.5580115877111837E-2</v>
      </c>
      <c r="F69" s="69">
        <f t="shared" ref="F69:F79" si="44">X4/$D$65</f>
        <v>8.1024760660453076E-4</v>
      </c>
      <c r="G69" s="85">
        <f>SUM(D69:F69)</f>
        <v>9.7382517368808749E-2</v>
      </c>
      <c r="H69" s="644"/>
      <c r="I69" s="45" t="s">
        <v>75</v>
      </c>
      <c r="J69" s="69">
        <f t="shared" ref="J69:J79" si="45">D69*H$63</f>
        <v>2.9185576885393374E-2</v>
      </c>
      <c r="K69" s="69">
        <f t="shared" ref="K69:K79" si="46">E69*H$64</f>
        <v>4.5249623910290923E-3</v>
      </c>
      <c r="L69" s="69">
        <f t="shared" ref="L69:L79" si="47">F69*H$65</f>
        <v>2.8295260096182533E-4</v>
      </c>
      <c r="M69" s="85">
        <f t="shared" ref="M69:M79" si="48">SUM(J69:L69)</f>
        <v>3.3993491877384291E-2</v>
      </c>
    </row>
    <row r="70" spans="2:13">
      <c r="B70" s="641"/>
      <c r="C70" s="45" t="s">
        <v>76</v>
      </c>
      <c r="D70" s="69">
        <f>X5/$D$63</f>
        <v>8.8585168311819798E-2</v>
      </c>
      <c r="E70" s="69">
        <f>X5/$D$64</f>
        <v>1.7040751740591071E-2</v>
      </c>
      <c r="F70" s="69">
        <f t="shared" si="44"/>
        <v>8.8620831972370561E-4</v>
      </c>
      <c r="G70" s="85">
        <f t="shared" ref="G70:G79" si="49">SUM(D70:F70)</f>
        <v>0.10651212837213457</v>
      </c>
      <c r="H70" s="644"/>
      <c r="I70" s="45" t="s">
        <v>76</v>
      </c>
      <c r="J70" s="69">
        <f t="shared" si="45"/>
        <v>3.1921724718399005E-2</v>
      </c>
      <c r="K70" s="69">
        <f t="shared" si="46"/>
        <v>4.9491776151880697E-3</v>
      </c>
      <c r="L70" s="69">
        <f t="shared" si="47"/>
        <v>3.0947940730199647E-4</v>
      </c>
      <c r="M70" s="85">
        <f t="shared" si="48"/>
        <v>3.7180381740889071E-2</v>
      </c>
    </row>
    <row r="71" spans="2:13">
      <c r="B71" s="641"/>
      <c r="C71" s="45" t="s">
        <v>77</v>
      </c>
      <c r="D71" s="69">
        <f t="shared" si="42"/>
        <v>7.8461149076183248E-2</v>
      </c>
      <c r="E71" s="69">
        <f t="shared" si="43"/>
        <v>1.5093237255952092E-2</v>
      </c>
      <c r="F71" s="69">
        <f t="shared" si="44"/>
        <v>7.8492736889813918E-4</v>
      </c>
      <c r="G71" s="85">
        <f t="shared" si="49"/>
        <v>9.4339313701033475E-2</v>
      </c>
      <c r="H71" s="644"/>
      <c r="I71" s="45" t="s">
        <v>77</v>
      </c>
      <c r="J71" s="69">
        <f t="shared" si="45"/>
        <v>2.8273527607724832E-2</v>
      </c>
      <c r="K71" s="69">
        <f t="shared" si="46"/>
        <v>4.3835573163094332E-3</v>
      </c>
      <c r="L71" s="69">
        <f t="shared" si="47"/>
        <v>2.741103321817683E-4</v>
      </c>
      <c r="M71" s="85">
        <f t="shared" si="48"/>
        <v>3.2931195256216038E-2</v>
      </c>
    </row>
    <row r="72" spans="2:13">
      <c r="B72" s="641"/>
      <c r="C72" s="45" t="s">
        <v>78</v>
      </c>
      <c r="D72" s="69">
        <f t="shared" si="42"/>
        <v>9.1116173120728935E-2</v>
      </c>
      <c r="E72" s="69">
        <f t="shared" si="43"/>
        <v>1.7527630361750816E-2</v>
      </c>
      <c r="F72" s="69">
        <f t="shared" si="44"/>
        <v>9.1152855743009719E-4</v>
      </c>
      <c r="G72" s="85">
        <f t="shared" si="49"/>
        <v>0.10955533203990984</v>
      </c>
      <c r="H72" s="644"/>
      <c r="I72" s="45" t="s">
        <v>78</v>
      </c>
      <c r="J72" s="69">
        <f t="shared" si="45"/>
        <v>3.2833773996067545E-2</v>
      </c>
      <c r="K72" s="69">
        <f t="shared" si="46"/>
        <v>5.0905826899077288E-3</v>
      </c>
      <c r="L72" s="69">
        <f t="shared" si="47"/>
        <v>3.1832167608205356E-4</v>
      </c>
      <c r="M72" s="85">
        <f t="shared" si="48"/>
        <v>3.8242678362057331E-2</v>
      </c>
    </row>
    <row r="73" spans="2:13">
      <c r="B73" s="641"/>
      <c r="C73" s="45" t="s">
        <v>79</v>
      </c>
      <c r="D73" s="69">
        <f t="shared" si="42"/>
        <v>7.5930144267274111E-2</v>
      </c>
      <c r="E73" s="69">
        <f t="shared" si="43"/>
        <v>1.4606358634792347E-2</v>
      </c>
      <c r="F73" s="69">
        <f t="shared" si="44"/>
        <v>7.596071311917476E-4</v>
      </c>
      <c r="G73" s="85">
        <f t="shared" si="49"/>
        <v>9.1296110033258202E-2</v>
      </c>
      <c r="H73" s="644"/>
      <c r="I73" s="45" t="s">
        <v>79</v>
      </c>
      <c r="J73" s="69">
        <f t="shared" si="45"/>
        <v>2.7361478330056289E-2</v>
      </c>
      <c r="K73" s="69">
        <f t="shared" si="46"/>
        <v>4.2421522415897741E-3</v>
      </c>
      <c r="L73" s="69">
        <f t="shared" si="47"/>
        <v>2.6526806340171127E-4</v>
      </c>
      <c r="M73" s="85">
        <f t="shared" si="48"/>
        <v>3.1868898635047778E-2</v>
      </c>
    </row>
    <row r="74" spans="2:13">
      <c r="B74" s="641"/>
      <c r="C74" s="45" t="s">
        <v>80</v>
      </c>
      <c r="D74" s="69">
        <f>X9/$D$63</f>
        <v>8.6054163502910661E-2</v>
      </c>
      <c r="E74" s="69">
        <f t="shared" si="43"/>
        <v>1.6553873119431326E-2</v>
      </c>
      <c r="F74" s="69">
        <f t="shared" si="44"/>
        <v>8.6088808201731403E-4</v>
      </c>
      <c r="G74" s="85">
        <f t="shared" si="49"/>
        <v>0.1034689247043593</v>
      </c>
      <c r="H74" s="644"/>
      <c r="I74" s="45" t="s">
        <v>80</v>
      </c>
      <c r="J74" s="69">
        <f t="shared" si="45"/>
        <v>3.1009675440730463E-2</v>
      </c>
      <c r="K74" s="69">
        <f t="shared" si="46"/>
        <v>4.8077725404684106E-3</v>
      </c>
      <c r="L74" s="69">
        <f t="shared" si="47"/>
        <v>3.0063713852193944E-4</v>
      </c>
      <c r="M74" s="85">
        <f t="shared" si="48"/>
        <v>3.6118085119720811E-2</v>
      </c>
    </row>
    <row r="75" spans="2:13">
      <c r="B75" s="641"/>
      <c r="C75" s="45" t="s">
        <v>81</v>
      </c>
      <c r="D75" s="69">
        <f t="shared" si="42"/>
        <v>9.3647177929638073E-2</v>
      </c>
      <c r="E75" s="69">
        <f t="shared" si="43"/>
        <v>1.801450898291056E-2</v>
      </c>
      <c r="F75" s="69">
        <f t="shared" si="44"/>
        <v>9.3684879513648877E-4</v>
      </c>
      <c r="G75" s="85">
        <f t="shared" si="49"/>
        <v>0.11259853570768512</v>
      </c>
      <c r="H75" s="644"/>
      <c r="I75" s="45" t="s">
        <v>81</v>
      </c>
      <c r="J75" s="69">
        <f t="shared" si="45"/>
        <v>3.3745823273736091E-2</v>
      </c>
      <c r="K75" s="69">
        <f t="shared" si="46"/>
        <v>5.2319877646273879E-3</v>
      </c>
      <c r="L75" s="69">
        <f t="shared" si="47"/>
        <v>3.2716394486211059E-4</v>
      </c>
      <c r="M75" s="85">
        <f t="shared" si="48"/>
        <v>3.9304974983225591E-2</v>
      </c>
    </row>
    <row r="76" spans="2:13">
      <c r="B76" s="641"/>
      <c r="C76" s="45" t="s">
        <v>82</v>
      </c>
      <c r="D76" s="69">
        <f t="shared" si="42"/>
        <v>8.8585168311819798E-2</v>
      </c>
      <c r="E76" s="69">
        <f t="shared" si="43"/>
        <v>1.7040751740591071E-2</v>
      </c>
      <c r="F76" s="69">
        <f t="shared" si="44"/>
        <v>8.8620831972370561E-4</v>
      </c>
      <c r="G76" s="85">
        <f t="shared" si="49"/>
        <v>0.10651212837213457</v>
      </c>
      <c r="H76" s="644"/>
      <c r="I76" s="45" t="s">
        <v>82</v>
      </c>
      <c r="J76" s="69">
        <f t="shared" si="45"/>
        <v>3.1921724718399005E-2</v>
      </c>
      <c r="K76" s="69">
        <f t="shared" si="46"/>
        <v>4.9491776151880697E-3</v>
      </c>
      <c r="L76" s="69">
        <f t="shared" si="47"/>
        <v>3.0947940730199647E-4</v>
      </c>
      <c r="M76" s="85">
        <f t="shared" si="48"/>
        <v>3.7180381740889071E-2</v>
      </c>
    </row>
    <row r="77" spans="2:13">
      <c r="B77" s="641"/>
      <c r="C77" s="45" t="s">
        <v>83</v>
      </c>
      <c r="D77" s="69">
        <f t="shared" si="42"/>
        <v>9.1116173120728935E-2</v>
      </c>
      <c r="E77" s="69">
        <f t="shared" si="43"/>
        <v>1.7527630361750816E-2</v>
      </c>
      <c r="F77" s="69">
        <f t="shared" si="44"/>
        <v>9.1152855743009719E-4</v>
      </c>
      <c r="G77" s="85">
        <f t="shared" si="49"/>
        <v>0.10955533203990984</v>
      </c>
      <c r="H77" s="644"/>
      <c r="I77" s="45" t="s">
        <v>83</v>
      </c>
      <c r="J77" s="69">
        <f t="shared" si="45"/>
        <v>3.2833773996067545E-2</v>
      </c>
      <c r="K77" s="69">
        <f t="shared" si="46"/>
        <v>5.0905826899077288E-3</v>
      </c>
      <c r="L77" s="69">
        <f t="shared" si="47"/>
        <v>3.1832167608205356E-4</v>
      </c>
      <c r="M77" s="85">
        <f t="shared" si="48"/>
        <v>3.8242678362057331E-2</v>
      </c>
    </row>
    <row r="78" spans="2:13">
      <c r="B78" s="641"/>
      <c r="C78" s="45" t="s">
        <v>84</v>
      </c>
      <c r="D78" s="69">
        <f t="shared" si="42"/>
        <v>8.3523158694001523E-2</v>
      </c>
      <c r="E78" s="69">
        <f t="shared" si="43"/>
        <v>1.6066994498271581E-2</v>
      </c>
      <c r="F78" s="69">
        <f t="shared" si="44"/>
        <v>8.3556784431092234E-4</v>
      </c>
      <c r="G78" s="85">
        <f t="shared" si="49"/>
        <v>0.10042572103658402</v>
      </c>
      <c r="H78" s="644"/>
      <c r="I78" s="45" t="s">
        <v>84</v>
      </c>
      <c r="J78" s="69">
        <f t="shared" si="45"/>
        <v>3.0097626163061917E-2</v>
      </c>
      <c r="K78" s="69">
        <f t="shared" si="46"/>
        <v>4.6663674657487515E-3</v>
      </c>
      <c r="L78" s="69">
        <f t="shared" si="47"/>
        <v>2.9179486974188236E-4</v>
      </c>
      <c r="M78" s="85">
        <f t="shared" si="48"/>
        <v>3.5055788498552551E-2</v>
      </c>
    </row>
    <row r="79" spans="2:13">
      <c r="B79" s="641"/>
      <c r="C79" s="45" t="s">
        <v>85</v>
      </c>
      <c r="D79" s="69">
        <f>X14/$D$63</f>
        <v>9.6178182738547197E-2</v>
      </c>
      <c r="E79" s="69">
        <f t="shared" si="43"/>
        <v>1.8501387604070305E-2</v>
      </c>
      <c r="F79" s="69">
        <f t="shared" si="44"/>
        <v>9.6216903284288035E-4</v>
      </c>
      <c r="G79" s="85">
        <f t="shared" si="49"/>
        <v>0.11564173937546038</v>
      </c>
      <c r="H79" s="644"/>
      <c r="I79" s="45" t="s">
        <v>85</v>
      </c>
      <c r="J79" s="69">
        <f t="shared" si="45"/>
        <v>3.465787255140463E-2</v>
      </c>
      <c r="K79" s="69">
        <f t="shared" si="46"/>
        <v>5.373392839347047E-3</v>
      </c>
      <c r="L79" s="69">
        <f t="shared" si="47"/>
        <v>3.3600621364216762E-4</v>
      </c>
      <c r="M79" s="85">
        <f t="shared" si="48"/>
        <v>4.0367271604393844E-2</v>
      </c>
    </row>
    <row r="80" spans="2:13" ht="17" thickBot="1">
      <c r="B80" s="642"/>
      <c r="C80" s="77" t="s">
        <v>24</v>
      </c>
      <c r="D80" s="78">
        <f>SUM(D68:D79)</f>
        <v>1.0250569476082005</v>
      </c>
      <c r="E80" s="78">
        <f>SUM(E68:E79)</f>
        <v>0.19718584156969668</v>
      </c>
      <c r="F80" s="78">
        <f>SUM(F68:F79)</f>
        <v>1.0254696271088591E-2</v>
      </c>
      <c r="G80" s="79">
        <f>SUM(G68:G79)</f>
        <v>1.2324974854489854</v>
      </c>
      <c r="H80" s="645"/>
      <c r="I80" s="77" t="s">
        <v>24</v>
      </c>
      <c r="J80" s="78">
        <f>SUM(J68:J79)</f>
        <v>0.36937995745575997</v>
      </c>
      <c r="K80" s="78">
        <f>SUM(K68:K79)</f>
        <v>5.7269055261461949E-2</v>
      </c>
      <c r="L80" s="78">
        <f>SUM(L68:L79)</f>
        <v>3.5811188559231018E-3</v>
      </c>
      <c r="M80" s="79">
        <f>SUM(J80:L80)</f>
        <v>0.43023013157314499</v>
      </c>
    </row>
    <row r="81" spans="2:13" ht="17" thickBot="1"/>
    <row r="82" spans="2:13" ht="17" thickBot="1">
      <c r="B82" s="640" t="s">
        <v>94</v>
      </c>
      <c r="C82" s="634" t="s">
        <v>221</v>
      </c>
      <c r="D82" s="636"/>
      <c r="E82" s="670" t="s">
        <v>198</v>
      </c>
      <c r="F82" s="671"/>
      <c r="G82" s="670" t="s">
        <v>183</v>
      </c>
      <c r="H82" s="671"/>
    </row>
    <row r="83" spans="2:13">
      <c r="B83" s="641"/>
      <c r="C83" s="60" t="s">
        <v>185</v>
      </c>
      <c r="D83" s="61">
        <f>'Historic Data'!DC6</f>
        <v>24476</v>
      </c>
      <c r="E83" s="60" t="s">
        <v>186</v>
      </c>
      <c r="F83" s="65">
        <v>0.67</v>
      </c>
      <c r="G83" s="60" t="s">
        <v>186</v>
      </c>
      <c r="H83" s="66">
        <f>F83/$F$46</f>
        <v>0.36035066960684131</v>
      </c>
    </row>
    <row r="84" spans="2:13">
      <c r="B84" s="641"/>
      <c r="C84" s="60" t="s">
        <v>187</v>
      </c>
      <c r="D84" s="61">
        <f>'Historic Data'!DO6</f>
        <v>121789</v>
      </c>
      <c r="E84" s="60" t="s">
        <v>188</v>
      </c>
      <c r="F84" s="65">
        <v>0.54</v>
      </c>
      <c r="G84" s="60" t="s">
        <v>188</v>
      </c>
      <c r="H84" s="66">
        <f>F84/$F$46</f>
        <v>0.29043188296670791</v>
      </c>
    </row>
    <row r="85" spans="2:13">
      <c r="B85" s="641"/>
      <c r="C85" s="60" t="s">
        <v>200</v>
      </c>
      <c r="D85" s="62">
        <f>'Historic Data'!BR6</f>
        <v>1832354</v>
      </c>
      <c r="E85" s="60" t="s">
        <v>7</v>
      </c>
      <c r="F85" s="86">
        <v>0.64929999999999999</v>
      </c>
      <c r="G85" s="60" t="s">
        <v>7</v>
      </c>
      <c r="H85" s="66">
        <f>F85/$F$46</f>
        <v>0.34921744742645083</v>
      </c>
    </row>
    <row r="86" spans="2:13" ht="17" thickBot="1">
      <c r="B86" s="641"/>
      <c r="C86" s="63" t="s">
        <v>24</v>
      </c>
      <c r="D86" s="64"/>
      <c r="E86" s="63" t="s">
        <v>24</v>
      </c>
      <c r="F86" s="87">
        <f>SUM(F83:F85)</f>
        <v>1.8593</v>
      </c>
      <c r="G86" s="63" t="s">
        <v>24</v>
      </c>
      <c r="H86" s="67">
        <f>SUM(H83:H85)</f>
        <v>1</v>
      </c>
    </row>
    <row r="87" spans="2:13" ht="17" customHeight="1" thickBot="1">
      <c r="B87" s="641"/>
      <c r="C87" s="70" t="str">
        <f>B82</f>
        <v>GV70</v>
      </c>
      <c r="D87" s="71" t="s">
        <v>202</v>
      </c>
      <c r="E87" s="71" t="s">
        <v>203</v>
      </c>
      <c r="F87" s="71" t="s">
        <v>7</v>
      </c>
      <c r="G87" s="72" t="s">
        <v>24</v>
      </c>
      <c r="H87" s="643" t="s">
        <v>195</v>
      </c>
      <c r="I87" s="70" t="s">
        <v>183</v>
      </c>
      <c r="J87" s="71" t="s">
        <v>202</v>
      </c>
      <c r="K87" s="71" t="s">
        <v>203</v>
      </c>
      <c r="L87" s="71" t="s">
        <v>7</v>
      </c>
      <c r="M87" s="72" t="s">
        <v>24</v>
      </c>
    </row>
    <row r="88" spans="2:13">
      <c r="B88" s="641"/>
      <c r="C88" s="73" t="s">
        <v>74</v>
      </c>
      <c r="D88" s="69">
        <f>V3/$D$83</f>
        <v>8.2529825134825957E-2</v>
      </c>
      <c r="E88" s="69">
        <f>V3/$D$84</f>
        <v>1.6586062780710901E-2</v>
      </c>
      <c r="F88" s="69">
        <f>V3/$D$85</f>
        <v>1.102407067629945E-3</v>
      </c>
      <c r="G88" s="85">
        <f>SUM(D88:F88)</f>
        <v>0.1002182949831668</v>
      </c>
      <c r="H88" s="644"/>
      <c r="I88" s="73" t="s">
        <v>74</v>
      </c>
      <c r="J88" s="74">
        <f>D88*H$83</f>
        <v>2.9739677749870057E-2</v>
      </c>
      <c r="K88" s="74">
        <f>E88*H$84</f>
        <v>4.8171214444058981E-3</v>
      </c>
      <c r="L88" s="74">
        <f>F88*H$85</f>
        <v>3.8497978218260815E-4</v>
      </c>
      <c r="M88" s="84">
        <f>SUM(J88:L88)</f>
        <v>3.4941778976458567E-2</v>
      </c>
    </row>
    <row r="89" spans="2:13">
      <c r="B89" s="641"/>
      <c r="C89" s="45" t="s">
        <v>75</v>
      </c>
      <c r="D89" s="69">
        <f>V4/$D$83</f>
        <v>8.947540447785586E-2</v>
      </c>
      <c r="E89" s="69">
        <f>V4/$D$84</f>
        <v>1.7981919549384592E-2</v>
      </c>
      <c r="F89" s="69">
        <f>V4/$D$85</f>
        <v>1.1951839000542471E-3</v>
      </c>
      <c r="G89" s="85">
        <f>SUM(D89:F89)</f>
        <v>0.10865250792729469</v>
      </c>
      <c r="H89" s="644"/>
      <c r="I89" s="45" t="s">
        <v>75</v>
      </c>
      <c r="J89" s="69">
        <f t="shared" ref="J89:J99" si="50">D89*H$83</f>
        <v>3.2242521916938327E-2</v>
      </c>
      <c r="K89" s="69">
        <f t="shared" ref="K89:K99" si="51">E89*H$84</f>
        <v>5.2225227540836231E-3</v>
      </c>
      <c r="L89" s="69">
        <f t="shared" ref="L89:L98" si="52">F89*H$85</f>
        <v>4.173790707821345E-4</v>
      </c>
      <c r="M89" s="85">
        <f t="shared" ref="M89:M99" si="53">SUM(J89:L89)</f>
        <v>3.7882423741804082E-2</v>
      </c>
    </row>
    <row r="90" spans="2:13">
      <c r="B90" s="641"/>
      <c r="C90" s="45" t="s">
        <v>76</v>
      </c>
      <c r="D90" s="69">
        <f t="shared" ref="D90:D99" si="54">V5/$D$83</f>
        <v>0.11562346788690962</v>
      </c>
      <c r="E90" s="69">
        <f t="shared" ref="E90:E99" si="55">V5/$D$84</f>
        <v>2.3236909737332601E-2</v>
      </c>
      <c r="F90" s="69">
        <f t="shared" ref="F90:F99" si="56">V5/$D$85</f>
        <v>1.5444613868280911E-3</v>
      </c>
      <c r="G90" s="85">
        <f t="shared" ref="G90:G99" si="57">SUM(D90:F90)</f>
        <v>0.14040483901107031</v>
      </c>
      <c r="H90" s="644"/>
      <c r="I90" s="45" t="s">
        <v>76</v>
      </c>
      <c r="J90" s="69">
        <f t="shared" si="50"/>
        <v>4.1664994075312996E-2</v>
      </c>
      <c r="K90" s="69">
        <f t="shared" si="51"/>
        <v>6.7487394493409378E-3</v>
      </c>
      <c r="L90" s="69">
        <f t="shared" si="52"/>
        <v>5.3935286315682227E-4</v>
      </c>
      <c r="M90" s="85">
        <f t="shared" si="53"/>
        <v>4.8953086387810756E-2</v>
      </c>
    </row>
    <row r="91" spans="2:13">
      <c r="B91" s="641"/>
      <c r="C91" s="45" t="s">
        <v>77</v>
      </c>
      <c r="D91" s="69">
        <f t="shared" si="54"/>
        <v>0.10111946396470012</v>
      </c>
      <c r="E91" s="69">
        <f t="shared" si="55"/>
        <v>2.0322032367455188E-2</v>
      </c>
      <c r="F91" s="69">
        <f t="shared" si="56"/>
        <v>1.3507215308832246E-3</v>
      </c>
      <c r="G91" s="85">
        <f t="shared" si="57"/>
        <v>0.12279221786303854</v>
      </c>
      <c r="H91" s="644"/>
      <c r="I91" s="45" t="s">
        <v>77</v>
      </c>
      <c r="J91" s="69">
        <f t="shared" si="50"/>
        <v>3.6438466549964549E-2</v>
      </c>
      <c r="K91" s="69">
        <f t="shared" si="51"/>
        <v>5.9021661261903953E-3</v>
      </c>
      <c r="L91" s="69">
        <f t="shared" si="52"/>
        <v>4.7169552519898766E-4</v>
      </c>
      <c r="M91" s="85">
        <f t="shared" si="53"/>
        <v>4.281232820135393E-2</v>
      </c>
    </row>
    <row r="92" spans="2:13">
      <c r="B92" s="641"/>
      <c r="C92" s="45" t="s">
        <v>78</v>
      </c>
      <c r="D92" s="69">
        <f t="shared" si="54"/>
        <v>0.11684915835920902</v>
      </c>
      <c r="E92" s="69">
        <f t="shared" si="55"/>
        <v>2.3483237402392661E-2</v>
      </c>
      <c r="F92" s="69">
        <f t="shared" si="56"/>
        <v>1.560833769020615E-3</v>
      </c>
      <c r="G92" s="85">
        <f t="shared" si="57"/>
        <v>0.14189322953062228</v>
      </c>
      <c r="H92" s="644"/>
      <c r="I92" s="45" t="s">
        <v>78</v>
      </c>
      <c r="J92" s="69">
        <f t="shared" si="50"/>
        <v>4.2106672457736811E-2</v>
      </c>
      <c r="K92" s="69">
        <f t="shared" si="51"/>
        <v>6.820280856931123E-3</v>
      </c>
      <c r="L92" s="69">
        <f t="shared" si="52"/>
        <v>5.450703846743857E-4</v>
      </c>
      <c r="M92" s="85">
        <f t="shared" si="53"/>
        <v>4.9472023699342317E-2</v>
      </c>
    </row>
    <row r="93" spans="2:13">
      <c r="B93" s="641"/>
      <c r="C93" s="45" t="s">
        <v>79</v>
      </c>
      <c r="D93" s="69">
        <f t="shared" si="54"/>
        <v>0.10561366236313123</v>
      </c>
      <c r="E93" s="69">
        <f t="shared" si="55"/>
        <v>2.1225233806008752E-2</v>
      </c>
      <c r="F93" s="69">
        <f t="shared" si="56"/>
        <v>1.4107535989224789E-3</v>
      </c>
      <c r="G93" s="85">
        <f t="shared" si="57"/>
        <v>0.12824964976806247</v>
      </c>
      <c r="H93" s="644"/>
      <c r="I93" s="45" t="s">
        <v>79</v>
      </c>
      <c r="J93" s="69">
        <f t="shared" si="50"/>
        <v>3.805795395218519E-2</v>
      </c>
      <c r="K93" s="69">
        <f t="shared" si="51"/>
        <v>6.1644846206877464E-3</v>
      </c>
      <c r="L93" s="69">
        <f t="shared" si="52"/>
        <v>4.9265977076338714E-4</v>
      </c>
      <c r="M93" s="85">
        <f t="shared" si="53"/>
        <v>4.4715098343636329E-2</v>
      </c>
    </row>
    <row r="94" spans="2:13">
      <c r="B94" s="641"/>
      <c r="C94" s="45" t="s">
        <v>80</v>
      </c>
      <c r="D94" s="69">
        <f t="shared" si="54"/>
        <v>0.10990357901617911</v>
      </c>
      <c r="E94" s="69">
        <f t="shared" si="55"/>
        <v>2.2087380633718973E-2</v>
      </c>
      <c r="F94" s="69">
        <f t="shared" si="56"/>
        <v>1.4680569365963128E-3</v>
      </c>
      <c r="G94" s="85">
        <f t="shared" si="57"/>
        <v>0.13345901658649442</v>
      </c>
      <c r="H94" s="644"/>
      <c r="I94" s="45" t="s">
        <v>80</v>
      </c>
      <c r="J94" s="69">
        <f t="shared" si="50"/>
        <v>3.9603828290668538E-2</v>
      </c>
      <c r="K94" s="69">
        <f t="shared" si="51"/>
        <v>6.4148795472533998E-3</v>
      </c>
      <c r="L94" s="69">
        <f t="shared" si="52"/>
        <v>5.1267109607485936E-4</v>
      </c>
      <c r="M94" s="85">
        <f t="shared" si="53"/>
        <v>4.6531378933996802E-2</v>
      </c>
    </row>
    <row r="95" spans="2:13">
      <c r="B95" s="641"/>
      <c r="C95" s="45" t="s">
        <v>81</v>
      </c>
      <c r="D95" s="69">
        <f t="shared" si="54"/>
        <v>0.11766628534074196</v>
      </c>
      <c r="E95" s="69">
        <f t="shared" si="55"/>
        <v>2.3647455845766038E-2</v>
      </c>
      <c r="F95" s="69">
        <f t="shared" si="56"/>
        <v>1.5717486904822976E-3</v>
      </c>
      <c r="G95" s="85">
        <f t="shared" si="57"/>
        <v>0.14288548987699029</v>
      </c>
      <c r="H95" s="644"/>
      <c r="I95" s="45" t="s">
        <v>81</v>
      </c>
      <c r="J95" s="69">
        <f t="shared" si="50"/>
        <v>4.240112471268602E-2</v>
      </c>
      <c r="K95" s="69">
        <f t="shared" si="51"/>
        <v>6.8679751286579152E-3</v>
      </c>
      <c r="L95" s="69">
        <f t="shared" si="52"/>
        <v>5.4888206568609469E-4</v>
      </c>
      <c r="M95" s="85">
        <f t="shared" si="53"/>
        <v>4.9817981907030032E-2</v>
      </c>
    </row>
    <row r="96" spans="2:13">
      <c r="B96" s="641"/>
      <c r="C96" s="45" t="s">
        <v>82</v>
      </c>
      <c r="D96" s="69">
        <f t="shared" si="54"/>
        <v>0.10254943618238274</v>
      </c>
      <c r="E96" s="69">
        <f t="shared" si="55"/>
        <v>2.0609414643358595E-2</v>
      </c>
      <c r="F96" s="69">
        <f t="shared" si="56"/>
        <v>1.3698226434411692E-3</v>
      </c>
      <c r="G96" s="85">
        <f t="shared" si="57"/>
        <v>0.1245286734691825</v>
      </c>
      <c r="H96" s="644"/>
      <c r="I96" s="45" t="s">
        <v>82</v>
      </c>
      <c r="J96" s="69">
        <f t="shared" si="50"/>
        <v>3.6953757996125658E-2</v>
      </c>
      <c r="K96" s="69">
        <f t="shared" si="51"/>
        <v>5.98563110171228E-3</v>
      </c>
      <c r="L96" s="69">
        <f t="shared" si="52"/>
        <v>4.7836596696947841E-4</v>
      </c>
      <c r="M96" s="85">
        <f t="shared" si="53"/>
        <v>4.3417755064807419E-2</v>
      </c>
    </row>
    <row r="97" spans="2:13">
      <c r="B97" s="641"/>
      <c r="C97" s="45" t="s">
        <v>83</v>
      </c>
      <c r="D97" s="69">
        <f t="shared" si="54"/>
        <v>0.10357084490929891</v>
      </c>
      <c r="E97" s="69">
        <f t="shared" si="55"/>
        <v>2.0814687697575315E-2</v>
      </c>
      <c r="F97" s="69">
        <f t="shared" si="56"/>
        <v>1.3834662952682724E-3</v>
      </c>
      <c r="G97" s="85">
        <f t="shared" si="57"/>
        <v>0.12576899890214249</v>
      </c>
      <c r="H97" s="644"/>
      <c r="I97" s="45" t="s">
        <v>83</v>
      </c>
      <c r="J97" s="69">
        <f t="shared" si="50"/>
        <v>3.7321823314812173E-2</v>
      </c>
      <c r="K97" s="69">
        <f t="shared" si="51"/>
        <v>6.0452489413707691E-3</v>
      </c>
      <c r="L97" s="69">
        <f t="shared" si="52"/>
        <v>4.8313056823411462E-4</v>
      </c>
      <c r="M97" s="85">
        <f t="shared" si="53"/>
        <v>4.385020282441706E-2</v>
      </c>
    </row>
    <row r="98" spans="2:13">
      <c r="B98" s="641"/>
      <c r="C98" s="45" t="s">
        <v>84</v>
      </c>
      <c r="D98" s="69">
        <f t="shared" si="54"/>
        <v>0.10111946396470012</v>
      </c>
      <c r="E98" s="69">
        <f t="shared" si="55"/>
        <v>2.0322032367455188E-2</v>
      </c>
      <c r="F98" s="69">
        <f t="shared" si="56"/>
        <v>1.3507215308832246E-3</v>
      </c>
      <c r="G98" s="85">
        <f t="shared" si="57"/>
        <v>0.12279221786303854</v>
      </c>
      <c r="H98" s="644"/>
      <c r="I98" s="45" t="s">
        <v>84</v>
      </c>
      <c r="J98" s="69">
        <f t="shared" si="50"/>
        <v>3.6438466549964549E-2</v>
      </c>
      <c r="K98" s="69">
        <f t="shared" si="51"/>
        <v>5.9021661261903953E-3</v>
      </c>
      <c r="L98" s="69">
        <f t="shared" si="52"/>
        <v>4.7169552519898766E-4</v>
      </c>
      <c r="M98" s="85">
        <f t="shared" si="53"/>
        <v>4.281232820135393E-2</v>
      </c>
    </row>
    <row r="99" spans="2:13">
      <c r="B99" s="641"/>
      <c r="C99" s="45" t="s">
        <v>85</v>
      </c>
      <c r="D99" s="69">
        <f t="shared" si="54"/>
        <v>0.13789017813368198</v>
      </c>
      <c r="E99" s="69">
        <f t="shared" si="55"/>
        <v>2.7711862319257076E-2</v>
      </c>
      <c r="F99" s="69">
        <f t="shared" si="56"/>
        <v>1.8418929966589426E-3</v>
      </c>
      <c r="G99" s="85">
        <f t="shared" si="57"/>
        <v>0.16744393344959799</v>
      </c>
      <c r="H99" s="644"/>
      <c r="I99" s="45" t="s">
        <v>85</v>
      </c>
      <c r="J99" s="69">
        <f t="shared" si="50"/>
        <v>4.9688818022678931E-2</v>
      </c>
      <c r="K99" s="69">
        <f t="shared" si="51"/>
        <v>8.0484083538959941E-3</v>
      </c>
      <c r="L99" s="69">
        <f>F99*H$85</f>
        <v>6.4322117072589222E-4</v>
      </c>
      <c r="M99" s="85">
        <f t="shared" si="53"/>
        <v>5.8380447547300818E-2</v>
      </c>
    </row>
    <row r="100" spans="2:13" ht="17" thickBot="1">
      <c r="B100" s="642"/>
      <c r="C100" s="77" t="s">
        <v>24</v>
      </c>
      <c r="D100" s="78">
        <f>SUM(D88:D99)</f>
        <v>1.283910769733617</v>
      </c>
      <c r="E100" s="78">
        <f>SUM(E88:E99)</f>
        <v>0.2580282291504159</v>
      </c>
      <c r="F100" s="78">
        <f>SUM(F88:F99)</f>
        <v>1.7150070346668822E-2</v>
      </c>
      <c r="G100" s="79">
        <f>SUM(G88:G99)</f>
        <v>1.5590890692307013</v>
      </c>
      <c r="H100" s="645"/>
      <c r="I100" s="77" t="s">
        <v>24</v>
      </c>
      <c r="J100" s="78">
        <f>SUM(J88:J99)</f>
        <v>0.46265810558894377</v>
      </c>
      <c r="K100" s="78">
        <f>SUM(K88:K99)</f>
        <v>7.4939624450720485E-2</v>
      </c>
      <c r="L100" s="78">
        <f>SUM(L88:L99)</f>
        <v>5.9891037896477517E-3</v>
      </c>
      <c r="M100" s="79">
        <f>SUM(J100:L100)</f>
        <v>0.54358683382931205</v>
      </c>
    </row>
    <row r="101" spans="2:13" ht="17" thickBot="1"/>
    <row r="102" spans="2:13" ht="17" thickBot="1">
      <c r="B102" s="640" t="s">
        <v>95</v>
      </c>
      <c r="C102" s="634" t="s">
        <v>221</v>
      </c>
      <c r="D102" s="636"/>
      <c r="E102" s="670" t="s">
        <v>198</v>
      </c>
      <c r="F102" s="671"/>
      <c r="G102" s="670" t="s">
        <v>183</v>
      </c>
      <c r="H102" s="671"/>
    </row>
    <row r="103" spans="2:13">
      <c r="B103" s="641"/>
      <c r="C103" s="60" t="s">
        <v>185</v>
      </c>
      <c r="D103" s="61">
        <f>'Historic Data'!DE6</f>
        <v>3219</v>
      </c>
      <c r="E103" s="60" t="s">
        <v>186</v>
      </c>
      <c r="F103" s="65">
        <v>0.67</v>
      </c>
      <c r="G103" s="60" t="s">
        <v>186</v>
      </c>
      <c r="H103" s="66">
        <f>F103/$F$46</f>
        <v>0.36035066960684131</v>
      </c>
    </row>
    <row r="104" spans="2:13">
      <c r="B104" s="641"/>
      <c r="C104" s="60" t="s">
        <v>187</v>
      </c>
      <c r="D104" s="61">
        <f>'Historic Data'!DQ6</f>
        <v>13542</v>
      </c>
      <c r="E104" s="60" t="s">
        <v>188</v>
      </c>
      <c r="F104" s="65">
        <v>0.54</v>
      </c>
      <c r="G104" s="60" t="s">
        <v>188</v>
      </c>
      <c r="H104" s="66">
        <f>F104/$F$46</f>
        <v>0.29043188296670791</v>
      </c>
    </row>
    <row r="105" spans="2:13">
      <c r="B105" s="641"/>
      <c r="C105" s="60" t="s">
        <v>200</v>
      </c>
      <c r="D105" s="62">
        <f>'Historic Data'!BT6</f>
        <v>146237</v>
      </c>
      <c r="E105" s="60" t="s">
        <v>7</v>
      </c>
      <c r="F105" s="86">
        <v>0.64929999999999999</v>
      </c>
      <c r="G105" s="60" t="s">
        <v>7</v>
      </c>
      <c r="H105" s="66">
        <f>F105/$F$46</f>
        <v>0.34921744742645083</v>
      </c>
    </row>
    <row r="106" spans="2:13" ht="17" thickBot="1">
      <c r="B106" s="641"/>
      <c r="C106" s="63" t="s">
        <v>24</v>
      </c>
      <c r="D106" s="64"/>
      <c r="E106" s="63" t="s">
        <v>24</v>
      </c>
      <c r="F106" s="87">
        <f>SUM(F103:F105)</f>
        <v>1.8593</v>
      </c>
      <c r="G106" s="63" t="s">
        <v>24</v>
      </c>
      <c r="H106" s="67">
        <f>SUM(H103:H105)</f>
        <v>1</v>
      </c>
    </row>
    <row r="107" spans="2:13" ht="17" customHeight="1" thickBot="1">
      <c r="B107" s="641"/>
      <c r="C107" s="70" t="str">
        <f>B102</f>
        <v>GV70 EV</v>
      </c>
      <c r="D107" s="71" t="s">
        <v>202</v>
      </c>
      <c r="E107" s="71" t="s">
        <v>203</v>
      </c>
      <c r="F107" s="71" t="s">
        <v>7</v>
      </c>
      <c r="G107" s="72" t="s">
        <v>24</v>
      </c>
      <c r="H107" s="643" t="s">
        <v>195</v>
      </c>
      <c r="I107" s="70" t="s">
        <v>183</v>
      </c>
      <c r="J107" s="71" t="s">
        <v>202</v>
      </c>
      <c r="K107" s="71" t="s">
        <v>203</v>
      </c>
      <c r="L107" s="71" t="s">
        <v>7</v>
      </c>
      <c r="M107" s="72" t="s">
        <v>24</v>
      </c>
    </row>
    <row r="108" spans="2:13">
      <c r="B108" s="641"/>
      <c r="C108" s="73" t="s">
        <v>74</v>
      </c>
      <c r="D108" s="69">
        <f>W3/$D$103</f>
        <v>7.7663870767319043E-3</v>
      </c>
      <c r="E108" s="69">
        <f>W3/$D$104</f>
        <v>1.8461084034854527E-3</v>
      </c>
      <c r="F108" s="69">
        <f>W3/$D$105</f>
        <v>1.7095536697279076E-4</v>
      </c>
      <c r="G108" s="84">
        <f>SUM(D108:F108)</f>
        <v>9.7834508471901487E-3</v>
      </c>
      <c r="H108" s="644"/>
      <c r="I108" s="73" t="s">
        <v>74</v>
      </c>
      <c r="J108" s="74">
        <f>D108*H$103</f>
        <v>2.7986227835262605E-3</v>
      </c>
      <c r="K108" s="74">
        <f>E108*H$104</f>
        <v>5.36168739784943E-4</v>
      </c>
      <c r="L108" s="74">
        <f>F108*H$105</f>
        <v>5.9700596878090167E-5</v>
      </c>
      <c r="M108" s="84">
        <f>SUM(J108:L108)</f>
        <v>3.3944921201892937E-3</v>
      </c>
    </row>
    <row r="109" spans="2:13">
      <c r="B109" s="641"/>
      <c r="C109" s="45" t="s">
        <v>75</v>
      </c>
      <c r="D109" s="69">
        <f>W4/$D$103</f>
        <v>7.7663870767319043E-3</v>
      </c>
      <c r="E109" s="69">
        <f>W4/$D$104</f>
        <v>1.8461084034854527E-3</v>
      </c>
      <c r="F109" s="69">
        <f>W4/$D$105</f>
        <v>1.7095536697279076E-4</v>
      </c>
      <c r="G109" s="85">
        <f>SUM(D109:F109)</f>
        <v>9.7834508471901487E-3</v>
      </c>
      <c r="H109" s="644"/>
      <c r="I109" s="45" t="s">
        <v>75</v>
      </c>
      <c r="J109" s="69">
        <f>D109*H$103</f>
        <v>2.7986227835262605E-3</v>
      </c>
      <c r="K109" s="69">
        <f>E109*H$104</f>
        <v>5.36168739784943E-4</v>
      </c>
      <c r="L109" s="69">
        <f>F109*H$105</f>
        <v>5.9700596878090167E-5</v>
      </c>
      <c r="M109" s="85">
        <f>SUM(J109:L109)</f>
        <v>3.3944921201892937E-3</v>
      </c>
    </row>
    <row r="110" spans="2:13">
      <c r="B110" s="641"/>
      <c r="C110" s="45" t="s">
        <v>76</v>
      </c>
      <c r="D110" s="69">
        <f>W5/$D$103</f>
        <v>0</v>
      </c>
      <c r="E110" s="69">
        <f t="shared" ref="E110:E119" si="58">W5/$D$104</f>
        <v>0</v>
      </c>
      <c r="F110" s="69">
        <f t="shared" ref="F110:F119" si="59">W5/$D$105</f>
        <v>0</v>
      </c>
      <c r="G110" s="85">
        <f t="shared" ref="G110:G119" si="60">SUM(D110:F110)</f>
        <v>0</v>
      </c>
      <c r="H110" s="644"/>
      <c r="I110" s="45" t="s">
        <v>76</v>
      </c>
      <c r="J110" s="69">
        <f t="shared" ref="J110:J119" si="61">D110*H$103</f>
        <v>0</v>
      </c>
      <c r="K110" s="69">
        <f t="shared" ref="K110:K119" si="62">E110*H$104</f>
        <v>0</v>
      </c>
      <c r="L110" s="69">
        <f t="shared" ref="L110:L119" si="63">F110*H$105</f>
        <v>0</v>
      </c>
      <c r="M110" s="85">
        <f t="shared" ref="M110:M119" si="64">SUM(J110:L110)</f>
        <v>0</v>
      </c>
    </row>
    <row r="111" spans="2:13">
      <c r="B111" s="641"/>
      <c r="C111" s="45" t="s">
        <v>77</v>
      </c>
      <c r="D111" s="69">
        <f t="shared" ref="D111:D119" si="65">W6/$D$103</f>
        <v>0</v>
      </c>
      <c r="E111" s="69">
        <f t="shared" si="58"/>
        <v>0</v>
      </c>
      <c r="F111" s="69">
        <f t="shared" si="59"/>
        <v>0</v>
      </c>
      <c r="G111" s="85">
        <f t="shared" si="60"/>
        <v>0</v>
      </c>
      <c r="H111" s="644"/>
      <c r="I111" s="45" t="s">
        <v>77</v>
      </c>
      <c r="J111" s="69">
        <f t="shared" si="61"/>
        <v>0</v>
      </c>
      <c r="K111" s="69">
        <f t="shared" si="62"/>
        <v>0</v>
      </c>
      <c r="L111" s="69">
        <f t="shared" si="63"/>
        <v>0</v>
      </c>
      <c r="M111" s="85">
        <f t="shared" si="64"/>
        <v>0</v>
      </c>
    </row>
    <row r="112" spans="2:13">
      <c r="B112" s="641"/>
      <c r="C112" s="45" t="s">
        <v>78</v>
      </c>
      <c r="D112" s="69">
        <f t="shared" si="65"/>
        <v>0</v>
      </c>
      <c r="E112" s="69">
        <f t="shared" si="58"/>
        <v>0</v>
      </c>
      <c r="F112" s="69">
        <f t="shared" si="59"/>
        <v>0</v>
      </c>
      <c r="G112" s="85">
        <f t="shared" si="60"/>
        <v>0</v>
      </c>
      <c r="H112" s="644"/>
      <c r="I112" s="45" t="s">
        <v>78</v>
      </c>
      <c r="J112" s="69">
        <f t="shared" si="61"/>
        <v>0</v>
      </c>
      <c r="K112" s="69">
        <f t="shared" si="62"/>
        <v>0</v>
      </c>
      <c r="L112" s="69">
        <f t="shared" si="63"/>
        <v>0</v>
      </c>
      <c r="M112" s="85">
        <f t="shared" si="64"/>
        <v>0</v>
      </c>
    </row>
    <row r="113" spans="2:13">
      <c r="B113" s="641"/>
      <c r="C113" s="45" t="s">
        <v>79</v>
      </c>
      <c r="D113" s="69">
        <f t="shared" si="65"/>
        <v>9.3196644920782844E-3</v>
      </c>
      <c r="E113" s="69">
        <f t="shared" si="58"/>
        <v>2.215330084182543E-3</v>
      </c>
      <c r="F113" s="69">
        <f t="shared" si="59"/>
        <v>2.0514644036734889E-4</v>
      </c>
      <c r="G113" s="85">
        <f t="shared" si="60"/>
        <v>1.1740141016628175E-2</v>
      </c>
      <c r="H113" s="644"/>
      <c r="I113" s="45" t="s">
        <v>79</v>
      </c>
      <c r="J113" s="69">
        <f t="shared" si="61"/>
        <v>3.3583473402315125E-3</v>
      </c>
      <c r="K113" s="69">
        <f t="shared" si="62"/>
        <v>6.4340248774193154E-4</v>
      </c>
      <c r="L113" s="69">
        <f t="shared" si="63"/>
        <v>7.1640716253708184E-5</v>
      </c>
      <c r="M113" s="85">
        <f t="shared" si="64"/>
        <v>4.0733905442271517E-3</v>
      </c>
    </row>
    <row r="114" spans="2:13">
      <c r="B114" s="641"/>
      <c r="C114" s="45" t="s">
        <v>80</v>
      </c>
      <c r="D114" s="69">
        <f>W9/$D$103</f>
        <v>4.6598322460391424E-2</v>
      </c>
      <c r="E114" s="69">
        <f t="shared" si="58"/>
        <v>1.1076650420912717E-2</v>
      </c>
      <c r="F114" s="69">
        <f t="shared" si="59"/>
        <v>1.0257322018367445E-3</v>
      </c>
      <c r="G114" s="85">
        <f t="shared" si="60"/>
        <v>5.8700705083140882E-2</v>
      </c>
      <c r="H114" s="644"/>
      <c r="I114" s="45" t="s">
        <v>80</v>
      </c>
      <c r="J114" s="69">
        <f>D114*H$103</f>
        <v>1.6791736701157564E-2</v>
      </c>
      <c r="K114" s="69">
        <f t="shared" si="62"/>
        <v>3.217012438709658E-3</v>
      </c>
      <c r="L114" s="69">
        <f t="shared" si="63"/>
        <v>3.5820358126854098E-4</v>
      </c>
      <c r="M114" s="85">
        <f t="shared" si="64"/>
        <v>2.0366952721135763E-2</v>
      </c>
    </row>
    <row r="115" spans="2:13">
      <c r="B115" s="641"/>
      <c r="C115" s="45" t="s">
        <v>81</v>
      </c>
      <c r="D115" s="69">
        <f t="shared" si="65"/>
        <v>4.3491767629698662E-2</v>
      </c>
      <c r="E115" s="69">
        <f t="shared" si="58"/>
        <v>1.0338207059518534E-2</v>
      </c>
      <c r="F115" s="69">
        <f t="shared" si="59"/>
        <v>9.5735005504762817E-4</v>
      </c>
      <c r="G115" s="85">
        <f t="shared" si="60"/>
        <v>5.4787324744264829E-2</v>
      </c>
      <c r="H115" s="644"/>
      <c r="I115" s="45" t="s">
        <v>81</v>
      </c>
      <c r="J115" s="69">
        <f t="shared" si="61"/>
        <v>1.5672287587747059E-2</v>
      </c>
      <c r="K115" s="69">
        <f t="shared" si="62"/>
        <v>3.0025449427956807E-3</v>
      </c>
      <c r="L115" s="69">
        <f t="shared" si="63"/>
        <v>3.3432334251730491E-4</v>
      </c>
      <c r="M115" s="85">
        <f t="shared" si="64"/>
        <v>1.9009155873060044E-2</v>
      </c>
    </row>
    <row r="116" spans="2:13">
      <c r="B116" s="641"/>
      <c r="C116" s="45" t="s">
        <v>82</v>
      </c>
      <c r="D116" s="69">
        <f t="shared" si="65"/>
        <v>4.3491767629698662E-2</v>
      </c>
      <c r="E116" s="69">
        <f t="shared" si="58"/>
        <v>1.0338207059518534E-2</v>
      </c>
      <c r="F116" s="69">
        <f t="shared" si="59"/>
        <v>9.5735005504762817E-4</v>
      </c>
      <c r="G116" s="85">
        <f t="shared" si="60"/>
        <v>5.4787324744264829E-2</v>
      </c>
      <c r="H116" s="644"/>
      <c r="I116" s="45" t="s">
        <v>82</v>
      </c>
      <c r="J116" s="69">
        <f t="shared" si="61"/>
        <v>1.5672287587747059E-2</v>
      </c>
      <c r="K116" s="69">
        <f t="shared" si="62"/>
        <v>3.0025449427956807E-3</v>
      </c>
      <c r="L116" s="69">
        <f t="shared" si="63"/>
        <v>3.3432334251730491E-4</v>
      </c>
      <c r="M116" s="85">
        <f t="shared" si="64"/>
        <v>1.9009155873060044E-2</v>
      </c>
    </row>
    <row r="117" spans="2:13">
      <c r="B117" s="641"/>
      <c r="C117" s="45" t="s">
        <v>83</v>
      </c>
      <c r="D117" s="69">
        <f t="shared" si="65"/>
        <v>4.8151599875737805E-2</v>
      </c>
      <c r="E117" s="69">
        <f t="shared" si="58"/>
        <v>1.1445872101609807E-2</v>
      </c>
      <c r="F117" s="69">
        <f t="shared" si="59"/>
        <v>1.0599232752313025E-3</v>
      </c>
      <c r="G117" s="85">
        <f t="shared" si="60"/>
        <v>6.0657395252578912E-2</v>
      </c>
      <c r="H117" s="644"/>
      <c r="I117" s="45" t="s">
        <v>83</v>
      </c>
      <c r="J117" s="69">
        <f t="shared" si="61"/>
        <v>1.7351461257862816E-2</v>
      </c>
      <c r="K117" s="69">
        <f t="shared" si="62"/>
        <v>3.3242461866666464E-3</v>
      </c>
      <c r="L117" s="69">
        <f t="shared" si="63"/>
        <v>3.7014370064415898E-4</v>
      </c>
      <c r="M117" s="85">
        <f t="shared" si="64"/>
        <v>2.1045851145173624E-2</v>
      </c>
    </row>
    <row r="118" spans="2:13">
      <c r="B118" s="641"/>
      <c r="C118" s="45" t="s">
        <v>84</v>
      </c>
      <c r="D118" s="69">
        <f t="shared" si="65"/>
        <v>4.1938490214352281E-2</v>
      </c>
      <c r="E118" s="69">
        <f t="shared" si="58"/>
        <v>9.9689853788214444E-3</v>
      </c>
      <c r="F118" s="69">
        <f t="shared" si="59"/>
        <v>9.2315898165307002E-4</v>
      </c>
      <c r="G118" s="85">
        <f t="shared" si="60"/>
        <v>5.2830634574826799E-2</v>
      </c>
      <c r="H118" s="644"/>
      <c r="I118" s="45" t="s">
        <v>84</v>
      </c>
      <c r="J118" s="69">
        <f t="shared" si="61"/>
        <v>1.5112563031041807E-2</v>
      </c>
      <c r="K118" s="69">
        <f t="shared" si="62"/>
        <v>2.8953111948386919E-3</v>
      </c>
      <c r="L118" s="69">
        <f t="shared" si="63"/>
        <v>3.2238322314168686E-4</v>
      </c>
      <c r="M118" s="85">
        <f t="shared" si="64"/>
        <v>1.8330257449022187E-2</v>
      </c>
    </row>
    <row r="119" spans="2:13">
      <c r="B119" s="641"/>
      <c r="C119" s="45" t="s">
        <v>85</v>
      </c>
      <c r="D119" s="69">
        <f t="shared" si="65"/>
        <v>5.2811432121776948E-2</v>
      </c>
      <c r="E119" s="69">
        <f t="shared" si="58"/>
        <v>1.2553537143701079E-2</v>
      </c>
      <c r="F119" s="69">
        <f t="shared" si="59"/>
        <v>1.1624964954149771E-3</v>
      </c>
      <c r="G119" s="85">
        <f t="shared" si="60"/>
        <v>6.6527465760892995E-2</v>
      </c>
      <c r="H119" s="644"/>
      <c r="I119" s="45" t="s">
        <v>85</v>
      </c>
      <c r="J119" s="69">
        <f t="shared" si="61"/>
        <v>1.903063492797857E-2</v>
      </c>
      <c r="K119" s="69">
        <f t="shared" si="62"/>
        <v>3.6459474305376126E-3</v>
      </c>
      <c r="L119" s="69">
        <f t="shared" si="63"/>
        <v>4.059640587710131E-4</v>
      </c>
      <c r="M119" s="85">
        <f t="shared" si="64"/>
        <v>2.3082546417287197E-2</v>
      </c>
    </row>
    <row r="120" spans="2:13" ht="17" thickBot="1">
      <c r="B120" s="642"/>
      <c r="C120" s="77" t="s">
        <v>24</v>
      </c>
      <c r="D120" s="78">
        <f>SUM(D108:D119)</f>
        <v>0.30133581857719788</v>
      </c>
      <c r="E120" s="78">
        <f>SUM(E108:E119)</f>
        <v>7.1629006055235561E-2</v>
      </c>
      <c r="F120" s="78">
        <f>SUM(F108:F119)</f>
        <v>6.6330682385442805E-3</v>
      </c>
      <c r="G120" s="79">
        <f>SUM(G108:G119)</f>
        <v>0.37959789287097767</v>
      </c>
      <c r="H120" s="645"/>
      <c r="I120" s="77" t="s">
        <v>24</v>
      </c>
      <c r="J120" s="78">
        <f>SUM(J108:J119)</f>
        <v>0.10858656400081891</v>
      </c>
      <c r="K120" s="78">
        <f>SUM(K108:K119)</f>
        <v>2.0803347103655789E-2</v>
      </c>
      <c r="L120" s="78">
        <f>SUM(L108:L119)</f>
        <v>2.3163831588698986E-3</v>
      </c>
      <c r="M120" s="79">
        <f>SUM(J120:L120)</f>
        <v>0.1317062942633446</v>
      </c>
    </row>
    <row r="121" spans="2:13" ht="17" thickBot="1"/>
    <row r="122" spans="2:13" ht="17" thickBot="1">
      <c r="B122" s="640" t="s">
        <v>88</v>
      </c>
      <c r="C122" s="634" t="s">
        <v>221</v>
      </c>
      <c r="D122" s="636"/>
      <c r="E122" s="670" t="s">
        <v>198</v>
      </c>
      <c r="F122" s="671"/>
      <c r="G122" s="670" t="s">
        <v>183</v>
      </c>
      <c r="H122" s="671"/>
    </row>
    <row r="123" spans="2:13">
      <c r="B123" s="641"/>
      <c r="C123" s="60" t="s">
        <v>185</v>
      </c>
      <c r="D123" s="61">
        <f>'Historic Data'!DI6</f>
        <v>9364</v>
      </c>
      <c r="E123" s="60" t="s">
        <v>186</v>
      </c>
      <c r="F123" s="65">
        <v>0.67</v>
      </c>
      <c r="G123" s="60" t="s">
        <v>186</v>
      </c>
      <c r="H123" s="66">
        <f>F123/$F$46</f>
        <v>0.36035066960684131</v>
      </c>
    </row>
    <row r="124" spans="2:13">
      <c r="B124" s="641"/>
      <c r="C124" s="60" t="s">
        <v>187</v>
      </c>
      <c r="D124" s="61">
        <f>'Historic Data'!DU6</f>
        <v>67368</v>
      </c>
      <c r="E124" s="60" t="s">
        <v>188</v>
      </c>
      <c r="F124" s="65">
        <v>0.54</v>
      </c>
      <c r="G124" s="60" t="s">
        <v>188</v>
      </c>
      <c r="H124" s="66">
        <f>F124/$F$46</f>
        <v>0.29043188296670791</v>
      </c>
    </row>
    <row r="125" spans="2:13">
      <c r="B125" s="641"/>
      <c r="C125" s="60" t="s">
        <v>200</v>
      </c>
      <c r="D125" s="62">
        <f>'Historic Data'!BX6</f>
        <v>930339</v>
      </c>
      <c r="E125" s="60" t="s">
        <v>7</v>
      </c>
      <c r="F125" s="86">
        <v>0.64929999999999999</v>
      </c>
      <c r="G125" s="60" t="s">
        <v>7</v>
      </c>
      <c r="H125" s="66">
        <f>F125/$F$46</f>
        <v>0.34921744742645083</v>
      </c>
    </row>
    <row r="126" spans="2:13" ht="17" thickBot="1">
      <c r="B126" s="641"/>
      <c r="C126" s="63" t="s">
        <v>24</v>
      </c>
      <c r="D126" s="64"/>
      <c r="E126" s="63" t="s">
        <v>24</v>
      </c>
      <c r="F126" s="87">
        <f>SUM(F123:F125)</f>
        <v>1.8593</v>
      </c>
      <c r="G126" s="63" t="s">
        <v>24</v>
      </c>
      <c r="H126" s="67">
        <f>SUM(H123:H125)</f>
        <v>1</v>
      </c>
    </row>
    <row r="127" spans="2:13" ht="17" thickBot="1">
      <c r="B127" s="641"/>
      <c r="C127" s="70" t="str">
        <f>B122</f>
        <v>G70</v>
      </c>
      <c r="D127" s="71" t="s">
        <v>202</v>
      </c>
      <c r="E127" s="71" t="s">
        <v>203</v>
      </c>
      <c r="F127" s="71" t="s">
        <v>7</v>
      </c>
      <c r="G127" s="72" t="s">
        <v>24</v>
      </c>
      <c r="H127" s="643" t="s">
        <v>195</v>
      </c>
      <c r="I127" s="70" t="s">
        <v>183</v>
      </c>
      <c r="J127" s="71" t="s">
        <v>202</v>
      </c>
      <c r="K127" s="71" t="s">
        <v>203</v>
      </c>
      <c r="L127" s="71" t="s">
        <v>7</v>
      </c>
      <c r="M127" s="72" t="s">
        <v>24</v>
      </c>
    </row>
    <row r="128" spans="2:13">
      <c r="B128" s="641"/>
      <c r="C128" s="73" t="s">
        <v>74</v>
      </c>
      <c r="D128" s="69">
        <f>Q3/$D$123</f>
        <v>6.3007261853908592E-2</v>
      </c>
      <c r="E128" s="69">
        <f>Q3/$D$124</f>
        <v>8.7578672366702293E-3</v>
      </c>
      <c r="F128" s="69">
        <f>Q3/$D$125</f>
        <v>6.341774342470863E-4</v>
      </c>
      <c r="G128" s="85">
        <f>SUM(D128:F128)</f>
        <v>7.2399306524825902E-2</v>
      </c>
      <c r="H128" s="644"/>
      <c r="I128" s="73" t="s">
        <v>74</v>
      </c>
      <c r="J128" s="74">
        <f>D128*H$123</f>
        <v>2.2704708999149552E-2</v>
      </c>
      <c r="K128" s="74">
        <f>E128*H$124</f>
        <v>2.5435638723185737E-3</v>
      </c>
      <c r="L128" s="74">
        <f>F128*H$125</f>
        <v>2.2146582480322334E-4</v>
      </c>
      <c r="M128" s="84">
        <f>SUM(J128:L128)</f>
        <v>2.5469738696271348E-2</v>
      </c>
    </row>
    <row r="129" spans="2:13">
      <c r="B129" s="641"/>
      <c r="C129" s="45" t="s">
        <v>75</v>
      </c>
      <c r="D129" s="69">
        <f>Q4/$D$123</f>
        <v>6.1939342161469457E-2</v>
      </c>
      <c r="E129" s="69">
        <f>Q4/$D$124</f>
        <v>8.6094288089300555E-3</v>
      </c>
      <c r="F129" s="69">
        <f>Q4/$D$125</f>
        <v>6.2342866417510173E-4</v>
      </c>
      <c r="G129" s="85">
        <f>SUM(D129:F129)</f>
        <v>7.1172199634574607E-2</v>
      </c>
      <c r="H129" s="644"/>
      <c r="I129" s="45" t="s">
        <v>75</v>
      </c>
      <c r="J129" s="69">
        <f>D129*H$123</f>
        <v>2.2319883422892775E-2</v>
      </c>
      <c r="K129" s="69">
        <f>E129*H$124</f>
        <v>2.5004526202453774E-3</v>
      </c>
      <c r="L129" s="69">
        <f>F129*H$125</f>
        <v>2.1771216675571105E-4</v>
      </c>
      <c r="M129" s="85">
        <f>SUM(J129:L129)</f>
        <v>2.5038048209893863E-2</v>
      </c>
    </row>
    <row r="130" spans="2:13">
      <c r="B130" s="641"/>
      <c r="C130" s="45" t="s">
        <v>76</v>
      </c>
      <c r="D130" s="69">
        <f t="shared" ref="D130:D139" si="66">Q5/$D$123</f>
        <v>8.0093976932934643E-2</v>
      </c>
      <c r="E130" s="69">
        <f t="shared" ref="E130:E139" si="67">Q5/$D$124</f>
        <v>1.1132882080513003E-2</v>
      </c>
      <c r="F130" s="69">
        <f t="shared" ref="F130:F138" si="68">Q5/$D$125</f>
        <v>8.0615775539883848E-4</v>
      </c>
      <c r="G130" s="85">
        <f t="shared" ref="G130:G139" si="69">SUM(D130:F130)</f>
        <v>9.2033016768846496E-2</v>
      </c>
      <c r="H130" s="644"/>
      <c r="I130" s="45" t="s">
        <v>76</v>
      </c>
      <c r="J130" s="69">
        <f t="shared" ref="J130:J139" si="70">D130*H$123</f>
        <v>2.88619182192579E-2</v>
      </c>
      <c r="K130" s="69">
        <f t="shared" ref="K130:K139" si="71">E130*H$124</f>
        <v>3.2333439054897119E-3</v>
      </c>
      <c r="L130" s="69">
        <f t="shared" ref="L130:L139" si="72">F130*H$125</f>
        <v>2.8152435356341949E-4</v>
      </c>
      <c r="M130" s="85">
        <f t="shared" ref="M130:M139" si="73">SUM(J130:L130)</f>
        <v>3.2376786478311034E-2</v>
      </c>
    </row>
    <row r="131" spans="2:13">
      <c r="B131" s="641"/>
      <c r="C131" s="45" t="s">
        <v>77</v>
      </c>
      <c r="D131" s="69">
        <f t="shared" si="66"/>
        <v>7.4754378470739E-2</v>
      </c>
      <c r="E131" s="69">
        <f t="shared" si="67"/>
        <v>1.0390689941812137E-2</v>
      </c>
      <c r="F131" s="69">
        <f t="shared" si="68"/>
        <v>7.5241390503891594E-4</v>
      </c>
      <c r="G131" s="85">
        <f t="shared" si="69"/>
        <v>8.5897482317590049E-2</v>
      </c>
      <c r="H131" s="644"/>
      <c r="I131" s="45" t="s">
        <v>77</v>
      </c>
      <c r="J131" s="69">
        <f t="shared" si="70"/>
        <v>2.6937790337974041E-2</v>
      </c>
      <c r="K131" s="69">
        <f t="shared" si="71"/>
        <v>3.0177876451237314E-3</v>
      </c>
      <c r="L131" s="69">
        <f t="shared" si="72"/>
        <v>2.6275606332585818E-4</v>
      </c>
      <c r="M131" s="85">
        <f t="shared" si="73"/>
        <v>3.0218334046423632E-2</v>
      </c>
    </row>
    <row r="132" spans="2:13">
      <c r="B132" s="641"/>
      <c r="C132" s="45" t="s">
        <v>78</v>
      </c>
      <c r="D132" s="69">
        <f t="shared" si="66"/>
        <v>8.3297736010252033E-2</v>
      </c>
      <c r="E132" s="69">
        <f t="shared" si="67"/>
        <v>1.1578197363733523E-2</v>
      </c>
      <c r="F132" s="69">
        <f t="shared" si="68"/>
        <v>8.3840406561479198E-4</v>
      </c>
      <c r="G132" s="85">
        <f t="shared" si="69"/>
        <v>9.5714337439600353E-2</v>
      </c>
      <c r="H132" s="644"/>
      <c r="I132" s="45" t="s">
        <v>78</v>
      </c>
      <c r="J132" s="69">
        <f t="shared" si="70"/>
        <v>3.0016394948028217E-2</v>
      </c>
      <c r="K132" s="69">
        <f t="shared" si="71"/>
        <v>3.3626776617093003E-3</v>
      </c>
      <c r="L132" s="69">
        <f t="shared" si="72"/>
        <v>2.9278532770595623E-4</v>
      </c>
      <c r="M132" s="85">
        <f t="shared" si="73"/>
        <v>3.3671857937443476E-2</v>
      </c>
    </row>
    <row r="133" spans="2:13">
      <c r="B133" s="641"/>
      <c r="C133" s="45" t="s">
        <v>79</v>
      </c>
      <c r="D133" s="69">
        <f t="shared" si="66"/>
        <v>7.4754378470739E-2</v>
      </c>
      <c r="E133" s="69">
        <f t="shared" si="67"/>
        <v>1.0390689941812137E-2</v>
      </c>
      <c r="F133" s="69">
        <f t="shared" si="68"/>
        <v>7.5241390503891594E-4</v>
      </c>
      <c r="G133" s="85">
        <f t="shared" si="69"/>
        <v>8.5897482317590049E-2</v>
      </c>
      <c r="H133" s="644"/>
      <c r="I133" s="45" t="s">
        <v>79</v>
      </c>
      <c r="J133" s="69">
        <f t="shared" si="70"/>
        <v>2.6937790337974041E-2</v>
      </c>
      <c r="K133" s="69">
        <f t="shared" si="71"/>
        <v>3.0177876451237314E-3</v>
      </c>
      <c r="L133" s="69">
        <f t="shared" si="72"/>
        <v>2.6275606332585818E-4</v>
      </c>
      <c r="M133" s="85">
        <f t="shared" si="73"/>
        <v>3.0218334046423632E-2</v>
      </c>
    </row>
    <row r="134" spans="2:13">
      <c r="B134" s="641"/>
      <c r="C134" s="45" t="s">
        <v>80</v>
      </c>
      <c r="D134" s="69">
        <f t="shared" si="66"/>
        <v>7.7958137548056389E-2</v>
      </c>
      <c r="E134" s="69">
        <f t="shared" si="67"/>
        <v>1.0836005225032657E-2</v>
      </c>
      <c r="F134" s="69">
        <f t="shared" si="68"/>
        <v>7.8466021525486944E-4</v>
      </c>
      <c r="G134" s="85">
        <f t="shared" si="69"/>
        <v>8.957880298834392E-2</v>
      </c>
      <c r="H134" s="644"/>
      <c r="I134" s="45" t="s">
        <v>80</v>
      </c>
      <c r="J134" s="69">
        <f t="shared" si="70"/>
        <v>2.8092267066744357E-2</v>
      </c>
      <c r="K134" s="69">
        <f t="shared" si="71"/>
        <v>3.1471214013433198E-3</v>
      </c>
      <c r="L134" s="69">
        <f t="shared" si="72"/>
        <v>2.7401703746839497E-4</v>
      </c>
      <c r="M134" s="85">
        <f t="shared" si="73"/>
        <v>3.1513405505556071E-2</v>
      </c>
    </row>
    <row r="135" spans="2:13">
      <c r="B135" s="641"/>
      <c r="C135" s="45" t="s">
        <v>81</v>
      </c>
      <c r="D135" s="69">
        <f t="shared" si="66"/>
        <v>7.6890217855617254E-2</v>
      </c>
      <c r="E135" s="69">
        <f t="shared" si="67"/>
        <v>1.0687566797292483E-2</v>
      </c>
      <c r="F135" s="69">
        <f t="shared" si="68"/>
        <v>7.7391144518288498E-4</v>
      </c>
      <c r="G135" s="85">
        <f t="shared" si="69"/>
        <v>8.8351696098092611E-2</v>
      </c>
      <c r="H135" s="644"/>
      <c r="I135" s="45" t="s">
        <v>81</v>
      </c>
      <c r="J135" s="69">
        <f t="shared" si="70"/>
        <v>2.7707441490487584E-2</v>
      </c>
      <c r="K135" s="69">
        <f t="shared" si="71"/>
        <v>3.1040101492701235E-3</v>
      </c>
      <c r="L135" s="69">
        <f t="shared" si="72"/>
        <v>2.702633794208827E-4</v>
      </c>
      <c r="M135" s="85">
        <f t="shared" si="73"/>
        <v>3.1081715019178592E-2</v>
      </c>
    </row>
    <row r="136" spans="2:13">
      <c r="B136" s="641"/>
      <c r="C136" s="45" t="s">
        <v>82</v>
      </c>
      <c r="D136" s="69">
        <f t="shared" si="66"/>
        <v>7.5822298163178134E-2</v>
      </c>
      <c r="E136" s="69">
        <f t="shared" si="67"/>
        <v>1.0539128369552309E-2</v>
      </c>
      <c r="F136" s="69">
        <f t="shared" si="68"/>
        <v>7.6316267511090041E-4</v>
      </c>
      <c r="G136" s="85">
        <f t="shared" si="69"/>
        <v>8.7124589207841344E-2</v>
      </c>
      <c r="H136" s="644"/>
      <c r="I136" s="45" t="s">
        <v>82</v>
      </c>
      <c r="J136" s="69">
        <f t="shared" si="70"/>
        <v>2.7322615914230814E-2</v>
      </c>
      <c r="K136" s="69">
        <f t="shared" si="71"/>
        <v>3.0608988971969273E-3</v>
      </c>
      <c r="L136" s="69">
        <f t="shared" si="72"/>
        <v>2.6650972137337044E-4</v>
      </c>
      <c r="M136" s="85">
        <f t="shared" si="73"/>
        <v>3.065002453280111E-2</v>
      </c>
    </row>
    <row r="137" spans="2:13">
      <c r="B137" s="641"/>
      <c r="C137" s="45" t="s">
        <v>83</v>
      </c>
      <c r="D137" s="69">
        <f t="shared" si="66"/>
        <v>7.8492097394275956E-2</v>
      </c>
      <c r="E137" s="69">
        <f t="shared" si="67"/>
        <v>1.0910224438902744E-2</v>
      </c>
      <c r="F137" s="69">
        <f t="shared" si="68"/>
        <v>7.9003460029086173E-4</v>
      </c>
      <c r="G137" s="85">
        <f t="shared" si="69"/>
        <v>9.0192356433469567E-2</v>
      </c>
      <c r="H137" s="644"/>
      <c r="I137" s="45" t="s">
        <v>83</v>
      </c>
      <c r="J137" s="69">
        <f t="shared" si="70"/>
        <v>2.8284679854872746E-2</v>
      </c>
      <c r="K137" s="69">
        <f t="shared" si="71"/>
        <v>3.1686770273799182E-3</v>
      </c>
      <c r="L137" s="69">
        <f t="shared" si="72"/>
        <v>2.7589386649215112E-4</v>
      </c>
      <c r="M137" s="85">
        <f t="shared" si="73"/>
        <v>3.172925074874481E-2</v>
      </c>
    </row>
    <row r="138" spans="2:13">
      <c r="B138" s="641"/>
      <c r="C138" s="45" t="s">
        <v>84</v>
      </c>
      <c r="D138" s="69">
        <f t="shared" si="66"/>
        <v>6.6211020931225967E-2</v>
      </c>
      <c r="E138" s="69">
        <f t="shared" si="67"/>
        <v>9.2031825198907492E-3</v>
      </c>
      <c r="F138" s="69">
        <f t="shared" si="68"/>
        <v>6.664237444630398E-4</v>
      </c>
      <c r="G138" s="85">
        <f t="shared" si="69"/>
        <v>7.6080627195579759E-2</v>
      </c>
      <c r="H138" s="644"/>
      <c r="I138" s="45" t="s">
        <v>84</v>
      </c>
      <c r="J138" s="69">
        <f t="shared" si="70"/>
        <v>2.3859185727919861E-2</v>
      </c>
      <c r="K138" s="69">
        <f t="shared" si="71"/>
        <v>2.6728976285381621E-3</v>
      </c>
      <c r="L138" s="69">
        <f>F138*H$125</f>
        <v>2.327267989457601E-4</v>
      </c>
      <c r="M138" s="85">
        <f t="shared" si="73"/>
        <v>2.6764810155403784E-2</v>
      </c>
    </row>
    <row r="139" spans="2:13">
      <c r="B139" s="641"/>
      <c r="C139" s="45" t="s">
        <v>85</v>
      </c>
      <c r="D139" s="69">
        <f t="shared" si="66"/>
        <v>8.3297736010252033E-2</v>
      </c>
      <c r="E139" s="69">
        <f t="shared" si="67"/>
        <v>1.1578197363733523E-2</v>
      </c>
      <c r="F139" s="69">
        <f>Q14/$D$125</f>
        <v>8.3840406561479198E-4</v>
      </c>
      <c r="G139" s="85">
        <f t="shared" si="69"/>
        <v>9.5714337439600353E-2</v>
      </c>
      <c r="H139" s="644"/>
      <c r="I139" s="45" t="s">
        <v>85</v>
      </c>
      <c r="J139" s="69">
        <f t="shared" si="70"/>
        <v>3.0016394948028217E-2</v>
      </c>
      <c r="K139" s="69">
        <f t="shared" si="71"/>
        <v>3.3626776617093003E-3</v>
      </c>
      <c r="L139" s="69">
        <f t="shared" si="72"/>
        <v>2.9278532770595623E-4</v>
      </c>
      <c r="M139" s="85">
        <f t="shared" si="73"/>
        <v>3.3671857937443476E-2</v>
      </c>
    </row>
    <row r="140" spans="2:13" ht="17" thickBot="1">
      <c r="B140" s="642"/>
      <c r="C140" s="77" t="s">
        <v>24</v>
      </c>
      <c r="D140" s="78">
        <f>SUM(D128:D139)</f>
        <v>0.89651858180264843</v>
      </c>
      <c r="E140" s="78">
        <f>SUM(E128:E139)</f>
        <v>0.12461406008787555</v>
      </c>
      <c r="F140" s="78">
        <f>SUM(F128:F139)</f>
        <v>9.0235924754309988E-3</v>
      </c>
      <c r="G140" s="79">
        <f>SUM(G128:G139)</f>
        <v>1.0301562343659549</v>
      </c>
      <c r="H140" s="645"/>
      <c r="I140" s="77" t="s">
        <v>24</v>
      </c>
      <c r="J140" s="78">
        <f>SUM(J128:J139)</f>
        <v>0.32306107126756012</v>
      </c>
      <c r="K140" s="78">
        <f>SUM(K128:K139)</f>
        <v>3.619189611544818E-2</v>
      </c>
      <c r="L140" s="78">
        <f>SUM(L128:L139)</f>
        <v>3.1511959308865422E-3</v>
      </c>
      <c r="M140" s="79">
        <f>SUM(J140:L140)</f>
        <v>0.3624041633138948</v>
      </c>
    </row>
    <row r="141" spans="2:13" ht="17" thickBot="1"/>
    <row r="142" spans="2:13" ht="17" thickBot="1">
      <c r="B142" s="640" t="s">
        <v>93</v>
      </c>
      <c r="C142" s="634" t="s">
        <v>221</v>
      </c>
      <c r="D142" s="636"/>
      <c r="E142" s="670" t="s">
        <v>198</v>
      </c>
      <c r="F142" s="671"/>
      <c r="G142" s="670" t="s">
        <v>183</v>
      </c>
      <c r="H142" s="671"/>
    </row>
    <row r="143" spans="2:13">
      <c r="B143" s="641"/>
      <c r="C143" s="60" t="s">
        <v>185</v>
      </c>
      <c r="D143" s="61">
        <f>'Historic Data'!DH6</f>
        <v>2307</v>
      </c>
      <c r="E143" s="60" t="s">
        <v>186</v>
      </c>
      <c r="F143" s="65">
        <v>0.67</v>
      </c>
      <c r="G143" s="60" t="s">
        <v>186</v>
      </c>
      <c r="H143" s="66">
        <f>F143/$F$46</f>
        <v>0.36035066960684131</v>
      </c>
    </row>
    <row r="144" spans="2:13">
      <c r="B144" s="641"/>
      <c r="C144" s="60" t="s">
        <v>187</v>
      </c>
      <c r="D144" s="61">
        <f>'Historic Data'!DT6</f>
        <v>12155</v>
      </c>
      <c r="E144" s="60" t="s">
        <v>188</v>
      </c>
      <c r="F144" s="65">
        <v>0.54</v>
      </c>
      <c r="G144" s="60" t="s">
        <v>188</v>
      </c>
      <c r="H144" s="66">
        <f>F144/$F$46</f>
        <v>0.29043188296670791</v>
      </c>
    </row>
    <row r="145" spans="2:13">
      <c r="B145" s="641"/>
      <c r="C145" s="60" t="s">
        <v>200</v>
      </c>
      <c r="D145" s="62">
        <f>'Historic Data'!BW6</f>
        <v>158401</v>
      </c>
      <c r="E145" s="60" t="s">
        <v>7</v>
      </c>
      <c r="F145" s="86">
        <v>0.64929999999999999</v>
      </c>
      <c r="G145" s="60" t="s">
        <v>7</v>
      </c>
      <c r="H145" s="66">
        <f>F145/$F$46</f>
        <v>0.34921744742645083</v>
      </c>
    </row>
    <row r="146" spans="2:13" ht="17" thickBot="1">
      <c r="B146" s="641"/>
      <c r="C146" s="63" t="s">
        <v>24</v>
      </c>
      <c r="D146" s="64"/>
      <c r="E146" s="63" t="s">
        <v>24</v>
      </c>
      <c r="F146" s="87">
        <f>SUM(F143:F145)</f>
        <v>1.8593</v>
      </c>
      <c r="G146" s="63" t="s">
        <v>24</v>
      </c>
      <c r="H146" s="67">
        <f>SUM(H143:H145)</f>
        <v>1</v>
      </c>
    </row>
    <row r="147" spans="2:13" ht="17" thickBot="1">
      <c r="B147" s="641"/>
      <c r="C147" s="70" t="str">
        <f>B142</f>
        <v>GV60</v>
      </c>
      <c r="D147" s="71" t="s">
        <v>202</v>
      </c>
      <c r="E147" s="71" t="s">
        <v>203</v>
      </c>
      <c r="F147" s="71" t="s">
        <v>7</v>
      </c>
      <c r="G147" s="72" t="s">
        <v>24</v>
      </c>
      <c r="H147" s="643" t="s">
        <v>195</v>
      </c>
      <c r="I147" s="70" t="s">
        <v>183</v>
      </c>
      <c r="J147" s="71" t="s">
        <v>202</v>
      </c>
      <c r="K147" s="71" t="s">
        <v>203</v>
      </c>
      <c r="L147" s="71" t="s">
        <v>7</v>
      </c>
      <c r="M147" s="72" t="s">
        <v>24</v>
      </c>
    </row>
    <row r="148" spans="2:13">
      <c r="B148" s="641"/>
      <c r="C148" s="73" t="s">
        <v>74</v>
      </c>
      <c r="D148" s="74">
        <f>U3/$D$143</f>
        <v>8.6692674469007365E-3</v>
      </c>
      <c r="E148" s="69">
        <f>U3/$D$144</f>
        <v>1.6454134101192926E-3</v>
      </c>
      <c r="F148" s="69">
        <f>U3/$D$145</f>
        <v>1.2626182915511896E-4</v>
      </c>
      <c r="G148" s="84">
        <f>SUM(D148:F148)</f>
        <v>1.0440942686175148E-2</v>
      </c>
      <c r="H148" s="644"/>
      <c r="I148" s="73" t="s">
        <v>74</v>
      </c>
      <c r="J148" s="74">
        <f>D148*H$143</f>
        <v>3.123976329491472E-3</v>
      </c>
      <c r="K148" s="74">
        <f>E148*H$144</f>
        <v>4.7788051495961816E-4</v>
      </c>
      <c r="L148" s="74">
        <f>F148*H$145</f>
        <v>4.4092833684945274E-5</v>
      </c>
      <c r="M148" s="84">
        <f>SUM(J148:L148)</f>
        <v>3.6459496781360355E-3</v>
      </c>
    </row>
    <row r="149" spans="2:13">
      <c r="B149" s="641"/>
      <c r="C149" s="45" t="s">
        <v>75</v>
      </c>
      <c r="D149" s="69">
        <f>U4/$D$143</f>
        <v>3.6844386649328133E-2</v>
      </c>
      <c r="E149" s="69">
        <f>U4/$D$144</f>
        <v>6.993006993006993E-3</v>
      </c>
      <c r="F149" s="69">
        <f>U4/$D$145</f>
        <v>5.3661277390925559E-4</v>
      </c>
      <c r="G149" s="85">
        <f>SUM(D149:F149)</f>
        <v>4.437400641624438E-2</v>
      </c>
      <c r="H149" s="644"/>
      <c r="I149" s="45" t="s">
        <v>75</v>
      </c>
      <c r="J149" s="69">
        <f>D149*H$143</f>
        <v>1.3276899400338757E-2</v>
      </c>
      <c r="K149" s="69">
        <f>E149*H$144</f>
        <v>2.030992188578377E-3</v>
      </c>
      <c r="L149" s="69">
        <f>F149*H$145</f>
        <v>1.873945431610174E-4</v>
      </c>
      <c r="M149" s="85">
        <f>SUM(J149:L149)</f>
        <v>1.5495286132078151E-2</v>
      </c>
    </row>
    <row r="150" spans="2:13">
      <c r="B150" s="641"/>
      <c r="C150" s="45" t="s">
        <v>76</v>
      </c>
      <c r="D150" s="69">
        <f t="shared" ref="D150:D159" si="74">U5/$D$143</f>
        <v>5.2015604681404419E-2</v>
      </c>
      <c r="E150" s="69">
        <f t="shared" ref="E150:E159" si="75">U5/$D$144</f>
        <v>9.8724804607157549E-3</v>
      </c>
      <c r="F150" s="69">
        <f t="shared" ref="F150:F159" si="76">U5/$D$145</f>
        <v>7.575709749307138E-4</v>
      </c>
      <c r="G150" s="85">
        <f t="shared" ref="G150:G159" si="77">SUM(D150:F150)</f>
        <v>6.2645656117050891E-2</v>
      </c>
      <c r="H150" s="644"/>
      <c r="I150" s="45" t="s">
        <v>76</v>
      </c>
      <c r="J150" s="69">
        <f t="shared" ref="J150:J159" si="78">D150*H$143</f>
        <v>1.8743857976948834E-2</v>
      </c>
      <c r="K150" s="69">
        <f t="shared" ref="K150:K159" si="79">E150*H$144</f>
        <v>2.8672830897577086E-3</v>
      </c>
      <c r="L150" s="69">
        <f t="shared" ref="L150:L159" si="80">F150*H$145</f>
        <v>2.6455700210967166E-4</v>
      </c>
      <c r="M150" s="85">
        <f t="shared" ref="M150:M159" si="81">SUM(J150:L150)</f>
        <v>2.1875698068816216E-2</v>
      </c>
    </row>
    <row r="151" spans="2:13">
      <c r="B151" s="641"/>
      <c r="C151" s="45" t="s">
        <v>77</v>
      </c>
      <c r="D151" s="69">
        <f t="shared" si="74"/>
        <v>5.2015604681404419E-2</v>
      </c>
      <c r="E151" s="69">
        <f t="shared" si="75"/>
        <v>9.8724804607157549E-3</v>
      </c>
      <c r="F151" s="69">
        <f t="shared" si="76"/>
        <v>7.575709749307138E-4</v>
      </c>
      <c r="G151" s="85">
        <f t="shared" si="77"/>
        <v>6.2645656117050891E-2</v>
      </c>
      <c r="H151" s="644"/>
      <c r="I151" s="45" t="s">
        <v>77</v>
      </c>
      <c r="J151" s="69">
        <f t="shared" si="78"/>
        <v>1.8743857976948834E-2</v>
      </c>
      <c r="K151" s="69">
        <f t="shared" si="79"/>
        <v>2.8672830897577086E-3</v>
      </c>
      <c r="L151" s="69">
        <f t="shared" si="80"/>
        <v>2.6455700210967166E-4</v>
      </c>
      <c r="M151" s="85">
        <f t="shared" si="81"/>
        <v>2.1875698068816216E-2</v>
      </c>
    </row>
    <row r="152" spans="2:13">
      <c r="B152" s="641"/>
      <c r="C152" s="45" t="s">
        <v>78</v>
      </c>
      <c r="D152" s="69">
        <f t="shared" si="74"/>
        <v>6.5019505851755532E-2</v>
      </c>
      <c r="E152" s="69">
        <f t="shared" si="75"/>
        <v>1.2340600575894693E-2</v>
      </c>
      <c r="F152" s="69">
        <f t="shared" si="76"/>
        <v>9.4696371866339224E-4</v>
      </c>
      <c r="G152" s="85">
        <f t="shared" si="77"/>
        <v>7.830707014631362E-2</v>
      </c>
      <c r="H152" s="644"/>
      <c r="I152" s="45" t="s">
        <v>78</v>
      </c>
      <c r="J152" s="69">
        <f t="shared" si="78"/>
        <v>2.3429822471186044E-2</v>
      </c>
      <c r="K152" s="69">
        <f t="shared" si="79"/>
        <v>3.5841038621971357E-3</v>
      </c>
      <c r="L152" s="69">
        <f t="shared" si="80"/>
        <v>3.3069625263708953E-4</v>
      </c>
      <c r="M152" s="85">
        <f t="shared" si="81"/>
        <v>2.7344622586020269E-2</v>
      </c>
    </row>
    <row r="153" spans="2:13">
      <c r="B153" s="641"/>
      <c r="C153" s="45" t="s">
        <v>79</v>
      </c>
      <c r="D153" s="69">
        <f t="shared" si="74"/>
        <v>6.0684872128305159E-2</v>
      </c>
      <c r="E153" s="69">
        <f t="shared" si="75"/>
        <v>1.1517893870835048E-2</v>
      </c>
      <c r="F153" s="69">
        <f t="shared" si="76"/>
        <v>8.8383280408583283E-4</v>
      </c>
      <c r="G153" s="85">
        <f t="shared" si="77"/>
        <v>7.308659880322603E-2</v>
      </c>
      <c r="H153" s="644"/>
      <c r="I153" s="45" t="s">
        <v>79</v>
      </c>
      <c r="J153" s="69">
        <f t="shared" si="78"/>
        <v>2.1867834306440306E-2</v>
      </c>
      <c r="K153" s="69">
        <f t="shared" si="79"/>
        <v>3.345163604717327E-3</v>
      </c>
      <c r="L153" s="69">
        <f t="shared" si="80"/>
        <v>3.0864983579461693E-4</v>
      </c>
      <c r="M153" s="85">
        <f t="shared" si="81"/>
        <v>2.5521647746952252E-2</v>
      </c>
    </row>
    <row r="154" spans="2:13">
      <c r="B154" s="641"/>
      <c r="C154" s="45" t="s">
        <v>80</v>
      </c>
      <c r="D154" s="69">
        <f t="shared" si="74"/>
        <v>5.6350238404854792E-2</v>
      </c>
      <c r="E154" s="69">
        <f t="shared" si="75"/>
        <v>1.06951871657754E-2</v>
      </c>
      <c r="F154" s="69">
        <f t="shared" si="76"/>
        <v>8.2070188950827331E-4</v>
      </c>
      <c r="G154" s="85">
        <f t="shared" si="77"/>
        <v>6.7866127460138467E-2</v>
      </c>
      <c r="H154" s="644"/>
      <c r="I154" s="45" t="s">
        <v>80</v>
      </c>
      <c r="J154" s="69">
        <f t="shared" si="78"/>
        <v>2.0305846141694568E-2</v>
      </c>
      <c r="K154" s="69">
        <f t="shared" si="79"/>
        <v>3.1062233472375178E-3</v>
      </c>
      <c r="L154" s="69">
        <f t="shared" si="80"/>
        <v>2.8660341895214432E-4</v>
      </c>
      <c r="M154" s="85">
        <f t="shared" si="81"/>
        <v>2.369867290788423E-2</v>
      </c>
    </row>
    <row r="155" spans="2:13">
      <c r="B155" s="641"/>
      <c r="C155" s="45" t="s">
        <v>81</v>
      </c>
      <c r="D155" s="69">
        <f t="shared" si="74"/>
        <v>6.9354139575205892E-2</v>
      </c>
      <c r="E155" s="69">
        <f t="shared" si="75"/>
        <v>1.316330728095434E-2</v>
      </c>
      <c r="F155" s="69">
        <f t="shared" si="76"/>
        <v>1.0100946332409517E-3</v>
      </c>
      <c r="G155" s="85">
        <f t="shared" si="77"/>
        <v>8.3527541489401183E-2</v>
      </c>
      <c r="H155" s="644"/>
      <c r="I155" s="45" t="s">
        <v>81</v>
      </c>
      <c r="J155" s="69">
        <f t="shared" si="78"/>
        <v>2.4991810635931776E-2</v>
      </c>
      <c r="K155" s="69">
        <f t="shared" si="79"/>
        <v>3.8230441196769453E-3</v>
      </c>
      <c r="L155" s="69">
        <f t="shared" si="80"/>
        <v>3.5274266947956219E-4</v>
      </c>
      <c r="M155" s="85">
        <f t="shared" si="81"/>
        <v>2.9167597425088284E-2</v>
      </c>
    </row>
    <row r="156" spans="2:13">
      <c r="B156" s="641"/>
      <c r="C156" s="45" t="s">
        <v>82</v>
      </c>
      <c r="D156" s="69">
        <f t="shared" si="74"/>
        <v>6.5019505851755532E-2</v>
      </c>
      <c r="E156" s="69">
        <f t="shared" si="75"/>
        <v>1.2340600575894693E-2</v>
      </c>
      <c r="F156" s="69">
        <f t="shared" si="76"/>
        <v>9.4696371866339224E-4</v>
      </c>
      <c r="G156" s="85">
        <f t="shared" si="77"/>
        <v>7.830707014631362E-2</v>
      </c>
      <c r="H156" s="644"/>
      <c r="I156" s="45" t="s">
        <v>82</v>
      </c>
      <c r="J156" s="69">
        <f t="shared" si="78"/>
        <v>2.3429822471186044E-2</v>
      </c>
      <c r="K156" s="69">
        <f t="shared" si="79"/>
        <v>3.5841038621971357E-3</v>
      </c>
      <c r="L156" s="69">
        <f t="shared" si="80"/>
        <v>3.3069625263708953E-4</v>
      </c>
      <c r="M156" s="85">
        <f t="shared" si="81"/>
        <v>2.7344622586020269E-2</v>
      </c>
    </row>
    <row r="157" spans="2:13">
      <c r="B157" s="641"/>
      <c r="C157" s="45" t="s">
        <v>83</v>
      </c>
      <c r="D157" s="69">
        <f t="shared" si="74"/>
        <v>6.9354139575205892E-2</v>
      </c>
      <c r="E157" s="69">
        <f t="shared" si="75"/>
        <v>1.316330728095434E-2</v>
      </c>
      <c r="F157" s="69">
        <f t="shared" si="76"/>
        <v>1.0100946332409517E-3</v>
      </c>
      <c r="G157" s="85">
        <f t="shared" si="77"/>
        <v>8.3527541489401183E-2</v>
      </c>
      <c r="H157" s="644"/>
      <c r="I157" s="45" t="s">
        <v>83</v>
      </c>
      <c r="J157" s="69">
        <f t="shared" si="78"/>
        <v>2.4991810635931776E-2</v>
      </c>
      <c r="K157" s="69">
        <f t="shared" si="79"/>
        <v>3.8230441196769453E-3</v>
      </c>
      <c r="L157" s="69">
        <f t="shared" si="80"/>
        <v>3.5274266947956219E-4</v>
      </c>
      <c r="M157" s="85">
        <f t="shared" si="81"/>
        <v>2.9167597425088284E-2</v>
      </c>
    </row>
    <row r="158" spans="2:13">
      <c r="B158" s="641"/>
      <c r="C158" s="45" t="s">
        <v>84</v>
      </c>
      <c r="D158" s="69">
        <f t="shared" si="74"/>
        <v>6.2852188990030339E-2</v>
      </c>
      <c r="E158" s="69">
        <f t="shared" si="75"/>
        <v>1.192924722336487E-2</v>
      </c>
      <c r="F158" s="69">
        <f t="shared" si="76"/>
        <v>9.1539826137461248E-4</v>
      </c>
      <c r="G158" s="85">
        <f t="shared" si="77"/>
        <v>7.5696834474769825E-2</v>
      </c>
      <c r="H158" s="644"/>
      <c r="I158" s="45" t="s">
        <v>84</v>
      </c>
      <c r="J158" s="69">
        <f t="shared" si="78"/>
        <v>2.2648828388813172E-2</v>
      </c>
      <c r="K158" s="69">
        <f t="shared" si="79"/>
        <v>3.4646337334572315E-3</v>
      </c>
      <c r="L158" s="69">
        <f t="shared" si="80"/>
        <v>3.1967304421585323E-4</v>
      </c>
      <c r="M158" s="85">
        <f t="shared" si="81"/>
        <v>2.6433135166486255E-2</v>
      </c>
    </row>
    <row r="159" spans="2:13">
      <c r="B159" s="641"/>
      <c r="C159" s="45" t="s">
        <v>85</v>
      </c>
      <c r="D159" s="69">
        <f t="shared" si="74"/>
        <v>7.3688773298656265E-2</v>
      </c>
      <c r="E159" s="69">
        <f t="shared" si="75"/>
        <v>1.3986013986013986E-2</v>
      </c>
      <c r="F159" s="69">
        <f t="shared" si="76"/>
        <v>1.0732255478185112E-3</v>
      </c>
      <c r="G159" s="85">
        <f t="shared" si="77"/>
        <v>8.874801283248876E-2</v>
      </c>
      <c r="H159" s="644"/>
      <c r="I159" s="45" t="s">
        <v>85</v>
      </c>
      <c r="J159" s="69">
        <f t="shared" si="78"/>
        <v>2.6553798800677514E-2</v>
      </c>
      <c r="K159" s="69">
        <f t="shared" si="79"/>
        <v>4.061984377156754E-3</v>
      </c>
      <c r="L159" s="69">
        <f t="shared" si="80"/>
        <v>3.747890863220348E-4</v>
      </c>
      <c r="M159" s="85">
        <f t="shared" si="81"/>
        <v>3.0990572264156302E-2</v>
      </c>
    </row>
    <row r="160" spans="2:13" ht="17" thickBot="1">
      <c r="B160" s="642"/>
      <c r="C160" s="77" t="s">
        <v>24</v>
      </c>
      <c r="D160" s="78">
        <f>SUM(D148:D159)</f>
        <v>0.67186822713480709</v>
      </c>
      <c r="E160" s="78">
        <f>SUM(E148:E159)</f>
        <v>0.12751953928424517</v>
      </c>
      <c r="F160" s="78">
        <f>SUM(F148:F159)</f>
        <v>9.7852917595217196E-3</v>
      </c>
      <c r="G160" s="79">
        <f>SUM(G148:G159)</f>
        <v>0.8091730581785741</v>
      </c>
      <c r="H160" s="645"/>
      <c r="I160" s="77" t="s">
        <v>24</v>
      </c>
      <c r="J160" s="78">
        <f>SUM(J148:J159)</f>
        <v>0.24210816553558914</v>
      </c>
      <c r="K160" s="78">
        <f>SUM(K148:K159)</f>
        <v>3.703573990937041E-2</v>
      </c>
      <c r="L160" s="78">
        <f>SUM(L148:L159)</f>
        <v>3.4171946105832586E-3</v>
      </c>
      <c r="M160" s="79">
        <f>SUM(J160:L160)</f>
        <v>0.2825611000555428</v>
      </c>
    </row>
    <row r="161" spans="2:13" ht="17" thickBot="1"/>
    <row r="162" spans="2:13" ht="17" thickBot="1">
      <c r="B162" s="640" t="s">
        <v>89</v>
      </c>
      <c r="C162" s="634" t="s">
        <v>221</v>
      </c>
      <c r="D162" s="636"/>
      <c r="E162" s="670" t="s">
        <v>198</v>
      </c>
      <c r="F162" s="671"/>
      <c r="G162" s="670" t="s">
        <v>183</v>
      </c>
      <c r="H162" s="671"/>
    </row>
    <row r="163" spans="2:13">
      <c r="B163" s="641"/>
      <c r="C163" s="60" t="s">
        <v>185</v>
      </c>
      <c r="D163" s="61">
        <f>'Historic Data'!DD6</f>
        <v>2811</v>
      </c>
      <c r="E163" s="60" t="s">
        <v>186</v>
      </c>
      <c r="F163" s="65">
        <v>0.67</v>
      </c>
      <c r="G163" s="60" t="s">
        <v>186</v>
      </c>
      <c r="H163" s="66">
        <f>F163/$F$46</f>
        <v>0.36035066960684131</v>
      </c>
    </row>
    <row r="164" spans="2:13">
      <c r="B164" s="641"/>
      <c r="C164" s="60" t="s">
        <v>187</v>
      </c>
      <c r="D164" s="61">
        <f>'Historic Data'!DP6</f>
        <v>18051</v>
      </c>
      <c r="E164" s="60" t="s">
        <v>188</v>
      </c>
      <c r="F164" s="65">
        <v>0.54</v>
      </c>
      <c r="G164" s="60" t="s">
        <v>188</v>
      </c>
      <c r="H164" s="66">
        <f>F164/$F$46</f>
        <v>0.29043188296670791</v>
      </c>
    </row>
    <row r="165" spans="2:13">
      <c r="B165" s="641"/>
      <c r="C165" s="60" t="s">
        <v>200</v>
      </c>
      <c r="D165" s="62">
        <f>'Historic Data'!BS6</f>
        <v>368181</v>
      </c>
      <c r="E165" s="60" t="s">
        <v>7</v>
      </c>
      <c r="F165" s="86">
        <v>0.64929999999999999</v>
      </c>
      <c r="G165" s="60" t="s">
        <v>7</v>
      </c>
      <c r="H165" s="66">
        <f>F165/$F$46</f>
        <v>0.34921744742645083</v>
      </c>
    </row>
    <row r="166" spans="2:13" ht="17" thickBot="1">
      <c r="B166" s="641"/>
      <c r="C166" s="63" t="s">
        <v>24</v>
      </c>
      <c r="D166" s="64"/>
      <c r="E166" s="63" t="s">
        <v>24</v>
      </c>
      <c r="F166" s="87">
        <f>SUM(F163:F165)</f>
        <v>1.8593</v>
      </c>
      <c r="G166" s="63" t="s">
        <v>24</v>
      </c>
      <c r="H166" s="67">
        <f>SUM(H163:H165)</f>
        <v>1</v>
      </c>
    </row>
    <row r="167" spans="2:13" ht="17" thickBot="1">
      <c r="B167" s="641"/>
      <c r="C167" s="70" t="str">
        <f>B162</f>
        <v>G80</v>
      </c>
      <c r="D167" s="71" t="s">
        <v>202</v>
      </c>
      <c r="E167" s="71" t="s">
        <v>203</v>
      </c>
      <c r="F167" s="71" t="s">
        <v>7</v>
      </c>
      <c r="G167" s="72" t="s">
        <v>24</v>
      </c>
      <c r="H167" s="643" t="s">
        <v>195</v>
      </c>
      <c r="I167" s="70" t="s">
        <v>183</v>
      </c>
      <c r="J167" s="71" t="s">
        <v>202</v>
      </c>
      <c r="K167" s="71" t="s">
        <v>203</v>
      </c>
      <c r="L167" s="71" t="s">
        <v>7</v>
      </c>
      <c r="M167" s="72" t="s">
        <v>24</v>
      </c>
    </row>
    <row r="168" spans="2:13">
      <c r="B168" s="641"/>
      <c r="C168" s="73" t="s">
        <v>74</v>
      </c>
      <c r="D168" s="69">
        <f>R3/$D$163</f>
        <v>9.9608680184987544E-2</v>
      </c>
      <c r="E168" s="69">
        <f>R3/$D$164</f>
        <v>1.5511606005207467E-2</v>
      </c>
      <c r="F168" s="69">
        <f>R3/$D$165</f>
        <v>7.6049551715053195E-4</v>
      </c>
      <c r="G168" s="84">
        <f>SUM(D168:F168)</f>
        <v>0.11588078170734555</v>
      </c>
      <c r="H168" s="644"/>
      <c r="I168" s="73" t="s">
        <v>74</v>
      </c>
      <c r="J168" s="74">
        <f>D168*H$163</f>
        <v>3.589405460331397E-2</v>
      </c>
      <c r="K168" s="74">
        <f>E168*H$164</f>
        <v>4.5050649399300986E-3</v>
      </c>
      <c r="L168" s="74">
        <f>F168*H$165</f>
        <v>2.6557830327856745E-4</v>
      </c>
      <c r="M168" s="84">
        <f>SUM(J168:L168)</f>
        <v>4.0664697846522636E-2</v>
      </c>
    </row>
    <row r="169" spans="2:13">
      <c r="B169" s="641"/>
      <c r="C169" s="45" t="s">
        <v>75</v>
      </c>
      <c r="D169" s="69">
        <f>R4/$D$163</f>
        <v>9.9608680184987544E-2</v>
      </c>
      <c r="E169" s="69">
        <f>R4/$D$164</f>
        <v>1.5511606005207467E-2</v>
      </c>
      <c r="F169" s="69">
        <f>R4/$D$165</f>
        <v>7.6049551715053195E-4</v>
      </c>
      <c r="G169" s="85">
        <f>SUM(D169:F169)</f>
        <v>0.11588078170734555</v>
      </c>
      <c r="H169" s="644"/>
      <c r="I169" s="45" t="s">
        <v>75</v>
      </c>
      <c r="J169" s="69">
        <f>D169*H$163</f>
        <v>3.589405460331397E-2</v>
      </c>
      <c r="K169" s="69">
        <f>E169*H$164</f>
        <v>4.5050649399300986E-3</v>
      </c>
      <c r="L169" s="69">
        <f>F169*H$165</f>
        <v>2.6557830327856745E-4</v>
      </c>
      <c r="M169" s="85">
        <f>SUM(J169:L169)</f>
        <v>4.0664697846522636E-2</v>
      </c>
    </row>
    <row r="170" spans="2:13">
      <c r="B170" s="641"/>
      <c r="C170" s="45" t="s">
        <v>76</v>
      </c>
      <c r="D170" s="69">
        <f t="shared" ref="D170:D179" si="82">R5/$D$163</f>
        <v>0.11739594450373532</v>
      </c>
      <c r="E170" s="69">
        <f t="shared" ref="E170:E179" si="83">R5/$D$164</f>
        <v>1.8281535648994516E-2</v>
      </c>
      <c r="F170" s="69">
        <f t="shared" ref="F170:F179" si="84">R5/$D$165</f>
        <v>8.962982880702698E-4</v>
      </c>
      <c r="G170" s="85">
        <f t="shared" ref="G170:G179" si="85">SUM(D170:F170)</f>
        <v>0.13657377844080013</v>
      </c>
      <c r="H170" s="644"/>
      <c r="I170" s="45" t="s">
        <v>76</v>
      </c>
      <c r="J170" s="69">
        <f t="shared" ref="J170:J179" si="86">D170*H$163</f>
        <v>4.2303707211048605E-2</v>
      </c>
      <c r="K170" s="69">
        <f t="shared" ref="K170:K179" si="87">E170*H$164</f>
        <v>5.3095408220604741E-3</v>
      </c>
      <c r="L170" s="69">
        <f t="shared" ref="L170:L178" si="88">F170*H$165</f>
        <v>3.1300300029259734E-4</v>
      </c>
      <c r="M170" s="85">
        <f t="shared" ref="M170:M179" si="89">SUM(J170:L170)</f>
        <v>4.792625103340168E-2</v>
      </c>
    </row>
    <row r="171" spans="2:13">
      <c r="B171" s="641"/>
      <c r="C171" s="45" t="s">
        <v>77</v>
      </c>
      <c r="D171" s="69">
        <f t="shared" si="82"/>
        <v>0.10850231234436143</v>
      </c>
      <c r="E171" s="69">
        <f t="shared" si="83"/>
        <v>1.6896570827100992E-2</v>
      </c>
      <c r="F171" s="69">
        <f t="shared" si="84"/>
        <v>8.2839690261040082E-4</v>
      </c>
      <c r="G171" s="85">
        <f t="shared" si="85"/>
        <v>0.12622728007407283</v>
      </c>
      <c r="H171" s="644"/>
      <c r="I171" s="45" t="s">
        <v>77</v>
      </c>
      <c r="J171" s="69">
        <f t="shared" si="86"/>
        <v>3.9098880907181284E-2</v>
      </c>
      <c r="K171" s="69">
        <f t="shared" si="87"/>
        <v>4.9073028809952859E-3</v>
      </c>
      <c r="L171" s="69">
        <f t="shared" si="88"/>
        <v>2.8929065178558236E-4</v>
      </c>
      <c r="M171" s="85">
        <f t="shared" si="89"/>
        <v>4.4295474439962151E-2</v>
      </c>
    </row>
    <row r="172" spans="2:13">
      <c r="B172" s="641"/>
      <c r="C172" s="45" t="s">
        <v>78</v>
      </c>
      <c r="D172" s="69">
        <f>R7/$D$163</f>
        <v>0.11383849163998577</v>
      </c>
      <c r="E172" s="69">
        <f t="shared" si="83"/>
        <v>1.7727549720237105E-2</v>
      </c>
      <c r="F172" s="69">
        <f t="shared" si="84"/>
        <v>8.6913773388632223E-4</v>
      </c>
      <c r="G172" s="85">
        <f t="shared" si="85"/>
        <v>0.13243517909410921</v>
      </c>
      <c r="H172" s="644"/>
      <c r="I172" s="45" t="s">
        <v>78</v>
      </c>
      <c r="J172" s="69">
        <f t="shared" si="86"/>
        <v>4.1021776689501681E-2</v>
      </c>
      <c r="K172" s="69">
        <f t="shared" si="87"/>
        <v>5.1486456456343987E-3</v>
      </c>
      <c r="L172" s="69">
        <f t="shared" si="88"/>
        <v>3.0351806088979133E-4</v>
      </c>
      <c r="M172" s="85">
        <f t="shared" si="89"/>
        <v>4.647394039602587E-2</v>
      </c>
    </row>
    <row r="173" spans="2:13">
      <c r="B173" s="641"/>
      <c r="C173" s="45" t="s">
        <v>79</v>
      </c>
      <c r="D173" s="69">
        <f t="shared" si="82"/>
        <v>0.10672358591248667</v>
      </c>
      <c r="E173" s="69">
        <f t="shared" si="83"/>
        <v>1.6619577862722286E-2</v>
      </c>
      <c r="F173" s="69">
        <f t="shared" si="84"/>
        <v>8.1481662551842709E-4</v>
      </c>
      <c r="G173" s="85">
        <f t="shared" si="85"/>
        <v>0.12415798040072738</v>
      </c>
      <c r="H173" s="644"/>
      <c r="I173" s="45" t="s">
        <v>79</v>
      </c>
      <c r="J173" s="69">
        <f>D173*H$163</f>
        <v>3.8457915646407825E-2</v>
      </c>
      <c r="K173" s="69">
        <f t="shared" si="87"/>
        <v>4.8268552927822487E-3</v>
      </c>
      <c r="L173" s="69">
        <f>F173*H$165</f>
        <v>2.8454818208417941E-4</v>
      </c>
      <c r="M173" s="85">
        <f t="shared" si="89"/>
        <v>4.356931912127425E-2</v>
      </c>
    </row>
    <row r="174" spans="2:13">
      <c r="B174" s="641"/>
      <c r="C174" s="45" t="s">
        <v>80</v>
      </c>
      <c r="D174" s="69">
        <f t="shared" si="82"/>
        <v>9.6051227321237997E-2</v>
      </c>
      <c r="E174" s="69">
        <f t="shared" si="83"/>
        <v>1.4957620076450058E-2</v>
      </c>
      <c r="F174" s="69">
        <f t="shared" si="84"/>
        <v>7.3333496296658438E-4</v>
      </c>
      <c r="G174" s="85">
        <f t="shared" si="85"/>
        <v>0.11174218236065464</v>
      </c>
      <c r="H174" s="644"/>
      <c r="I174" s="45" t="s">
        <v>80</v>
      </c>
      <c r="J174" s="69">
        <f t="shared" si="86"/>
        <v>3.4612124081767046E-2</v>
      </c>
      <c r="K174" s="69">
        <f t="shared" si="87"/>
        <v>4.344169763504024E-3</v>
      </c>
      <c r="L174" s="69">
        <f t="shared" si="88"/>
        <v>2.5609336387576143E-4</v>
      </c>
      <c r="M174" s="85">
        <f t="shared" si="89"/>
        <v>3.9212387209146833E-2</v>
      </c>
    </row>
    <row r="175" spans="2:13">
      <c r="B175" s="641"/>
      <c r="C175" s="45" t="s">
        <v>81</v>
      </c>
      <c r="D175" s="69">
        <f t="shared" si="82"/>
        <v>0.10672358591248667</v>
      </c>
      <c r="E175" s="69">
        <f t="shared" si="83"/>
        <v>1.6619577862722286E-2</v>
      </c>
      <c r="F175" s="69">
        <f t="shared" si="84"/>
        <v>8.1481662551842709E-4</v>
      </c>
      <c r="G175" s="85">
        <f t="shared" si="85"/>
        <v>0.12415798040072738</v>
      </c>
      <c r="H175" s="644"/>
      <c r="I175" s="45" t="s">
        <v>81</v>
      </c>
      <c r="J175" s="69">
        <f t="shared" si="86"/>
        <v>3.8457915646407825E-2</v>
      </c>
      <c r="K175" s="69">
        <f t="shared" si="87"/>
        <v>4.8268552927822487E-3</v>
      </c>
      <c r="L175" s="69">
        <f t="shared" si="88"/>
        <v>2.8454818208417941E-4</v>
      </c>
      <c r="M175" s="85">
        <f t="shared" si="89"/>
        <v>4.356931912127425E-2</v>
      </c>
    </row>
    <row r="176" spans="2:13">
      <c r="B176" s="641"/>
      <c r="C176" s="45" t="s">
        <v>82</v>
      </c>
      <c r="D176" s="69">
        <f t="shared" si="82"/>
        <v>0.12273212379935966</v>
      </c>
      <c r="E176" s="69">
        <f t="shared" si="83"/>
        <v>1.9112514542130629E-2</v>
      </c>
      <c r="F176" s="69">
        <f t="shared" si="84"/>
        <v>9.370391193461911E-4</v>
      </c>
      <c r="G176" s="85">
        <f t="shared" si="85"/>
        <v>0.1427816774608365</v>
      </c>
      <c r="H176" s="644"/>
      <c r="I176" s="45" t="s">
        <v>82</v>
      </c>
      <c r="J176" s="69">
        <f t="shared" si="86"/>
        <v>4.4226602993368995E-2</v>
      </c>
      <c r="K176" s="69">
        <f t="shared" si="87"/>
        <v>5.550883586699586E-3</v>
      </c>
      <c r="L176" s="69">
        <f t="shared" si="88"/>
        <v>3.272304093968063E-4</v>
      </c>
      <c r="M176" s="85">
        <f t="shared" si="89"/>
        <v>5.0104716989465385E-2</v>
      </c>
    </row>
    <row r="177" spans="2:13">
      <c r="B177" s="641"/>
      <c r="C177" s="45" t="s">
        <v>83</v>
      </c>
      <c r="D177" s="69">
        <f t="shared" si="82"/>
        <v>0.13162575595873355</v>
      </c>
      <c r="E177" s="69">
        <f t="shared" si="83"/>
        <v>2.0497479364024154E-2</v>
      </c>
      <c r="F177" s="69">
        <f t="shared" si="84"/>
        <v>1.00494050480606E-3</v>
      </c>
      <c r="G177" s="85">
        <f t="shared" si="85"/>
        <v>0.15312817582756377</v>
      </c>
      <c r="H177" s="644"/>
      <c r="I177" s="45" t="s">
        <v>83</v>
      </c>
      <c r="J177" s="69">
        <f t="shared" si="86"/>
        <v>4.7431429297236316E-2</v>
      </c>
      <c r="K177" s="69">
        <f t="shared" si="87"/>
        <v>5.9531215277647733E-3</v>
      </c>
      <c r="L177" s="69">
        <f t="shared" si="88"/>
        <v>3.5094275790382122E-4</v>
      </c>
      <c r="M177" s="85">
        <f t="shared" si="89"/>
        <v>5.3735493582904914E-2</v>
      </c>
    </row>
    <row r="178" spans="2:13">
      <c r="B178" s="641"/>
      <c r="C178" s="45" t="s">
        <v>84</v>
      </c>
      <c r="D178" s="69">
        <f t="shared" si="82"/>
        <v>0.12095339736748488</v>
      </c>
      <c r="E178" s="69">
        <f t="shared" si="83"/>
        <v>1.8835521577751924E-2</v>
      </c>
      <c r="F178" s="69">
        <f>R13/$D$165</f>
        <v>9.2345884225421737E-4</v>
      </c>
      <c r="G178" s="85">
        <f>SUM(D178:F178)</f>
        <v>0.14071237778749104</v>
      </c>
      <c r="H178" s="644"/>
      <c r="I178" s="45" t="s">
        <v>84</v>
      </c>
      <c r="J178" s="69">
        <f t="shared" si="86"/>
        <v>4.3585637732595536E-2</v>
      </c>
      <c r="K178" s="69">
        <f t="shared" si="87"/>
        <v>5.4704359984865478E-3</v>
      </c>
      <c r="L178" s="69">
        <f t="shared" si="88"/>
        <v>3.224879396954033E-4</v>
      </c>
      <c r="M178" s="85">
        <f t="shared" si="89"/>
        <v>4.9378561670777484E-2</v>
      </c>
    </row>
    <row r="179" spans="2:13">
      <c r="B179" s="641"/>
      <c r="C179" s="45" t="s">
        <v>85</v>
      </c>
      <c r="D179" s="69">
        <f t="shared" si="82"/>
        <v>0.15297047314123088</v>
      </c>
      <c r="E179" s="69">
        <f t="shared" si="83"/>
        <v>2.382139493656861E-2</v>
      </c>
      <c r="F179" s="69">
        <f t="shared" si="84"/>
        <v>1.1679038299097454E-3</v>
      </c>
      <c r="G179" s="85">
        <f t="shared" si="85"/>
        <v>0.17795977190770926</v>
      </c>
      <c r="H179" s="644"/>
      <c r="I179" s="45" t="s">
        <v>85</v>
      </c>
      <c r="J179" s="69">
        <f t="shared" si="86"/>
        <v>5.5123012426517883E-2</v>
      </c>
      <c r="K179" s="69">
        <f t="shared" si="87"/>
        <v>6.9184925863212234E-3</v>
      </c>
      <c r="L179" s="69">
        <f>F179*H$165</f>
        <v>4.0785239432065707E-4</v>
      </c>
      <c r="M179" s="85">
        <f t="shared" si="89"/>
        <v>6.2449357407159768E-2</v>
      </c>
    </row>
    <row r="180" spans="2:13" ht="17" thickBot="1">
      <c r="B180" s="642"/>
      <c r="C180" s="77" t="s">
        <v>24</v>
      </c>
      <c r="D180" s="78">
        <f>SUM(D168:D179)</f>
        <v>1.3767342582710778</v>
      </c>
      <c r="E180" s="78">
        <f>SUM(E168:E179)</f>
        <v>0.21439255442911753</v>
      </c>
      <c r="F180" s="78">
        <f>SUM(F168:F179)</f>
        <v>1.0511134469187708E-2</v>
      </c>
      <c r="G180" s="79">
        <f>SUM(G168:G179)</f>
        <v>1.6016379471693831</v>
      </c>
      <c r="H180" s="645"/>
      <c r="I180" s="77" t="s">
        <v>24</v>
      </c>
      <c r="J180" s="78">
        <f>SUM(J168:J179)</f>
        <v>0.49610711183866096</v>
      </c>
      <c r="K180" s="78">
        <f>SUM(K168:K179)</f>
        <v>6.2266433276891006E-2</v>
      </c>
      <c r="L180" s="78">
        <f>SUM(L168:L179)</f>
        <v>3.6706715488859141E-3</v>
      </c>
      <c r="M180" s="79">
        <f>SUM(J180:L180)</f>
        <v>0.56204421666443782</v>
      </c>
    </row>
    <row r="181" spans="2:13" ht="17" thickBot="1"/>
    <row r="182" spans="2:13" ht="17" thickBot="1">
      <c r="B182" s="640" t="s">
        <v>92</v>
      </c>
      <c r="C182" s="634" t="s">
        <v>221</v>
      </c>
      <c r="D182" s="636"/>
      <c r="E182" s="670" t="s">
        <v>198</v>
      </c>
      <c r="F182" s="671"/>
      <c r="G182" s="670" t="s">
        <v>183</v>
      </c>
      <c r="H182" s="671"/>
    </row>
    <row r="183" spans="2:13">
      <c r="B183" s="641"/>
      <c r="C183" s="60" t="s">
        <v>185</v>
      </c>
      <c r="D183" s="61">
        <f>'Historic Data'!DF6</f>
        <v>1444</v>
      </c>
      <c r="E183" s="60" t="s">
        <v>186</v>
      </c>
      <c r="F183" s="65">
        <v>0.67</v>
      </c>
      <c r="G183" s="60" t="s">
        <v>186</v>
      </c>
      <c r="H183" s="66">
        <f>F183/$F$46</f>
        <v>0.36035066960684131</v>
      </c>
    </row>
    <row r="184" spans="2:13">
      <c r="B184" s="641"/>
      <c r="C184" s="60" t="s">
        <v>187</v>
      </c>
      <c r="D184" s="61">
        <f>'Historic Data'!DR6</f>
        <v>9246</v>
      </c>
      <c r="E184" s="60" t="s">
        <v>188</v>
      </c>
      <c r="F184" s="65">
        <v>0.54</v>
      </c>
      <c r="G184" s="60" t="s">
        <v>188</v>
      </c>
      <c r="H184" s="66">
        <f>F184/$F$46</f>
        <v>0.29043188296670791</v>
      </c>
    </row>
    <row r="185" spans="2:13">
      <c r="B185" s="641"/>
      <c r="C185" s="60" t="s">
        <v>200</v>
      </c>
      <c r="D185" s="62">
        <f>'Historic Data'!BU6</f>
        <v>231404</v>
      </c>
      <c r="E185" s="60" t="s">
        <v>7</v>
      </c>
      <c r="F185" s="86">
        <v>0.64929999999999999</v>
      </c>
      <c r="G185" s="60" t="s">
        <v>7</v>
      </c>
      <c r="H185" s="66">
        <f>F185/$F$46</f>
        <v>0.34921744742645083</v>
      </c>
    </row>
    <row r="186" spans="2:13" ht="17" thickBot="1">
      <c r="B186" s="641"/>
      <c r="C186" s="63" t="s">
        <v>24</v>
      </c>
      <c r="D186" s="64"/>
      <c r="E186" s="63" t="s">
        <v>24</v>
      </c>
      <c r="F186" s="87">
        <f>SUM(F183:F185)</f>
        <v>1.8593</v>
      </c>
      <c r="G186" s="63" t="s">
        <v>24</v>
      </c>
      <c r="H186" s="67">
        <f>SUM(H183:H185)</f>
        <v>1</v>
      </c>
    </row>
    <row r="187" spans="2:13" ht="17" thickBot="1">
      <c r="B187" s="641"/>
      <c r="C187" s="70" t="str">
        <f>B182</f>
        <v>G90</v>
      </c>
      <c r="D187" s="71" t="s">
        <v>202</v>
      </c>
      <c r="E187" s="71" t="s">
        <v>203</v>
      </c>
      <c r="F187" s="71" t="s">
        <v>7</v>
      </c>
      <c r="G187" s="72" t="s">
        <v>24</v>
      </c>
      <c r="H187" s="643" t="s">
        <v>195</v>
      </c>
      <c r="I187" s="70" t="s">
        <v>183</v>
      </c>
      <c r="J187" s="71" t="s">
        <v>202</v>
      </c>
      <c r="K187" s="71" t="s">
        <v>203</v>
      </c>
      <c r="L187" s="71" t="s">
        <v>7</v>
      </c>
      <c r="M187" s="72" t="s">
        <v>24</v>
      </c>
    </row>
    <row r="188" spans="2:13">
      <c r="B188" s="641"/>
      <c r="C188" s="73" t="s">
        <v>74</v>
      </c>
      <c r="D188" s="69">
        <f>T3/$D$183</f>
        <v>9.0027700831024932E-2</v>
      </c>
      <c r="E188" s="69">
        <f>T3/$D$184</f>
        <v>1.4060134112048454E-2</v>
      </c>
      <c r="F188" s="69">
        <f>T3/$D$185</f>
        <v>5.617880416933156E-4</v>
      </c>
      <c r="G188" s="84">
        <f>SUM(D188:F188)</f>
        <v>0.1046496229847667</v>
      </c>
      <c r="H188" s="644"/>
      <c r="I188" s="73" t="s">
        <v>74</v>
      </c>
      <c r="J188" s="74">
        <f>D188*H$183</f>
        <v>3.2441542277624219E-2</v>
      </c>
      <c r="K188" s="74">
        <f>E188*H$184</f>
        <v>4.0835112249266742E-3</v>
      </c>
      <c r="L188" s="74">
        <f>F188*H$185</f>
        <v>1.961861859148442E-4</v>
      </c>
      <c r="M188" s="84">
        <f>SUM(J188:L188)</f>
        <v>3.6721239688465739E-2</v>
      </c>
    </row>
    <row r="189" spans="2:13">
      <c r="B189" s="641"/>
      <c r="C189" s="45" t="s">
        <v>75</v>
      </c>
      <c r="D189" s="69">
        <f>T4/$D$183</f>
        <v>9.6952908587257622E-2</v>
      </c>
      <c r="E189" s="69">
        <f>T4/$D$184</f>
        <v>1.5141682889898334E-2</v>
      </c>
      <c r="F189" s="69">
        <f>T4/$D$185</f>
        <v>6.0500250643895522E-4</v>
      </c>
      <c r="G189" s="85">
        <f>SUM(D189:F189)</f>
        <v>0.11269959398359491</v>
      </c>
      <c r="H189" s="644"/>
      <c r="I189" s="45" t="s">
        <v>75</v>
      </c>
      <c r="J189" s="69">
        <f>D189*H$183</f>
        <v>3.4937045529749161E-2</v>
      </c>
      <c r="K189" s="69">
        <f>E189*H$184</f>
        <v>4.3976274729979562E-3</v>
      </c>
      <c r="L189" s="69">
        <f>F189*H$185</f>
        <v>2.1127743098521684E-4</v>
      </c>
      <c r="M189" s="85">
        <f>SUM(J189:L189)</f>
        <v>3.9545950433732331E-2</v>
      </c>
    </row>
    <row r="190" spans="2:13">
      <c r="B190" s="641"/>
      <c r="C190" s="45" t="s">
        <v>76</v>
      </c>
      <c r="D190" s="69">
        <f t="shared" ref="D190:D199" si="90">T5/$D$183</f>
        <v>9.6952908587257622E-2</v>
      </c>
      <c r="E190" s="69">
        <f t="shared" ref="E190:E199" si="91">T5/$D$184</f>
        <v>1.5141682889898334E-2</v>
      </c>
      <c r="F190" s="69">
        <f t="shared" ref="F190:F199" si="92">T5/$D$185</f>
        <v>6.0500250643895522E-4</v>
      </c>
      <c r="G190" s="85">
        <f t="shared" ref="G190:G197" si="93">SUM(D190:F190)</f>
        <v>0.11269959398359491</v>
      </c>
      <c r="H190" s="644"/>
      <c r="I190" s="45" t="s">
        <v>76</v>
      </c>
      <c r="J190" s="69">
        <f t="shared" ref="J190:J199" si="94">D190*H$183</f>
        <v>3.4937045529749161E-2</v>
      </c>
      <c r="K190" s="69">
        <f t="shared" ref="K190:K199" si="95">E190*H$184</f>
        <v>4.3976274729979562E-3</v>
      </c>
      <c r="L190" s="69">
        <f t="shared" ref="L190:L199" si="96">F190*H$185</f>
        <v>2.1127743098521684E-4</v>
      </c>
      <c r="M190" s="85">
        <f t="shared" ref="M190:M199" si="97">SUM(J190:L190)</f>
        <v>3.9545950433732331E-2</v>
      </c>
    </row>
    <row r="191" spans="2:13">
      <c r="B191" s="641"/>
      <c r="C191" s="45" t="s">
        <v>77</v>
      </c>
      <c r="D191" s="69">
        <f t="shared" si="90"/>
        <v>9.0027700831024932E-2</v>
      </c>
      <c r="E191" s="69">
        <f t="shared" si="91"/>
        <v>1.4060134112048454E-2</v>
      </c>
      <c r="F191" s="69">
        <f t="shared" si="92"/>
        <v>5.617880416933156E-4</v>
      </c>
      <c r="G191" s="85">
        <f t="shared" si="93"/>
        <v>0.1046496229847667</v>
      </c>
      <c r="H191" s="644"/>
      <c r="I191" s="45" t="s">
        <v>77</v>
      </c>
      <c r="J191" s="69">
        <f t="shared" si="94"/>
        <v>3.2441542277624219E-2</v>
      </c>
      <c r="K191" s="69">
        <f t="shared" si="95"/>
        <v>4.0835112249266742E-3</v>
      </c>
      <c r="L191" s="69">
        <f t="shared" si="96"/>
        <v>1.961861859148442E-4</v>
      </c>
      <c r="M191" s="85">
        <f t="shared" si="97"/>
        <v>3.6721239688465739E-2</v>
      </c>
    </row>
    <row r="192" spans="2:13">
      <c r="B192" s="641"/>
      <c r="C192" s="45" t="s">
        <v>78</v>
      </c>
      <c r="D192" s="69">
        <f t="shared" si="90"/>
        <v>9.6952908587257622E-2</v>
      </c>
      <c r="E192" s="69">
        <f t="shared" si="91"/>
        <v>1.5141682889898334E-2</v>
      </c>
      <c r="F192" s="69">
        <f t="shared" si="92"/>
        <v>6.0500250643895522E-4</v>
      </c>
      <c r="G192" s="85">
        <f t="shared" si="93"/>
        <v>0.11269959398359491</v>
      </c>
      <c r="H192" s="644"/>
      <c r="I192" s="45" t="s">
        <v>78</v>
      </c>
      <c r="J192" s="69">
        <f t="shared" si="94"/>
        <v>3.4937045529749161E-2</v>
      </c>
      <c r="K192" s="69">
        <f t="shared" si="95"/>
        <v>4.3976274729979562E-3</v>
      </c>
      <c r="L192" s="69">
        <f t="shared" si="96"/>
        <v>2.1127743098521684E-4</v>
      </c>
      <c r="M192" s="85">
        <f t="shared" si="97"/>
        <v>3.9545950433732331E-2</v>
      </c>
    </row>
    <row r="193" spans="2:13">
      <c r="B193" s="641"/>
      <c r="C193" s="45" t="s">
        <v>79</v>
      </c>
      <c r="D193" s="69">
        <f t="shared" si="90"/>
        <v>9.349030470914127E-2</v>
      </c>
      <c r="E193" s="69">
        <f t="shared" si="91"/>
        <v>1.4600908500973394E-2</v>
      </c>
      <c r="F193" s="69">
        <f t="shared" si="92"/>
        <v>5.8339527406613546E-4</v>
      </c>
      <c r="G193" s="85">
        <f t="shared" si="93"/>
        <v>0.1086746084841808</v>
      </c>
      <c r="H193" s="644"/>
      <c r="I193" s="45" t="s">
        <v>79</v>
      </c>
      <c r="J193" s="69">
        <f t="shared" si="94"/>
        <v>3.3689293903686683E-2</v>
      </c>
      <c r="K193" s="69">
        <f t="shared" si="95"/>
        <v>4.2405693489623152E-3</v>
      </c>
      <c r="L193" s="69">
        <f t="shared" si="96"/>
        <v>2.0373180845003054E-4</v>
      </c>
      <c r="M193" s="85">
        <f t="shared" si="97"/>
        <v>3.8133595061099028E-2</v>
      </c>
    </row>
    <row r="194" spans="2:13">
      <c r="B194" s="641"/>
      <c r="C194" s="45" t="s">
        <v>80</v>
      </c>
      <c r="D194" s="69">
        <f t="shared" si="90"/>
        <v>0.11080332409972299</v>
      </c>
      <c r="E194" s="69">
        <f t="shared" si="91"/>
        <v>1.7304780445598095E-2</v>
      </c>
      <c r="F194" s="69">
        <f t="shared" si="92"/>
        <v>6.9143143593023457E-4</v>
      </c>
      <c r="G194" s="85">
        <f t="shared" si="93"/>
        <v>0.12879953598125132</v>
      </c>
      <c r="H194" s="644"/>
      <c r="I194" s="45" t="s">
        <v>80</v>
      </c>
      <c r="J194" s="69">
        <f t="shared" si="94"/>
        <v>3.9928052033999038E-2</v>
      </c>
      <c r="K194" s="69">
        <f t="shared" si="95"/>
        <v>5.0258599691405219E-3</v>
      </c>
      <c r="L194" s="69">
        <f t="shared" si="96"/>
        <v>2.4145992112596209E-4</v>
      </c>
      <c r="M194" s="85">
        <f t="shared" si="97"/>
        <v>4.5195371924265516E-2</v>
      </c>
    </row>
    <row r="195" spans="2:13">
      <c r="B195" s="641"/>
      <c r="C195" s="45" t="s">
        <v>81</v>
      </c>
      <c r="D195" s="69">
        <f t="shared" si="90"/>
        <v>0.11080332409972299</v>
      </c>
      <c r="E195" s="69">
        <f t="shared" si="91"/>
        <v>1.7304780445598095E-2</v>
      </c>
      <c r="F195" s="69">
        <f t="shared" si="92"/>
        <v>6.9143143593023457E-4</v>
      </c>
      <c r="G195" s="85">
        <f t="shared" si="93"/>
        <v>0.12879953598125132</v>
      </c>
      <c r="H195" s="644"/>
      <c r="I195" s="45" t="s">
        <v>81</v>
      </c>
      <c r="J195" s="69">
        <f t="shared" si="94"/>
        <v>3.9928052033999038E-2</v>
      </c>
      <c r="K195" s="69">
        <f t="shared" si="95"/>
        <v>5.0258599691405219E-3</v>
      </c>
      <c r="L195" s="69">
        <f t="shared" si="96"/>
        <v>2.4145992112596209E-4</v>
      </c>
      <c r="M195" s="85">
        <f t="shared" si="97"/>
        <v>4.5195371924265516E-2</v>
      </c>
    </row>
    <row r="196" spans="2:13">
      <c r="B196" s="641"/>
      <c r="C196" s="45" t="s">
        <v>82</v>
      </c>
      <c r="D196" s="69">
        <f t="shared" si="90"/>
        <v>9.6952908587257622E-2</v>
      </c>
      <c r="E196" s="69">
        <f t="shared" si="91"/>
        <v>1.5141682889898334E-2</v>
      </c>
      <c r="F196" s="69">
        <f t="shared" si="92"/>
        <v>6.0500250643895522E-4</v>
      </c>
      <c r="G196" s="85">
        <f t="shared" si="93"/>
        <v>0.11269959398359491</v>
      </c>
      <c r="H196" s="644"/>
      <c r="I196" s="45" t="s">
        <v>82</v>
      </c>
      <c r="J196" s="69">
        <f t="shared" si="94"/>
        <v>3.4937045529749161E-2</v>
      </c>
      <c r="K196" s="69">
        <f t="shared" si="95"/>
        <v>4.3976274729979562E-3</v>
      </c>
      <c r="L196" s="69">
        <f t="shared" si="96"/>
        <v>2.1127743098521684E-4</v>
      </c>
      <c r="M196" s="85">
        <f t="shared" si="97"/>
        <v>3.9545950433732331E-2</v>
      </c>
    </row>
    <row r="197" spans="2:13">
      <c r="B197" s="641"/>
      <c r="C197" s="45" t="s">
        <v>83</v>
      </c>
      <c r="D197" s="69">
        <f t="shared" si="90"/>
        <v>0.1038781163434903</v>
      </c>
      <c r="E197" s="69">
        <f t="shared" si="91"/>
        <v>1.6223231667748216E-2</v>
      </c>
      <c r="F197" s="69">
        <f t="shared" si="92"/>
        <v>6.4821697118459495E-4</v>
      </c>
      <c r="G197" s="85">
        <f t="shared" si="93"/>
        <v>0.1207495649824231</v>
      </c>
      <c r="H197" s="644"/>
      <c r="I197" s="45" t="s">
        <v>83</v>
      </c>
      <c r="J197" s="69">
        <f t="shared" si="94"/>
        <v>3.7432548781874096E-2</v>
      </c>
      <c r="K197" s="69">
        <f t="shared" si="95"/>
        <v>4.711743721069239E-3</v>
      </c>
      <c r="L197" s="69">
        <f t="shared" si="96"/>
        <v>2.2636867605558948E-4</v>
      </c>
      <c r="M197" s="85">
        <f t="shared" si="97"/>
        <v>4.2370661178998924E-2</v>
      </c>
    </row>
    <row r="198" spans="2:13">
      <c r="B198" s="641"/>
      <c r="C198" s="45" t="s">
        <v>84</v>
      </c>
      <c r="D198" s="69">
        <f t="shared" si="90"/>
        <v>9.0027700831024932E-2</v>
      </c>
      <c r="E198" s="69">
        <f t="shared" si="91"/>
        <v>1.4060134112048454E-2</v>
      </c>
      <c r="F198" s="69">
        <f t="shared" si="92"/>
        <v>5.617880416933156E-4</v>
      </c>
      <c r="G198" s="85">
        <f>SUM(D198:F198)</f>
        <v>0.1046496229847667</v>
      </c>
      <c r="H198" s="644"/>
      <c r="I198" s="45" t="s">
        <v>84</v>
      </c>
      <c r="J198" s="69">
        <f t="shared" si="94"/>
        <v>3.2441542277624219E-2</v>
      </c>
      <c r="K198" s="69">
        <f t="shared" si="95"/>
        <v>4.0835112249266742E-3</v>
      </c>
      <c r="L198" s="69">
        <f t="shared" si="96"/>
        <v>1.961861859148442E-4</v>
      </c>
      <c r="M198" s="85">
        <f t="shared" si="97"/>
        <v>3.6721239688465739E-2</v>
      </c>
    </row>
    <row r="199" spans="2:13">
      <c r="B199" s="641"/>
      <c r="C199" s="45" t="s">
        <v>85</v>
      </c>
      <c r="D199" s="69">
        <f t="shared" si="90"/>
        <v>0.12811634349030471</v>
      </c>
      <c r="E199" s="69">
        <f t="shared" si="91"/>
        <v>2.00086523902228E-2</v>
      </c>
      <c r="F199" s="69">
        <f t="shared" si="92"/>
        <v>7.9946759779433367E-4</v>
      </c>
      <c r="G199" s="85">
        <f t="shared" ref="G199" si="98">SUM(D199:F199)</f>
        <v>0.14892446347832186</v>
      </c>
      <c r="H199" s="644"/>
      <c r="I199" s="45" t="s">
        <v>85</v>
      </c>
      <c r="J199" s="69">
        <f t="shared" si="94"/>
        <v>4.6166810164311387E-2</v>
      </c>
      <c r="K199" s="69">
        <f t="shared" si="95"/>
        <v>5.8111505893187285E-3</v>
      </c>
      <c r="L199" s="69">
        <f t="shared" si="96"/>
        <v>2.7918803380189367E-4</v>
      </c>
      <c r="M199" s="85">
        <f t="shared" si="97"/>
        <v>5.2257148787432005E-2</v>
      </c>
    </row>
    <row r="200" spans="2:13" ht="17" thickBot="1">
      <c r="B200" s="642"/>
      <c r="C200" s="77" t="s">
        <v>24</v>
      </c>
      <c r="D200" s="78">
        <f>SUM(D188:D199)</f>
        <v>1.2049861495844876</v>
      </c>
      <c r="E200" s="78">
        <f>SUM(E188:E199)</f>
        <v>0.18818948734587931</v>
      </c>
      <c r="F200" s="78">
        <f>SUM(F188:F199)</f>
        <v>7.5193168657413023E-3</v>
      </c>
      <c r="G200" s="79">
        <f>SUM(G188:G199)</f>
        <v>1.4006949537961078</v>
      </c>
      <c r="H200" s="645"/>
      <c r="I200" s="77" t="s">
        <v>24</v>
      </c>
      <c r="J200" s="78">
        <f>SUM(J188:J199)</f>
        <v>0.43421756586973953</v>
      </c>
      <c r="K200" s="78">
        <f>SUM(K188:K199)</f>
        <v>5.4656227164403166E-2</v>
      </c>
      <c r="L200" s="78">
        <f>SUM(L188:L199)</f>
        <v>2.6258766422448381E-3</v>
      </c>
      <c r="M200" s="79">
        <f>SUM(J200:L200)</f>
        <v>0.49149966967638753</v>
      </c>
    </row>
  </sheetData>
  <mergeCells count="50">
    <mergeCell ref="C2:D2"/>
    <mergeCell ref="E2:F2"/>
    <mergeCell ref="G2:H2"/>
    <mergeCell ref="B7:B20"/>
    <mergeCell ref="E42:F42"/>
    <mergeCell ref="C42:D42"/>
    <mergeCell ref="G42:H42"/>
    <mergeCell ref="H7:H20"/>
    <mergeCell ref="B82:B100"/>
    <mergeCell ref="H67:H80"/>
    <mergeCell ref="B62:B80"/>
    <mergeCell ref="G22:H22"/>
    <mergeCell ref="H27:H40"/>
    <mergeCell ref="C62:D62"/>
    <mergeCell ref="E62:F62"/>
    <mergeCell ref="G62:H62"/>
    <mergeCell ref="B42:B60"/>
    <mergeCell ref="B22:B40"/>
    <mergeCell ref="H47:H60"/>
    <mergeCell ref="C22:D22"/>
    <mergeCell ref="E22:F22"/>
    <mergeCell ref="C82:D82"/>
    <mergeCell ref="E82:F82"/>
    <mergeCell ref="G82:H82"/>
    <mergeCell ref="H87:H100"/>
    <mergeCell ref="C102:D102"/>
    <mergeCell ref="E102:F102"/>
    <mergeCell ref="G102:H102"/>
    <mergeCell ref="H107:H120"/>
    <mergeCell ref="B102:B120"/>
    <mergeCell ref="B142:B160"/>
    <mergeCell ref="C142:D142"/>
    <mergeCell ref="E142:F142"/>
    <mergeCell ref="G142:H142"/>
    <mergeCell ref="H147:H160"/>
    <mergeCell ref="B122:B140"/>
    <mergeCell ref="C122:D122"/>
    <mergeCell ref="E122:F122"/>
    <mergeCell ref="G122:H122"/>
    <mergeCell ref="H127:H140"/>
    <mergeCell ref="B182:B200"/>
    <mergeCell ref="C182:D182"/>
    <mergeCell ref="E182:F182"/>
    <mergeCell ref="G182:H182"/>
    <mergeCell ref="H187:H200"/>
    <mergeCell ref="B162:B180"/>
    <mergeCell ref="C162:D162"/>
    <mergeCell ref="E162:F162"/>
    <mergeCell ref="G162:H162"/>
    <mergeCell ref="H167:H180"/>
  </mergeCells>
  <phoneticPr fontId="2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1AEE-379E-164F-B93B-6D258A8F72BD}">
  <sheetPr>
    <tabColor rgb="FFFFC000"/>
  </sheetPr>
  <dimension ref="B1:AI340"/>
  <sheetViews>
    <sheetView zoomScaleNormal="100" workbookViewId="0">
      <selection activeCell="I30" sqref="I30"/>
    </sheetView>
  </sheetViews>
  <sheetFormatPr baseColWidth="10" defaultColWidth="11.5" defaultRowHeight="15"/>
  <cols>
    <col min="1" max="1" width="3.6640625" style="1" customWidth="1"/>
    <col min="2" max="2" width="33.5" style="1" customWidth="1"/>
    <col min="3" max="13" width="9.33203125" style="1" customWidth="1"/>
    <col min="14" max="14" width="4.33203125" style="1" customWidth="1"/>
    <col min="15" max="15" width="16.6640625" style="1" customWidth="1"/>
    <col min="16" max="26" width="11.6640625" style="1" customWidth="1"/>
    <col min="27" max="16384" width="11.5" style="1"/>
  </cols>
  <sheetData>
    <row r="1" spans="2:27" ht="16" thickBot="1">
      <c r="M1" s="40"/>
      <c r="N1" s="40"/>
    </row>
    <row r="2" spans="2:27" ht="15" customHeight="1" thickBot="1">
      <c r="B2" s="672" t="s">
        <v>224</v>
      </c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4"/>
      <c r="O2" s="237" t="s">
        <v>184</v>
      </c>
      <c r="P2" s="248" t="s">
        <v>88</v>
      </c>
      <c r="Q2" s="248" t="s">
        <v>89</v>
      </c>
      <c r="R2" s="248" t="s">
        <v>91</v>
      </c>
      <c r="S2" s="248" t="s">
        <v>92</v>
      </c>
      <c r="T2" s="248" t="s">
        <v>93</v>
      </c>
      <c r="U2" s="248" t="s">
        <v>94</v>
      </c>
      <c r="V2" s="248" t="s">
        <v>95</v>
      </c>
      <c r="W2" s="248" t="s">
        <v>108</v>
      </c>
      <c r="X2" s="248" t="s">
        <v>97</v>
      </c>
      <c r="Y2" s="248" t="s">
        <v>111</v>
      </c>
      <c r="Z2" s="249" t="s">
        <v>24</v>
      </c>
    </row>
    <row r="3" spans="2:27" ht="15" customHeight="1">
      <c r="B3" s="675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7"/>
      <c r="O3" s="238" t="s">
        <v>74</v>
      </c>
      <c r="P3" s="236" cm="1">
        <f t="array" ref="P3">INDEX('Sales Goals'!$C$19:$Z$19, ROW(P1))</f>
        <v>560</v>
      </c>
      <c r="Q3" s="236" cm="1">
        <f t="array" ref="Q3">INDEX('Sales Goals'!$C$20:$Z$20, ROW(Q1))</f>
        <v>260</v>
      </c>
      <c r="R3" s="236" cm="1">
        <f t="array" ref="R3">INDEX('Sales Goals'!$C$21:$Z$21, ROW(R1))</f>
        <v>0</v>
      </c>
      <c r="S3" s="236" cm="1">
        <f t="array" ref="S3">INDEX('Sales Goals'!$C$22:$Z$22, ROW(S1))</f>
        <v>110</v>
      </c>
      <c r="T3" s="236" cm="1">
        <f t="array" ref="T3">INDEX('Sales Goals'!$C$23:$Z$23, ROW(T1))</f>
        <v>15</v>
      </c>
      <c r="U3" s="236" cm="1">
        <f t="array" ref="U3">INDEX('Sales Goals'!$C$24:$Z$24, ROW(U1))</f>
        <v>2090</v>
      </c>
      <c r="V3" s="236" cm="1">
        <f t="array" ref="V3">INDEX('Sales Goals'!$C$25:$Z$25, ROW(V1))</f>
        <v>20</v>
      </c>
      <c r="W3" s="236" cm="1">
        <f t="array" ref="W3">INDEX('Sales Goals'!$C$26:$Z$26, ROW(W1))</f>
        <v>290</v>
      </c>
      <c r="X3" s="236" cm="1">
        <f t="array" ref="X3">INDEX('Sales Goals'!$C$27:$Z$27, ROW(X1))</f>
        <v>1500</v>
      </c>
      <c r="Y3" s="236" cm="1">
        <f t="array" ref="Y3">INDEX('Sales Goals'!$C$28:$Z$28, ROW(Y1))</f>
        <v>0</v>
      </c>
      <c r="Z3" s="239" cm="1">
        <f t="array" ref="Z3">INDEX('Sales Goals'!$C$30:$Z$30, ROW(Z1))</f>
        <v>4845</v>
      </c>
    </row>
    <row r="4" spans="2:27" ht="15" customHeight="1">
      <c r="B4" s="675"/>
      <c r="C4" s="676"/>
      <c r="D4" s="676"/>
      <c r="E4" s="676"/>
      <c r="F4" s="676"/>
      <c r="G4" s="676"/>
      <c r="H4" s="676"/>
      <c r="I4" s="676"/>
      <c r="J4" s="676"/>
      <c r="K4" s="676"/>
      <c r="L4" s="676"/>
      <c r="M4" s="677"/>
      <c r="O4" s="240" t="s">
        <v>75</v>
      </c>
      <c r="P4" s="228" cm="1">
        <f t="array" ref="P4">INDEX('Sales Goals'!$C$19:$Z$19, ROW(P2))</f>
        <v>690</v>
      </c>
      <c r="Q4" s="228" cm="1">
        <f t="array" ref="Q4">INDEX('Sales Goals'!$C$20:$Z$20, ROW(Q2))</f>
        <v>260</v>
      </c>
      <c r="R4" s="228" cm="1">
        <f t="array" ref="R4">INDEX('Sales Goals'!$C$21:$Z$21, ROW(R2))</f>
        <v>0</v>
      </c>
      <c r="S4" s="228" cm="1">
        <f t="array" ref="S4">INDEX('Sales Goals'!$C$22:$Z$22, ROW(S2))</f>
        <v>120</v>
      </c>
      <c r="T4" s="228" cm="1">
        <f t="array" ref="T4">INDEX('Sales Goals'!$C$23:$Z$23, ROW(T2))</f>
        <v>30</v>
      </c>
      <c r="U4" s="228" cm="1">
        <f t="array" ref="U4">INDEX('Sales Goals'!$C$24:$Z$24, ROW(U2))</f>
        <v>2380</v>
      </c>
      <c r="V4" s="228" cm="1">
        <f t="array" ref="V4">INDEX('Sales Goals'!$C$25:$Z$25, ROW(V2))</f>
        <v>30</v>
      </c>
      <c r="W4" s="228" cm="1">
        <f t="array" ref="W4">INDEX('Sales Goals'!$C$26:$Z$26, ROW(W2))</f>
        <v>280</v>
      </c>
      <c r="X4" s="228" cm="1">
        <f t="array" ref="X4">INDEX('Sales Goals'!$C$27:$Z$27, ROW(X2))</f>
        <v>1560</v>
      </c>
      <c r="Y4" s="228" cm="1">
        <f t="array" ref="Y4">INDEX('Sales Goals'!$C$28:$Z$28, ROW(Y2))</f>
        <v>0</v>
      </c>
      <c r="Z4" s="241" cm="1">
        <f t="array" ref="Z4">INDEX('Sales Goals'!$C$30:$Z$30, ROW(Z2))</f>
        <v>5350</v>
      </c>
    </row>
    <row r="5" spans="2:27" ht="15" customHeight="1">
      <c r="B5" s="675"/>
      <c r="C5" s="676"/>
      <c r="D5" s="676"/>
      <c r="E5" s="676"/>
      <c r="F5" s="676"/>
      <c r="G5" s="676"/>
      <c r="H5" s="676"/>
      <c r="I5" s="676"/>
      <c r="J5" s="676"/>
      <c r="K5" s="676"/>
      <c r="L5" s="676"/>
      <c r="M5" s="677"/>
      <c r="O5" s="240" t="s">
        <v>76</v>
      </c>
      <c r="P5" s="228" cm="1">
        <f t="array" ref="P5">INDEX('Sales Goals'!$C$19:$Z$19, ROW(P3))</f>
        <v>800</v>
      </c>
      <c r="Q5" s="228" cm="1">
        <f t="array" ref="Q5">INDEX('Sales Goals'!$C$20:$Z$20, ROW(Q3))</f>
        <v>370</v>
      </c>
      <c r="R5" s="228" cm="1">
        <f t="array" ref="R5">INDEX('Sales Goals'!$C$21:$Z$21, ROW(R3))</f>
        <v>0</v>
      </c>
      <c r="S5" s="228" cm="1">
        <f t="array" ref="S5">INDEX('Sales Goals'!$C$22:$Z$22, ROW(S3))</f>
        <v>160</v>
      </c>
      <c r="T5" s="228" cm="1">
        <f t="array" ref="T5">INDEX('Sales Goals'!$C$23:$Z$23, ROW(T3))</f>
        <v>120</v>
      </c>
      <c r="U5" s="228" cm="1">
        <f t="array" ref="U5">INDEX('Sales Goals'!$C$24:$Z$24, ROW(U3))</f>
        <v>2930</v>
      </c>
      <c r="V5" s="228" cm="1">
        <f t="array" ref="V5">INDEX('Sales Goals'!$C$25:$Z$25, ROW(V3))</f>
        <v>35</v>
      </c>
      <c r="W5" s="228" cm="1">
        <f t="array" ref="W5">INDEX('Sales Goals'!$C$26:$Z$26, ROW(W3))</f>
        <v>370</v>
      </c>
      <c r="X5" s="228" cm="1">
        <f t="array" ref="X5">INDEX('Sales Goals'!$C$27:$Z$27, ROW(X3))</f>
        <v>2105</v>
      </c>
      <c r="Y5" s="228" cm="1">
        <f t="array" ref="Y5">INDEX('Sales Goals'!$C$28:$Z$28, ROW(Y3))</f>
        <v>0</v>
      </c>
      <c r="Z5" s="241" cm="1">
        <f t="array" ref="Z5">INDEX('Sales Goals'!$C$30:$Z$30, ROW(Z3))</f>
        <v>6890</v>
      </c>
    </row>
    <row r="6" spans="2:27" ht="15" customHeight="1" thickBot="1">
      <c r="B6" s="678"/>
      <c r="C6" s="679"/>
      <c r="D6" s="679"/>
      <c r="E6" s="679"/>
      <c r="F6" s="679"/>
      <c r="G6" s="679"/>
      <c r="H6" s="679"/>
      <c r="I6" s="679"/>
      <c r="J6" s="679"/>
      <c r="K6" s="679"/>
      <c r="L6" s="679"/>
      <c r="M6" s="680"/>
      <c r="O6" s="240" t="s">
        <v>77</v>
      </c>
      <c r="P6" s="228" cm="1">
        <f t="array" ref="P6">INDEX('Sales Goals'!$C$19:$Z$19, ROW(P4))</f>
        <v>700</v>
      </c>
      <c r="Q6" s="228" cm="1">
        <f t="array" ref="Q6">INDEX('Sales Goals'!$C$20:$Z$20, ROW(Q4))</f>
        <v>305</v>
      </c>
      <c r="R6" s="228" cm="1">
        <f t="array" ref="R6">INDEX('Sales Goals'!$C$21:$Z$21, ROW(R4))</f>
        <v>0</v>
      </c>
      <c r="S6" s="228" cm="1">
        <f t="array" ref="S6">INDEX('Sales Goals'!$C$22:$Z$22, ROW(S4))</f>
        <v>130</v>
      </c>
      <c r="T6" s="228" cm="1">
        <f t="array" ref="T6">INDEX('Sales Goals'!$C$23:$Z$23, ROW(T4))</f>
        <v>120</v>
      </c>
      <c r="U6" s="228" cm="1">
        <f t="array" ref="U6">INDEX('Sales Goals'!$C$24:$Z$24, ROW(U4))</f>
        <v>2557</v>
      </c>
      <c r="V6" s="228" cm="1">
        <f t="array" ref="V6">INDEX('Sales Goals'!$C$25:$Z$25, ROW(V4))</f>
        <v>18</v>
      </c>
      <c r="W6" s="228" cm="1">
        <f t="array" ref="W6">INDEX('Sales Goals'!$C$26:$Z$26, ROW(W4))</f>
        <v>310</v>
      </c>
      <c r="X6" s="228" cm="1">
        <f t="array" ref="X6">INDEX('Sales Goals'!$C$27:$Z$27, ROW(X4))</f>
        <v>1700</v>
      </c>
      <c r="Y6" s="228" cm="1">
        <f t="array" ref="Y6">INDEX('Sales Goals'!$C$28:$Z$28, ROW(Y4))</f>
        <v>0</v>
      </c>
      <c r="Z6" s="241" cm="1">
        <f t="array" ref="Z6">INDEX('Sales Goals'!$C$30:$Z$30, ROW(Z4))</f>
        <v>5840</v>
      </c>
    </row>
    <row r="7" spans="2:27" ht="15" customHeight="1">
      <c r="O7" s="240" t="s">
        <v>78</v>
      </c>
      <c r="P7" s="228" cm="1">
        <f t="array" ref="P7">INDEX('Sales Goals'!$C$19:$Z$19, ROW(P5))</f>
        <v>780</v>
      </c>
      <c r="Q7" s="228" cm="1">
        <f t="array" ref="Q7">INDEX('Sales Goals'!$C$20:$Z$20, ROW(Q5))</f>
        <v>320</v>
      </c>
      <c r="R7" s="228" cm="1">
        <f t="array" ref="R7">INDEX('Sales Goals'!$C$21:$Z$21, ROW(R5))</f>
        <v>0</v>
      </c>
      <c r="S7" s="228" cm="1">
        <f t="array" ref="S7">INDEX('Sales Goals'!$C$22:$Z$22, ROW(S5))</f>
        <v>140</v>
      </c>
      <c r="T7" s="228" cm="1">
        <f t="array" ref="T7">INDEX('Sales Goals'!$C$23:$Z$23, ROW(T5))</f>
        <v>132</v>
      </c>
      <c r="U7" s="228" cm="1">
        <f t="array" ref="U7">INDEX('Sales Goals'!$C$24:$Z$24, ROW(U5))</f>
        <v>2900</v>
      </c>
      <c r="V7" s="228" cm="1">
        <f t="array" ref="V7">INDEX('Sales Goals'!$C$25:$Z$25, ROW(V5))</f>
        <v>18</v>
      </c>
      <c r="W7" s="228" cm="1">
        <f t="array" ref="W7">INDEX('Sales Goals'!$C$26:$Z$26, ROW(W5))</f>
        <v>360</v>
      </c>
      <c r="X7" s="228" cm="1">
        <f t="array" ref="X7">INDEX('Sales Goals'!$C$27:$Z$27, ROW(X5))</f>
        <v>1870</v>
      </c>
      <c r="Y7" s="228" cm="1">
        <f t="array" ref="Y7">INDEX('Sales Goals'!$C$28:$Z$28, ROW(Y5))</f>
        <v>0</v>
      </c>
      <c r="Z7" s="241" cm="1">
        <f t="array" ref="Z7">INDEX('Sales Goals'!$C$30:$Z$30, ROW(Z5))</f>
        <v>6520</v>
      </c>
    </row>
    <row r="8" spans="2:27" ht="16">
      <c r="B8" s="681" t="s">
        <v>225</v>
      </c>
      <c r="C8" s="130"/>
      <c r="D8" s="131" t="s">
        <v>226</v>
      </c>
      <c r="E8" s="131" t="s">
        <v>95</v>
      </c>
      <c r="F8" s="131" t="s">
        <v>88</v>
      </c>
      <c r="G8" s="131" t="s">
        <v>89</v>
      </c>
      <c r="H8" s="131" t="s">
        <v>92</v>
      </c>
      <c r="I8" s="131" t="s">
        <v>93</v>
      </c>
      <c r="J8" s="131" t="s">
        <v>94</v>
      </c>
      <c r="K8" s="131" t="s">
        <v>97</v>
      </c>
      <c r="L8" s="131" t="s">
        <v>108</v>
      </c>
      <c r="M8" s="131" t="s">
        <v>24</v>
      </c>
      <c r="O8" s="240" t="s">
        <v>79</v>
      </c>
      <c r="P8" s="228" cm="1">
        <f t="array" ref="P8">INDEX('Sales Goals'!$C$19:$Z$19, ROW(P6))</f>
        <v>760</v>
      </c>
      <c r="Q8" s="228" cm="1">
        <f t="array" ref="Q8">INDEX('Sales Goals'!$C$20:$Z$20, ROW(Q6))</f>
        <v>300</v>
      </c>
      <c r="R8" s="228" cm="1">
        <f t="array" ref="R8">INDEX('Sales Goals'!$C$21:$Z$21, ROW(R6))</f>
        <v>0</v>
      </c>
      <c r="S8" s="228" cm="1">
        <f t="array" ref="S8">INDEX('Sales Goals'!$C$22:$Z$22, ROW(S6))</f>
        <v>135</v>
      </c>
      <c r="T8" s="228" cm="1">
        <f t="array" ref="T8">INDEX('Sales Goals'!$C$23:$Z$23, ROW(T6))</f>
        <v>125</v>
      </c>
      <c r="U8" s="228" cm="1">
        <f t="array" ref="U8">INDEX('Sales Goals'!$C$24:$Z$24, ROW(U6))</f>
        <v>2779</v>
      </c>
      <c r="V8" s="228" cm="1">
        <f t="array" ref="V8">INDEX('Sales Goals'!$C$25:$Z$25, ROW(V6))</f>
        <v>18</v>
      </c>
      <c r="W8" s="228" cm="1">
        <f t="array" ref="W8">INDEX('Sales Goals'!$C$26:$Z$26, ROW(W6))</f>
        <v>300</v>
      </c>
      <c r="X8" s="228" cm="1">
        <f t="array" ref="X8">INDEX('Sales Goals'!$C$27:$Z$27, ROW(X6))</f>
        <v>1700</v>
      </c>
      <c r="Y8" s="228" cm="1">
        <f t="array" ref="Y8">INDEX('Sales Goals'!$C$28:$Z$28, ROW(Y6))</f>
        <v>0</v>
      </c>
      <c r="Z8" s="241" cm="1">
        <f t="array" ref="Z8">INDEX('Sales Goals'!$C$30:$Z$30, ROW(Z6))</f>
        <v>6117</v>
      </c>
      <c r="AA8" s="47"/>
    </row>
    <row r="9" spans="2:27" ht="16">
      <c r="B9" s="681"/>
      <c r="C9" s="136">
        <v>46023</v>
      </c>
      <c r="D9"/>
      <c r="E9">
        <f>V3</f>
        <v>20</v>
      </c>
      <c r="F9" s="1">
        <f>P3</f>
        <v>560</v>
      </c>
      <c r="G9" s="1">
        <f>Q3</f>
        <v>260</v>
      </c>
      <c r="H9" s="1">
        <f>S3</f>
        <v>110</v>
      </c>
      <c r="I9" s="1">
        <f>T3</f>
        <v>15</v>
      </c>
      <c r="J9" s="1">
        <f>U3</f>
        <v>2090</v>
      </c>
      <c r="K9" s="1">
        <f>X3</f>
        <v>1500</v>
      </c>
      <c r="L9" s="1">
        <f>W3</f>
        <v>290</v>
      </c>
      <c r="M9" s="130">
        <f>SUM(D9:L9)</f>
        <v>4845</v>
      </c>
      <c r="O9" s="240" t="s">
        <v>80</v>
      </c>
      <c r="P9" s="228" cm="1">
        <f t="array" ref="P9">INDEX('Sales Goals'!$C$19:$Z$19, ROW(P7))</f>
        <v>775</v>
      </c>
      <c r="Q9" s="228" cm="1">
        <f t="array" ref="Q9">INDEX('Sales Goals'!$C$20:$Z$20, ROW(Q7))</f>
        <v>270</v>
      </c>
      <c r="R9" s="228" cm="1">
        <f t="array" ref="R9">INDEX('Sales Goals'!$C$21:$Z$21, ROW(R7))</f>
        <v>0</v>
      </c>
      <c r="S9" s="228" cm="1">
        <f t="array" ref="S9">INDEX('Sales Goals'!$C$22:$Z$22, ROW(S7))</f>
        <v>160</v>
      </c>
      <c r="T9" s="228" cm="1">
        <f t="array" ref="T9">INDEX('Sales Goals'!$C$23:$Z$23, ROW(T7))</f>
        <v>150</v>
      </c>
      <c r="U9" s="228" cm="1">
        <f t="array" ref="U9">INDEX('Sales Goals'!$C$24:$Z$24, ROW(U7))</f>
        <v>2799</v>
      </c>
      <c r="V9" s="228" cm="1">
        <f t="array" ref="V9">INDEX('Sales Goals'!$C$25:$Z$25, ROW(V7))</f>
        <v>66</v>
      </c>
      <c r="W9" s="228" cm="1">
        <f t="array" ref="W9">INDEX('Sales Goals'!$C$26:$Z$26, ROW(W7))</f>
        <v>340</v>
      </c>
      <c r="X9" s="228" cm="1">
        <f t="array" ref="X9">INDEX('Sales Goals'!$C$27:$Z$27, ROW(X7))</f>
        <v>1900</v>
      </c>
      <c r="Y9" s="228" cm="1">
        <f t="array" ref="Y9">INDEX('Sales Goals'!$C$28:$Z$28, ROW(Y7))</f>
        <v>0</v>
      </c>
      <c r="Z9" s="241" cm="1">
        <f t="array" ref="Z9">INDEX('Sales Goals'!$C$30:$Z$30, ROW(Z7))</f>
        <v>6460</v>
      </c>
      <c r="AA9"/>
    </row>
    <row r="10" spans="2:27" ht="16">
      <c r="B10" s="681"/>
      <c r="C10" s="136">
        <v>46054</v>
      </c>
      <c r="D10"/>
      <c r="E10">
        <f t="shared" ref="E10:E20" si="0">V4</f>
        <v>30</v>
      </c>
      <c r="F10" s="1">
        <f t="shared" ref="F10:G10" si="1">P4</f>
        <v>690</v>
      </c>
      <c r="G10" s="1">
        <f t="shared" si="1"/>
        <v>260</v>
      </c>
      <c r="H10" s="1">
        <f t="shared" ref="H10:J10" si="2">S4</f>
        <v>120</v>
      </c>
      <c r="I10" s="1">
        <f t="shared" si="2"/>
        <v>30</v>
      </c>
      <c r="J10" s="1">
        <f t="shared" si="2"/>
        <v>2380</v>
      </c>
      <c r="K10" s="1">
        <f t="shared" ref="K10:K20" si="3">X4</f>
        <v>1560</v>
      </c>
      <c r="L10" s="1">
        <f t="shared" ref="L10:L20" si="4">W4</f>
        <v>280</v>
      </c>
      <c r="M10" s="130">
        <f t="shared" ref="M10:M20" si="5">SUM(D10:L10)</f>
        <v>5350</v>
      </c>
      <c r="O10" s="240" t="s">
        <v>81</v>
      </c>
      <c r="P10" s="228" cm="1">
        <f t="array" ref="P10">INDEX('Sales Goals'!$C$19:$Z$19, ROW(P8))</f>
        <v>750</v>
      </c>
      <c r="Q10" s="228" cm="1">
        <f t="array" ref="Q10">INDEX('Sales Goals'!$C$20:$Z$20, ROW(Q8))</f>
        <v>300</v>
      </c>
      <c r="R10" s="228" cm="1">
        <f t="array" ref="R10">INDEX('Sales Goals'!$C$21:$Z$21, ROW(R8))</f>
        <v>0</v>
      </c>
      <c r="S10" s="228" cm="1">
        <f t="array" ref="S10">INDEX('Sales Goals'!$C$22:$Z$22, ROW(S8))</f>
        <v>160</v>
      </c>
      <c r="T10" s="228" cm="1">
        <f t="array" ref="T10">INDEX('Sales Goals'!$C$23:$Z$23, ROW(T8))</f>
        <v>145</v>
      </c>
      <c r="U10" s="228" cm="1">
        <f t="array" ref="U10">INDEX('Sales Goals'!$C$24:$Z$24, ROW(U8))</f>
        <v>3115</v>
      </c>
      <c r="V10" s="228" cm="1">
        <f t="array" ref="V10">INDEX('Sales Goals'!$C$25:$Z$25, ROW(V8))</f>
        <v>120</v>
      </c>
      <c r="W10" s="228" cm="1">
        <f t="array" ref="W10">INDEX('Sales Goals'!$C$26:$Z$26, ROW(W8))</f>
        <v>370</v>
      </c>
      <c r="X10" s="228" cm="1">
        <f t="array" ref="X10">INDEX('Sales Goals'!$C$27:$Z$27, ROW(X8))</f>
        <v>1930</v>
      </c>
      <c r="Y10" s="228" cm="1">
        <f t="array" ref="Y10">INDEX('Sales Goals'!$C$28:$Z$28, ROW(Y8))</f>
        <v>0</v>
      </c>
      <c r="Z10" s="241" cm="1">
        <f t="array" ref="Z10">INDEX('Sales Goals'!$C$30:$Z$30, ROW(Z8))</f>
        <v>6890</v>
      </c>
      <c r="AA10"/>
    </row>
    <row r="11" spans="2:27" ht="16">
      <c r="B11" s="681"/>
      <c r="C11" s="136">
        <v>46082</v>
      </c>
      <c r="D11"/>
      <c r="E11">
        <f t="shared" si="0"/>
        <v>35</v>
      </c>
      <c r="F11" s="1">
        <f t="shared" ref="F11:G11" si="6">P5</f>
        <v>800</v>
      </c>
      <c r="G11" s="1">
        <f t="shared" si="6"/>
        <v>370</v>
      </c>
      <c r="H11" s="1">
        <f t="shared" ref="H11:J11" si="7">S5</f>
        <v>160</v>
      </c>
      <c r="I11" s="1">
        <f t="shared" si="7"/>
        <v>120</v>
      </c>
      <c r="J11" s="1">
        <f t="shared" si="7"/>
        <v>2930</v>
      </c>
      <c r="K11" s="1">
        <f t="shared" si="3"/>
        <v>2105</v>
      </c>
      <c r="L11" s="1">
        <f t="shared" si="4"/>
        <v>370</v>
      </c>
      <c r="M11" s="130">
        <f t="shared" si="5"/>
        <v>6890</v>
      </c>
      <c r="O11" s="240" t="s">
        <v>82</v>
      </c>
      <c r="P11" s="228" cm="1">
        <f t="array" ref="P11">INDEX('Sales Goals'!$C$19:$Z$19, ROW(P9))</f>
        <v>715</v>
      </c>
      <c r="Q11" s="228" cm="1">
        <f t="array" ref="Q11">INDEX('Sales Goals'!$C$20:$Z$20, ROW(Q9))</f>
        <v>345</v>
      </c>
      <c r="R11" s="228" cm="1">
        <f t="array" ref="R11">INDEX('Sales Goals'!$C$21:$Z$21, ROW(R9))</f>
        <v>0</v>
      </c>
      <c r="S11" s="228" cm="1">
        <f t="array" ref="S11">INDEX('Sales Goals'!$C$22:$Z$22, ROW(S9))</f>
        <v>140</v>
      </c>
      <c r="T11" s="228" cm="1">
        <f t="array" ref="T11">INDEX('Sales Goals'!$C$23:$Z$23, ROW(T9))</f>
        <v>150</v>
      </c>
      <c r="U11" s="228" cm="1">
        <f t="array" ref="U11">INDEX('Sales Goals'!$C$24:$Z$24, ROW(U9))</f>
        <v>2617</v>
      </c>
      <c r="V11" s="228" cm="1">
        <f t="array" ref="V11">INDEX('Sales Goals'!$C$25:$Z$25, ROW(V9))</f>
        <v>120</v>
      </c>
      <c r="W11" s="228" cm="1">
        <f t="array" ref="W11">INDEX('Sales Goals'!$C$26:$Z$26, ROW(W9))</f>
        <v>353</v>
      </c>
      <c r="X11" s="228" cm="1">
        <f t="array" ref="X11">INDEX('Sales Goals'!$C$27:$Z$27, ROW(X9))</f>
        <v>1960</v>
      </c>
      <c r="Y11" s="228" cm="1">
        <f t="array" ref="Y11">INDEX('Sales Goals'!$C$28:$Z$28, ROW(Y9))</f>
        <v>0</v>
      </c>
      <c r="Z11" s="241" cm="1">
        <f t="array" ref="Z11">INDEX('Sales Goals'!$C$30:$Z$30, ROW(Z9))</f>
        <v>6400</v>
      </c>
      <c r="AA11"/>
    </row>
    <row r="12" spans="2:27" ht="16">
      <c r="B12" s="681"/>
      <c r="C12" s="136">
        <v>46113</v>
      </c>
      <c r="D12"/>
      <c r="E12">
        <f t="shared" si="0"/>
        <v>18</v>
      </c>
      <c r="F12" s="1">
        <f t="shared" ref="F12:G12" si="8">P6</f>
        <v>700</v>
      </c>
      <c r="G12" s="1">
        <f t="shared" si="8"/>
        <v>305</v>
      </c>
      <c r="H12" s="1">
        <f t="shared" ref="H12:J12" si="9">S6</f>
        <v>130</v>
      </c>
      <c r="I12" s="1">
        <f t="shared" si="9"/>
        <v>120</v>
      </c>
      <c r="J12" s="1">
        <f t="shared" si="9"/>
        <v>2557</v>
      </c>
      <c r="K12" s="1">
        <f t="shared" si="3"/>
        <v>1700</v>
      </c>
      <c r="L12" s="1">
        <f t="shared" si="4"/>
        <v>310</v>
      </c>
      <c r="M12" s="130">
        <f t="shared" si="5"/>
        <v>5840</v>
      </c>
      <c r="O12" s="240" t="s">
        <v>83</v>
      </c>
      <c r="P12" s="228" cm="1">
        <f t="array" ref="P12">INDEX('Sales Goals'!$C$19:$Z$19, ROW(P10))</f>
        <v>685</v>
      </c>
      <c r="Q12" s="228" cm="1">
        <f t="array" ref="Q12">INDEX('Sales Goals'!$C$20:$Z$20, ROW(Q10))</f>
        <v>370</v>
      </c>
      <c r="R12" s="228" cm="1">
        <f t="array" ref="R12">INDEX('Sales Goals'!$C$21:$Z$21, ROW(R10))</f>
        <v>0</v>
      </c>
      <c r="S12" s="228" cm="1">
        <f t="array" ref="S12">INDEX('Sales Goals'!$C$22:$Z$22, ROW(S10))</f>
        <v>160</v>
      </c>
      <c r="T12" s="228" cm="1">
        <f t="array" ref="T12">INDEX('Sales Goals'!$C$23:$Z$23, ROW(T10))</f>
        <v>125</v>
      </c>
      <c r="U12" s="228" cm="1">
        <f t="array" ref="U12">INDEX('Sales Goals'!$C$24:$Z$24, ROW(U10))</f>
        <v>2710</v>
      </c>
      <c r="V12" s="228" cm="1">
        <f t="array" ref="V12">INDEX('Sales Goals'!$C$25:$Z$25, ROW(V10))</f>
        <v>145</v>
      </c>
      <c r="W12" s="228" cm="1">
        <f t="array" ref="W12">INDEX('Sales Goals'!$C$26:$Z$26, ROW(W10))</f>
        <v>360</v>
      </c>
      <c r="X12" s="228" cm="1">
        <f t="array" ref="X12">INDEX('Sales Goals'!$C$27:$Z$27, ROW(X10))</f>
        <v>2080</v>
      </c>
      <c r="Y12" s="228" cm="1">
        <f t="array" ref="Y12">INDEX('Sales Goals'!$C$28:$Z$28, ROW(Y10))</f>
        <v>0</v>
      </c>
      <c r="Z12" s="241" cm="1">
        <f t="array" ref="Z12">INDEX('Sales Goals'!$C$30:$Z$30, ROW(Z10))</f>
        <v>6635</v>
      </c>
      <c r="AA12"/>
    </row>
    <row r="13" spans="2:27" ht="16">
      <c r="B13" s="681"/>
      <c r="C13" s="136">
        <v>46143</v>
      </c>
      <c r="D13"/>
      <c r="E13">
        <f t="shared" si="0"/>
        <v>18</v>
      </c>
      <c r="F13" s="1">
        <f t="shared" ref="F13:G13" si="10">P7</f>
        <v>780</v>
      </c>
      <c r="G13" s="1">
        <f t="shared" si="10"/>
        <v>320</v>
      </c>
      <c r="H13" s="1">
        <f t="shared" ref="H13:J13" si="11">S7</f>
        <v>140</v>
      </c>
      <c r="I13" s="1">
        <f t="shared" si="11"/>
        <v>132</v>
      </c>
      <c r="J13" s="1">
        <f t="shared" si="11"/>
        <v>2900</v>
      </c>
      <c r="K13" s="1">
        <f t="shared" si="3"/>
        <v>1870</v>
      </c>
      <c r="L13" s="1">
        <f t="shared" si="4"/>
        <v>360</v>
      </c>
      <c r="M13" s="130">
        <f t="shared" si="5"/>
        <v>6520</v>
      </c>
      <c r="O13" s="240" t="s">
        <v>84</v>
      </c>
      <c r="P13" s="228" cm="1">
        <f t="array" ref="P13">INDEX('Sales Goals'!$C$19:$Z$19, ROW(P11))</f>
        <v>620</v>
      </c>
      <c r="Q13" s="228" cm="1">
        <f t="array" ref="Q13">INDEX('Sales Goals'!$C$20:$Z$20, ROW(Q11))</f>
        <v>340</v>
      </c>
      <c r="R13" s="228" cm="1">
        <f t="array" ref="R13">INDEX('Sales Goals'!$C$21:$Z$21, ROW(R11))</f>
        <v>0</v>
      </c>
      <c r="S13" s="228" cm="1">
        <f t="array" ref="S13">INDEX('Sales Goals'!$C$22:$Z$22, ROW(S11))</f>
        <v>140</v>
      </c>
      <c r="T13" s="228" cm="1">
        <f t="array" ref="T13">INDEX('Sales Goals'!$C$23:$Z$23, ROW(T11))</f>
        <v>123</v>
      </c>
      <c r="U13" s="228" cm="1">
        <f t="array" ref="U13">INDEX('Sales Goals'!$C$24:$Z$24, ROW(U11))</f>
        <v>2462</v>
      </c>
      <c r="V13" s="228" cm="1">
        <f t="array" ref="V13">INDEX('Sales Goals'!$C$25:$Z$25, ROW(V11))</f>
        <v>110</v>
      </c>
      <c r="W13" s="228" cm="1">
        <f t="array" ref="W13">INDEX('Sales Goals'!$C$26:$Z$26, ROW(W11))</f>
        <v>330</v>
      </c>
      <c r="X13" s="228" cm="1">
        <f t="array" ref="X13">INDEX('Sales Goals'!$C$27:$Z$27, ROW(X11))</f>
        <v>2050</v>
      </c>
      <c r="Y13" s="228" cm="1">
        <f t="array" ref="Y13">INDEX('Sales Goals'!$C$28:$Z$28, ROW(Y11))</f>
        <v>0</v>
      </c>
      <c r="Z13" s="241" cm="1">
        <f t="array" ref="Z13">INDEX('Sales Goals'!$C$30:$Z$30, ROW(Z11))</f>
        <v>6175</v>
      </c>
      <c r="AA13"/>
    </row>
    <row r="14" spans="2:27" ht="17" thickBot="1">
      <c r="B14" s="681"/>
      <c r="C14" s="136">
        <v>46174</v>
      </c>
      <c r="D14"/>
      <c r="E14">
        <f t="shared" si="0"/>
        <v>18</v>
      </c>
      <c r="F14" s="1">
        <f t="shared" ref="F14:G14" si="12">P8</f>
        <v>760</v>
      </c>
      <c r="G14" s="1">
        <f t="shared" si="12"/>
        <v>300</v>
      </c>
      <c r="H14" s="1">
        <f t="shared" ref="H14:J14" si="13">S8</f>
        <v>135</v>
      </c>
      <c r="I14" s="1">
        <f t="shared" si="13"/>
        <v>125</v>
      </c>
      <c r="J14" s="1">
        <f t="shared" si="13"/>
        <v>2779</v>
      </c>
      <c r="K14" s="1">
        <f t="shared" si="3"/>
        <v>1700</v>
      </c>
      <c r="L14" s="1">
        <f t="shared" si="4"/>
        <v>300</v>
      </c>
      <c r="M14" s="130">
        <f t="shared" si="5"/>
        <v>6117</v>
      </c>
      <c r="O14" s="242" t="s">
        <v>85</v>
      </c>
      <c r="P14" s="243" cm="1">
        <f t="array" ref="P14">INDEX('Sales Goals'!$C$19:$Z$19, ROW(P12))</f>
        <v>780</v>
      </c>
      <c r="Q14" s="243" cm="1">
        <f t="array" ref="Q14">INDEX('Sales Goals'!$C$20:$Z$20, ROW(Q12))</f>
        <v>430</v>
      </c>
      <c r="R14" s="243" cm="1">
        <f t="array" ref="R14">INDEX('Sales Goals'!$C$21:$Z$21, ROW(R12))</f>
        <v>0</v>
      </c>
      <c r="S14" s="243" cm="1">
        <f t="array" ref="S14">INDEX('Sales Goals'!$C$22:$Z$22, ROW(S12))</f>
        <v>195</v>
      </c>
      <c r="T14" s="243" cm="1">
        <f t="array" ref="T14">INDEX('Sales Goals'!$C$23:$Z$23, ROW(T12))</f>
        <v>135</v>
      </c>
      <c r="U14" s="243" cm="1">
        <f t="array" ref="U14">INDEX('Sales Goals'!$C$24:$Z$24, ROW(U12))</f>
        <v>3400</v>
      </c>
      <c r="V14" s="243" cm="1">
        <f t="array" ref="V14">INDEX('Sales Goals'!$C$25:$Z$25, ROW(V12))</f>
        <v>110</v>
      </c>
      <c r="W14" s="243" cm="1">
        <f t="array" ref="W14">INDEX('Sales Goals'!$C$26:$Z$26, ROW(W12))</f>
        <v>380</v>
      </c>
      <c r="X14" s="243" cm="1">
        <f t="array" ref="X14">INDEX('Sales Goals'!$C$27:$Z$27, ROW(X12))</f>
        <v>2510</v>
      </c>
      <c r="Y14" s="243" cm="1">
        <f t="array" ref="Y14">INDEX('Sales Goals'!$C$28:$Z$28, ROW(Y12))</f>
        <v>0</v>
      </c>
      <c r="Z14" s="244" cm="1">
        <f t="array" ref="Z14">INDEX('Sales Goals'!$C$30:$Z$30, ROW(Z12))</f>
        <v>7940</v>
      </c>
      <c r="AA14"/>
    </row>
    <row r="15" spans="2:27" ht="17" thickBot="1">
      <c r="B15" s="681"/>
      <c r="C15" s="136">
        <v>46204</v>
      </c>
      <c r="D15"/>
      <c r="E15">
        <f t="shared" si="0"/>
        <v>66</v>
      </c>
      <c r="F15" s="1">
        <f t="shared" ref="F15:G15" si="14">P9</f>
        <v>775</v>
      </c>
      <c r="G15" s="1">
        <f t="shared" si="14"/>
        <v>270</v>
      </c>
      <c r="H15" s="1">
        <f t="shared" ref="H15:J15" si="15">S9</f>
        <v>160</v>
      </c>
      <c r="I15" s="1">
        <f t="shared" si="15"/>
        <v>150</v>
      </c>
      <c r="J15" s="1">
        <f t="shared" si="15"/>
        <v>2799</v>
      </c>
      <c r="K15" s="1">
        <f t="shared" si="3"/>
        <v>1900</v>
      </c>
      <c r="L15" s="1">
        <f t="shared" si="4"/>
        <v>340</v>
      </c>
      <c r="M15" s="130">
        <f t="shared" si="5"/>
        <v>6460</v>
      </c>
      <c r="O15" s="245" t="s">
        <v>24</v>
      </c>
      <c r="P15" s="246" cm="1">
        <f t="array" ref="P15">INDEX('Sales Goals'!$C$19:$Z$19, ROW(P13))</f>
        <v>8615</v>
      </c>
      <c r="Q15" s="246" cm="1">
        <f t="array" ref="Q15">INDEX('Sales Goals'!$C$20:$Z$20, ROW(Q13))</f>
        <v>3870</v>
      </c>
      <c r="R15" s="246" cm="1">
        <f t="array" ref="R15">INDEX('Sales Goals'!$C$21:$Z$21, ROW(R13))</f>
        <v>0</v>
      </c>
      <c r="S15" s="246" cm="1">
        <f t="array" ref="S15">INDEX('Sales Goals'!$C$22:$Z$22, ROW(S13))</f>
        <v>1750</v>
      </c>
      <c r="T15" s="246" cm="1">
        <f t="array" ref="T15">INDEX('Sales Goals'!$C$23:$Z$23, ROW(T13))</f>
        <v>1370</v>
      </c>
      <c r="U15" s="246" cm="1">
        <f t="array" ref="U15">INDEX('Sales Goals'!$C$24:$Z$24, ROW(U13))</f>
        <v>32739</v>
      </c>
      <c r="V15" s="246" cm="1">
        <f t="array" ref="V15">INDEX('Sales Goals'!$C$25:$Z$25, ROW(V13))</f>
        <v>810</v>
      </c>
      <c r="W15" s="246" cm="1">
        <f t="array" ref="W15">INDEX('Sales Goals'!$C$26:$Z$26, ROW(W13))</f>
        <v>4043</v>
      </c>
      <c r="X15" s="246" cm="1">
        <f t="array" ref="X15">INDEX('Sales Goals'!$C$27:$Z$27, ROW(X13))</f>
        <v>22865</v>
      </c>
      <c r="Y15" s="246" cm="1">
        <f t="array" ref="Y15">INDEX('Sales Goals'!$C$28:$Z$28, ROW(Y13))</f>
        <v>0</v>
      </c>
      <c r="Z15" s="247" cm="1">
        <f t="array" ref="Z15">INDEX('Sales Goals'!$C$30:$Z$30, ROW(Z13))</f>
        <v>76062</v>
      </c>
      <c r="AA15"/>
    </row>
    <row r="16" spans="2:27" ht="16">
      <c r="B16" s="681"/>
      <c r="C16" s="136">
        <v>46235</v>
      </c>
      <c r="D16"/>
      <c r="E16">
        <f t="shared" si="0"/>
        <v>120</v>
      </c>
      <c r="F16" s="1">
        <f t="shared" ref="F16:G16" si="16">P10</f>
        <v>750</v>
      </c>
      <c r="G16" s="1">
        <f t="shared" si="16"/>
        <v>300</v>
      </c>
      <c r="H16" s="1">
        <f t="shared" ref="H16:J16" si="17">S10</f>
        <v>160</v>
      </c>
      <c r="I16" s="1">
        <f t="shared" si="17"/>
        <v>145</v>
      </c>
      <c r="J16" s="1">
        <f t="shared" si="17"/>
        <v>3115</v>
      </c>
      <c r="K16" s="1">
        <f t="shared" si="3"/>
        <v>1930</v>
      </c>
      <c r="L16" s="1">
        <f t="shared" si="4"/>
        <v>370</v>
      </c>
      <c r="M16" s="130">
        <f t="shared" si="5"/>
        <v>6890</v>
      </c>
      <c r="AA16"/>
    </row>
    <row r="17" spans="2:27" ht="16">
      <c r="B17" s="681"/>
      <c r="C17" s="136">
        <v>46266</v>
      </c>
      <c r="D17"/>
      <c r="E17">
        <f t="shared" si="0"/>
        <v>120</v>
      </c>
      <c r="F17" s="1">
        <f t="shared" ref="F17:G17" si="18">P11</f>
        <v>715</v>
      </c>
      <c r="G17" s="1">
        <f t="shared" si="18"/>
        <v>345</v>
      </c>
      <c r="H17" s="1">
        <f t="shared" ref="H17:J17" si="19">S11</f>
        <v>140</v>
      </c>
      <c r="I17" s="1">
        <f t="shared" si="19"/>
        <v>150</v>
      </c>
      <c r="J17" s="1">
        <f t="shared" si="19"/>
        <v>2617</v>
      </c>
      <c r="K17" s="1">
        <f t="shared" si="3"/>
        <v>1960</v>
      </c>
      <c r="L17" s="1">
        <f t="shared" si="4"/>
        <v>353</v>
      </c>
      <c r="M17" s="130">
        <f t="shared" si="5"/>
        <v>6400</v>
      </c>
      <c r="AA17"/>
    </row>
    <row r="18" spans="2:27" ht="16">
      <c r="B18" s="681"/>
      <c r="C18" s="136">
        <v>46296</v>
      </c>
      <c r="D18"/>
      <c r="E18">
        <f t="shared" si="0"/>
        <v>145</v>
      </c>
      <c r="F18" s="1">
        <f t="shared" ref="F18:G18" si="20">P12</f>
        <v>685</v>
      </c>
      <c r="G18" s="1">
        <f t="shared" si="20"/>
        <v>370</v>
      </c>
      <c r="H18" s="1">
        <f t="shared" ref="H18:J18" si="21">S12</f>
        <v>160</v>
      </c>
      <c r="I18" s="1">
        <f t="shared" si="21"/>
        <v>125</v>
      </c>
      <c r="J18" s="1">
        <f t="shared" si="21"/>
        <v>2710</v>
      </c>
      <c r="K18" s="1">
        <f t="shared" si="3"/>
        <v>2080</v>
      </c>
      <c r="L18" s="1">
        <f t="shared" si="4"/>
        <v>360</v>
      </c>
      <c r="M18" s="130">
        <f t="shared" si="5"/>
        <v>6635</v>
      </c>
      <c r="AA18"/>
    </row>
    <row r="19" spans="2:27" ht="16">
      <c r="B19" s="681"/>
      <c r="C19" s="136">
        <v>46327</v>
      </c>
      <c r="D19"/>
      <c r="E19">
        <f t="shared" si="0"/>
        <v>110</v>
      </c>
      <c r="F19" s="1">
        <f t="shared" ref="F19:G19" si="22">P13</f>
        <v>620</v>
      </c>
      <c r="G19" s="1">
        <f t="shared" si="22"/>
        <v>340</v>
      </c>
      <c r="H19" s="1">
        <f t="shared" ref="H19:J19" si="23">S13</f>
        <v>140</v>
      </c>
      <c r="I19" s="1">
        <f t="shared" si="23"/>
        <v>123</v>
      </c>
      <c r="J19" s="1">
        <f t="shared" si="23"/>
        <v>2462</v>
      </c>
      <c r="K19" s="1">
        <f t="shared" si="3"/>
        <v>2050</v>
      </c>
      <c r="L19" s="1">
        <f t="shared" si="4"/>
        <v>330</v>
      </c>
      <c r="M19" s="130">
        <f t="shared" si="5"/>
        <v>6175</v>
      </c>
      <c r="AA19"/>
    </row>
    <row r="20" spans="2:27" ht="16">
      <c r="B20" s="681"/>
      <c r="C20" s="136">
        <v>46357</v>
      </c>
      <c r="D20"/>
      <c r="E20">
        <f t="shared" si="0"/>
        <v>110</v>
      </c>
      <c r="F20" s="1">
        <f t="shared" ref="F20:G20" si="24">P14</f>
        <v>780</v>
      </c>
      <c r="G20" s="1">
        <f t="shared" si="24"/>
        <v>430</v>
      </c>
      <c r="H20" s="1">
        <f t="shared" ref="H20:J20" si="25">S14</f>
        <v>195</v>
      </c>
      <c r="I20" s="1">
        <f t="shared" si="25"/>
        <v>135</v>
      </c>
      <c r="J20" s="1">
        <f t="shared" si="25"/>
        <v>3400</v>
      </c>
      <c r="K20" s="1">
        <f t="shared" si="3"/>
        <v>2510</v>
      </c>
      <c r="L20" s="1">
        <f t="shared" si="4"/>
        <v>380</v>
      </c>
      <c r="M20" s="130">
        <f t="shared" si="5"/>
        <v>7940</v>
      </c>
      <c r="AA20"/>
    </row>
    <row r="21" spans="2:27" ht="16">
      <c r="B21" s="681"/>
      <c r="C21" s="201" t="s">
        <v>24</v>
      </c>
      <c r="D21" s="130">
        <f>SUM(D9:D20)</f>
        <v>0</v>
      </c>
      <c r="E21" s="130">
        <f>SUM(E9:E20)</f>
        <v>810</v>
      </c>
      <c r="F21" s="130">
        <f t="shared" ref="F21:L21" si="26">SUM(F9:F20)</f>
        <v>8615</v>
      </c>
      <c r="G21" s="130">
        <f t="shared" si="26"/>
        <v>3870</v>
      </c>
      <c r="H21" s="130">
        <f t="shared" si="26"/>
        <v>1750</v>
      </c>
      <c r="I21" s="130">
        <f t="shared" si="26"/>
        <v>1370</v>
      </c>
      <c r="J21" s="130">
        <f t="shared" si="26"/>
        <v>32739</v>
      </c>
      <c r="K21" s="130">
        <f t="shared" si="26"/>
        <v>22865</v>
      </c>
      <c r="L21" s="130">
        <f t="shared" si="26"/>
        <v>4043</v>
      </c>
      <c r="M21" s="130">
        <f>SUM(D21:L21)</f>
        <v>76062</v>
      </c>
      <c r="AA21"/>
    </row>
    <row r="22" spans="2:27">
      <c r="C22" s="136"/>
      <c r="D22" s="137"/>
      <c r="E22" s="137"/>
      <c r="F22" s="137"/>
      <c r="G22" s="137"/>
      <c r="H22" s="137"/>
      <c r="I22" s="137"/>
      <c r="J22" s="137"/>
      <c r="K22" s="137"/>
      <c r="L22" s="137"/>
      <c r="M22" s="137"/>
    </row>
    <row r="23" spans="2:27">
      <c r="B23" s="681" t="s">
        <v>227</v>
      </c>
      <c r="C23" s="130"/>
      <c r="D23" s="131" t="s">
        <v>226</v>
      </c>
      <c r="E23" s="131" t="s">
        <v>95</v>
      </c>
      <c r="F23" s="131" t="s">
        <v>88</v>
      </c>
      <c r="G23" s="131" t="s">
        <v>89</v>
      </c>
      <c r="H23" s="131" t="s">
        <v>92</v>
      </c>
      <c r="I23" s="131" t="s">
        <v>93</v>
      </c>
      <c r="J23" s="131" t="s">
        <v>94</v>
      </c>
      <c r="K23" s="131" t="s">
        <v>97</v>
      </c>
      <c r="L23" s="131" t="s">
        <v>108</v>
      </c>
      <c r="M23" s="131" t="s">
        <v>24</v>
      </c>
    </row>
    <row r="24" spans="2:27">
      <c r="B24" s="681"/>
      <c r="C24" s="136">
        <v>46023</v>
      </c>
      <c r="D24" s="132">
        <f t="shared" ref="D24:M35" si="27">D9/$M9</f>
        <v>0</v>
      </c>
      <c r="E24" s="132">
        <f>E9/$M9</f>
        <v>4.1279669762641896E-3</v>
      </c>
      <c r="F24" s="132">
        <f t="shared" si="27"/>
        <v>0.11558307533539731</v>
      </c>
      <c r="G24" s="132">
        <f t="shared" si="27"/>
        <v>5.3663570691434466E-2</v>
      </c>
      <c r="H24" s="132">
        <f t="shared" si="27"/>
        <v>2.2703818369453045E-2</v>
      </c>
      <c r="I24" s="132">
        <f t="shared" si="27"/>
        <v>3.0959752321981426E-3</v>
      </c>
      <c r="J24" s="132">
        <f t="shared" si="27"/>
        <v>0.43137254901960786</v>
      </c>
      <c r="K24" s="132">
        <f t="shared" si="27"/>
        <v>0.30959752321981426</v>
      </c>
      <c r="L24" s="132">
        <f t="shared" si="27"/>
        <v>5.9855521155830753E-2</v>
      </c>
      <c r="M24" s="132">
        <f t="shared" si="27"/>
        <v>1</v>
      </c>
    </row>
    <row r="25" spans="2:27">
      <c r="B25" s="681"/>
      <c r="C25" s="136">
        <v>46054</v>
      </c>
      <c r="D25" s="132">
        <f t="shared" si="27"/>
        <v>0</v>
      </c>
      <c r="E25" s="132">
        <f t="shared" si="27"/>
        <v>5.6074766355140183E-3</v>
      </c>
      <c r="F25" s="132">
        <f t="shared" si="27"/>
        <v>0.12897196261682242</v>
      </c>
      <c r="G25" s="132">
        <f t="shared" si="27"/>
        <v>4.8598130841121495E-2</v>
      </c>
      <c r="H25" s="132">
        <f t="shared" si="27"/>
        <v>2.2429906542056073E-2</v>
      </c>
      <c r="I25" s="132">
        <f t="shared" si="27"/>
        <v>5.6074766355140183E-3</v>
      </c>
      <c r="J25" s="132">
        <f t="shared" si="27"/>
        <v>0.44485981308411215</v>
      </c>
      <c r="K25" s="132">
        <f t="shared" si="27"/>
        <v>0.29158878504672897</v>
      </c>
      <c r="L25" s="132">
        <f t="shared" si="27"/>
        <v>5.2336448598130844E-2</v>
      </c>
      <c r="M25" s="132">
        <f t="shared" si="27"/>
        <v>1</v>
      </c>
    </row>
    <row r="26" spans="2:27">
      <c r="B26" s="681"/>
      <c r="C26" s="136">
        <v>46082</v>
      </c>
      <c r="D26" s="132">
        <f t="shared" si="27"/>
        <v>0</v>
      </c>
      <c r="E26" s="132">
        <f t="shared" si="27"/>
        <v>5.0798258345428155E-3</v>
      </c>
      <c r="F26" s="132">
        <f t="shared" si="27"/>
        <v>0.11611030478955008</v>
      </c>
      <c r="G26" s="132">
        <f t="shared" si="27"/>
        <v>5.3701015965166909E-2</v>
      </c>
      <c r="H26" s="132">
        <f t="shared" si="27"/>
        <v>2.3222060957910014E-2</v>
      </c>
      <c r="I26" s="132">
        <f t="shared" si="27"/>
        <v>1.741654571843251E-2</v>
      </c>
      <c r="J26" s="132">
        <f t="shared" si="27"/>
        <v>0.42525399129172714</v>
      </c>
      <c r="K26" s="132">
        <f t="shared" si="27"/>
        <v>0.30551523947750364</v>
      </c>
      <c r="L26" s="132">
        <f t="shared" si="27"/>
        <v>5.3701015965166909E-2</v>
      </c>
      <c r="M26" s="132">
        <f t="shared" si="27"/>
        <v>1</v>
      </c>
    </row>
    <row r="27" spans="2:27">
      <c r="B27" s="681"/>
      <c r="C27" s="136">
        <v>46113</v>
      </c>
      <c r="D27" s="132">
        <f t="shared" si="27"/>
        <v>0</v>
      </c>
      <c r="E27" s="132">
        <f t="shared" si="27"/>
        <v>3.0821917808219177E-3</v>
      </c>
      <c r="F27" s="132">
        <f t="shared" si="27"/>
        <v>0.11986301369863013</v>
      </c>
      <c r="G27" s="132">
        <f t="shared" si="27"/>
        <v>5.2226027397260275E-2</v>
      </c>
      <c r="H27" s="132">
        <f t="shared" si="27"/>
        <v>2.2260273972602738E-2</v>
      </c>
      <c r="I27" s="132">
        <f t="shared" si="27"/>
        <v>2.0547945205479451E-2</v>
      </c>
      <c r="J27" s="132">
        <f t="shared" si="27"/>
        <v>0.43784246575342467</v>
      </c>
      <c r="K27" s="132">
        <f t="shared" si="27"/>
        <v>0.2910958904109589</v>
      </c>
      <c r="L27" s="132">
        <f t="shared" si="27"/>
        <v>5.3082191780821915E-2</v>
      </c>
      <c r="M27" s="132">
        <f t="shared" si="27"/>
        <v>1</v>
      </c>
    </row>
    <row r="28" spans="2:27">
      <c r="B28" s="681"/>
      <c r="C28" s="136">
        <v>46143</v>
      </c>
      <c r="D28" s="132">
        <f>D13/$M13</f>
        <v>0</v>
      </c>
      <c r="E28" s="132">
        <f t="shared" si="27"/>
        <v>2.7607361963190185E-3</v>
      </c>
      <c r="F28" s="132">
        <f t="shared" si="27"/>
        <v>0.1196319018404908</v>
      </c>
      <c r="G28" s="132">
        <f t="shared" si="27"/>
        <v>4.9079754601226995E-2</v>
      </c>
      <c r="H28" s="132">
        <f t="shared" si="27"/>
        <v>2.1472392638036811E-2</v>
      </c>
      <c r="I28" s="132">
        <f t="shared" si="27"/>
        <v>2.0245398773006136E-2</v>
      </c>
      <c r="J28" s="132">
        <f t="shared" si="27"/>
        <v>0.44478527607361962</v>
      </c>
      <c r="K28" s="132">
        <f t="shared" si="27"/>
        <v>0.28680981595092025</v>
      </c>
      <c r="L28" s="132">
        <f t="shared" si="27"/>
        <v>5.5214723926380369E-2</v>
      </c>
      <c r="M28" s="132">
        <f t="shared" si="27"/>
        <v>1</v>
      </c>
    </row>
    <row r="29" spans="2:27">
      <c r="B29" s="681"/>
      <c r="C29" s="136">
        <v>46174</v>
      </c>
      <c r="D29" s="132">
        <f t="shared" si="27"/>
        <v>0</v>
      </c>
      <c r="E29" s="132">
        <f t="shared" si="27"/>
        <v>2.9426189308484553E-3</v>
      </c>
      <c r="F29" s="132">
        <f t="shared" si="27"/>
        <v>0.12424391041360144</v>
      </c>
      <c r="G29" s="132">
        <f t="shared" si="27"/>
        <v>4.9043648847474253E-2</v>
      </c>
      <c r="H29" s="132">
        <f t="shared" si="27"/>
        <v>2.2069641981363415E-2</v>
      </c>
      <c r="I29" s="132">
        <f t="shared" si="27"/>
        <v>2.0434853686447606E-2</v>
      </c>
      <c r="J29" s="132">
        <f t="shared" si="27"/>
        <v>0.45430766715710313</v>
      </c>
      <c r="K29" s="132">
        <f t="shared" si="27"/>
        <v>0.27791401013568745</v>
      </c>
      <c r="L29" s="132">
        <f t="shared" si="27"/>
        <v>4.9043648847474253E-2</v>
      </c>
      <c r="M29" s="132">
        <f t="shared" si="27"/>
        <v>1</v>
      </c>
    </row>
    <row r="30" spans="2:27">
      <c r="B30" s="681"/>
      <c r="C30" s="136">
        <v>46204</v>
      </c>
      <c r="D30" s="132">
        <f t="shared" si="27"/>
        <v>0</v>
      </c>
      <c r="E30" s="132">
        <f t="shared" si="27"/>
        <v>1.0216718266253869E-2</v>
      </c>
      <c r="F30" s="132">
        <f t="shared" si="27"/>
        <v>0.11996904024767802</v>
      </c>
      <c r="G30" s="132">
        <f t="shared" si="27"/>
        <v>4.1795665634674919E-2</v>
      </c>
      <c r="H30" s="132">
        <f t="shared" si="27"/>
        <v>2.4767801857585141E-2</v>
      </c>
      <c r="I30" s="132">
        <f t="shared" si="27"/>
        <v>2.3219814241486069E-2</v>
      </c>
      <c r="J30" s="132">
        <f t="shared" si="27"/>
        <v>0.43328173374613005</v>
      </c>
      <c r="K30" s="132">
        <f t="shared" si="27"/>
        <v>0.29411764705882354</v>
      </c>
      <c r="L30" s="132">
        <f>L15/$M15</f>
        <v>5.2631578947368418E-2</v>
      </c>
      <c r="M30" s="132">
        <f t="shared" si="27"/>
        <v>1</v>
      </c>
    </row>
    <row r="31" spans="2:27">
      <c r="B31" s="681"/>
      <c r="C31" s="136">
        <v>46235</v>
      </c>
      <c r="D31" s="132">
        <f t="shared" si="27"/>
        <v>0</v>
      </c>
      <c r="E31" s="132">
        <f t="shared" si="27"/>
        <v>1.741654571843251E-2</v>
      </c>
      <c r="F31" s="132">
        <f t="shared" si="27"/>
        <v>0.10885341074020319</v>
      </c>
      <c r="G31" s="132">
        <f t="shared" si="27"/>
        <v>4.3541364296081277E-2</v>
      </c>
      <c r="H31" s="132">
        <f t="shared" si="27"/>
        <v>2.3222060957910014E-2</v>
      </c>
      <c r="I31" s="132">
        <f t="shared" si="27"/>
        <v>2.104499274310595E-2</v>
      </c>
      <c r="J31" s="132">
        <f t="shared" si="27"/>
        <v>0.45210449927431062</v>
      </c>
      <c r="K31" s="132">
        <f t="shared" si="27"/>
        <v>0.28011611030478956</v>
      </c>
      <c r="L31" s="132">
        <f t="shared" si="27"/>
        <v>5.3701015965166909E-2</v>
      </c>
      <c r="M31" s="132">
        <f t="shared" si="27"/>
        <v>1</v>
      </c>
    </row>
    <row r="32" spans="2:27">
      <c r="B32" s="681"/>
      <c r="C32" s="136">
        <v>46266</v>
      </c>
      <c r="D32" s="132">
        <f t="shared" si="27"/>
        <v>0</v>
      </c>
      <c r="E32" s="132">
        <f t="shared" si="27"/>
        <v>1.8749999999999999E-2</v>
      </c>
      <c r="F32" s="132">
        <f t="shared" si="27"/>
        <v>0.11171875000000001</v>
      </c>
      <c r="G32" s="132">
        <f t="shared" si="27"/>
        <v>5.3906250000000003E-2</v>
      </c>
      <c r="H32" s="132">
        <f t="shared" si="27"/>
        <v>2.1874999999999999E-2</v>
      </c>
      <c r="I32" s="132">
        <f t="shared" si="27"/>
        <v>2.34375E-2</v>
      </c>
      <c r="J32" s="132">
        <f t="shared" si="27"/>
        <v>0.40890625000000003</v>
      </c>
      <c r="K32" s="132">
        <f t="shared" si="27"/>
        <v>0.30625000000000002</v>
      </c>
      <c r="L32" s="132">
        <f t="shared" si="27"/>
        <v>5.5156249999999997E-2</v>
      </c>
      <c r="M32" s="132">
        <f t="shared" si="27"/>
        <v>1</v>
      </c>
    </row>
    <row r="33" spans="2:35">
      <c r="B33" s="681"/>
      <c r="C33" s="136">
        <v>46296</v>
      </c>
      <c r="D33" s="132">
        <f t="shared" si="27"/>
        <v>0</v>
      </c>
      <c r="E33" s="132">
        <f>E18/$M18</f>
        <v>2.1853805576488319E-2</v>
      </c>
      <c r="F33" s="132">
        <f t="shared" si="27"/>
        <v>0.10324039186134137</v>
      </c>
      <c r="G33" s="132">
        <f t="shared" si="27"/>
        <v>5.5764883195177091E-2</v>
      </c>
      <c r="H33" s="132">
        <f t="shared" si="27"/>
        <v>2.4114544084400905E-2</v>
      </c>
      <c r="I33" s="132">
        <f t="shared" si="27"/>
        <v>1.8839487565938208E-2</v>
      </c>
      <c r="J33" s="132">
        <f t="shared" si="27"/>
        <v>0.40844009042954033</v>
      </c>
      <c r="K33" s="132">
        <f t="shared" si="27"/>
        <v>0.31348907309721175</v>
      </c>
      <c r="L33" s="132">
        <f t="shared" si="27"/>
        <v>5.4257724189902032E-2</v>
      </c>
      <c r="M33" s="132">
        <f t="shared" si="27"/>
        <v>1</v>
      </c>
    </row>
    <row r="34" spans="2:35">
      <c r="B34" s="681"/>
      <c r="C34" s="136">
        <v>46327</v>
      </c>
      <c r="D34" s="132">
        <f t="shared" si="27"/>
        <v>0</v>
      </c>
      <c r="E34" s="132">
        <f t="shared" si="27"/>
        <v>1.7813765182186234E-2</v>
      </c>
      <c r="F34" s="132">
        <f t="shared" si="27"/>
        <v>0.10040485829959514</v>
      </c>
      <c r="G34" s="132">
        <f t="shared" si="27"/>
        <v>5.5060728744939273E-2</v>
      </c>
      <c r="H34" s="132">
        <f t="shared" si="27"/>
        <v>2.2672064777327937E-2</v>
      </c>
      <c r="I34" s="132">
        <f t="shared" si="27"/>
        <v>1.9919028340080972E-2</v>
      </c>
      <c r="J34" s="132">
        <f t="shared" si="27"/>
        <v>0.39870445344129557</v>
      </c>
      <c r="K34" s="132">
        <f t="shared" si="27"/>
        <v>0.33198380566801622</v>
      </c>
      <c r="L34" s="132">
        <f t="shared" si="27"/>
        <v>5.3441295546558708E-2</v>
      </c>
      <c r="M34" s="132">
        <f t="shared" si="27"/>
        <v>1</v>
      </c>
    </row>
    <row r="35" spans="2:35">
      <c r="B35" s="681"/>
      <c r="C35" s="136">
        <v>46357</v>
      </c>
      <c r="D35" s="132">
        <f t="shared" si="27"/>
        <v>0</v>
      </c>
      <c r="E35" s="132">
        <f t="shared" si="27"/>
        <v>1.3853904282115869E-2</v>
      </c>
      <c r="F35" s="132">
        <f t="shared" si="27"/>
        <v>9.8236775818639793E-2</v>
      </c>
      <c r="G35" s="132">
        <f t="shared" si="27"/>
        <v>5.4156171284634763E-2</v>
      </c>
      <c r="H35" s="132">
        <f t="shared" si="27"/>
        <v>2.4559193954659948E-2</v>
      </c>
      <c r="I35" s="132">
        <f t="shared" si="27"/>
        <v>1.7002518891687659E-2</v>
      </c>
      <c r="J35" s="132">
        <f t="shared" si="27"/>
        <v>0.4282115869017632</v>
      </c>
      <c r="K35" s="132">
        <f t="shared" si="27"/>
        <v>0.31612090680100757</v>
      </c>
      <c r="L35" s="132">
        <f t="shared" si="27"/>
        <v>4.7858942065491183E-2</v>
      </c>
      <c r="M35" s="132">
        <f t="shared" si="27"/>
        <v>1</v>
      </c>
    </row>
    <row r="36" spans="2:35">
      <c r="C36" s="112"/>
      <c r="D36" s="138"/>
      <c r="E36" s="138"/>
      <c r="F36" s="138"/>
      <c r="G36" s="138"/>
      <c r="H36" s="138"/>
      <c r="I36" s="138"/>
      <c r="J36" s="138"/>
      <c r="K36" s="138"/>
      <c r="L36" s="138"/>
      <c r="M36" s="138"/>
    </row>
    <row r="37" spans="2:35">
      <c r="B37" s="100" t="s">
        <v>228</v>
      </c>
      <c r="C37" s="101" t="s">
        <v>24</v>
      </c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AF37" s="111"/>
      <c r="AG37" s="111"/>
      <c r="AH37" s="111"/>
      <c r="AI37" s="111"/>
    </row>
    <row r="38" spans="2:35">
      <c r="B38" s="102">
        <v>45292</v>
      </c>
      <c r="C38" s="202">
        <v>4269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O38" s="139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</row>
    <row r="39" spans="2:35">
      <c r="B39" s="102">
        <v>45323</v>
      </c>
      <c r="C39" s="202">
        <v>4463</v>
      </c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O39" s="139"/>
      <c r="AD39" s="111"/>
      <c r="AE39" s="111"/>
      <c r="AF39" s="111"/>
      <c r="AG39" s="111"/>
      <c r="AH39" s="111"/>
      <c r="AI39" s="111"/>
    </row>
    <row r="40" spans="2:35">
      <c r="B40" s="102">
        <v>45352</v>
      </c>
      <c r="C40" s="202">
        <v>5156</v>
      </c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O40" s="139"/>
      <c r="AD40" s="111"/>
      <c r="AE40" s="111"/>
      <c r="AF40" s="111"/>
      <c r="AG40" s="111"/>
      <c r="AH40" s="111"/>
      <c r="AI40" s="111"/>
    </row>
    <row r="41" spans="2:35">
      <c r="B41" s="102">
        <v>45383</v>
      </c>
      <c r="C41" s="202">
        <v>4626</v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AD41" s="111"/>
      <c r="AE41" s="111"/>
      <c r="AF41" s="111"/>
      <c r="AG41" s="111"/>
      <c r="AH41" s="111"/>
      <c r="AI41" s="111"/>
    </row>
    <row r="42" spans="2:35">
      <c r="B42" s="102">
        <v>45413</v>
      </c>
      <c r="C42" s="202">
        <v>5479</v>
      </c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AD42" s="140"/>
      <c r="AE42" s="140"/>
      <c r="AF42" s="140"/>
      <c r="AG42" s="140"/>
      <c r="AH42" s="111"/>
      <c r="AI42" s="111"/>
    </row>
    <row r="43" spans="2:35">
      <c r="B43" s="102">
        <v>45444</v>
      </c>
      <c r="C43" s="202">
        <v>5529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AD43" s="111"/>
      <c r="AE43" s="111"/>
      <c r="AF43" s="111"/>
      <c r="AG43" s="111"/>
      <c r="AH43" s="111"/>
      <c r="AI43" s="111"/>
    </row>
    <row r="44" spans="2:35">
      <c r="B44" s="102">
        <v>45474</v>
      </c>
      <c r="C44" s="202">
        <v>6120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AD44" s="111"/>
      <c r="AE44" s="111"/>
      <c r="AF44" s="111"/>
      <c r="AG44" s="111"/>
      <c r="AH44" s="111"/>
      <c r="AI44" s="111"/>
    </row>
    <row r="45" spans="2:35">
      <c r="B45" s="102">
        <v>45505</v>
      </c>
      <c r="C45" s="202">
        <v>6712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AD45" s="111"/>
      <c r="AE45" s="111"/>
      <c r="AF45" s="111"/>
      <c r="AG45" s="111"/>
      <c r="AH45" s="111"/>
      <c r="AI45" s="111"/>
    </row>
    <row r="46" spans="2:35">
      <c r="B46" s="102">
        <v>45536</v>
      </c>
      <c r="C46" s="202">
        <v>5218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AD46" s="111"/>
      <c r="AE46" s="111"/>
      <c r="AF46" s="111"/>
      <c r="AG46" s="111"/>
      <c r="AH46" s="111"/>
      <c r="AI46" s="111"/>
    </row>
    <row r="47" spans="2:35">
      <c r="B47" s="102">
        <v>45566</v>
      </c>
      <c r="C47" s="202">
        <v>5940</v>
      </c>
      <c r="K47" s="135"/>
      <c r="L47" s="135"/>
      <c r="M47" s="135"/>
    </row>
    <row r="48" spans="2:35">
      <c r="B48" s="102">
        <v>45597</v>
      </c>
      <c r="C48" s="202">
        <v>6532</v>
      </c>
      <c r="G48" s="141"/>
    </row>
    <row r="49" spans="2:15">
      <c r="B49" s="102">
        <v>45627</v>
      </c>
      <c r="C49" s="202">
        <v>7358</v>
      </c>
      <c r="D49" s="117"/>
      <c r="E49" s="117"/>
      <c r="F49" s="117"/>
      <c r="G49" s="117"/>
      <c r="H49" s="117"/>
      <c r="I49" s="117"/>
      <c r="J49" s="117"/>
      <c r="K49" s="117"/>
      <c r="L49" s="117"/>
      <c r="M49" s="117"/>
    </row>
    <row r="50" spans="2:15">
      <c r="B50" s="102">
        <v>45658</v>
      </c>
      <c r="C50" s="202">
        <v>4547</v>
      </c>
      <c r="D50" s="111"/>
      <c r="E50" s="111"/>
      <c r="F50" s="111"/>
      <c r="G50" s="111"/>
      <c r="H50" s="111"/>
      <c r="I50" s="111"/>
      <c r="J50" s="111"/>
      <c r="K50" s="142"/>
      <c r="L50" s="111"/>
      <c r="M50" s="111"/>
    </row>
    <row r="51" spans="2:15">
      <c r="B51" s="102">
        <v>45689</v>
      </c>
      <c r="C51" s="202">
        <v>5096</v>
      </c>
      <c r="D51" s="111"/>
      <c r="E51" s="111"/>
      <c r="F51" s="111"/>
      <c r="G51" s="111"/>
      <c r="H51" s="111"/>
      <c r="I51" s="111"/>
      <c r="J51" s="111"/>
      <c r="K51" s="142"/>
      <c r="L51" s="111"/>
      <c r="M51" s="111"/>
    </row>
    <row r="52" spans="2:15">
      <c r="B52" s="102">
        <v>45717</v>
      </c>
      <c r="C52" s="202">
        <v>6837</v>
      </c>
      <c r="D52" s="111"/>
      <c r="E52" s="111"/>
      <c r="F52" s="111"/>
      <c r="G52" s="111"/>
      <c r="H52" s="111"/>
      <c r="I52" s="111"/>
      <c r="J52" s="111"/>
      <c r="K52" s="142"/>
      <c r="L52" s="111"/>
      <c r="M52" s="111"/>
    </row>
    <row r="53" spans="2:15">
      <c r="B53" s="102">
        <v>45748</v>
      </c>
      <c r="C53" s="202">
        <v>5736</v>
      </c>
      <c r="D53" s="111"/>
      <c r="E53" s="111"/>
      <c r="F53" s="111"/>
      <c r="G53" s="111"/>
      <c r="H53" s="111"/>
      <c r="I53" s="111"/>
      <c r="J53" s="111"/>
      <c r="K53" s="142"/>
      <c r="L53" s="111"/>
      <c r="M53" s="111"/>
    </row>
    <row r="54" spans="2:15">
      <c r="B54" s="102">
        <v>45778</v>
      </c>
      <c r="C54" s="202">
        <v>6323</v>
      </c>
      <c r="D54" s="111"/>
      <c r="E54" s="111"/>
      <c r="F54" s="111"/>
      <c r="G54" s="111"/>
      <c r="H54" s="111"/>
      <c r="I54" s="111"/>
      <c r="J54" s="111"/>
      <c r="K54" s="142"/>
      <c r="L54" s="111"/>
      <c r="M54" s="111"/>
    </row>
    <row r="55" spans="2:15">
      <c r="B55" s="102">
        <v>45809</v>
      </c>
      <c r="C55" s="202">
        <v>5823</v>
      </c>
      <c r="D55" s="111"/>
      <c r="E55" s="111"/>
      <c r="F55" s="111"/>
      <c r="G55" s="111"/>
      <c r="H55" s="111"/>
      <c r="I55" s="111"/>
      <c r="J55" s="111"/>
      <c r="K55" s="142"/>
      <c r="L55" s="111"/>
      <c r="M55" s="111"/>
    </row>
    <row r="56" spans="2:15">
      <c r="B56" s="102">
        <v>45839</v>
      </c>
      <c r="C56" s="202">
        <v>6100</v>
      </c>
      <c r="D56" s="111"/>
      <c r="E56" s="111"/>
      <c r="F56" s="111"/>
      <c r="G56" s="111"/>
      <c r="H56" s="111"/>
      <c r="I56" s="111"/>
      <c r="J56" s="111"/>
      <c r="K56" s="142"/>
      <c r="L56" s="111"/>
      <c r="M56" s="111"/>
    </row>
    <row r="57" spans="2:15">
      <c r="B57" s="102">
        <v>45870</v>
      </c>
      <c r="C57" s="202">
        <v>7345</v>
      </c>
      <c r="D57" s="111"/>
      <c r="E57" s="111"/>
      <c r="F57" s="111"/>
      <c r="G57" s="111"/>
      <c r="H57" s="111"/>
      <c r="I57" s="111"/>
      <c r="J57" s="111"/>
      <c r="K57" s="142"/>
      <c r="L57" s="111"/>
      <c r="M57" s="111"/>
    </row>
    <row r="58" spans="2:15">
      <c r="B58" s="102">
        <v>45901</v>
      </c>
      <c r="C58" s="202">
        <v>5891</v>
      </c>
      <c r="D58" s="111"/>
      <c r="E58" s="111"/>
      <c r="F58" s="111"/>
      <c r="G58" s="111"/>
      <c r="H58" s="111"/>
      <c r="I58" s="111"/>
      <c r="J58" s="111"/>
      <c r="K58" s="142"/>
      <c r="L58" s="111"/>
      <c r="M58" s="111"/>
    </row>
    <row r="59" spans="2:15">
      <c r="B59" s="102">
        <v>45931</v>
      </c>
      <c r="C59" s="202">
        <v>5751</v>
      </c>
      <c r="D59" s="111"/>
      <c r="E59" s="111"/>
      <c r="F59" s="111"/>
      <c r="G59" s="111"/>
      <c r="H59" s="111"/>
      <c r="I59" s="111"/>
      <c r="J59" s="111"/>
      <c r="K59" s="142"/>
      <c r="L59" s="111"/>
      <c r="M59" s="111"/>
    </row>
    <row r="60" spans="2:15">
      <c r="B60" s="102">
        <v>45962</v>
      </c>
      <c r="C60" s="202">
        <v>6732</v>
      </c>
      <c r="D60" s="111"/>
      <c r="E60" s="111"/>
      <c r="F60" s="111"/>
      <c r="G60" s="111"/>
      <c r="H60" s="111"/>
      <c r="I60" s="111"/>
      <c r="J60" s="111"/>
      <c r="K60" s="142"/>
      <c r="L60" s="111"/>
      <c r="M60" s="111"/>
    </row>
    <row r="61" spans="2:15">
      <c r="B61" s="102">
        <v>45992</v>
      </c>
      <c r="C61" s="202">
        <v>7903</v>
      </c>
      <c r="D61" s="111"/>
      <c r="E61" s="111"/>
      <c r="F61" s="111"/>
      <c r="G61" s="111"/>
      <c r="H61" s="111"/>
      <c r="I61" s="111"/>
      <c r="J61" s="111"/>
      <c r="K61" s="142"/>
      <c r="L61" s="111"/>
      <c r="M61" s="111"/>
    </row>
    <row r="62" spans="2:15">
      <c r="B62" s="111"/>
      <c r="C62" s="41"/>
      <c r="D62" s="111"/>
      <c r="E62" s="111"/>
      <c r="F62" s="111"/>
      <c r="G62" s="111"/>
      <c r="H62" s="111"/>
      <c r="I62" s="111"/>
      <c r="J62" s="111"/>
      <c r="K62" s="142"/>
      <c r="L62" s="111"/>
      <c r="M62" s="111"/>
    </row>
    <row r="63" spans="2:15">
      <c r="B63" s="103" t="s">
        <v>229</v>
      </c>
      <c r="D63" s="111"/>
      <c r="E63" s="111"/>
      <c r="F63" s="111"/>
      <c r="G63" s="142"/>
      <c r="H63" s="111"/>
      <c r="I63" s="111"/>
      <c r="J63" s="111"/>
      <c r="K63" s="142"/>
      <c r="L63" s="111"/>
      <c r="M63" s="111"/>
      <c r="O63" s="141"/>
    </row>
    <row r="64" spans="2:15" ht="19" customHeight="1">
      <c r="B64" s="104" t="s">
        <v>230</v>
      </c>
      <c r="C64" s="105">
        <f>C52</f>
        <v>6837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</row>
    <row r="65" spans="2:27">
      <c r="B65" s="106" t="s">
        <v>231</v>
      </c>
      <c r="C65" s="41">
        <f>SUM(C51,C53)</f>
        <v>10832</v>
      </c>
      <c r="D65" s="111"/>
      <c r="E65" s="111"/>
      <c r="F65" s="111"/>
      <c r="G65" s="111"/>
      <c r="H65" s="111"/>
      <c r="I65" s="111"/>
      <c r="J65" s="111"/>
      <c r="K65" s="111"/>
      <c r="L65" s="111"/>
      <c r="M65" s="111"/>
    </row>
    <row r="66" spans="2:27">
      <c r="B66" s="106" t="s">
        <v>232</v>
      </c>
      <c r="C66" s="41">
        <f>SUM(C53:C54)</f>
        <v>12059</v>
      </c>
      <c r="D66" s="111"/>
      <c r="E66" s="111"/>
      <c r="F66" s="111"/>
      <c r="G66" s="111"/>
      <c r="H66" s="111"/>
      <c r="I66" s="111"/>
      <c r="J66" s="111"/>
      <c r="K66" s="111"/>
      <c r="L66" s="111"/>
      <c r="M66" s="111"/>
    </row>
    <row r="67" spans="2:27">
      <c r="B67" s="106" t="s">
        <v>233</v>
      </c>
      <c r="C67" s="41">
        <f>SUM(C54:C55)</f>
        <v>12146</v>
      </c>
      <c r="D67" s="111"/>
      <c r="E67" s="111"/>
      <c r="F67" s="111"/>
      <c r="G67" s="111"/>
      <c r="H67" s="111"/>
      <c r="I67" s="111"/>
      <c r="J67" s="111"/>
      <c r="K67" s="111"/>
      <c r="L67" s="111"/>
      <c r="M67" s="111"/>
    </row>
    <row r="68" spans="2:27">
      <c r="B68" s="106" t="s">
        <v>234</v>
      </c>
      <c r="C68" s="41">
        <f>SUM(C55:C56)</f>
        <v>11923</v>
      </c>
      <c r="D68" s="111"/>
      <c r="E68" s="111"/>
      <c r="F68" s="111"/>
      <c r="G68" s="111"/>
      <c r="H68" s="111"/>
      <c r="I68" s="111"/>
      <c r="J68" s="111"/>
      <c r="K68" s="111"/>
      <c r="L68" s="111"/>
      <c r="M68" s="111"/>
    </row>
    <row r="69" spans="2:27">
      <c r="B69" s="106" t="s">
        <v>235</v>
      </c>
      <c r="C69" s="41">
        <f>SUM(C56:C57)</f>
        <v>13445</v>
      </c>
      <c r="D69" s="111"/>
      <c r="E69" s="111"/>
      <c r="F69" s="111"/>
      <c r="G69" s="111"/>
      <c r="H69" s="111"/>
      <c r="I69" s="111"/>
      <c r="J69" s="111"/>
      <c r="K69" s="111"/>
      <c r="L69" s="111"/>
      <c r="M69" s="111"/>
    </row>
    <row r="70" spans="2:27">
      <c r="B70" s="106" t="s">
        <v>236</v>
      </c>
      <c r="C70" s="41">
        <f>C57</f>
        <v>7345</v>
      </c>
      <c r="D70" s="111"/>
      <c r="E70" s="111"/>
      <c r="F70" s="111"/>
      <c r="G70" s="111"/>
      <c r="H70" s="111"/>
      <c r="I70" s="111"/>
      <c r="J70" s="111"/>
      <c r="K70" s="111"/>
      <c r="L70" s="111"/>
      <c r="M70" s="111"/>
    </row>
    <row r="71" spans="2:27">
      <c r="B71" s="106" t="s">
        <v>237</v>
      </c>
      <c r="C71" s="41">
        <f>SUM(C52,C57,C60,C61)</f>
        <v>28817</v>
      </c>
      <c r="D71" s="153"/>
      <c r="E71" s="153"/>
      <c r="F71" s="153"/>
      <c r="G71" s="111"/>
      <c r="H71" s="111"/>
      <c r="I71" s="111"/>
      <c r="J71" s="111"/>
      <c r="K71" s="111"/>
      <c r="L71" s="111"/>
      <c r="M71" s="111"/>
    </row>
    <row r="72" spans="2:27">
      <c r="B72" s="106" t="s">
        <v>238</v>
      </c>
      <c r="C72" s="41">
        <f>SUM(C50,C51,C53,C54,C55,C56,C58,C59)</f>
        <v>45267</v>
      </c>
      <c r="D72" s="111"/>
      <c r="E72" s="111"/>
      <c r="F72" s="111"/>
      <c r="G72" s="111"/>
      <c r="H72" s="111"/>
      <c r="I72" s="111"/>
      <c r="J72" s="111"/>
      <c r="K72" s="111"/>
      <c r="L72" s="111"/>
      <c r="M72" s="111"/>
    </row>
    <row r="73" spans="2:27"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O73" s="140"/>
    </row>
    <row r="74" spans="2:27">
      <c r="B74" s="107" t="s">
        <v>239</v>
      </c>
      <c r="C74" s="101" t="s">
        <v>240</v>
      </c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O74" s="140"/>
      <c r="R74" s="111"/>
      <c r="S74" s="111"/>
      <c r="T74" s="111"/>
      <c r="U74" s="111"/>
      <c r="V74" s="111"/>
      <c r="W74" s="111"/>
      <c r="X74" s="111"/>
      <c r="Y74" s="111"/>
      <c r="Z74" s="111"/>
      <c r="AA74" s="111"/>
    </row>
    <row r="75" spans="2:27">
      <c r="B75" s="108">
        <v>45292</v>
      </c>
      <c r="C75" s="105">
        <v>2383</v>
      </c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O75" s="140"/>
      <c r="R75" s="111"/>
      <c r="S75" s="111"/>
      <c r="T75" s="111"/>
      <c r="U75" s="111"/>
      <c r="V75" s="111"/>
      <c r="W75" s="111"/>
      <c r="X75" s="111"/>
      <c r="Y75" s="111"/>
      <c r="Z75" s="111"/>
      <c r="AA75" s="111"/>
    </row>
    <row r="76" spans="2:27">
      <c r="B76" s="108">
        <v>45323</v>
      </c>
      <c r="C76" s="105">
        <v>2651</v>
      </c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O76" s="140"/>
      <c r="R76" s="111"/>
      <c r="S76" s="111"/>
      <c r="T76" s="111"/>
      <c r="U76" s="111"/>
      <c r="V76" s="111"/>
      <c r="W76" s="111"/>
      <c r="X76" s="111"/>
      <c r="Y76" s="111"/>
      <c r="Z76" s="111"/>
      <c r="AA76" s="111"/>
    </row>
    <row r="77" spans="2:27">
      <c r="B77" s="108">
        <v>45352</v>
      </c>
      <c r="C77" s="105">
        <v>3157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O77" s="140"/>
      <c r="R77" s="111"/>
      <c r="S77" s="111"/>
      <c r="T77" s="111"/>
      <c r="U77" s="111"/>
      <c r="V77" s="111"/>
      <c r="W77" s="111"/>
      <c r="X77" s="111"/>
      <c r="Y77" s="111"/>
      <c r="Z77" s="111"/>
      <c r="AA77" s="111"/>
    </row>
    <row r="78" spans="2:27">
      <c r="B78" s="108">
        <v>45383</v>
      </c>
      <c r="C78" s="105">
        <v>2497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O78" s="140"/>
      <c r="R78" s="111"/>
      <c r="S78" s="111"/>
      <c r="T78" s="111"/>
      <c r="U78" s="111"/>
      <c r="V78" s="111"/>
      <c r="W78" s="111"/>
      <c r="X78" s="111"/>
      <c r="Y78" s="111"/>
      <c r="Z78" s="111"/>
      <c r="AA78" s="111"/>
    </row>
    <row r="79" spans="2:27">
      <c r="B79" s="108">
        <v>45413</v>
      </c>
      <c r="C79" s="105">
        <v>3058</v>
      </c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O79" s="140"/>
      <c r="R79" s="111"/>
      <c r="S79" s="111"/>
      <c r="T79" s="111"/>
      <c r="U79" s="111"/>
      <c r="V79" s="111"/>
      <c r="W79" s="111"/>
      <c r="X79" s="111"/>
      <c r="Y79" s="111"/>
      <c r="Z79" s="111"/>
      <c r="AA79" s="111"/>
    </row>
    <row r="80" spans="2:27">
      <c r="B80" s="108">
        <v>45444</v>
      </c>
      <c r="C80" s="105">
        <v>3426</v>
      </c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O80" s="140"/>
    </row>
    <row r="81" spans="2:15">
      <c r="B81" s="108">
        <v>45474</v>
      </c>
      <c r="C81" s="105">
        <v>5100</v>
      </c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O81" s="140"/>
    </row>
    <row r="82" spans="2:15">
      <c r="B82" s="108">
        <v>45505</v>
      </c>
      <c r="C82" s="105">
        <v>4705</v>
      </c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O82" s="140"/>
    </row>
    <row r="83" spans="2:15">
      <c r="B83" s="108">
        <v>45536</v>
      </c>
      <c r="C83" s="105">
        <v>3606</v>
      </c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O83" s="140"/>
    </row>
    <row r="84" spans="2:15">
      <c r="B84" s="108">
        <v>45566</v>
      </c>
      <c r="C84" s="105">
        <v>3726</v>
      </c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O84" s="140"/>
    </row>
    <row r="85" spans="2:15">
      <c r="B85" s="108">
        <v>45597</v>
      </c>
      <c r="C85" s="105">
        <v>4203</v>
      </c>
      <c r="O85" s="140"/>
    </row>
    <row r="86" spans="2:15">
      <c r="B86" s="108">
        <v>45627</v>
      </c>
      <c r="C86" s="105">
        <v>3334</v>
      </c>
      <c r="D86" s="117"/>
      <c r="E86" s="117"/>
      <c r="F86" s="117"/>
      <c r="H86" s="117"/>
      <c r="I86" s="117"/>
      <c r="J86" s="117"/>
      <c r="K86" s="117"/>
      <c r="L86" s="117"/>
      <c r="M86" s="117"/>
      <c r="O86" s="140"/>
    </row>
    <row r="87" spans="2:15">
      <c r="B87" s="108">
        <v>45658</v>
      </c>
      <c r="C87" s="105">
        <v>2357</v>
      </c>
      <c r="D87" s="105"/>
      <c r="E87" s="105"/>
      <c r="F87" s="143"/>
      <c r="G87" s="144"/>
      <c r="H87" s="143"/>
      <c r="I87" s="143"/>
      <c r="J87" s="143"/>
      <c r="K87" s="143"/>
      <c r="L87" s="143"/>
      <c r="M87" s="143"/>
      <c r="O87" s="140"/>
    </row>
    <row r="88" spans="2:15">
      <c r="B88" s="108">
        <v>45689</v>
      </c>
      <c r="C88" s="105">
        <v>2109</v>
      </c>
      <c r="D88" s="105"/>
      <c r="E88" s="105"/>
      <c r="F88" s="143"/>
      <c r="G88" s="144"/>
      <c r="H88" s="143"/>
      <c r="I88" s="143"/>
      <c r="J88" s="143"/>
      <c r="K88" s="143"/>
      <c r="L88" s="143"/>
      <c r="M88" s="143"/>
      <c r="O88" s="140"/>
    </row>
    <row r="89" spans="2:15">
      <c r="B89" s="108">
        <v>45717</v>
      </c>
      <c r="C89" s="105">
        <v>3632</v>
      </c>
      <c r="D89" s="105"/>
      <c r="E89" s="105"/>
      <c r="F89" s="143"/>
      <c r="G89" s="144"/>
      <c r="H89" s="143"/>
      <c r="I89" s="143"/>
      <c r="J89" s="143"/>
      <c r="K89" s="143"/>
      <c r="L89" s="143"/>
      <c r="M89" s="143"/>
      <c r="O89" s="140"/>
    </row>
    <row r="90" spans="2:15">
      <c r="B90" s="108">
        <v>45748</v>
      </c>
      <c r="C90" s="105">
        <v>2649</v>
      </c>
      <c r="D90" s="105"/>
      <c r="E90" s="105"/>
      <c r="F90" s="143"/>
      <c r="G90" s="144"/>
      <c r="H90" s="143"/>
      <c r="I90" s="143"/>
      <c r="J90" s="143"/>
      <c r="K90" s="143"/>
      <c r="L90" s="143"/>
      <c r="M90" s="143"/>
      <c r="O90" s="140"/>
    </row>
    <row r="91" spans="2:15">
      <c r="B91" s="108">
        <v>45778</v>
      </c>
      <c r="C91" s="105">
        <v>2605</v>
      </c>
      <c r="D91" s="105"/>
      <c r="E91" s="105"/>
      <c r="F91" s="143"/>
      <c r="G91" s="144"/>
      <c r="H91" s="143"/>
      <c r="I91" s="143"/>
      <c r="J91" s="143"/>
      <c r="K91" s="143"/>
      <c r="L91" s="143"/>
      <c r="M91" s="143"/>
      <c r="O91" s="140"/>
    </row>
    <row r="92" spans="2:15">
      <c r="B92" s="108">
        <v>45809</v>
      </c>
      <c r="C92" s="105">
        <v>2427</v>
      </c>
      <c r="D92" s="105"/>
      <c r="E92" s="105"/>
      <c r="F92" s="143"/>
      <c r="G92" s="144"/>
      <c r="H92" s="143"/>
      <c r="I92" s="143"/>
      <c r="J92" s="143"/>
      <c r="K92" s="143"/>
      <c r="L92" s="143"/>
      <c r="M92" s="143"/>
      <c r="O92" s="140"/>
    </row>
    <row r="93" spans="2:15">
      <c r="B93" s="108">
        <v>45839</v>
      </c>
      <c r="C93" s="105">
        <v>2360</v>
      </c>
      <c r="D93" s="105"/>
      <c r="E93" s="105"/>
      <c r="F93" s="143"/>
      <c r="G93" s="144"/>
      <c r="H93" s="143"/>
      <c r="I93" s="143"/>
      <c r="J93" s="143"/>
      <c r="K93" s="143"/>
      <c r="L93" s="143"/>
      <c r="M93" s="143"/>
      <c r="O93" s="140"/>
    </row>
    <row r="94" spans="2:15">
      <c r="B94" s="108">
        <v>45870</v>
      </c>
      <c r="C94" s="105">
        <v>2792</v>
      </c>
      <c r="D94" s="105"/>
      <c r="E94" s="105"/>
      <c r="F94" s="143"/>
      <c r="G94" s="144"/>
      <c r="H94" s="143"/>
      <c r="I94" s="143"/>
      <c r="J94" s="143"/>
      <c r="K94" s="143"/>
      <c r="L94" s="143"/>
      <c r="M94" s="143"/>
      <c r="O94" s="140"/>
    </row>
    <row r="95" spans="2:15">
      <c r="B95" s="108">
        <v>45901</v>
      </c>
      <c r="C95" s="105">
        <v>2499</v>
      </c>
      <c r="D95" s="105"/>
      <c r="E95" s="105"/>
      <c r="F95" s="143"/>
      <c r="G95" s="144"/>
      <c r="H95" s="143"/>
      <c r="I95" s="143"/>
      <c r="J95" s="143"/>
      <c r="K95" s="143"/>
      <c r="L95" s="143"/>
      <c r="M95" s="143"/>
      <c r="O95" s="140"/>
    </row>
    <row r="96" spans="2:15">
      <c r="B96" s="108">
        <v>45931</v>
      </c>
      <c r="C96" s="105">
        <v>2015</v>
      </c>
      <c r="D96" s="105"/>
      <c r="E96" s="105"/>
      <c r="F96" s="143"/>
      <c r="G96" s="144"/>
      <c r="H96" s="143"/>
      <c r="I96" s="143"/>
      <c r="J96" s="143"/>
      <c r="K96" s="143"/>
      <c r="L96" s="143"/>
      <c r="M96" s="143"/>
      <c r="O96" s="140"/>
    </row>
    <row r="97" spans="2:15">
      <c r="B97" s="108">
        <v>45962</v>
      </c>
      <c r="C97" s="105">
        <v>2636</v>
      </c>
      <c r="D97" s="105"/>
      <c r="E97" s="105"/>
      <c r="F97" s="143"/>
      <c r="G97" s="144"/>
      <c r="H97" s="143"/>
      <c r="I97" s="143"/>
      <c r="J97" s="143"/>
      <c r="K97" s="143"/>
      <c r="L97" s="143"/>
      <c r="M97" s="143"/>
      <c r="O97" s="140"/>
    </row>
    <row r="98" spans="2:15">
      <c r="B98" s="108">
        <v>45992</v>
      </c>
      <c r="C98" s="105">
        <v>2873</v>
      </c>
      <c r="D98" s="105"/>
      <c r="E98" s="105"/>
      <c r="F98" s="143"/>
      <c r="G98" s="144"/>
      <c r="H98" s="143"/>
      <c r="I98" s="143"/>
      <c r="J98" s="143"/>
      <c r="K98" s="143"/>
      <c r="L98" s="143"/>
      <c r="M98" s="143"/>
      <c r="O98" s="140"/>
    </row>
    <row r="99" spans="2:15">
      <c r="B99" s="105"/>
      <c r="C99" s="105"/>
      <c r="D99" s="143"/>
      <c r="E99" s="143"/>
      <c r="F99" s="143"/>
      <c r="G99" s="143"/>
      <c r="H99" s="143"/>
      <c r="I99" s="143"/>
      <c r="J99" s="143"/>
      <c r="L99" s="143"/>
      <c r="M99" s="143"/>
      <c r="O99" s="140"/>
    </row>
    <row r="100" spans="2:15">
      <c r="B100" s="103" t="s">
        <v>229</v>
      </c>
      <c r="C100" s="105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O100" s="140"/>
    </row>
    <row r="101" spans="2:15">
      <c r="B101" s="104" t="s">
        <v>230</v>
      </c>
      <c r="C101" s="105">
        <f>C89</f>
        <v>3632</v>
      </c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O101" s="140"/>
    </row>
    <row r="102" spans="2:15">
      <c r="B102" s="106" t="s">
        <v>231</v>
      </c>
      <c r="C102" s="41">
        <f>SUM(C88,C90)</f>
        <v>4758</v>
      </c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</row>
    <row r="103" spans="2:15">
      <c r="B103" s="106" t="s">
        <v>232</v>
      </c>
      <c r="C103" s="41">
        <f>SUM(C90:C91)</f>
        <v>5254</v>
      </c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O103" s="140"/>
    </row>
    <row r="104" spans="2:15">
      <c r="B104" s="106" t="s">
        <v>233</v>
      </c>
      <c r="C104" s="41">
        <f>SUM(C91:C92)</f>
        <v>5032</v>
      </c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O104" s="140"/>
    </row>
    <row r="105" spans="2:15">
      <c r="B105" s="106" t="s">
        <v>234</v>
      </c>
      <c r="C105" s="41">
        <f>SUM(C92:C93)</f>
        <v>4787</v>
      </c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O105" s="140"/>
    </row>
    <row r="106" spans="2:15">
      <c r="B106" s="106" t="s">
        <v>235</v>
      </c>
      <c r="C106" s="41">
        <f>SUM(C93:C94)</f>
        <v>5152</v>
      </c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O106" s="140"/>
    </row>
    <row r="107" spans="2:15">
      <c r="B107" s="106" t="s">
        <v>236</v>
      </c>
      <c r="C107" s="41">
        <f>C94</f>
        <v>2792</v>
      </c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O107" s="140"/>
    </row>
    <row r="108" spans="2:15">
      <c r="B108" s="106" t="s">
        <v>237</v>
      </c>
      <c r="C108" s="41">
        <f>SUM(C89,C94,C97,C98)</f>
        <v>11933</v>
      </c>
      <c r="D108" s="153"/>
      <c r="E108" s="153"/>
      <c r="F108" s="153"/>
      <c r="G108" s="143"/>
      <c r="H108" s="143"/>
      <c r="I108" s="143"/>
      <c r="J108" s="143"/>
      <c r="K108" s="143"/>
      <c r="L108" s="143"/>
      <c r="M108" s="143"/>
      <c r="O108" s="140"/>
    </row>
    <row r="109" spans="2:15">
      <c r="B109" s="106" t="s">
        <v>238</v>
      </c>
      <c r="C109" s="41">
        <f>SUM(C87,C88,C90,C91,C92,C93,C95,C96)</f>
        <v>19021</v>
      </c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O109" s="140"/>
    </row>
    <row r="110" spans="2:15">
      <c r="B110" s="106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O110" s="140"/>
    </row>
    <row r="111" spans="2:15">
      <c r="B111" s="109" t="s">
        <v>241</v>
      </c>
      <c r="C111" s="10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O111" s="140"/>
    </row>
    <row r="112" spans="2:15">
      <c r="B112" s="110">
        <v>45292</v>
      </c>
      <c r="C112" s="111">
        <v>3.8199999999999998E-2</v>
      </c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O112" s="140"/>
    </row>
    <row r="113" spans="2:15">
      <c r="B113" s="110">
        <v>45323</v>
      </c>
      <c r="C113" s="111">
        <v>3.9199999999999999E-2</v>
      </c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O113" s="140"/>
    </row>
    <row r="114" spans="2:15">
      <c r="B114" s="110">
        <v>45352</v>
      </c>
      <c r="C114" s="111">
        <v>4.24E-2</v>
      </c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O114" s="140"/>
    </row>
    <row r="115" spans="2:15">
      <c r="B115" s="110">
        <v>45383</v>
      </c>
      <c r="C115" s="111">
        <v>4.3700000000000003E-2</v>
      </c>
      <c r="D115" s="111"/>
      <c r="E115" s="143"/>
      <c r="F115" s="143"/>
      <c r="G115" s="143"/>
      <c r="H115" s="143"/>
      <c r="I115" s="143"/>
      <c r="J115" s="143"/>
      <c r="K115" s="143"/>
      <c r="L115" s="143"/>
      <c r="M115" s="143"/>
      <c r="O115" s="140"/>
    </row>
    <row r="116" spans="2:15">
      <c r="B116" s="110">
        <v>45413</v>
      </c>
      <c r="C116" s="111">
        <v>5.2600000000000001E-2</v>
      </c>
      <c r="D116" s="111"/>
      <c r="E116" s="143"/>
      <c r="F116" s="143"/>
      <c r="G116" s="143"/>
      <c r="H116" s="143"/>
      <c r="I116" s="143"/>
      <c r="J116" s="143"/>
      <c r="K116" s="143"/>
      <c r="L116" s="143"/>
      <c r="M116" s="143"/>
      <c r="O116" s="140"/>
    </row>
    <row r="117" spans="2:15">
      <c r="B117" s="110">
        <v>45444</v>
      </c>
      <c r="C117" s="111">
        <v>3.9399999999999998E-2</v>
      </c>
      <c r="D117" s="111"/>
      <c r="E117" s="143"/>
      <c r="F117" s="143"/>
      <c r="G117" s="143"/>
      <c r="H117" s="143"/>
      <c r="I117" s="143"/>
      <c r="J117" s="143"/>
      <c r="K117" s="143"/>
      <c r="L117" s="143"/>
      <c r="M117" s="143"/>
      <c r="O117" s="140"/>
    </row>
    <row r="118" spans="2:15">
      <c r="B118" s="110">
        <v>45474</v>
      </c>
      <c r="C118" s="111">
        <v>4.02E-2</v>
      </c>
      <c r="D118" s="111"/>
      <c r="E118" s="122"/>
      <c r="F118" s="122"/>
      <c r="G118" s="122"/>
      <c r="H118" s="122"/>
      <c r="I118" s="122"/>
      <c r="J118" s="122"/>
      <c r="K118" s="122"/>
      <c r="L118" s="122"/>
      <c r="M118" s="122"/>
      <c r="O118" s="140"/>
    </row>
    <row r="119" spans="2:15">
      <c r="B119" s="110">
        <v>45505</v>
      </c>
      <c r="C119" s="111">
        <v>4.1000000000000002E-2</v>
      </c>
      <c r="D119" s="111"/>
      <c r="E119" s="122"/>
      <c r="F119" s="122"/>
      <c r="G119" s="122"/>
      <c r="H119" s="122"/>
      <c r="I119" s="122"/>
      <c r="J119" s="122"/>
      <c r="K119" s="122"/>
      <c r="L119" s="122"/>
      <c r="M119" s="122"/>
      <c r="O119" s="140"/>
    </row>
    <row r="120" spans="2:15">
      <c r="B120" s="110">
        <v>45536</v>
      </c>
      <c r="C120" s="111">
        <v>4.5199999999999997E-2</v>
      </c>
      <c r="D120" s="111"/>
      <c r="E120" s="143"/>
      <c r="F120" s="143"/>
      <c r="G120" s="143"/>
      <c r="H120" s="143"/>
      <c r="I120" s="143"/>
      <c r="J120" s="143"/>
      <c r="K120" s="143"/>
      <c r="L120" s="143"/>
      <c r="M120" s="143"/>
      <c r="O120" s="140"/>
    </row>
    <row r="121" spans="2:15">
      <c r="B121" s="110">
        <v>45566</v>
      </c>
      <c r="C121" s="111">
        <v>3.9199999999999999E-2</v>
      </c>
      <c r="D121" s="111"/>
      <c r="E121" s="145"/>
      <c r="F121" s="145"/>
      <c r="G121" s="145"/>
      <c r="H121" s="145"/>
      <c r="I121" s="145"/>
      <c r="J121" s="145"/>
      <c r="K121" s="145"/>
      <c r="O121" s="140"/>
    </row>
    <row r="122" spans="2:15">
      <c r="B122" s="110">
        <v>45597</v>
      </c>
      <c r="C122" s="111">
        <v>5.5199999999999999E-2</v>
      </c>
      <c r="D122" s="111"/>
      <c r="E122" s="117"/>
      <c r="F122" s="117"/>
      <c r="G122" s="117"/>
      <c r="H122" s="117"/>
      <c r="I122" s="117"/>
      <c r="J122" s="117"/>
      <c r="K122" s="117"/>
      <c r="L122" s="117"/>
      <c r="M122" s="117"/>
      <c r="O122" s="140"/>
    </row>
    <row r="123" spans="2:15">
      <c r="B123" s="110">
        <v>45627</v>
      </c>
      <c r="C123" s="111">
        <v>6.54E-2</v>
      </c>
      <c r="D123" s="111"/>
      <c r="E123" s="146"/>
      <c r="F123" s="146"/>
      <c r="G123" s="146"/>
      <c r="H123" s="146"/>
      <c r="I123" s="146"/>
      <c r="J123" s="146"/>
      <c r="K123" s="146"/>
      <c r="L123" s="140"/>
      <c r="M123" s="140"/>
      <c r="O123" s="140"/>
    </row>
    <row r="124" spans="2:15">
      <c r="B124" s="110">
        <v>45658</v>
      </c>
      <c r="C124" s="111">
        <v>6.7900000000000002E-2</v>
      </c>
      <c r="D124" s="111"/>
      <c r="E124" s="146"/>
      <c r="F124" s="146"/>
      <c r="G124" s="146"/>
      <c r="H124" s="146"/>
      <c r="I124" s="146"/>
      <c r="J124" s="146"/>
      <c r="K124" s="146"/>
      <c r="L124" s="140"/>
      <c r="M124" s="140"/>
      <c r="O124" s="140"/>
    </row>
    <row r="125" spans="2:15">
      <c r="B125" s="110">
        <v>45689</v>
      </c>
      <c r="C125" s="111">
        <v>8.3900000000000002E-2</v>
      </c>
      <c r="D125" s="111"/>
      <c r="E125" s="146"/>
      <c r="F125" s="146"/>
      <c r="G125" s="146"/>
      <c r="H125" s="146"/>
      <c r="I125" s="146"/>
      <c r="J125" s="146"/>
      <c r="K125" s="146"/>
      <c r="L125" s="140"/>
      <c r="M125" s="140"/>
      <c r="O125" s="140"/>
    </row>
    <row r="126" spans="2:15">
      <c r="B126" s="110">
        <v>45717</v>
      </c>
      <c r="C126" s="111">
        <v>8.0399999999999999E-2</v>
      </c>
      <c r="D126" s="111"/>
      <c r="E126" s="146"/>
      <c r="F126" s="146"/>
      <c r="G126" s="146"/>
      <c r="H126" s="146"/>
      <c r="I126" s="146"/>
      <c r="J126" s="146"/>
      <c r="K126" s="146"/>
      <c r="L126" s="140"/>
      <c r="M126" s="140"/>
      <c r="O126" s="140"/>
    </row>
    <row r="127" spans="2:15">
      <c r="B127" s="110">
        <v>45748</v>
      </c>
      <c r="C127" s="111">
        <v>8.0399999999999999E-2</v>
      </c>
      <c r="D127" s="111"/>
      <c r="E127" s="146"/>
      <c r="F127" s="146"/>
      <c r="G127" s="146"/>
      <c r="H127" s="146"/>
      <c r="I127" s="146"/>
      <c r="J127" s="146"/>
      <c r="K127" s="146"/>
      <c r="L127" s="140"/>
      <c r="M127" s="140"/>
      <c r="O127" s="140"/>
    </row>
    <row r="128" spans="2:15">
      <c r="B128" s="110">
        <v>45778</v>
      </c>
      <c r="C128" s="141">
        <v>6.9500000000000006E-2</v>
      </c>
      <c r="D128" s="141"/>
      <c r="E128" s="146"/>
      <c r="F128" s="146"/>
      <c r="G128" s="146"/>
      <c r="H128" s="146"/>
      <c r="I128" s="146"/>
      <c r="J128" s="146"/>
      <c r="K128" s="146"/>
      <c r="L128" s="140"/>
      <c r="M128" s="140"/>
      <c r="O128" s="140"/>
    </row>
    <row r="129" spans="2:13">
      <c r="B129" s="110">
        <v>45809</v>
      </c>
      <c r="C129" s="141">
        <v>6.4699999999999994E-2</v>
      </c>
      <c r="D129" s="141"/>
      <c r="E129" s="146"/>
      <c r="F129" s="146"/>
      <c r="G129" s="146"/>
      <c r="H129" s="146"/>
      <c r="I129" s="146"/>
      <c r="J129" s="146"/>
      <c r="K129" s="146"/>
      <c r="L129" s="140"/>
      <c r="M129" s="140"/>
    </row>
    <row r="130" spans="2:13">
      <c r="B130" s="110">
        <v>45839</v>
      </c>
      <c r="C130" s="141">
        <v>6.4000000000000001E-2</v>
      </c>
      <c r="D130" s="141"/>
      <c r="E130" s="146"/>
      <c r="F130" s="146"/>
      <c r="G130" s="146"/>
      <c r="H130" s="146"/>
      <c r="I130" s="146"/>
      <c r="J130" s="146"/>
      <c r="K130" s="146"/>
      <c r="L130" s="140"/>
      <c r="M130" s="140"/>
    </row>
    <row r="131" spans="2:13">
      <c r="B131" s="110">
        <v>45870</v>
      </c>
      <c r="C131" s="141">
        <v>7.6300000000000007E-2</v>
      </c>
      <c r="D131" s="141"/>
      <c r="E131" s="146"/>
      <c r="F131" s="146"/>
      <c r="G131" s="146"/>
      <c r="H131" s="146"/>
      <c r="I131" s="146"/>
      <c r="J131" s="146"/>
      <c r="K131" s="146"/>
      <c r="L131" s="140"/>
      <c r="M131" s="140"/>
    </row>
    <row r="132" spans="2:13">
      <c r="B132" s="110">
        <v>45901</v>
      </c>
      <c r="C132" s="141">
        <v>6.5600000000000006E-2</v>
      </c>
      <c r="D132" s="141"/>
      <c r="E132" s="146"/>
      <c r="F132" s="146"/>
      <c r="G132" s="146"/>
      <c r="H132" s="146"/>
      <c r="I132" s="146"/>
      <c r="J132" s="146"/>
      <c r="K132" s="146"/>
      <c r="L132" s="140"/>
      <c r="M132" s="140"/>
    </row>
    <row r="133" spans="2:13">
      <c r="B133" s="110">
        <v>45931</v>
      </c>
      <c r="C133" s="141">
        <v>6.9000000000000006E-2</v>
      </c>
      <c r="D133" s="141"/>
      <c r="E133" s="146"/>
      <c r="F133" s="146"/>
      <c r="G133" s="146"/>
      <c r="H133" s="146"/>
      <c r="I133" s="146"/>
      <c r="J133" s="146"/>
      <c r="K133" s="146"/>
      <c r="L133" s="140"/>
      <c r="M133" s="140"/>
    </row>
    <row r="134" spans="2:13">
      <c r="B134" s="110">
        <v>45962</v>
      </c>
      <c r="C134" s="141">
        <v>8.2199999999999995E-2</v>
      </c>
      <c r="D134" s="141"/>
      <c r="E134" s="146"/>
      <c r="F134" s="146"/>
      <c r="G134" s="146"/>
      <c r="H134" s="146"/>
      <c r="I134" s="146"/>
      <c r="J134" s="146"/>
      <c r="K134" s="146"/>
      <c r="L134" s="140"/>
      <c r="M134" s="140"/>
    </row>
    <row r="135" spans="2:13">
      <c r="B135" s="110">
        <v>45992</v>
      </c>
      <c r="C135" s="141">
        <v>7.3825503355704702E-2</v>
      </c>
      <c r="D135" s="141"/>
      <c r="E135" s="146"/>
      <c r="F135" s="146"/>
      <c r="G135" s="146"/>
      <c r="H135" s="146"/>
      <c r="I135" s="146"/>
      <c r="J135" s="146"/>
      <c r="K135" s="146"/>
      <c r="L135" s="140"/>
      <c r="M135" s="140"/>
    </row>
    <row r="136" spans="2:13">
      <c r="B136" s="112"/>
      <c r="C136" s="141"/>
      <c r="D136" s="146"/>
      <c r="E136" s="146"/>
      <c r="F136" s="146"/>
      <c r="G136" s="146"/>
      <c r="H136" s="146"/>
      <c r="I136" s="146"/>
      <c r="J136" s="146"/>
      <c r="K136" s="146"/>
      <c r="L136" s="140"/>
      <c r="M136" s="140"/>
    </row>
    <row r="137" spans="2:13">
      <c r="B137" s="103" t="s">
        <v>229</v>
      </c>
      <c r="C137" s="141"/>
      <c r="D137" s="146"/>
      <c r="E137" s="146"/>
      <c r="F137" s="146"/>
      <c r="G137" s="146"/>
      <c r="H137" s="146"/>
      <c r="I137" s="146"/>
      <c r="J137" s="146"/>
      <c r="K137" s="146"/>
      <c r="L137" s="140"/>
      <c r="M137" s="140"/>
    </row>
    <row r="138" spans="2:13">
      <c r="B138" s="104" t="s">
        <v>230</v>
      </c>
      <c r="C138" s="141">
        <f>C126</f>
        <v>8.0399999999999999E-2</v>
      </c>
      <c r="D138" s="146"/>
      <c r="E138" s="146"/>
      <c r="F138" s="146"/>
      <c r="G138" s="146"/>
      <c r="H138" s="146"/>
      <c r="I138" s="146"/>
      <c r="J138" s="146"/>
      <c r="K138" s="146"/>
      <c r="L138" s="140"/>
      <c r="M138" s="140"/>
    </row>
    <row r="139" spans="2:13">
      <c r="B139" s="106" t="s">
        <v>231</v>
      </c>
      <c r="C139" s="141">
        <f>AVERAGE(C125,C127)</f>
        <v>8.2150000000000001E-2</v>
      </c>
      <c r="D139" s="146"/>
      <c r="E139" s="146"/>
      <c r="F139" s="146"/>
      <c r="G139" s="146"/>
      <c r="H139" s="146"/>
      <c r="I139" s="146"/>
      <c r="J139" s="146"/>
      <c r="K139" s="146"/>
      <c r="L139" s="140"/>
      <c r="M139" s="140"/>
    </row>
    <row r="140" spans="2:13">
      <c r="B140" s="106" t="s">
        <v>232</v>
      </c>
      <c r="C140" s="141">
        <f>AVERAGE(C127:C128)</f>
        <v>7.4950000000000003E-2</v>
      </c>
      <c r="D140" s="146"/>
      <c r="E140" s="146"/>
      <c r="F140" s="146"/>
      <c r="G140" s="146"/>
      <c r="H140" s="146"/>
      <c r="I140" s="146"/>
      <c r="J140" s="146"/>
      <c r="K140" s="146"/>
      <c r="L140" s="140"/>
      <c r="M140" s="140"/>
    </row>
    <row r="141" spans="2:13">
      <c r="B141" s="106" t="s">
        <v>233</v>
      </c>
      <c r="C141" s="141">
        <f>AVERAGE(C128:C129)</f>
        <v>6.7099999999999993E-2</v>
      </c>
      <c r="D141" s="146"/>
      <c r="E141" s="146"/>
      <c r="F141" s="146"/>
      <c r="G141" s="146"/>
      <c r="H141" s="146"/>
      <c r="I141" s="146"/>
      <c r="J141" s="146"/>
      <c r="K141" s="146"/>
      <c r="L141" s="140"/>
      <c r="M141" s="140"/>
    </row>
    <row r="142" spans="2:13">
      <c r="B142" s="106" t="s">
        <v>234</v>
      </c>
      <c r="C142" s="141">
        <f>AVERAGE(C129:C130)</f>
        <v>6.4349999999999991E-2</v>
      </c>
      <c r="D142" s="146"/>
      <c r="E142" s="146"/>
      <c r="F142" s="146"/>
      <c r="G142" s="146"/>
      <c r="H142" s="146"/>
      <c r="I142" s="146"/>
      <c r="J142" s="146"/>
      <c r="K142" s="146"/>
      <c r="L142" s="140"/>
      <c r="M142" s="140"/>
    </row>
    <row r="143" spans="2:13">
      <c r="B143" s="106" t="s">
        <v>235</v>
      </c>
      <c r="C143" s="141">
        <f>AVERAGE(C130:C131)</f>
        <v>7.0150000000000004E-2</v>
      </c>
      <c r="D143" s="146"/>
      <c r="E143" s="146"/>
      <c r="F143" s="146"/>
      <c r="G143" s="146"/>
      <c r="H143" s="146"/>
      <c r="I143" s="146"/>
      <c r="J143" s="146"/>
      <c r="K143" s="146"/>
      <c r="L143" s="140"/>
      <c r="M143" s="140"/>
    </row>
    <row r="144" spans="2:13">
      <c r="B144" s="106" t="s">
        <v>236</v>
      </c>
      <c r="C144" s="141">
        <f>C131</f>
        <v>7.6300000000000007E-2</v>
      </c>
      <c r="D144" s="146"/>
      <c r="E144" s="146"/>
      <c r="F144" s="146"/>
      <c r="G144" s="146"/>
      <c r="H144" s="146"/>
      <c r="I144" s="146"/>
      <c r="J144" s="146"/>
      <c r="K144" s="146"/>
      <c r="L144" s="140"/>
      <c r="M144" s="140"/>
    </row>
    <row r="145" spans="2:13">
      <c r="B145" s="106" t="s">
        <v>237</v>
      </c>
      <c r="C145" s="141">
        <f>AVERAGE(C126,C131,C134,C135)</f>
        <v>7.8181375838926176E-2</v>
      </c>
      <c r="D145" s="153"/>
      <c r="E145" s="153"/>
      <c r="F145" s="153"/>
      <c r="G145" s="146"/>
      <c r="H145" s="146"/>
      <c r="I145" s="146"/>
      <c r="J145" s="146"/>
      <c r="K145" s="146"/>
      <c r="L145" s="140"/>
      <c r="M145" s="140"/>
    </row>
    <row r="146" spans="2:13">
      <c r="B146" s="106" t="s">
        <v>238</v>
      </c>
      <c r="C146" s="141">
        <f>AVERAGE(C124,C125,C127,C128,C129,C130,C132,C133)</f>
        <v>7.0624999999999993E-2</v>
      </c>
      <c r="D146" s="146"/>
      <c r="E146" s="146"/>
      <c r="F146" s="146"/>
      <c r="G146" s="146"/>
      <c r="H146" s="146"/>
      <c r="I146" s="146"/>
      <c r="J146" s="146"/>
      <c r="K146" s="146"/>
      <c r="L146" s="140"/>
      <c r="M146" s="140"/>
    </row>
    <row r="147" spans="2:13">
      <c r="D147" s="146"/>
      <c r="E147" s="146"/>
      <c r="F147" s="146"/>
      <c r="G147" s="146"/>
      <c r="H147" s="146"/>
      <c r="I147" s="146"/>
      <c r="J147" s="146"/>
      <c r="K147" s="146"/>
      <c r="L147" s="140"/>
      <c r="M147" s="140"/>
    </row>
    <row r="148" spans="2:13">
      <c r="B148" s="113" t="s">
        <v>242</v>
      </c>
      <c r="C148" s="101"/>
      <c r="D148" s="146"/>
      <c r="E148" s="146"/>
      <c r="F148" s="146"/>
      <c r="G148" s="146"/>
      <c r="H148" s="146"/>
      <c r="I148" s="146"/>
      <c r="J148" s="146"/>
      <c r="K148" s="146"/>
      <c r="L148" s="140"/>
      <c r="M148" s="140"/>
    </row>
    <row r="149" spans="2:13">
      <c r="B149" s="114">
        <v>45292</v>
      </c>
      <c r="C149" s="143">
        <f t="shared" ref="C149:C171" si="28">C75*C112</f>
        <v>91.030599999999993</v>
      </c>
      <c r="D149" s="146"/>
      <c r="E149" s="146"/>
      <c r="F149" s="146"/>
      <c r="G149" s="146"/>
      <c r="H149" s="146"/>
      <c r="I149" s="146"/>
      <c r="J149" s="146"/>
      <c r="K149" s="146"/>
      <c r="L149" s="140"/>
      <c r="M149" s="140"/>
    </row>
    <row r="150" spans="2:13">
      <c r="B150" s="114">
        <v>45323</v>
      </c>
      <c r="C150" s="143">
        <f t="shared" si="28"/>
        <v>103.9192</v>
      </c>
      <c r="D150" s="146"/>
      <c r="E150" s="146"/>
      <c r="F150" s="146"/>
      <c r="G150" s="146"/>
      <c r="H150" s="146"/>
      <c r="I150" s="146"/>
      <c r="J150" s="146"/>
      <c r="K150" s="146"/>
      <c r="L150" s="140"/>
      <c r="M150" s="140"/>
    </row>
    <row r="151" spans="2:13">
      <c r="B151" s="114">
        <v>45352</v>
      </c>
      <c r="C151" s="143">
        <f t="shared" si="28"/>
        <v>133.85679999999999</v>
      </c>
      <c r="D151" s="146"/>
      <c r="E151" s="146"/>
      <c r="F151" s="146"/>
      <c r="G151" s="146"/>
      <c r="H151" s="146"/>
      <c r="I151" s="146"/>
      <c r="J151" s="146"/>
      <c r="K151" s="146"/>
      <c r="L151" s="140"/>
      <c r="M151" s="140"/>
    </row>
    <row r="152" spans="2:13">
      <c r="B152" s="114">
        <v>45383</v>
      </c>
      <c r="C152" s="143">
        <f t="shared" si="28"/>
        <v>109.11890000000001</v>
      </c>
      <c r="D152" s="146"/>
      <c r="E152" s="146"/>
      <c r="F152" s="146"/>
      <c r="G152" s="146"/>
      <c r="H152" s="146"/>
      <c r="I152" s="146"/>
      <c r="J152" s="146"/>
      <c r="K152" s="146"/>
      <c r="L152" s="140"/>
      <c r="M152" s="140"/>
    </row>
    <row r="153" spans="2:13">
      <c r="B153" s="114">
        <v>45413</v>
      </c>
      <c r="C153" s="143">
        <f t="shared" si="28"/>
        <v>160.85079999999999</v>
      </c>
      <c r="D153" s="146"/>
      <c r="E153" s="146"/>
      <c r="F153" s="146"/>
      <c r="G153" s="146"/>
      <c r="H153" s="146"/>
      <c r="I153" s="146"/>
      <c r="J153" s="146"/>
      <c r="K153" s="146"/>
      <c r="L153" s="140"/>
      <c r="M153" s="140"/>
    </row>
    <row r="154" spans="2:13">
      <c r="B154" s="114">
        <v>45444</v>
      </c>
      <c r="C154" s="143">
        <f t="shared" si="28"/>
        <v>134.98439999999999</v>
      </c>
      <c r="D154" s="146"/>
      <c r="E154" s="146"/>
      <c r="F154" s="146"/>
      <c r="G154" s="146"/>
      <c r="H154" s="146"/>
      <c r="I154" s="146"/>
      <c r="J154" s="146"/>
      <c r="K154" s="146"/>
      <c r="L154" s="140"/>
      <c r="M154" s="140"/>
    </row>
    <row r="155" spans="2:13">
      <c r="B155" s="114">
        <v>45474</v>
      </c>
      <c r="C155" s="143">
        <f t="shared" si="28"/>
        <v>205.02</v>
      </c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</row>
    <row r="156" spans="2:13">
      <c r="B156" s="114">
        <v>45505</v>
      </c>
      <c r="C156" s="143">
        <f t="shared" si="28"/>
        <v>192.905</v>
      </c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</row>
    <row r="157" spans="2:13">
      <c r="B157" s="114">
        <v>45536</v>
      </c>
      <c r="C157" s="143">
        <f t="shared" si="28"/>
        <v>162.99119999999999</v>
      </c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</row>
    <row r="158" spans="2:13">
      <c r="B158" s="114">
        <v>45566</v>
      </c>
      <c r="C158" s="143">
        <f t="shared" si="28"/>
        <v>146.0592</v>
      </c>
    </row>
    <row r="159" spans="2:13">
      <c r="B159" s="114">
        <v>45597</v>
      </c>
      <c r="C159" s="143">
        <f t="shared" si="28"/>
        <v>232.00559999999999</v>
      </c>
    </row>
    <row r="160" spans="2:13">
      <c r="B160" s="114">
        <v>45627</v>
      </c>
      <c r="C160" s="143">
        <f t="shared" si="28"/>
        <v>218.0436</v>
      </c>
      <c r="M160" s="115"/>
    </row>
    <row r="161" spans="2:13">
      <c r="B161" s="114">
        <v>45658</v>
      </c>
      <c r="C161" s="143">
        <f>C87*C124</f>
        <v>160.0403</v>
      </c>
      <c r="M161" s="115"/>
    </row>
    <row r="162" spans="2:13">
      <c r="B162" s="114">
        <v>45689</v>
      </c>
      <c r="C162" s="143">
        <f t="shared" si="28"/>
        <v>176.9451</v>
      </c>
      <c r="M162" s="115"/>
    </row>
    <row r="163" spans="2:13">
      <c r="B163" s="114">
        <v>45717</v>
      </c>
      <c r="C163" s="143">
        <f>C89*C126</f>
        <v>292.01279999999997</v>
      </c>
      <c r="M163" s="115"/>
    </row>
    <row r="164" spans="2:13">
      <c r="B164" s="114">
        <v>45748</v>
      </c>
      <c r="C164" s="143">
        <f t="shared" si="28"/>
        <v>212.9796</v>
      </c>
      <c r="M164" s="115"/>
    </row>
    <row r="165" spans="2:13">
      <c r="B165" s="114">
        <v>45778</v>
      </c>
      <c r="C165" s="143">
        <f t="shared" si="28"/>
        <v>181.04750000000001</v>
      </c>
      <c r="M165" s="138"/>
    </row>
    <row r="166" spans="2:13">
      <c r="B166" s="114">
        <v>45809</v>
      </c>
      <c r="C166" s="143">
        <f t="shared" si="28"/>
        <v>157.02689999999998</v>
      </c>
      <c r="M166" s="138"/>
    </row>
    <row r="167" spans="2:13">
      <c r="B167" s="114">
        <v>45839</v>
      </c>
      <c r="C167" s="143">
        <f t="shared" si="28"/>
        <v>151.04</v>
      </c>
      <c r="M167" s="138"/>
    </row>
    <row r="168" spans="2:13">
      <c r="B168" s="114">
        <v>45870</v>
      </c>
      <c r="C168" s="143">
        <f t="shared" si="28"/>
        <v>213.02960000000002</v>
      </c>
      <c r="M168" s="138"/>
    </row>
    <row r="169" spans="2:13">
      <c r="B169" s="114">
        <v>45901</v>
      </c>
      <c r="C169" s="143">
        <f t="shared" si="28"/>
        <v>163.93440000000001</v>
      </c>
      <c r="M169" s="138"/>
    </row>
    <row r="170" spans="2:13">
      <c r="B170" s="114">
        <v>45931</v>
      </c>
      <c r="C170" s="143">
        <f t="shared" si="28"/>
        <v>139.03500000000003</v>
      </c>
      <c r="M170" s="138"/>
    </row>
    <row r="171" spans="2:13">
      <c r="B171" s="114">
        <v>45962</v>
      </c>
      <c r="C171" s="143">
        <f t="shared" si="28"/>
        <v>216.67919999999998</v>
      </c>
      <c r="M171" s="138"/>
    </row>
    <row r="172" spans="2:13">
      <c r="B172" s="114">
        <v>45992</v>
      </c>
      <c r="C172" s="143">
        <f>C98*C135</f>
        <v>212.1006711409396</v>
      </c>
      <c r="M172" s="138"/>
    </row>
    <row r="173" spans="2:13">
      <c r="B173" s="143"/>
      <c r="C173" s="143"/>
      <c r="M173" s="138"/>
    </row>
    <row r="174" spans="2:13">
      <c r="B174" s="103" t="s">
        <v>229</v>
      </c>
      <c r="C174" s="143"/>
      <c r="M174" s="138"/>
    </row>
    <row r="175" spans="2:13">
      <c r="B175" s="104" t="s">
        <v>230</v>
      </c>
      <c r="C175" s="105">
        <f>C163</f>
        <v>292.01279999999997</v>
      </c>
      <c r="M175" s="138"/>
    </row>
    <row r="176" spans="2:13">
      <c r="B176" s="106" t="s">
        <v>231</v>
      </c>
      <c r="C176" s="135">
        <f>AVERAGE(C162,C164)</f>
        <v>194.96235000000001</v>
      </c>
      <c r="M176" s="138"/>
    </row>
    <row r="177" spans="2:17">
      <c r="B177" s="106" t="s">
        <v>232</v>
      </c>
      <c r="C177" s="135">
        <f>AVERAGE(C164:C165)</f>
        <v>197.01355000000001</v>
      </c>
      <c r="M177" s="138"/>
    </row>
    <row r="178" spans="2:17">
      <c r="B178" s="106" t="s">
        <v>233</v>
      </c>
      <c r="C178" s="135">
        <f>AVERAGE(C165:C166)</f>
        <v>169.03719999999998</v>
      </c>
      <c r="M178" s="138"/>
    </row>
    <row r="179" spans="2:17">
      <c r="B179" s="106" t="s">
        <v>234</v>
      </c>
      <c r="C179" s="135">
        <f>AVERAGE(C166:C167)</f>
        <v>154.03344999999999</v>
      </c>
      <c r="M179" s="138"/>
    </row>
    <row r="180" spans="2:17">
      <c r="B180" s="106" t="s">
        <v>235</v>
      </c>
      <c r="C180" s="135">
        <f>AVERAGE(C167:C168)</f>
        <v>182.03480000000002</v>
      </c>
      <c r="M180" s="138"/>
    </row>
    <row r="181" spans="2:17">
      <c r="B181" s="106" t="s">
        <v>236</v>
      </c>
      <c r="C181" s="135">
        <f>C168</f>
        <v>213.02960000000002</v>
      </c>
      <c r="M181" s="138"/>
    </row>
    <row r="182" spans="2:17">
      <c r="B182" s="106" t="s">
        <v>237</v>
      </c>
      <c r="C182" s="135">
        <f>AVERAGE(C163,C168,C171,C172)</f>
        <v>233.4555677852349</v>
      </c>
      <c r="D182" s="153"/>
      <c r="E182" s="153"/>
      <c r="F182" s="153"/>
    </row>
    <row r="183" spans="2:17">
      <c r="B183" s="106" t="s">
        <v>238</v>
      </c>
      <c r="C183" s="135">
        <f>AVERAGE(C161,C162,C164,C165,C166,C167,C169,C170)</f>
        <v>167.75610000000003</v>
      </c>
      <c r="M183" s="138"/>
    </row>
    <row r="184" spans="2:17">
      <c r="M184" s="138"/>
    </row>
    <row r="185" spans="2:17">
      <c r="B185" s="116" t="s">
        <v>243</v>
      </c>
      <c r="C185" s="117"/>
      <c r="M185" s="138"/>
    </row>
    <row r="186" spans="2:17">
      <c r="B186" s="118">
        <v>45292</v>
      </c>
      <c r="C186" s="140">
        <f t="shared" ref="C186:C208" si="29">C149/C38</f>
        <v>2.1323635511829468E-2</v>
      </c>
      <c r="M186" s="138"/>
      <c r="O186" s="147"/>
    </row>
    <row r="187" spans="2:17">
      <c r="B187" s="118">
        <v>45323</v>
      </c>
      <c r="C187" s="140">
        <f>C150/C39</f>
        <v>2.3284606766748824E-2</v>
      </c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</row>
    <row r="188" spans="2:17">
      <c r="B188" s="118">
        <v>45352</v>
      </c>
      <c r="C188" s="140">
        <f t="shared" si="29"/>
        <v>2.596136539953452E-2</v>
      </c>
    </row>
    <row r="189" spans="2:17">
      <c r="B189" s="118">
        <v>45383</v>
      </c>
      <c r="C189" s="140">
        <f t="shared" si="29"/>
        <v>2.3588175529615219E-2</v>
      </c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</row>
    <row r="190" spans="2:17">
      <c r="B190" s="118">
        <v>45413</v>
      </c>
      <c r="C190" s="140">
        <f t="shared" si="29"/>
        <v>2.9357693009673298E-2</v>
      </c>
      <c r="M190" s="143"/>
      <c r="Q190" s="148"/>
    </row>
    <row r="191" spans="2:17">
      <c r="B191" s="118">
        <v>45444</v>
      </c>
      <c r="C191" s="140">
        <f t="shared" si="29"/>
        <v>2.4413890396093325E-2</v>
      </c>
      <c r="D191" s="140"/>
      <c r="E191" s="140"/>
      <c r="F191" s="140"/>
      <c r="G191" s="140"/>
      <c r="H191" s="140"/>
      <c r="I191" s="140"/>
      <c r="J191" s="140"/>
      <c r="K191" s="140"/>
      <c r="L191" s="140"/>
      <c r="M191" s="143"/>
      <c r="Q191" s="148"/>
    </row>
    <row r="192" spans="2:17">
      <c r="B192" s="118">
        <v>45474</v>
      </c>
      <c r="C192" s="140">
        <f t="shared" si="29"/>
        <v>3.3500000000000002E-2</v>
      </c>
      <c r="D192" s="140"/>
      <c r="E192" s="140"/>
      <c r="F192" s="140"/>
      <c r="G192" s="140"/>
      <c r="H192" s="140"/>
      <c r="I192" s="140"/>
      <c r="J192" s="140"/>
      <c r="K192" s="140"/>
      <c r="L192" s="140"/>
      <c r="M192" s="143"/>
      <c r="Q192" s="148"/>
    </row>
    <row r="193" spans="2:18">
      <c r="B193" s="118">
        <v>45505</v>
      </c>
      <c r="C193" s="140">
        <f t="shared" si="29"/>
        <v>2.8740315852205007E-2</v>
      </c>
      <c r="D193" s="140"/>
      <c r="E193" s="140"/>
      <c r="F193" s="140"/>
      <c r="G193" s="140"/>
      <c r="H193" s="140"/>
      <c r="I193" s="140"/>
      <c r="J193" s="140"/>
      <c r="K193" s="140"/>
      <c r="L193" s="140"/>
      <c r="M193" s="143"/>
      <c r="Q193" s="148"/>
      <c r="R193" s="148"/>
    </row>
    <row r="194" spans="2:18">
      <c r="B194" s="118">
        <v>45536</v>
      </c>
      <c r="C194" s="140">
        <f t="shared" si="29"/>
        <v>3.1236335760827901E-2</v>
      </c>
      <c r="D194" s="140"/>
      <c r="E194" s="140"/>
      <c r="F194" s="140"/>
      <c r="G194" s="140"/>
      <c r="H194" s="140"/>
      <c r="I194" s="140"/>
      <c r="J194" s="140"/>
      <c r="K194" s="140"/>
      <c r="L194" s="140"/>
      <c r="M194" s="143"/>
    </row>
    <row r="195" spans="2:18">
      <c r="B195" s="118">
        <v>45566</v>
      </c>
      <c r="C195" s="140">
        <f t="shared" si="29"/>
        <v>2.4589090909090911E-2</v>
      </c>
      <c r="D195" s="140"/>
      <c r="E195" s="140"/>
      <c r="F195" s="140"/>
      <c r="G195" s="140"/>
      <c r="H195" s="140"/>
      <c r="I195" s="140"/>
      <c r="J195" s="140"/>
      <c r="K195" s="140"/>
      <c r="L195" s="140"/>
      <c r="M195" s="143"/>
      <c r="O195" s="143"/>
    </row>
    <row r="196" spans="2:18">
      <c r="B196" s="118">
        <v>45597</v>
      </c>
      <c r="C196" s="140">
        <f>C159/C48</f>
        <v>3.5518309859154926E-2</v>
      </c>
      <c r="D196" s="140"/>
      <c r="E196" s="140"/>
      <c r="F196" s="140"/>
      <c r="G196" s="140"/>
      <c r="H196" s="140"/>
      <c r="I196" s="140"/>
      <c r="J196" s="140"/>
      <c r="K196" s="140"/>
      <c r="L196" s="140"/>
      <c r="M196" s="143"/>
    </row>
    <row r="197" spans="2:18">
      <c r="B197" s="118">
        <v>45627</v>
      </c>
      <c r="C197" s="140">
        <f t="shared" si="29"/>
        <v>2.9633541723294372E-2</v>
      </c>
      <c r="D197" s="140"/>
      <c r="E197" s="140"/>
      <c r="F197" s="140"/>
      <c r="G197" s="140"/>
      <c r="H197" s="140"/>
      <c r="I197" s="140"/>
      <c r="J197" s="140"/>
      <c r="K197" s="140"/>
      <c r="L197" s="140"/>
      <c r="M197" s="143"/>
    </row>
    <row r="198" spans="2:18">
      <c r="B198" s="118">
        <v>45658</v>
      </c>
      <c r="C198" s="140">
        <f t="shared" si="29"/>
        <v>3.519689905432153E-2</v>
      </c>
      <c r="D198" s="140"/>
      <c r="E198" s="140"/>
      <c r="F198" s="140"/>
      <c r="G198" s="140"/>
      <c r="H198" s="140"/>
      <c r="I198" s="140"/>
      <c r="J198" s="140"/>
      <c r="K198" s="140"/>
      <c r="L198" s="140"/>
      <c r="M198" s="143"/>
    </row>
    <row r="199" spans="2:18">
      <c r="B199" s="118">
        <v>45689</v>
      </c>
      <c r="C199" s="140">
        <f t="shared" si="29"/>
        <v>3.4722350863422291E-2</v>
      </c>
      <c r="D199" s="140"/>
      <c r="E199" s="140"/>
      <c r="F199" s="140"/>
      <c r="G199" s="140"/>
      <c r="H199" s="140"/>
      <c r="I199" s="140"/>
      <c r="J199" s="140"/>
      <c r="K199" s="140"/>
      <c r="L199" s="140"/>
      <c r="M199" s="143"/>
    </row>
    <row r="200" spans="2:18">
      <c r="B200" s="118">
        <v>45717</v>
      </c>
      <c r="C200" s="140">
        <f t="shared" si="29"/>
        <v>4.2710662571303196E-2</v>
      </c>
      <c r="D200" s="140"/>
      <c r="E200" s="140"/>
      <c r="F200" s="140"/>
      <c r="G200" s="140"/>
      <c r="H200" s="140"/>
      <c r="I200" s="140"/>
      <c r="J200" s="140"/>
      <c r="K200" s="140"/>
      <c r="L200" s="140"/>
      <c r="M200" s="143"/>
    </row>
    <row r="201" spans="2:18">
      <c r="B201" s="118">
        <v>45748</v>
      </c>
      <c r="C201" s="140">
        <f t="shared" si="29"/>
        <v>3.7130334728033475E-2</v>
      </c>
      <c r="D201" s="140"/>
      <c r="E201" s="140"/>
      <c r="F201" s="140"/>
      <c r="G201" s="140"/>
      <c r="H201" s="140"/>
      <c r="I201" s="140"/>
      <c r="J201" s="140"/>
      <c r="K201" s="140"/>
      <c r="L201" s="140"/>
      <c r="M201" s="143"/>
    </row>
    <row r="202" spans="2:18">
      <c r="B202" s="118">
        <v>45778</v>
      </c>
      <c r="C202" s="140">
        <f t="shared" si="29"/>
        <v>2.8633164637039382E-2</v>
      </c>
      <c r="D202" s="140"/>
      <c r="E202" s="140"/>
      <c r="F202" s="140"/>
      <c r="G202" s="140"/>
      <c r="H202" s="140"/>
      <c r="I202" s="140"/>
      <c r="J202" s="140"/>
      <c r="K202" s="140"/>
      <c r="L202" s="140"/>
      <c r="M202" s="143"/>
    </row>
    <row r="203" spans="2:18">
      <c r="B203" s="118">
        <v>45809</v>
      </c>
      <c r="C203" s="140">
        <f t="shared" si="29"/>
        <v>2.6966666666666663E-2</v>
      </c>
      <c r="D203" s="140"/>
      <c r="E203" s="140"/>
      <c r="F203" s="140"/>
      <c r="G203" s="140"/>
      <c r="H203" s="140"/>
      <c r="I203" s="140"/>
      <c r="J203" s="140"/>
      <c r="K203" s="140"/>
      <c r="L203" s="140"/>
      <c r="M203" s="143"/>
    </row>
    <row r="204" spans="2:18">
      <c r="B204" s="118">
        <v>45839</v>
      </c>
      <c r="C204" s="140">
        <f t="shared" si="29"/>
        <v>2.4760655737704917E-2</v>
      </c>
      <c r="D204" s="140"/>
      <c r="E204" s="140"/>
      <c r="F204" s="140"/>
      <c r="G204" s="140"/>
      <c r="H204" s="140"/>
      <c r="I204" s="140"/>
      <c r="J204" s="140"/>
      <c r="K204" s="140"/>
      <c r="L204" s="140"/>
      <c r="M204" s="143"/>
    </row>
    <row r="205" spans="2:18">
      <c r="B205" s="118">
        <v>45870</v>
      </c>
      <c r="C205" s="140">
        <f>C168/C57</f>
        <v>2.9003349217154528E-2</v>
      </c>
      <c r="D205" s="140"/>
      <c r="E205" s="140"/>
      <c r="F205" s="140"/>
      <c r="G205" s="140"/>
      <c r="H205" s="140"/>
      <c r="I205" s="140"/>
      <c r="J205" s="140"/>
      <c r="K205" s="140"/>
      <c r="L205" s="140"/>
      <c r="M205" s="143"/>
    </row>
    <row r="206" spans="2:18">
      <c r="B206" s="118">
        <v>45901</v>
      </c>
      <c r="C206" s="140">
        <f t="shared" si="29"/>
        <v>2.782794092683755E-2</v>
      </c>
      <c r="D206" s="140"/>
      <c r="E206" s="140"/>
      <c r="F206" s="140"/>
      <c r="G206" s="140"/>
      <c r="H206" s="140"/>
      <c r="I206" s="140"/>
      <c r="J206" s="140"/>
      <c r="K206" s="140"/>
      <c r="L206" s="140"/>
      <c r="M206" s="143"/>
    </row>
    <row r="207" spans="2:18">
      <c r="B207" s="118">
        <v>45931</v>
      </c>
      <c r="C207" s="140">
        <f t="shared" si="29"/>
        <v>2.4175795513823688E-2</v>
      </c>
      <c r="D207" s="140"/>
      <c r="E207" s="140"/>
      <c r="F207" s="140"/>
      <c r="G207" s="140"/>
      <c r="H207" s="140"/>
      <c r="I207" s="140"/>
      <c r="J207" s="140"/>
      <c r="K207" s="140"/>
      <c r="L207" s="140"/>
      <c r="M207" s="143"/>
    </row>
    <row r="208" spans="2:18">
      <c r="B208" s="118">
        <v>45962</v>
      </c>
      <c r="C208" s="140">
        <f t="shared" si="29"/>
        <v>3.2186452762923347E-2</v>
      </c>
      <c r="D208" s="140"/>
      <c r="E208" s="140"/>
      <c r="F208" s="140"/>
      <c r="G208" s="140"/>
      <c r="H208" s="140"/>
      <c r="I208" s="140"/>
      <c r="J208" s="140"/>
      <c r="K208" s="140"/>
      <c r="L208" s="140"/>
      <c r="M208" s="143"/>
    </row>
    <row r="209" spans="2:14">
      <c r="B209" s="118">
        <v>45992</v>
      </c>
      <c r="C209" s="140">
        <f>C172/C61</f>
        <v>2.6837994576861899E-2</v>
      </c>
      <c r="D209" s="140"/>
      <c r="E209" s="140"/>
      <c r="F209" s="140"/>
      <c r="G209" s="140"/>
      <c r="H209" s="140"/>
      <c r="I209" s="140"/>
      <c r="J209" s="140"/>
      <c r="K209" s="140"/>
      <c r="L209" s="140"/>
      <c r="M209" s="143"/>
    </row>
    <row r="210" spans="2:14">
      <c r="B210" s="149"/>
      <c r="C210" s="149"/>
    </row>
    <row r="211" spans="2:14">
      <c r="B211" s="103" t="s">
        <v>229</v>
      </c>
      <c r="C211" s="149"/>
    </row>
    <row r="212" spans="2:14">
      <c r="B212" s="104" t="s">
        <v>230</v>
      </c>
      <c r="C212" s="141">
        <f>C200</f>
        <v>4.2710662571303196E-2</v>
      </c>
    </row>
    <row r="213" spans="2:14">
      <c r="B213" s="106" t="s">
        <v>231</v>
      </c>
      <c r="C213" s="141">
        <f>AVERAGE(C201,C199)</f>
        <v>3.5926342795727886E-2</v>
      </c>
    </row>
    <row r="214" spans="2:14">
      <c r="B214" s="106" t="s">
        <v>232</v>
      </c>
      <c r="C214" s="141">
        <f>AVERAGE(C201:C202)</f>
        <v>3.2881749682536432E-2</v>
      </c>
    </row>
    <row r="215" spans="2:14">
      <c r="B215" s="106" t="s">
        <v>233</v>
      </c>
      <c r="C215" s="141">
        <f>AVERAGE(C202:C203)</f>
        <v>2.7799915651853024E-2</v>
      </c>
    </row>
    <row r="216" spans="2:14">
      <c r="B216" s="106" t="s">
        <v>234</v>
      </c>
      <c r="C216" s="141">
        <f>AVERAGE(C203:C204)</f>
        <v>2.5863661202185792E-2</v>
      </c>
    </row>
    <row r="217" spans="2:14">
      <c r="B217" s="119" t="s">
        <v>235</v>
      </c>
      <c r="C217" s="141">
        <f>AVERAGE(C204:C205)</f>
        <v>2.6882002477429723E-2</v>
      </c>
      <c r="N217" s="135"/>
    </row>
    <row r="218" spans="2:14">
      <c r="B218" s="119" t="s">
        <v>236</v>
      </c>
      <c r="C218" s="141">
        <f>C205</f>
        <v>2.9003349217154528E-2</v>
      </c>
      <c r="N218" s="135"/>
    </row>
    <row r="219" spans="2:14">
      <c r="B219" s="106" t="s">
        <v>237</v>
      </c>
      <c r="C219" s="152">
        <f>AVERAGE(C200,C205,C208,C209)</f>
        <v>3.2684614782060743E-2</v>
      </c>
      <c r="D219" s="153"/>
      <c r="E219" s="153"/>
      <c r="F219" s="153"/>
      <c r="N219" s="135"/>
    </row>
    <row r="220" spans="2:14">
      <c r="B220" s="106" t="s">
        <v>238</v>
      </c>
      <c r="C220" s="152">
        <f>AVERAGE(C198,C199,C201,C202,C203,C204,C206,C207)</f>
        <v>2.9926726015981186E-2</v>
      </c>
      <c r="N220" s="135"/>
    </row>
    <row r="221" spans="2:14">
      <c r="B221" s="119"/>
      <c r="C221" s="111"/>
      <c r="N221" s="135"/>
    </row>
    <row r="222" spans="2:14">
      <c r="B222" s="120" t="s">
        <v>244</v>
      </c>
      <c r="N222" s="135"/>
    </row>
    <row r="223" spans="2:14">
      <c r="B223" s="133">
        <v>46023</v>
      </c>
      <c r="C223" s="130">
        <f>M9</f>
        <v>4845</v>
      </c>
      <c r="N223" s="135"/>
    </row>
    <row r="224" spans="2:14">
      <c r="B224" s="133">
        <v>46054</v>
      </c>
      <c r="C224" s="130">
        <f t="shared" ref="C224:C234" si="30">M10</f>
        <v>5350</v>
      </c>
      <c r="N224" s="135"/>
    </row>
    <row r="225" spans="2:16">
      <c r="B225" s="133">
        <v>46082</v>
      </c>
      <c r="C225" s="130">
        <f t="shared" si="30"/>
        <v>6890</v>
      </c>
      <c r="N225" s="135"/>
    </row>
    <row r="226" spans="2:16">
      <c r="B226" s="133">
        <v>46113</v>
      </c>
      <c r="C226" s="130">
        <f t="shared" si="30"/>
        <v>5840</v>
      </c>
      <c r="N226" s="135"/>
    </row>
    <row r="227" spans="2:16">
      <c r="B227" s="133">
        <v>46143</v>
      </c>
      <c r="C227" s="130">
        <f t="shared" si="30"/>
        <v>6520</v>
      </c>
      <c r="N227" s="135"/>
    </row>
    <row r="228" spans="2:16">
      <c r="B228" s="133">
        <v>46174</v>
      </c>
      <c r="C228" s="130">
        <f t="shared" si="30"/>
        <v>6117</v>
      </c>
      <c r="N228" s="135"/>
    </row>
    <row r="229" spans="2:16">
      <c r="B229" s="133">
        <v>46204</v>
      </c>
      <c r="C229" s="130">
        <f t="shared" si="30"/>
        <v>6460</v>
      </c>
      <c r="N229" s="135"/>
    </row>
    <row r="230" spans="2:16">
      <c r="B230" s="133">
        <v>46235</v>
      </c>
      <c r="C230" s="130">
        <f t="shared" si="30"/>
        <v>6890</v>
      </c>
    </row>
    <row r="231" spans="2:16">
      <c r="B231" s="133">
        <v>46266</v>
      </c>
      <c r="C231" s="130">
        <f t="shared" si="30"/>
        <v>6400</v>
      </c>
    </row>
    <row r="232" spans="2:16">
      <c r="B232" s="133">
        <v>46296</v>
      </c>
      <c r="C232" s="130">
        <f t="shared" si="30"/>
        <v>6635</v>
      </c>
      <c r="N232" s="41"/>
    </row>
    <row r="233" spans="2:16">
      <c r="B233" s="133">
        <v>46327</v>
      </c>
      <c r="C233" s="130">
        <f t="shared" si="30"/>
        <v>6175</v>
      </c>
      <c r="N233" s="41"/>
    </row>
    <row r="234" spans="2:16">
      <c r="B234" s="133">
        <v>46357</v>
      </c>
      <c r="C234" s="130">
        <f t="shared" si="30"/>
        <v>7940</v>
      </c>
      <c r="N234" s="41"/>
    </row>
    <row r="235" spans="2:16">
      <c r="B235" s="134" t="s">
        <v>24</v>
      </c>
      <c r="C235" s="130">
        <f>SUM(C223:C234)</f>
        <v>76062</v>
      </c>
      <c r="P235" s="41"/>
    </row>
    <row r="236" spans="2:16">
      <c r="B236" s="106"/>
      <c r="C236" s="150"/>
      <c r="P236" s="41"/>
    </row>
    <row r="237" spans="2:16">
      <c r="B237" s="139"/>
      <c r="C237" s="139"/>
    </row>
    <row r="238" spans="2:16">
      <c r="B238" s="121" t="s">
        <v>245</v>
      </c>
      <c r="C238" s="122"/>
      <c r="D238" s="139"/>
      <c r="E238" s="135"/>
      <c r="F238" s="135"/>
      <c r="G238" s="135"/>
      <c r="H238" s="135"/>
      <c r="I238" s="135"/>
      <c r="J238" s="135"/>
      <c r="K238" s="135"/>
      <c r="L238" s="135"/>
      <c r="M238" s="135"/>
      <c r="P238" s="41"/>
    </row>
    <row r="239" spans="2:16">
      <c r="B239" s="123">
        <v>46023</v>
      </c>
      <c r="C239" s="135">
        <f>C223*$C$220</f>
        <v>144.99498754742885</v>
      </c>
      <c r="D239" s="139"/>
      <c r="E239" s="135"/>
      <c r="F239" s="135"/>
      <c r="G239" s="135"/>
      <c r="H239" s="135"/>
      <c r="I239" s="135"/>
      <c r="J239" s="135"/>
      <c r="K239" s="135"/>
      <c r="L239" s="135"/>
      <c r="M239" s="135"/>
    </row>
    <row r="240" spans="2:16">
      <c r="B240" s="123">
        <v>46054</v>
      </c>
      <c r="C240" s="135">
        <f>C224*$C$220</f>
        <v>160.10798418549933</v>
      </c>
      <c r="D240" s="139"/>
      <c r="E240" s="135"/>
      <c r="F240" s="135"/>
      <c r="G240" s="135"/>
      <c r="H240" s="135"/>
      <c r="I240" s="135"/>
      <c r="J240" s="135"/>
      <c r="K240" s="135"/>
      <c r="L240" s="135"/>
      <c r="M240" s="135"/>
    </row>
    <row r="241" spans="2:14">
      <c r="B241" s="123">
        <v>46082</v>
      </c>
      <c r="C241" s="135">
        <f>C225*$C$219</f>
        <v>225.19699584839853</v>
      </c>
      <c r="D241" s="139"/>
      <c r="E241" s="135"/>
      <c r="F241" s="135"/>
      <c r="G241" s="135"/>
      <c r="H241" s="135"/>
      <c r="I241" s="135"/>
      <c r="J241" s="135"/>
      <c r="K241" s="135"/>
      <c r="L241" s="135"/>
      <c r="M241" s="135"/>
    </row>
    <row r="242" spans="2:14">
      <c r="B242" s="123">
        <v>46113</v>
      </c>
      <c r="C242" s="135">
        <f>C226*$C$220</f>
        <v>174.77207993333013</v>
      </c>
      <c r="D242" s="139"/>
      <c r="E242" s="135"/>
      <c r="F242" s="135"/>
      <c r="G242" s="135"/>
      <c r="H242" s="135"/>
      <c r="I242" s="135"/>
      <c r="J242" s="135"/>
      <c r="K242" s="135"/>
      <c r="L242" s="135"/>
      <c r="M242" s="135"/>
    </row>
    <row r="243" spans="2:14">
      <c r="B243" s="123">
        <v>46143</v>
      </c>
      <c r="C243" s="135">
        <f>C227*$C$220</f>
        <v>195.12225362419733</v>
      </c>
      <c r="D243" s="139"/>
      <c r="E243" s="135"/>
      <c r="F243" s="135"/>
      <c r="G243" s="135"/>
      <c r="H243" s="135"/>
      <c r="I243" s="135"/>
      <c r="J243" s="135"/>
      <c r="K243" s="135"/>
      <c r="L243" s="135"/>
      <c r="M243" s="135"/>
    </row>
    <row r="244" spans="2:14">
      <c r="B244" s="123">
        <v>46174</v>
      </c>
      <c r="C244" s="135">
        <f>C228*$C$220</f>
        <v>183.0617830397569</v>
      </c>
      <c r="D244" s="139"/>
      <c r="E244" s="135"/>
      <c r="F244" s="135"/>
      <c r="G244" s="135"/>
      <c r="H244" s="135"/>
      <c r="I244" s="135"/>
      <c r="J244" s="135"/>
      <c r="K244" s="135"/>
      <c r="L244" s="135"/>
      <c r="M244" s="135"/>
    </row>
    <row r="245" spans="2:14">
      <c r="B245" s="123">
        <v>46204</v>
      </c>
      <c r="C245" s="135">
        <f>C229*$C$219</f>
        <v>211.14261149211239</v>
      </c>
      <c r="D245" s="139"/>
      <c r="E245" s="143"/>
    </row>
    <row r="246" spans="2:14">
      <c r="B246" s="123">
        <v>46235</v>
      </c>
      <c r="C246" s="135">
        <f>C230*$C$219</f>
        <v>225.19699584839853</v>
      </c>
    </row>
    <row r="247" spans="2:14">
      <c r="B247" s="123">
        <v>46266</v>
      </c>
      <c r="C247" s="135">
        <f>C231*$C$220</f>
        <v>191.53104650227959</v>
      </c>
      <c r="D247" s="41"/>
      <c r="E247" s="41"/>
      <c r="F247" s="41"/>
      <c r="G247" s="41"/>
      <c r="H247" s="41"/>
      <c r="I247" s="41"/>
      <c r="J247" s="41"/>
      <c r="K247" s="41"/>
      <c r="L247" s="41"/>
      <c r="M247" s="41"/>
    </row>
    <row r="248" spans="2:14">
      <c r="B248" s="123">
        <v>46296</v>
      </c>
      <c r="C248" s="135">
        <f>C232*$C$220</f>
        <v>198.56382711603516</v>
      </c>
      <c r="D248" s="41"/>
      <c r="E248" s="41"/>
      <c r="F248" s="41"/>
      <c r="G248" s="41"/>
      <c r="H248" s="41"/>
      <c r="I248" s="41"/>
      <c r="J248" s="41"/>
      <c r="K248" s="41"/>
      <c r="L248" s="41"/>
      <c r="M248" s="41"/>
    </row>
    <row r="249" spans="2:14">
      <c r="B249" s="123">
        <v>46327</v>
      </c>
      <c r="C249" s="135">
        <f>C233*$C$219</f>
        <v>201.8274962792251</v>
      </c>
      <c r="D249" s="41"/>
      <c r="E249" s="41"/>
      <c r="F249" s="41"/>
      <c r="G249" s="41"/>
      <c r="H249" s="41"/>
      <c r="I249" s="41"/>
      <c r="J249" s="41"/>
      <c r="K249" s="41"/>
      <c r="L249" s="41"/>
      <c r="M249" s="41"/>
    </row>
    <row r="250" spans="2:14">
      <c r="B250" s="123">
        <v>46357</v>
      </c>
      <c r="C250" s="135">
        <f>C234*$C$219</f>
        <v>259.51584136956228</v>
      </c>
    </row>
    <row r="251" spans="2:14">
      <c r="B251" s="112"/>
      <c r="C251" s="41"/>
    </row>
    <row r="252" spans="2:14">
      <c r="B252" s="143"/>
      <c r="C252" s="143"/>
    </row>
    <row r="253" spans="2:14">
      <c r="B253" s="124" t="s">
        <v>246</v>
      </c>
      <c r="C253" s="101" t="s">
        <v>86</v>
      </c>
      <c r="D253" s="125" t="s">
        <v>247</v>
      </c>
      <c r="E253" s="125" t="s">
        <v>248</v>
      </c>
      <c r="F253" s="125" t="s">
        <v>88</v>
      </c>
      <c r="G253" s="125" t="s">
        <v>89</v>
      </c>
      <c r="H253" s="125" t="s">
        <v>92</v>
      </c>
      <c r="I253" s="125" t="s">
        <v>93</v>
      </c>
      <c r="J253" s="125" t="s">
        <v>94</v>
      </c>
      <c r="K253" s="125" t="s">
        <v>97</v>
      </c>
      <c r="L253" s="125" t="s">
        <v>249</v>
      </c>
      <c r="M253" s="125" t="s">
        <v>250</v>
      </c>
      <c r="N253" s="1" t="s">
        <v>251</v>
      </c>
    </row>
    <row r="254" spans="2:14">
      <c r="B254" s="126" t="s">
        <v>252</v>
      </c>
      <c r="C254" s="127">
        <f>C239/$C$146</f>
        <v>2053.0263723529752</v>
      </c>
      <c r="D254" s="135">
        <f>$C254*D24</f>
        <v>0</v>
      </c>
      <c r="E254" s="135">
        <f>$C254*E24</f>
        <v>8.4748250664725493</v>
      </c>
      <c r="F254" s="135">
        <f t="shared" ref="F254:L254" si="31">$C254*F24</f>
        <v>237.29510186123139</v>
      </c>
      <c r="G254" s="135">
        <f t="shared" si="31"/>
        <v>110.17272586414315</v>
      </c>
      <c r="H254" s="135">
        <f t="shared" si="31"/>
        <v>46.611537865599026</v>
      </c>
      <c r="I254" s="135">
        <f t="shared" si="31"/>
        <v>6.3561187998544124</v>
      </c>
      <c r="J254" s="135">
        <f t="shared" si="31"/>
        <v>885.61921944638152</v>
      </c>
      <c r="K254" s="135">
        <f t="shared" si="31"/>
        <v>635.61187998544131</v>
      </c>
      <c r="L254" s="135">
        <f t="shared" si="31"/>
        <v>122.88496346385197</v>
      </c>
      <c r="M254" s="135">
        <f>K254+L254</f>
        <v>758.49684344929324</v>
      </c>
      <c r="N254" s="41"/>
    </row>
    <row r="255" spans="2:14">
      <c r="B255" s="126" t="s">
        <v>253</v>
      </c>
      <c r="C255" s="127">
        <f>C240/$C$146</f>
        <v>2267.0157052814066</v>
      </c>
      <c r="D255" s="135">
        <f t="shared" ref="D255:L255" si="32">$C255*D25</f>
        <v>0</v>
      </c>
      <c r="E255" s="135">
        <f t="shared" si="32"/>
        <v>12.712237599708821</v>
      </c>
      <c r="F255" s="135">
        <f t="shared" si="32"/>
        <v>292.38146479330288</v>
      </c>
      <c r="G255" s="135">
        <f t="shared" si="32"/>
        <v>110.17272586414312</v>
      </c>
      <c r="H255" s="135">
        <f t="shared" si="32"/>
        <v>50.848950398835285</v>
      </c>
      <c r="I255" s="135">
        <f t="shared" si="32"/>
        <v>12.712237599708821</v>
      </c>
      <c r="J255" s="135">
        <f t="shared" si="32"/>
        <v>1008.5041829102332</v>
      </c>
      <c r="K255" s="135">
        <f t="shared" si="32"/>
        <v>661.03635518485873</v>
      </c>
      <c r="L255" s="135">
        <f t="shared" si="32"/>
        <v>118.64755093061568</v>
      </c>
      <c r="M255" s="135">
        <f t="shared" ref="M255:M259" si="33">K255+L255</f>
        <v>779.68390611547443</v>
      </c>
    </row>
    <row r="256" spans="2:14">
      <c r="B256" s="126" t="s">
        <v>230</v>
      </c>
      <c r="C256" s="127">
        <f>C241/$C$145</f>
        <v>2880.4429882682352</v>
      </c>
      <c r="D256" s="135">
        <f t="shared" ref="D256:L256" si="34">$C256*D26</f>
        <v>0</v>
      </c>
      <c r="E256" s="135">
        <f t="shared" si="34"/>
        <v>14.632148706732689</v>
      </c>
      <c r="F256" s="135">
        <f t="shared" si="34"/>
        <v>334.44911329674721</v>
      </c>
      <c r="G256" s="135">
        <f>$C256*G26</f>
        <v>154.68271489974558</v>
      </c>
      <c r="H256" s="135">
        <f t="shared" si="34"/>
        <v>66.889822659349434</v>
      </c>
      <c r="I256" s="135">
        <f t="shared" si="34"/>
        <v>50.167366994512079</v>
      </c>
      <c r="J256" s="135">
        <f t="shared" si="34"/>
        <v>1224.9198774493366</v>
      </c>
      <c r="K256" s="135">
        <f t="shared" si="34"/>
        <v>880.01922936206608</v>
      </c>
      <c r="L256" s="135">
        <f t="shared" si="34"/>
        <v>154.68271489974558</v>
      </c>
      <c r="M256" s="135">
        <f t="shared" si="33"/>
        <v>1034.7019442618116</v>
      </c>
    </row>
    <row r="257" spans="2:13">
      <c r="B257" s="126" t="s">
        <v>254</v>
      </c>
      <c r="C257" s="127">
        <f>C242/$C$146</f>
        <v>2474.6489194099845</v>
      </c>
      <c r="D257" s="135">
        <f t="shared" ref="D257:L257" si="35">$C257*D27</f>
        <v>0</v>
      </c>
      <c r="E257" s="135">
        <f t="shared" si="35"/>
        <v>7.6273425598252942</v>
      </c>
      <c r="F257" s="135">
        <f t="shared" si="35"/>
        <v>296.61887732653923</v>
      </c>
      <c r="G257" s="135">
        <f t="shared" si="35"/>
        <v>129.24108226370637</v>
      </c>
      <c r="H257" s="135">
        <f t="shared" si="35"/>
        <v>55.086362932071573</v>
      </c>
      <c r="I257" s="135">
        <f t="shared" si="35"/>
        <v>50.848950398835292</v>
      </c>
      <c r="J257" s="135">
        <f t="shared" si="35"/>
        <v>1083.5063847485155</v>
      </c>
      <c r="K257" s="135">
        <f t="shared" si="35"/>
        <v>720.36013065016675</v>
      </c>
      <c r="L257" s="135">
        <f t="shared" si="35"/>
        <v>131.35978853032452</v>
      </c>
      <c r="M257" s="135">
        <f t="shared" si="33"/>
        <v>851.71991918049127</v>
      </c>
    </row>
    <row r="258" spans="2:13">
      <c r="B258" s="126" t="s">
        <v>78</v>
      </c>
      <c r="C258" s="127">
        <f>C243/$C$146</f>
        <v>2762.792971670051</v>
      </c>
      <c r="D258" s="135">
        <f t="shared" ref="D258:L258" si="36">$C258*D28</f>
        <v>0</v>
      </c>
      <c r="E258" s="135">
        <f>$C258*E28</f>
        <v>7.6273425598252942</v>
      </c>
      <c r="F258" s="135">
        <f t="shared" si="36"/>
        <v>330.51817759242942</v>
      </c>
      <c r="G258" s="135">
        <f t="shared" si="36"/>
        <v>135.59720106356079</v>
      </c>
      <c r="H258" s="135">
        <f t="shared" si="36"/>
        <v>59.323775465307847</v>
      </c>
      <c r="I258" s="135">
        <f t="shared" si="36"/>
        <v>55.933845438718826</v>
      </c>
      <c r="J258" s="135">
        <f t="shared" si="36"/>
        <v>1228.8496346385195</v>
      </c>
      <c r="K258" s="135">
        <f t="shared" si="36"/>
        <v>792.39614371518337</v>
      </c>
      <c r="L258" s="135">
        <f t="shared" si="36"/>
        <v>152.54685119650588</v>
      </c>
      <c r="M258" s="135">
        <f t="shared" si="33"/>
        <v>944.94299491168931</v>
      </c>
    </row>
    <row r="259" spans="2:13">
      <c r="B259" s="126" t="s">
        <v>255</v>
      </c>
      <c r="C259" s="127">
        <f>C244/$C$146</f>
        <v>2592.0252465806288</v>
      </c>
      <c r="D259" s="135">
        <f t="shared" ref="D259:L259" si="37">$C259*D29</f>
        <v>0</v>
      </c>
      <c r="E259" s="135">
        <f t="shared" si="37"/>
        <v>7.6273425598252942</v>
      </c>
      <c r="F259" s="135">
        <f t="shared" si="37"/>
        <v>322.04335252595683</v>
      </c>
      <c r="G259" s="135">
        <f t="shared" si="37"/>
        <v>127.12237599708823</v>
      </c>
      <c r="H259" s="135">
        <f t="shared" si="37"/>
        <v>57.205069198689706</v>
      </c>
      <c r="I259" s="135">
        <f t="shared" si="37"/>
        <v>52.967656665453433</v>
      </c>
      <c r="J259" s="135">
        <f t="shared" si="37"/>
        <v>1177.5769429863606</v>
      </c>
      <c r="K259" s="135">
        <f t="shared" si="37"/>
        <v>720.36013065016664</v>
      </c>
      <c r="L259" s="135">
        <f t="shared" si="37"/>
        <v>127.12237599708823</v>
      </c>
      <c r="M259" s="135">
        <f t="shared" si="33"/>
        <v>847.48250664725492</v>
      </c>
    </row>
    <row r="260" spans="2:13">
      <c r="B260" s="126" t="s">
        <v>256</v>
      </c>
      <c r="C260" s="127">
        <f>C245/$C$145</f>
        <v>2700.6765898712333</v>
      </c>
      <c r="D260" s="135">
        <f t="shared" ref="D260:L260" si="38">$C260*D30</f>
        <v>0</v>
      </c>
      <c r="E260" s="135">
        <f t="shared" si="38"/>
        <v>27.59205184698164</v>
      </c>
      <c r="F260" s="135">
        <f t="shared" si="38"/>
        <v>323.99757850622382</v>
      </c>
      <c r="G260" s="135">
        <f t="shared" si="38"/>
        <v>112.87657573765216</v>
      </c>
      <c r="H260" s="135">
        <f t="shared" si="38"/>
        <v>66.889822659349434</v>
      </c>
      <c r="I260" s="135">
        <f t="shared" si="38"/>
        <v>62.709208743140096</v>
      </c>
      <c r="J260" s="135">
        <f t="shared" si="38"/>
        <v>1170.1538351469942</v>
      </c>
      <c r="K260" s="135">
        <f t="shared" si="38"/>
        <v>794.31664407977451</v>
      </c>
      <c r="L260" s="135">
        <f t="shared" si="38"/>
        <v>142.14087315111755</v>
      </c>
      <c r="M260" s="135">
        <f>K260+L260</f>
        <v>936.45751723089211</v>
      </c>
    </row>
    <row r="261" spans="2:13">
      <c r="B261" s="126" t="s">
        <v>236</v>
      </c>
      <c r="C261" s="127">
        <f>C246/$C$145</f>
        <v>2880.4429882682352</v>
      </c>
      <c r="D261" s="135">
        <f t="shared" ref="D261:L261" si="39">$C261*D31</f>
        <v>0</v>
      </c>
      <c r="E261" s="135">
        <f t="shared" si="39"/>
        <v>50.167366994512079</v>
      </c>
      <c r="F261" s="135">
        <f t="shared" si="39"/>
        <v>313.54604371570048</v>
      </c>
      <c r="G261" s="135">
        <f t="shared" si="39"/>
        <v>125.41841748628019</v>
      </c>
      <c r="H261" s="135">
        <f t="shared" si="39"/>
        <v>66.889822659349434</v>
      </c>
      <c r="I261" s="135">
        <f t="shared" si="39"/>
        <v>60.618901785035426</v>
      </c>
      <c r="J261" s="135">
        <f t="shared" si="39"/>
        <v>1302.2612348992095</v>
      </c>
      <c r="K261" s="135">
        <f t="shared" si="39"/>
        <v>806.85848582840265</v>
      </c>
      <c r="L261" s="135">
        <f t="shared" si="39"/>
        <v>154.68271489974558</v>
      </c>
      <c r="M261" s="135">
        <f>K261+L261</f>
        <v>961.54120072814817</v>
      </c>
    </row>
    <row r="262" spans="2:13">
      <c r="B262" s="126" t="s">
        <v>257</v>
      </c>
      <c r="C262" s="127">
        <f>C247/$C$146</f>
        <v>2711.9440212712157</v>
      </c>
      <c r="D262" s="139">
        <f t="shared" ref="D262:L262" si="40">$C262*D32</f>
        <v>0</v>
      </c>
      <c r="E262" s="139">
        <f t="shared" si="40"/>
        <v>50.848950398835292</v>
      </c>
      <c r="F262" s="139">
        <f t="shared" si="40"/>
        <v>302.97499612639365</v>
      </c>
      <c r="G262" s="139">
        <f t="shared" si="40"/>
        <v>146.19073239665147</v>
      </c>
      <c r="H262" s="139">
        <f t="shared" si="40"/>
        <v>59.32377546530784</v>
      </c>
      <c r="I262" s="139">
        <f t="shared" si="40"/>
        <v>63.561187998544113</v>
      </c>
      <c r="J262" s="139">
        <f t="shared" si="40"/>
        <v>1108.9308599479332</v>
      </c>
      <c r="K262" s="139">
        <f t="shared" si="40"/>
        <v>830.53285651430986</v>
      </c>
      <c r="L262" s="139">
        <f t="shared" si="40"/>
        <v>149.58066242324048</v>
      </c>
      <c r="M262" s="139">
        <f t="shared" ref="M262:M265" si="41">K262+L262</f>
        <v>980.11351893755034</v>
      </c>
    </row>
    <row r="263" spans="2:13">
      <c r="B263" s="126" t="s">
        <v>258</v>
      </c>
      <c r="C263" s="127">
        <f>C248/$C$146</f>
        <v>2811.5232158022682</v>
      </c>
      <c r="D263" s="139">
        <f t="shared" ref="D263:L263" si="42">$C263*D33</f>
        <v>0</v>
      </c>
      <c r="E263" s="139">
        <f t="shared" si="42"/>
        <v>61.44248173192598</v>
      </c>
      <c r="F263" s="139">
        <f t="shared" si="42"/>
        <v>290.26275852668482</v>
      </c>
      <c r="G263" s="139">
        <f t="shared" si="42"/>
        <v>156.78426372974215</v>
      </c>
      <c r="H263" s="139">
        <f t="shared" si="42"/>
        <v>67.798600531780394</v>
      </c>
      <c r="I263" s="139">
        <f t="shared" si="42"/>
        <v>52.96765666545344</v>
      </c>
      <c r="J263" s="139">
        <f t="shared" si="42"/>
        <v>1148.3387965070303</v>
      </c>
      <c r="K263" s="139">
        <f t="shared" si="42"/>
        <v>881.38180691314506</v>
      </c>
      <c r="L263" s="139">
        <f t="shared" si="42"/>
        <v>152.54685119650588</v>
      </c>
      <c r="M263" s="139">
        <f t="shared" si="41"/>
        <v>1033.928658109651</v>
      </c>
    </row>
    <row r="264" spans="2:13">
      <c r="B264" s="126" t="s">
        <v>259</v>
      </c>
      <c r="C264" s="127">
        <f>C249/$C$145</f>
        <v>2581.5290932592675</v>
      </c>
      <c r="D264" s="139">
        <f t="shared" ref="D264:L264" si="43">$C264*D34</f>
        <v>0</v>
      </c>
      <c r="E264" s="139">
        <f t="shared" si="43"/>
        <v>45.986753078302741</v>
      </c>
      <c r="F264" s="139">
        <f t="shared" si="43"/>
        <v>259.19806280497909</v>
      </c>
      <c r="G264" s="139">
        <f t="shared" si="43"/>
        <v>142.14087315111757</v>
      </c>
      <c r="H264" s="139">
        <f t="shared" si="43"/>
        <v>58.528594826930764</v>
      </c>
      <c r="I264" s="139">
        <f t="shared" si="43"/>
        <v>51.421551169374887</v>
      </c>
      <c r="J264" s="139">
        <f t="shared" si="43"/>
        <v>1029.2671461707396</v>
      </c>
      <c r="K264" s="139">
        <f t="shared" si="43"/>
        <v>857.02585282291477</v>
      </c>
      <c r="L264" s="139">
        <f t="shared" si="43"/>
        <v>137.96025923490822</v>
      </c>
      <c r="M264" s="139">
        <f t="shared" si="41"/>
        <v>994.98611205782299</v>
      </c>
    </row>
    <row r="265" spans="2:13">
      <c r="B265" s="126" t="s">
        <v>260</v>
      </c>
      <c r="C265" s="127">
        <f>C250/$C$145</f>
        <v>3319.4074494702159</v>
      </c>
      <c r="D265" s="139">
        <f t="shared" ref="D265:L265" si="44">$C265*D35</f>
        <v>0</v>
      </c>
      <c r="E265" s="139">
        <f t="shared" si="44"/>
        <v>45.986753078302741</v>
      </c>
      <c r="F265" s="139">
        <f t="shared" si="44"/>
        <v>326.08788546432851</v>
      </c>
      <c r="G265" s="139">
        <f t="shared" si="44"/>
        <v>179.76639839700161</v>
      </c>
      <c r="H265" s="139">
        <f t="shared" si="44"/>
        <v>81.521971366082127</v>
      </c>
      <c r="I265" s="139">
        <f t="shared" si="44"/>
        <v>56.438287868826094</v>
      </c>
      <c r="J265" s="139">
        <f t="shared" si="44"/>
        <v>1421.4087315111756</v>
      </c>
      <c r="K265" s="139">
        <f t="shared" si="44"/>
        <v>1049.3340929685444</v>
      </c>
      <c r="L265" s="139">
        <f t="shared" si="44"/>
        <v>158.8633288159549</v>
      </c>
      <c r="M265" s="139">
        <f t="shared" si="41"/>
        <v>1208.1974217844993</v>
      </c>
    </row>
    <row r="266" spans="2:13">
      <c r="B266" s="154" t="s">
        <v>24</v>
      </c>
      <c r="C266" s="127">
        <f>SUM(C254:C265)</f>
        <v>32035.475561505715</v>
      </c>
      <c r="D266" s="127">
        <f t="shared" ref="D266:M266" si="45">SUM(D254:D265)</f>
        <v>0</v>
      </c>
      <c r="E266" s="127">
        <f t="shared" si="45"/>
        <v>340.72559618125041</v>
      </c>
      <c r="F266" s="127">
        <f t="shared" si="45"/>
        <v>3629.3734125405172</v>
      </c>
      <c r="G266" s="127">
        <f t="shared" si="45"/>
        <v>1630.1660868508325</v>
      </c>
      <c r="H266" s="127">
        <f t="shared" si="45"/>
        <v>736.9181060286528</v>
      </c>
      <c r="I266" s="127">
        <f t="shared" si="45"/>
        <v>576.70297012745698</v>
      </c>
      <c r="J266" s="127">
        <f t="shared" si="45"/>
        <v>13789.33684636243</v>
      </c>
      <c r="K266" s="127">
        <f t="shared" si="45"/>
        <v>9629.2336086749747</v>
      </c>
      <c r="L266" s="127">
        <f t="shared" si="45"/>
        <v>1703.0189347396049</v>
      </c>
      <c r="M266" s="127">
        <f t="shared" si="45"/>
        <v>11332.252543414579</v>
      </c>
    </row>
    <row r="267" spans="2:13">
      <c r="E267" s="140"/>
    </row>
    <row r="268" spans="2:13">
      <c r="B268" s="365"/>
      <c r="C268" s="366"/>
      <c r="D268" s="366"/>
      <c r="E268" s="366"/>
      <c r="F268" s="366"/>
      <c r="G268" s="366"/>
      <c r="H268" s="366"/>
      <c r="I268" s="366"/>
      <c r="J268" s="366"/>
      <c r="K268" s="366"/>
      <c r="L268" s="366"/>
      <c r="M268" s="366"/>
    </row>
    <row r="269" spans="2:13">
      <c r="B269" s="365"/>
      <c r="C269" s="367"/>
      <c r="D269" s="367"/>
      <c r="E269" s="367"/>
      <c r="F269" s="367"/>
      <c r="G269" s="367"/>
      <c r="H269" s="367"/>
      <c r="I269" s="367"/>
      <c r="J269" s="367"/>
      <c r="K269" s="367"/>
      <c r="L269" s="367"/>
      <c r="M269" s="367"/>
    </row>
    <row r="270" spans="2:13">
      <c r="B270" s="365"/>
      <c r="C270" s="367"/>
      <c r="D270" s="367"/>
      <c r="E270" s="367"/>
      <c r="F270" s="367"/>
      <c r="G270" s="367"/>
      <c r="H270" s="367"/>
      <c r="I270" s="367"/>
      <c r="J270" s="367"/>
      <c r="K270" s="367"/>
      <c r="L270" s="367"/>
      <c r="M270" s="367"/>
    </row>
    <row r="271" spans="2:13">
      <c r="B271" s="365"/>
      <c r="C271" s="367"/>
      <c r="D271" s="367"/>
      <c r="E271" s="367"/>
      <c r="F271" s="367"/>
      <c r="G271" s="367"/>
      <c r="H271" s="367"/>
      <c r="I271" s="367"/>
      <c r="J271" s="367"/>
      <c r="K271" s="367"/>
      <c r="L271" s="367"/>
      <c r="M271" s="367"/>
    </row>
    <row r="272" spans="2:13">
      <c r="B272" s="365"/>
      <c r="C272" s="367"/>
      <c r="D272" s="367"/>
      <c r="E272" s="367"/>
      <c r="F272" s="367"/>
      <c r="G272" s="367"/>
      <c r="H272" s="367"/>
      <c r="I272" s="367"/>
      <c r="J272" s="367"/>
      <c r="K272" s="367"/>
      <c r="L272" s="367"/>
      <c r="M272" s="367"/>
    </row>
    <row r="273" spans="2:13">
      <c r="B273" s="365"/>
      <c r="C273" s="367"/>
      <c r="D273" s="367"/>
      <c r="E273" s="367"/>
      <c r="F273" s="367"/>
      <c r="G273" s="367"/>
      <c r="H273" s="367"/>
      <c r="I273" s="367"/>
      <c r="J273" s="367"/>
      <c r="K273" s="367"/>
      <c r="L273" s="367"/>
      <c r="M273" s="367"/>
    </row>
    <row r="274" spans="2:13">
      <c r="B274" s="365"/>
      <c r="C274" s="367"/>
      <c r="D274" s="367"/>
      <c r="E274" s="367"/>
      <c r="F274" s="367"/>
      <c r="G274" s="367"/>
      <c r="H274" s="367"/>
      <c r="I274" s="367"/>
      <c r="J274" s="367"/>
      <c r="K274" s="367"/>
      <c r="L274" s="367"/>
      <c r="M274" s="367"/>
    </row>
    <row r="275" spans="2:13">
      <c r="B275" s="365"/>
      <c r="C275" s="367"/>
      <c r="D275" s="367"/>
      <c r="E275" s="367"/>
      <c r="F275" s="367"/>
      <c r="G275" s="367"/>
      <c r="H275" s="367"/>
      <c r="I275" s="367"/>
      <c r="J275" s="367"/>
      <c r="K275" s="367"/>
      <c r="L275" s="367"/>
      <c r="M275" s="367"/>
    </row>
    <row r="276" spans="2:13">
      <c r="B276" s="365"/>
      <c r="C276" s="367"/>
      <c r="D276" s="367"/>
      <c r="E276" s="367"/>
      <c r="F276" s="367"/>
      <c r="G276" s="367"/>
      <c r="H276" s="367"/>
      <c r="I276" s="367"/>
      <c r="J276" s="367"/>
      <c r="K276" s="367"/>
      <c r="L276" s="367"/>
      <c r="M276" s="367"/>
    </row>
    <row r="277" spans="2:13">
      <c r="B277" s="365"/>
      <c r="C277" s="367"/>
      <c r="D277" s="367"/>
      <c r="E277" s="367"/>
      <c r="F277" s="367"/>
      <c r="G277" s="367"/>
      <c r="H277" s="367"/>
      <c r="I277" s="367"/>
      <c r="J277" s="367"/>
      <c r="K277" s="367"/>
      <c r="L277" s="367"/>
      <c r="M277" s="367"/>
    </row>
    <row r="278" spans="2:13">
      <c r="B278" s="365"/>
      <c r="C278" s="367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</row>
    <row r="279" spans="2:13">
      <c r="B279" s="365"/>
      <c r="C279" s="367"/>
      <c r="D279" s="367"/>
      <c r="E279" s="367"/>
      <c r="F279" s="367"/>
      <c r="G279" s="367"/>
      <c r="H279" s="367"/>
      <c r="I279" s="367"/>
      <c r="J279" s="367"/>
      <c r="K279" s="367"/>
      <c r="L279" s="367"/>
      <c r="M279" s="367"/>
    </row>
    <row r="280" spans="2:13">
      <c r="B280" s="365"/>
      <c r="C280" s="367"/>
      <c r="D280" s="367"/>
      <c r="E280" s="367"/>
      <c r="F280" s="367"/>
      <c r="G280" s="367"/>
      <c r="H280" s="367"/>
      <c r="I280" s="367"/>
      <c r="J280" s="367"/>
      <c r="K280" s="367"/>
      <c r="L280" s="367"/>
      <c r="M280" s="367"/>
    </row>
    <row r="281" spans="2:13">
      <c r="B281" s="365"/>
      <c r="C281" s="367"/>
      <c r="D281" s="367"/>
      <c r="E281" s="367"/>
      <c r="F281" s="367"/>
      <c r="G281" s="367"/>
      <c r="H281" s="367"/>
      <c r="I281" s="367"/>
      <c r="J281" s="367"/>
      <c r="K281" s="367"/>
      <c r="L281" s="367"/>
      <c r="M281" s="367"/>
    </row>
    <row r="283" spans="2:13">
      <c r="B283" s="151"/>
      <c r="C283" s="152"/>
    </row>
    <row r="284" spans="2:13">
      <c r="B284" s="151"/>
      <c r="C284" s="152"/>
    </row>
    <row r="285" spans="2:13">
      <c r="B285" s="151"/>
      <c r="C285" s="152"/>
    </row>
    <row r="286" spans="2:13">
      <c r="B286" s="151"/>
      <c r="C286" s="152"/>
    </row>
    <row r="287" spans="2:13">
      <c r="B287" s="151"/>
      <c r="C287" s="152"/>
    </row>
    <row r="288" spans="2:13">
      <c r="B288" s="151"/>
      <c r="C288" s="152"/>
    </row>
    <row r="289" spans="2:9">
      <c r="B289" s="151"/>
      <c r="C289" s="152"/>
    </row>
    <row r="290" spans="2:9">
      <c r="B290" s="151"/>
      <c r="C290" s="152"/>
    </row>
    <row r="291" spans="2:9">
      <c r="B291" s="151"/>
      <c r="C291" s="152"/>
    </row>
    <row r="292" spans="2:9">
      <c r="B292" s="151"/>
      <c r="C292" s="152"/>
    </row>
    <row r="293" spans="2:9">
      <c r="B293" s="151"/>
      <c r="C293" s="152"/>
    </row>
    <row r="294" spans="2:9">
      <c r="B294" s="151"/>
      <c r="C294" s="152"/>
    </row>
    <row r="295" spans="2:9">
      <c r="B295" s="151"/>
      <c r="C295" s="152"/>
    </row>
    <row r="296" spans="2:9">
      <c r="C296" s="152"/>
    </row>
    <row r="301" spans="2:9">
      <c r="F301" s="135"/>
      <c r="G301" s="135"/>
      <c r="H301" s="135"/>
      <c r="I301" s="135"/>
    </row>
    <row r="302" spans="2:9">
      <c r="G302" s="135"/>
      <c r="H302" s="135"/>
      <c r="I302" s="135"/>
    </row>
    <row r="303" spans="2:9">
      <c r="G303" s="135"/>
      <c r="H303" s="135"/>
      <c r="I303" s="135"/>
    </row>
    <row r="304" spans="2:9">
      <c r="G304" s="135"/>
      <c r="H304" s="135"/>
      <c r="I304" s="135"/>
    </row>
    <row r="305" spans="3:13">
      <c r="G305" s="135"/>
      <c r="H305" s="135"/>
      <c r="I305" s="135"/>
    </row>
    <row r="306" spans="3:13">
      <c r="G306" s="135"/>
      <c r="H306" s="135"/>
      <c r="I306" s="135"/>
    </row>
    <row r="314" spans="3:13"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</row>
    <row r="315" spans="3:13"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</row>
    <row r="316" spans="3:13"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</row>
    <row r="317" spans="3:13"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</row>
    <row r="318" spans="3:13"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</row>
    <row r="319" spans="3:13"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</row>
    <row r="320" spans="3:13"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</row>
    <row r="321" spans="3:15"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</row>
    <row r="322" spans="3:15"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</row>
    <row r="323" spans="3:15"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</row>
    <row r="324" spans="3:15"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</row>
    <row r="325" spans="3:15"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</row>
    <row r="326" spans="3:15"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</row>
    <row r="330" spans="3:15"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</row>
    <row r="331" spans="3:15"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</row>
    <row r="332" spans="3:15"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</row>
    <row r="333" spans="3:15"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</row>
    <row r="334" spans="3:15"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</row>
    <row r="335" spans="3:15"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</row>
    <row r="336" spans="3:15"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</row>
    <row r="337" spans="3:15"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</row>
    <row r="338" spans="3:15"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</row>
    <row r="339" spans="3:15"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</row>
    <row r="340" spans="3:15"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</row>
  </sheetData>
  <mergeCells count="3">
    <mergeCell ref="B2:M6"/>
    <mergeCell ref="B8:B21"/>
    <mergeCell ref="B23:B35"/>
  </mergeCell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3CA2-E5A3-DB4D-962B-9217561E636D}">
  <sheetPr>
    <tabColor theme="4" tint="0.79998168889431442"/>
  </sheetPr>
  <dimension ref="A1:V46"/>
  <sheetViews>
    <sheetView zoomScale="90" zoomScaleNormal="90" workbookViewId="0">
      <selection activeCell="H15" sqref="C15:H15"/>
    </sheetView>
  </sheetViews>
  <sheetFormatPr baseColWidth="10" defaultColWidth="11" defaultRowHeight="16"/>
  <cols>
    <col min="1" max="1" width="27.6640625" customWidth="1"/>
    <col min="2" max="2" width="22.33203125" customWidth="1"/>
    <col min="3" max="22" width="16.83203125" customWidth="1"/>
  </cols>
  <sheetData>
    <row r="1" spans="1:22" ht="20" customHeight="1"/>
    <row r="2" spans="1:22" ht="20" customHeight="1">
      <c r="A2" s="690" t="s">
        <v>261</v>
      </c>
      <c r="B2" s="691"/>
      <c r="C2" s="691"/>
      <c r="D2" s="691"/>
      <c r="E2" s="691"/>
      <c r="F2" s="691"/>
      <c r="G2" s="691"/>
      <c r="H2" s="691"/>
      <c r="I2" s="691"/>
      <c r="J2" s="691"/>
      <c r="K2" s="691"/>
      <c r="L2" s="692"/>
      <c r="M2" s="689" t="s">
        <v>262</v>
      </c>
      <c r="N2" s="689"/>
      <c r="O2" s="689"/>
      <c r="P2" s="689"/>
      <c r="Q2" s="689"/>
      <c r="R2" s="689"/>
      <c r="S2" s="689"/>
      <c r="T2" s="689"/>
      <c r="U2" s="689"/>
      <c r="V2" s="689"/>
    </row>
    <row r="3" spans="1:22" ht="20" customHeight="1">
      <c r="A3" s="693" t="s">
        <v>261</v>
      </c>
      <c r="B3" s="181" t="s">
        <v>263</v>
      </c>
      <c r="C3" s="181" t="s">
        <v>24</v>
      </c>
      <c r="D3" s="181" t="s">
        <v>96</v>
      </c>
      <c r="E3" s="181" t="s">
        <v>97</v>
      </c>
      <c r="F3" s="181" t="s">
        <v>94</v>
      </c>
      <c r="G3" s="181" t="s">
        <v>89</v>
      </c>
      <c r="H3" s="181" t="s">
        <v>142</v>
      </c>
      <c r="I3" s="181" t="s">
        <v>92</v>
      </c>
      <c r="J3" s="181" t="s">
        <v>143</v>
      </c>
      <c r="K3" s="181" t="s">
        <v>93</v>
      </c>
      <c r="L3" s="181" t="s">
        <v>88</v>
      </c>
      <c r="M3" s="189" t="s">
        <v>24</v>
      </c>
      <c r="N3" s="189" t="s">
        <v>96</v>
      </c>
      <c r="O3" s="189" t="s">
        <v>97</v>
      </c>
      <c r="P3" s="189" t="s">
        <v>94</v>
      </c>
      <c r="Q3" s="189" t="s">
        <v>89</v>
      </c>
      <c r="R3" s="189" t="s">
        <v>142</v>
      </c>
      <c r="S3" s="189" t="s">
        <v>92</v>
      </c>
      <c r="T3" s="189" t="s">
        <v>143</v>
      </c>
      <c r="U3" s="189" t="s">
        <v>93</v>
      </c>
      <c r="V3" s="189" t="s">
        <v>88</v>
      </c>
    </row>
    <row r="4" spans="1:22" ht="20" customHeight="1">
      <c r="A4" s="693"/>
      <c r="B4" s="181" t="s">
        <v>264</v>
      </c>
      <c r="C4" s="321">
        <v>151303</v>
      </c>
      <c r="D4" s="321">
        <v>8405</v>
      </c>
      <c r="E4" s="321">
        <v>29510</v>
      </c>
      <c r="F4" s="321">
        <v>43550</v>
      </c>
      <c r="G4" s="321">
        <v>5587</v>
      </c>
      <c r="H4" s="321">
        <v>4298</v>
      </c>
      <c r="I4" s="321">
        <v>3567</v>
      </c>
      <c r="J4" s="188">
        <v>0</v>
      </c>
      <c r="K4" s="321">
        <v>5458</v>
      </c>
      <c r="L4" s="321">
        <v>20996</v>
      </c>
      <c r="M4" s="322">
        <v>103450</v>
      </c>
      <c r="N4" s="322">
        <v>6232</v>
      </c>
      <c r="O4" s="322">
        <v>21736</v>
      </c>
      <c r="P4" s="322">
        <v>33697</v>
      </c>
      <c r="Q4" s="322">
        <v>3845</v>
      </c>
      <c r="R4" s="322">
        <v>2910</v>
      </c>
      <c r="S4" s="322">
        <v>2593</v>
      </c>
      <c r="T4" s="190">
        <v>0</v>
      </c>
      <c r="U4" s="190">
        <v>3334</v>
      </c>
      <c r="V4" s="322">
        <v>15278</v>
      </c>
    </row>
    <row r="5" spans="1:22" ht="20" customHeight="1">
      <c r="A5" s="693"/>
      <c r="B5" s="181" t="s">
        <v>202</v>
      </c>
      <c r="C5" s="321">
        <v>44835</v>
      </c>
      <c r="D5" s="321">
        <v>1102</v>
      </c>
      <c r="E5" s="321">
        <v>4154</v>
      </c>
      <c r="F5" s="321">
        <v>5550</v>
      </c>
      <c r="G5" s="188">
        <v>618</v>
      </c>
      <c r="H5" s="188">
        <v>499</v>
      </c>
      <c r="I5" s="188">
        <v>450</v>
      </c>
      <c r="J5" s="188">
        <v>0</v>
      </c>
      <c r="K5" s="188">
        <v>687</v>
      </c>
      <c r="L5" s="321">
        <v>1843</v>
      </c>
      <c r="M5" s="322">
        <v>24271</v>
      </c>
      <c r="N5" s="190">
        <v>779</v>
      </c>
      <c r="O5" s="322">
        <v>2981</v>
      </c>
      <c r="P5" s="322">
        <v>4049</v>
      </c>
      <c r="Q5" s="190">
        <v>408</v>
      </c>
      <c r="R5" s="190">
        <v>291</v>
      </c>
      <c r="S5" s="190">
        <v>313</v>
      </c>
      <c r="T5" s="190">
        <v>0</v>
      </c>
      <c r="U5" s="190">
        <v>381</v>
      </c>
      <c r="V5" s="322">
        <v>1244</v>
      </c>
    </row>
    <row r="6" spans="1:22" ht="20" customHeight="1">
      <c r="A6" s="693"/>
      <c r="B6" s="181" t="s">
        <v>265</v>
      </c>
      <c r="C6" s="321">
        <v>106468</v>
      </c>
      <c r="D6" s="321">
        <v>7303</v>
      </c>
      <c r="E6" s="321">
        <v>25356</v>
      </c>
      <c r="F6" s="321">
        <v>38000</v>
      </c>
      <c r="G6" s="321">
        <v>4969</v>
      </c>
      <c r="H6" s="321">
        <v>3799</v>
      </c>
      <c r="I6" s="321">
        <v>3117</v>
      </c>
      <c r="J6" s="188">
        <v>0</v>
      </c>
      <c r="K6" s="321">
        <v>4771</v>
      </c>
      <c r="L6" s="321">
        <v>19153</v>
      </c>
      <c r="M6" s="322">
        <v>79179</v>
      </c>
      <c r="N6" s="322">
        <v>5453</v>
      </c>
      <c r="O6" s="322">
        <v>18755</v>
      </c>
      <c r="P6" s="322">
        <v>29648</v>
      </c>
      <c r="Q6" s="322">
        <v>3437</v>
      </c>
      <c r="R6" s="322">
        <v>2619</v>
      </c>
      <c r="S6" s="322">
        <v>2280</v>
      </c>
      <c r="T6" s="190">
        <v>0</v>
      </c>
      <c r="U6" s="190">
        <v>2953</v>
      </c>
      <c r="V6" s="322">
        <v>14034</v>
      </c>
    </row>
    <row r="7" spans="1:22" ht="20" customHeight="1">
      <c r="A7" s="693"/>
      <c r="B7" s="181" t="s">
        <v>266</v>
      </c>
      <c r="C7" s="321">
        <v>1561908</v>
      </c>
      <c r="D7" s="321">
        <v>57065</v>
      </c>
      <c r="E7" s="321">
        <v>244944</v>
      </c>
      <c r="F7" s="321">
        <v>286945</v>
      </c>
      <c r="G7" s="321">
        <v>57353</v>
      </c>
      <c r="H7" s="321">
        <v>5895</v>
      </c>
      <c r="I7" s="321">
        <v>43542</v>
      </c>
      <c r="J7" s="188">
        <v>15</v>
      </c>
      <c r="K7" s="321">
        <v>16649</v>
      </c>
      <c r="L7" s="321">
        <v>130032</v>
      </c>
      <c r="M7" s="190"/>
      <c r="N7" s="190"/>
      <c r="O7" s="190"/>
      <c r="P7" s="190"/>
      <c r="Q7" s="190"/>
      <c r="R7" s="190"/>
      <c r="S7" s="190"/>
      <c r="T7" s="190"/>
      <c r="U7" s="190"/>
      <c r="V7" s="190"/>
    </row>
    <row r="8" spans="1:22" ht="20" customHeight="1">
      <c r="A8" s="690" t="s">
        <v>267</v>
      </c>
      <c r="B8" s="691"/>
      <c r="C8" s="691"/>
      <c r="D8" s="691"/>
      <c r="E8" s="691"/>
      <c r="F8" s="691"/>
      <c r="G8" s="691"/>
      <c r="H8" s="691"/>
      <c r="I8" s="691"/>
      <c r="J8" s="691"/>
      <c r="K8" s="691"/>
      <c r="L8" s="692"/>
      <c r="M8" s="682" t="s">
        <v>268</v>
      </c>
      <c r="N8" s="683"/>
      <c r="O8" s="683"/>
      <c r="P8" s="683"/>
      <c r="Q8" s="683"/>
      <c r="R8" s="683"/>
      <c r="S8" s="683"/>
      <c r="T8" s="683"/>
      <c r="U8" s="683"/>
      <c r="V8" s="684"/>
    </row>
    <row r="9" spans="1:22" ht="20" customHeight="1">
      <c r="A9" s="694" t="s">
        <v>267</v>
      </c>
      <c r="B9" s="182" t="s">
        <v>263</v>
      </c>
      <c r="C9" s="183" t="s">
        <v>24</v>
      </c>
      <c r="D9" s="182" t="s">
        <v>96</v>
      </c>
      <c r="E9" s="182" t="s">
        <v>97</v>
      </c>
      <c r="F9" s="182" t="s">
        <v>94</v>
      </c>
      <c r="G9" s="182" t="s">
        <v>89</v>
      </c>
      <c r="H9" s="182" t="s">
        <v>142</v>
      </c>
      <c r="I9" s="182" t="s">
        <v>92</v>
      </c>
      <c r="J9" s="182" t="s">
        <v>143</v>
      </c>
      <c r="K9" s="182" t="s">
        <v>93</v>
      </c>
      <c r="L9" s="182" t="s">
        <v>88</v>
      </c>
      <c r="M9" s="191" t="s">
        <v>24</v>
      </c>
      <c r="N9" s="191" t="s">
        <v>96</v>
      </c>
      <c r="O9" s="191" t="s">
        <v>97</v>
      </c>
      <c r="P9" s="191" t="s">
        <v>94</v>
      </c>
      <c r="Q9" s="191" t="s">
        <v>89</v>
      </c>
      <c r="R9" s="191" t="s">
        <v>142</v>
      </c>
      <c r="S9" s="191" t="s">
        <v>92</v>
      </c>
      <c r="T9" s="191" t="s">
        <v>143</v>
      </c>
      <c r="U9" s="191" t="s">
        <v>93</v>
      </c>
      <c r="V9" s="191" t="s">
        <v>88</v>
      </c>
    </row>
    <row r="10" spans="1:22" ht="20" customHeight="1">
      <c r="A10" s="694"/>
      <c r="B10" s="182" t="s">
        <v>269</v>
      </c>
      <c r="C10" s="358">
        <v>648602</v>
      </c>
      <c r="D10" s="358">
        <v>36066</v>
      </c>
      <c r="E10" s="358">
        <v>154506</v>
      </c>
      <c r="F10" s="358">
        <v>203419</v>
      </c>
      <c r="G10" s="358">
        <v>27024</v>
      </c>
      <c r="H10" s="358">
        <v>22659</v>
      </c>
      <c r="I10" s="358">
        <v>16052</v>
      </c>
      <c r="J10" s="358">
        <v>1</v>
      </c>
      <c r="K10" s="358">
        <v>25678</v>
      </c>
      <c r="L10" s="358">
        <v>61456</v>
      </c>
      <c r="M10" s="323">
        <v>503271</v>
      </c>
      <c r="N10" s="323">
        <v>27950</v>
      </c>
      <c r="O10" s="323">
        <v>124291</v>
      </c>
      <c r="P10" s="323">
        <v>171184</v>
      </c>
      <c r="Q10" s="323">
        <v>18466</v>
      </c>
      <c r="R10" s="323">
        <v>16689</v>
      </c>
      <c r="S10" s="323">
        <v>10505</v>
      </c>
      <c r="T10" s="192">
        <v>0</v>
      </c>
      <c r="U10" s="323">
        <v>15714</v>
      </c>
      <c r="V10" s="323">
        <v>48766</v>
      </c>
    </row>
    <row r="11" spans="1:22" ht="20" customHeight="1">
      <c r="A11" s="694"/>
      <c r="B11" s="182" t="s">
        <v>14</v>
      </c>
      <c r="C11" s="358">
        <v>117486.32440476191</v>
      </c>
      <c r="D11" s="358">
        <v>6110.0595238095239</v>
      </c>
      <c r="E11" s="358">
        <v>35582.616071428572</v>
      </c>
      <c r="F11" s="358">
        <v>27786.205357142859</v>
      </c>
      <c r="G11" s="358">
        <v>11052.660714285716</v>
      </c>
      <c r="H11" s="358">
        <v>1250.9107142857142</v>
      </c>
      <c r="I11" s="358">
        <v>13743.488095238095</v>
      </c>
      <c r="J11" s="358">
        <v>23.821428571428569</v>
      </c>
      <c r="K11" s="358">
        <v>4469.6428571428569</v>
      </c>
      <c r="L11" s="358">
        <v>17466.919642857145</v>
      </c>
      <c r="M11" s="192"/>
      <c r="N11" s="192"/>
      <c r="O11" s="192"/>
      <c r="P11" s="192"/>
      <c r="Q11" s="192"/>
      <c r="R11" s="192"/>
      <c r="S11" s="192"/>
      <c r="T11" s="192"/>
      <c r="U11" s="192"/>
      <c r="V11" s="192"/>
    </row>
    <row r="12" spans="1:22" ht="20" customHeight="1">
      <c r="A12" s="682" t="s">
        <v>270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4"/>
      <c r="M12" s="689" t="s">
        <v>271</v>
      </c>
      <c r="N12" s="689"/>
      <c r="O12" s="689"/>
      <c r="P12" s="689"/>
      <c r="Q12" s="689"/>
      <c r="R12" s="689"/>
      <c r="S12" s="689"/>
      <c r="T12" s="689"/>
      <c r="U12" s="689"/>
      <c r="V12" s="689"/>
    </row>
    <row r="13" spans="1:22" ht="20" customHeight="1">
      <c r="A13" s="686" t="s">
        <v>270</v>
      </c>
      <c r="B13" s="184" t="s">
        <v>263</v>
      </c>
      <c r="C13" s="185" t="s">
        <v>24</v>
      </c>
      <c r="D13" s="184" t="s">
        <v>96</v>
      </c>
      <c r="E13" s="184" t="s">
        <v>97</v>
      </c>
      <c r="F13" s="184" t="s">
        <v>94</v>
      </c>
      <c r="G13" s="184" t="s">
        <v>89</v>
      </c>
      <c r="H13" s="184" t="s">
        <v>142</v>
      </c>
      <c r="I13" s="184" t="s">
        <v>92</v>
      </c>
      <c r="J13" s="184" t="s">
        <v>143</v>
      </c>
      <c r="K13" s="184" t="s">
        <v>93</v>
      </c>
      <c r="L13" s="184" t="s">
        <v>88</v>
      </c>
      <c r="M13" s="193" t="s">
        <v>24</v>
      </c>
      <c r="N13" s="193" t="s">
        <v>96</v>
      </c>
      <c r="O13" s="193" t="s">
        <v>97</v>
      </c>
      <c r="P13" s="193" t="s">
        <v>94</v>
      </c>
      <c r="Q13" s="193" t="s">
        <v>89</v>
      </c>
      <c r="R13" s="193" t="s">
        <v>142</v>
      </c>
      <c r="S13" s="193" t="s">
        <v>92</v>
      </c>
      <c r="T13" s="193" t="s">
        <v>143</v>
      </c>
      <c r="U13" s="193" t="s">
        <v>93</v>
      </c>
      <c r="V13" s="193" t="s">
        <v>88</v>
      </c>
    </row>
    <row r="14" spans="1:22" ht="20" customHeight="1">
      <c r="A14" s="687"/>
      <c r="B14" s="184" t="s">
        <v>272</v>
      </c>
      <c r="C14" s="528">
        <v>2886070</v>
      </c>
      <c r="D14" s="184"/>
      <c r="E14" s="184"/>
      <c r="F14" s="184"/>
      <c r="G14" s="184"/>
      <c r="H14" s="184"/>
      <c r="I14" s="184"/>
      <c r="J14" s="184"/>
      <c r="K14" s="184"/>
      <c r="L14" s="184"/>
      <c r="M14" s="193"/>
      <c r="N14" s="193"/>
      <c r="O14" s="193"/>
      <c r="P14" s="193"/>
      <c r="Q14" s="193"/>
      <c r="R14" s="193"/>
      <c r="S14" s="193"/>
      <c r="T14" s="193"/>
      <c r="U14" s="193"/>
      <c r="V14" s="193"/>
    </row>
    <row r="15" spans="1:22" ht="20" customHeight="1">
      <c r="A15" s="688"/>
      <c r="B15" s="184" t="s">
        <v>273</v>
      </c>
      <c r="C15" s="324">
        <v>2333403</v>
      </c>
      <c r="D15" s="324">
        <v>122205</v>
      </c>
      <c r="E15" s="324">
        <v>815876</v>
      </c>
      <c r="F15" s="324">
        <v>949289</v>
      </c>
      <c r="G15" s="324">
        <v>44562</v>
      </c>
      <c r="H15" s="324">
        <v>76534</v>
      </c>
      <c r="I15" s="324">
        <v>38034</v>
      </c>
      <c r="J15" s="186">
        <v>9</v>
      </c>
      <c r="K15" s="324">
        <v>46094</v>
      </c>
      <c r="L15" s="324">
        <v>240800</v>
      </c>
      <c r="M15" s="325">
        <v>1980304</v>
      </c>
      <c r="N15" s="325">
        <v>107982</v>
      </c>
      <c r="O15" s="325">
        <v>665921</v>
      </c>
      <c r="P15" s="325">
        <v>860407</v>
      </c>
      <c r="Q15" s="325">
        <v>26133</v>
      </c>
      <c r="R15" s="325">
        <v>57061</v>
      </c>
      <c r="S15" s="325">
        <v>17912</v>
      </c>
      <c r="T15" s="194">
        <v>0</v>
      </c>
      <c r="U15" s="325">
        <v>25359</v>
      </c>
      <c r="V15" s="325">
        <v>219529</v>
      </c>
    </row>
    <row r="16" spans="1:22" ht="20" customHeight="1">
      <c r="A16" s="682" t="s">
        <v>274</v>
      </c>
      <c r="B16" s="683"/>
      <c r="C16" s="683"/>
      <c r="D16" s="683"/>
      <c r="E16" s="683"/>
      <c r="F16" s="683"/>
      <c r="G16" s="683"/>
      <c r="H16" s="683"/>
      <c r="I16" s="683"/>
      <c r="J16" s="683"/>
      <c r="K16" s="683"/>
      <c r="L16" s="684"/>
    </row>
    <row r="17" spans="1:12" ht="20" customHeight="1">
      <c r="A17" s="685" t="s">
        <v>274</v>
      </c>
      <c r="B17" s="361" t="s">
        <v>263</v>
      </c>
      <c r="C17" s="362" t="s">
        <v>24</v>
      </c>
      <c r="D17" s="361" t="s">
        <v>96</v>
      </c>
      <c r="E17" s="361" t="s">
        <v>97</v>
      </c>
      <c r="F17" s="361" t="s">
        <v>94</v>
      </c>
      <c r="G17" s="361" t="s">
        <v>89</v>
      </c>
      <c r="H17" s="361" t="s">
        <v>142</v>
      </c>
      <c r="I17" s="361" t="s">
        <v>92</v>
      </c>
      <c r="J17" s="361" t="s">
        <v>143</v>
      </c>
      <c r="K17" s="361" t="s">
        <v>93</v>
      </c>
      <c r="L17" s="361" t="s">
        <v>88</v>
      </c>
    </row>
    <row r="18" spans="1:12" ht="20" customHeight="1">
      <c r="A18" s="685"/>
      <c r="B18" s="361" t="s">
        <v>275</v>
      </c>
      <c r="C18" s="363"/>
      <c r="D18" s="361"/>
      <c r="E18" s="361"/>
      <c r="F18" s="361"/>
      <c r="G18" s="361"/>
      <c r="H18" s="361"/>
      <c r="I18" s="361"/>
      <c r="J18" s="361"/>
      <c r="K18" s="361"/>
      <c r="L18" s="361"/>
    </row>
    <row r="19" spans="1:12">
      <c r="B19" s="187"/>
      <c r="C19" s="187"/>
      <c r="D19" s="187"/>
      <c r="E19" s="235"/>
      <c r="F19" s="99"/>
    </row>
    <row r="20" spans="1:12">
      <c r="B20" s="187"/>
      <c r="C20" s="187"/>
      <c r="D20" s="187"/>
    </row>
    <row r="22" spans="1:12">
      <c r="B22" s="46"/>
      <c r="C22" s="46"/>
    </row>
    <row r="23" spans="1:12">
      <c r="B23" s="46"/>
      <c r="C23" s="46"/>
      <c r="D23" s="46"/>
    </row>
    <row r="24" spans="1:12">
      <c r="B24" s="46"/>
      <c r="C24" s="46"/>
    </row>
    <row r="25" spans="1:12">
      <c r="B25" s="46"/>
    </row>
    <row r="27" spans="1:12">
      <c r="B27" s="98"/>
    </row>
    <row r="28" spans="1:12">
      <c r="F28" s="46"/>
      <c r="H28" s="46"/>
      <c r="I28" s="46"/>
    </row>
    <row r="29" spans="1:12">
      <c r="H29" s="46"/>
    </row>
    <row r="30" spans="1:12">
      <c r="E30" s="46"/>
    </row>
    <row r="31" spans="1:12">
      <c r="E31" s="46"/>
    </row>
    <row r="32" spans="1:12">
      <c r="E32" s="46"/>
    </row>
    <row r="33" spans="4:12">
      <c r="E33" s="46"/>
    </row>
    <row r="34" spans="4:12">
      <c r="D34" s="525"/>
      <c r="E34" s="46"/>
    </row>
    <row r="35" spans="4:12">
      <c r="E35" s="46"/>
    </row>
    <row r="36" spans="4:12">
      <c r="E36" s="46"/>
      <c r="L36" s="46"/>
    </row>
    <row r="37" spans="4:12">
      <c r="E37" s="46"/>
      <c r="L37" s="46"/>
    </row>
    <row r="38" spans="4:12">
      <c r="E38" s="46"/>
      <c r="L38" s="46"/>
    </row>
    <row r="39" spans="4:12">
      <c r="E39" s="46"/>
      <c r="L39" s="46"/>
    </row>
    <row r="40" spans="4:12">
      <c r="L40" s="46"/>
    </row>
    <row r="41" spans="4:12">
      <c r="E41" s="46"/>
      <c r="F41" s="47"/>
      <c r="I41" s="46"/>
      <c r="L41" s="46"/>
    </row>
    <row r="42" spans="4:12">
      <c r="E42" s="46"/>
      <c r="L42" s="46"/>
    </row>
    <row r="43" spans="4:12">
      <c r="E43" s="46"/>
      <c r="L43" s="46"/>
    </row>
    <row r="44" spans="4:12">
      <c r="E44" s="46"/>
      <c r="H44" s="46"/>
      <c r="L44" s="46"/>
    </row>
    <row r="45" spans="4:12">
      <c r="E45" s="46"/>
      <c r="H45" s="46"/>
      <c r="L45" s="46"/>
    </row>
    <row r="46" spans="4:12">
      <c r="H46" s="46"/>
    </row>
  </sheetData>
  <mergeCells count="11">
    <mergeCell ref="A16:L16"/>
    <mergeCell ref="A17:A18"/>
    <mergeCell ref="A13:A15"/>
    <mergeCell ref="M2:V2"/>
    <mergeCell ref="M8:V8"/>
    <mergeCell ref="M12:V12"/>
    <mergeCell ref="A2:L2"/>
    <mergeCell ref="A8:L8"/>
    <mergeCell ref="A12:L12"/>
    <mergeCell ref="A3:A7"/>
    <mergeCell ref="A9:A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FB2E-31A7-E94E-AE17-3FC1332F4FC3}">
  <sheetPr>
    <tabColor rgb="FF92D050"/>
  </sheetPr>
  <dimension ref="A1:AH331"/>
  <sheetViews>
    <sheetView tabSelected="1" topLeftCell="A84" zoomScaleNormal="100" workbookViewId="0">
      <pane xSplit="1" topLeftCell="B1" activePane="topRight" state="frozen"/>
      <selection pane="topRight" activeCell="E97" sqref="E97"/>
    </sheetView>
  </sheetViews>
  <sheetFormatPr baseColWidth="10" defaultColWidth="11.5" defaultRowHeight="15"/>
  <cols>
    <col min="1" max="1" width="30.83203125" style="1" customWidth="1"/>
    <col min="2" max="13" width="15.83203125" style="1" customWidth="1"/>
    <col min="14" max="14" width="2.83203125" style="1" customWidth="1"/>
    <col min="15" max="25" width="15.83203125" style="1" customWidth="1"/>
    <col min="26" max="29" width="23" style="1" customWidth="1"/>
    <col min="30" max="30" width="22.5" style="1" customWidth="1"/>
    <col min="31" max="50" width="15.83203125" style="1" customWidth="1"/>
    <col min="51" max="16384" width="11.5" style="1"/>
  </cols>
  <sheetData>
    <row r="1" spans="1:21" ht="25" customHeight="1">
      <c r="A1" s="726" t="s">
        <v>276</v>
      </c>
      <c r="B1" s="727"/>
      <c r="C1" s="727"/>
      <c r="D1" s="728"/>
      <c r="E1" s="357"/>
      <c r="F1" s="357"/>
      <c r="G1" s="357"/>
      <c r="H1" s="357"/>
      <c r="I1" s="357"/>
      <c r="J1" s="357"/>
      <c r="K1" s="357"/>
      <c r="L1" s="357"/>
      <c r="M1" s="357"/>
      <c r="N1" s="357"/>
    </row>
    <row r="2" spans="1:21" ht="25" hidden="1" customHeight="1">
      <c r="A2" s="420">
        <v>46023</v>
      </c>
      <c r="B2" s="418"/>
      <c r="C2" s="418"/>
      <c r="D2" s="419"/>
      <c r="E2" s="357"/>
      <c r="F2" s="357"/>
      <c r="G2" s="357"/>
      <c r="H2" s="357"/>
      <c r="I2" s="357"/>
      <c r="J2" s="357"/>
      <c r="K2" s="357"/>
      <c r="L2" s="357"/>
      <c r="M2" s="357"/>
      <c r="N2" s="357"/>
    </row>
    <row r="3" spans="1:21" ht="25" hidden="1" customHeight="1">
      <c r="A3" s="420">
        <v>46054</v>
      </c>
      <c r="B3" s="418"/>
      <c r="C3" s="418"/>
      <c r="D3" s="419"/>
      <c r="E3" s="357"/>
      <c r="F3" s="357"/>
      <c r="G3" s="357"/>
      <c r="H3" s="357"/>
      <c r="I3" s="357"/>
      <c r="J3" s="357"/>
      <c r="K3" s="357"/>
      <c r="L3" s="357"/>
      <c r="M3" s="357"/>
      <c r="N3" s="357"/>
    </row>
    <row r="4" spans="1:21" ht="25" hidden="1" customHeight="1">
      <c r="A4" s="420">
        <v>46082</v>
      </c>
      <c r="B4" s="418"/>
      <c r="C4" s="418"/>
      <c r="D4" s="419"/>
      <c r="E4" s="357"/>
      <c r="F4" s="357"/>
      <c r="G4" s="357"/>
      <c r="H4" s="357"/>
      <c r="I4" s="357"/>
      <c r="J4" s="357"/>
      <c r="K4" s="357"/>
      <c r="L4" s="357"/>
      <c r="M4" s="357"/>
      <c r="N4" s="357"/>
    </row>
    <row r="5" spans="1:21" ht="25" hidden="1" customHeight="1">
      <c r="A5" s="420">
        <v>46113</v>
      </c>
      <c r="B5" s="418"/>
      <c r="C5" s="418"/>
      <c r="D5" s="419"/>
      <c r="E5" s="357"/>
      <c r="F5" s="357"/>
      <c r="G5" s="357"/>
      <c r="H5" s="357"/>
      <c r="I5" s="357"/>
      <c r="J5" s="357"/>
      <c r="K5" s="357"/>
      <c r="L5" s="357"/>
      <c r="M5" s="357"/>
      <c r="N5" s="357"/>
    </row>
    <row r="6" spans="1:21" ht="25" hidden="1" customHeight="1">
      <c r="A6" s="420">
        <v>46143</v>
      </c>
      <c r="B6" s="418"/>
      <c r="C6" s="418"/>
      <c r="D6" s="419"/>
      <c r="E6" s="357"/>
      <c r="F6" s="357"/>
      <c r="G6" s="357"/>
      <c r="H6" s="357"/>
      <c r="I6" s="357"/>
      <c r="J6" s="357"/>
      <c r="K6" s="357"/>
      <c r="L6" s="357"/>
      <c r="M6" s="357"/>
      <c r="N6" s="357"/>
    </row>
    <row r="7" spans="1:21" ht="25" hidden="1" customHeight="1">
      <c r="A7" s="420">
        <v>46174</v>
      </c>
      <c r="B7" s="418"/>
      <c r="C7" s="418"/>
      <c r="D7" s="419"/>
      <c r="E7" s="357"/>
      <c r="F7" s="357"/>
      <c r="G7" s="357"/>
      <c r="H7" s="357"/>
      <c r="I7" s="357"/>
      <c r="J7" s="357"/>
      <c r="K7" s="357"/>
      <c r="L7" s="357"/>
      <c r="M7" s="357"/>
      <c r="N7" s="357"/>
    </row>
    <row r="8" spans="1:21" ht="25" hidden="1" customHeight="1">
      <c r="A8" s="420">
        <v>46204</v>
      </c>
      <c r="B8" s="418"/>
      <c r="C8" s="418"/>
      <c r="D8" s="419"/>
      <c r="E8" s="357"/>
      <c r="F8" s="357"/>
      <c r="G8" s="357"/>
      <c r="H8" s="357"/>
      <c r="I8" s="357"/>
      <c r="J8" s="357"/>
      <c r="K8" s="357"/>
      <c r="L8" s="357"/>
      <c r="M8" s="357"/>
      <c r="N8" s="357"/>
    </row>
    <row r="9" spans="1:21" ht="25" hidden="1" customHeight="1">
      <c r="A9" s="420">
        <v>46235</v>
      </c>
      <c r="B9" s="418"/>
      <c r="C9" s="418"/>
      <c r="D9" s="419"/>
      <c r="E9" s="357"/>
      <c r="F9" s="357"/>
      <c r="G9" s="357"/>
      <c r="H9" s="357"/>
      <c r="I9" s="357"/>
      <c r="J9" s="357"/>
      <c r="K9" s="357"/>
      <c r="L9" s="357"/>
      <c r="M9" s="357"/>
      <c r="N9" s="357"/>
    </row>
    <row r="10" spans="1:21" ht="25" hidden="1" customHeight="1">
      <c r="A10" s="420">
        <v>46266</v>
      </c>
      <c r="B10" s="418"/>
      <c r="C10" s="418"/>
      <c r="D10" s="419"/>
      <c r="E10" s="357"/>
      <c r="F10" s="357"/>
      <c r="G10" s="357"/>
      <c r="H10" s="357"/>
      <c r="I10" s="357"/>
      <c r="J10" s="357"/>
      <c r="K10" s="357"/>
      <c r="L10" s="357"/>
      <c r="M10" s="357"/>
      <c r="N10" s="357"/>
    </row>
    <row r="11" spans="1:21" ht="25" hidden="1" customHeight="1">
      <c r="A11" s="420">
        <v>46296</v>
      </c>
      <c r="B11" s="418"/>
      <c r="C11" s="418"/>
      <c r="D11" s="419"/>
      <c r="E11" s="357"/>
      <c r="F11" s="357"/>
      <c r="G11" s="357"/>
      <c r="H11" s="357"/>
      <c r="I11" s="357"/>
      <c r="J11" s="357"/>
      <c r="K11" s="357"/>
      <c r="L11" s="357"/>
      <c r="M11" s="357"/>
      <c r="N11" s="357"/>
    </row>
    <row r="12" spans="1:21" ht="25" hidden="1" customHeight="1">
      <c r="A12" s="420">
        <v>46327</v>
      </c>
      <c r="B12" s="418"/>
      <c r="C12" s="418"/>
      <c r="D12" s="419"/>
      <c r="E12" s="357"/>
      <c r="F12" s="357"/>
      <c r="G12" s="357"/>
      <c r="H12" s="357"/>
      <c r="I12" s="357"/>
      <c r="J12" s="357"/>
      <c r="K12" s="357"/>
      <c r="L12" s="357"/>
      <c r="M12" s="357"/>
      <c r="N12" s="357"/>
    </row>
    <row r="13" spans="1:21" ht="25" hidden="1" customHeight="1">
      <c r="A13" s="420">
        <v>46357</v>
      </c>
      <c r="B13" s="418"/>
      <c r="C13" s="418"/>
      <c r="D13" s="419"/>
      <c r="E13" s="357"/>
      <c r="F13" s="357"/>
      <c r="G13" s="357"/>
      <c r="H13" s="357"/>
      <c r="I13" s="357"/>
      <c r="J13" s="357"/>
      <c r="K13" s="357"/>
      <c r="L13" s="357"/>
      <c r="M13" s="357"/>
      <c r="N13" s="357"/>
    </row>
    <row r="14" spans="1:21" ht="25" customHeight="1">
      <c r="A14" s="356" t="s">
        <v>277</v>
      </c>
      <c r="B14" s="723">
        <f>DAY(EOMONTH(B16,0))</f>
        <v>31</v>
      </c>
      <c r="C14" s="724"/>
      <c r="D14" s="725"/>
      <c r="F14" s="357"/>
      <c r="G14" s="357"/>
      <c r="H14" s="516"/>
      <c r="I14" s="516"/>
      <c r="J14" s="517"/>
      <c r="K14" s="517"/>
      <c r="L14" s="357"/>
      <c r="M14" s="357"/>
      <c r="N14" s="357"/>
    </row>
    <row r="15" spans="1:21" ht="25" customHeight="1">
      <c r="A15" s="175" t="s">
        <v>278</v>
      </c>
      <c r="B15" s="355">
        <v>26</v>
      </c>
      <c r="C15" s="354" t="s">
        <v>279</v>
      </c>
      <c r="D15" s="359">
        <v>23</v>
      </c>
      <c r="F15" s="530"/>
      <c r="G15" s="531"/>
      <c r="H15" s="357"/>
      <c r="I15" s="357"/>
      <c r="J15" s="532"/>
      <c r="K15" s="357"/>
      <c r="L15" s="357"/>
      <c r="M15" s="357"/>
      <c r="N15" s="357"/>
      <c r="U15" s="176"/>
    </row>
    <row r="16" spans="1:21" ht="25" customHeight="1" thickBot="1">
      <c r="A16" s="352" t="s">
        <v>280</v>
      </c>
      <c r="B16" s="353">
        <v>46235</v>
      </c>
      <c r="C16" s="526" t="s">
        <v>281</v>
      </c>
      <c r="D16" s="360">
        <v>23</v>
      </c>
      <c r="H16" s="533"/>
      <c r="I16" s="357"/>
      <c r="J16" s="357"/>
      <c r="K16" s="357"/>
      <c r="L16" s="357"/>
      <c r="M16" s="357"/>
      <c r="N16" s="357"/>
      <c r="O16" s="417"/>
      <c r="P16" s="417"/>
    </row>
    <row r="17" spans="1:30" ht="15" customHeight="1" thickBot="1">
      <c r="A17" s="413"/>
      <c r="B17" s="414"/>
      <c r="C17" s="415"/>
      <c r="D17" s="416"/>
      <c r="F17" s="357"/>
      <c r="G17" s="357"/>
      <c r="H17" s="357"/>
      <c r="I17" s="357"/>
      <c r="J17" s="357"/>
      <c r="K17" s="357"/>
      <c r="L17" s="357"/>
      <c r="M17" s="357"/>
      <c r="N17" s="357"/>
      <c r="O17" s="417"/>
      <c r="P17" s="417"/>
    </row>
    <row r="18" spans="1:30" ht="25" customHeight="1">
      <c r="A18" s="717" t="s">
        <v>282</v>
      </c>
      <c r="B18" s="718"/>
      <c r="C18" s="718"/>
      <c r="D18" s="718"/>
      <c r="E18" s="718"/>
      <c r="F18" s="718"/>
      <c r="G18" s="718"/>
      <c r="H18" s="718"/>
      <c r="I18" s="718"/>
      <c r="J18" s="718"/>
      <c r="K18" s="718"/>
      <c r="L18" s="718"/>
      <c r="M18" s="719"/>
      <c r="N18" s="391"/>
      <c r="O18" s="409"/>
      <c r="P18" s="410"/>
      <c r="Q18" s="738" t="s">
        <v>283</v>
      </c>
      <c r="R18" s="739"/>
      <c r="S18" s="739"/>
      <c r="T18" s="739"/>
      <c r="U18" s="739"/>
      <c r="V18" s="739"/>
      <c r="W18" s="739"/>
      <c r="X18" s="740"/>
    </row>
    <row r="19" spans="1:30" ht="25" customHeight="1" thickBot="1">
      <c r="A19" s="720"/>
      <c r="B19" s="721"/>
      <c r="C19" s="721"/>
      <c r="D19" s="721"/>
      <c r="E19" s="721"/>
      <c r="F19" s="721"/>
      <c r="G19" s="721"/>
      <c r="H19" s="721"/>
      <c r="I19" s="721"/>
      <c r="J19" s="721"/>
      <c r="K19" s="721"/>
      <c r="L19" s="721"/>
      <c r="M19" s="722"/>
      <c r="N19" s="391"/>
      <c r="O19" s="411"/>
      <c r="P19" s="412"/>
      <c r="Q19" s="741"/>
      <c r="R19" s="742"/>
      <c r="S19" s="742"/>
      <c r="T19" s="742"/>
      <c r="U19" s="742"/>
      <c r="V19" s="742"/>
      <c r="W19" s="742"/>
      <c r="X19" s="743"/>
    </row>
    <row r="20" spans="1:30" ht="25" customHeight="1">
      <c r="A20" s="199" t="s">
        <v>27</v>
      </c>
      <c r="B20" s="198" t="s">
        <v>284</v>
      </c>
      <c r="C20" s="198" t="s">
        <v>285</v>
      </c>
      <c r="D20" s="198" t="s">
        <v>286</v>
      </c>
      <c r="E20" s="198" t="s">
        <v>287</v>
      </c>
      <c r="F20" s="198" t="s">
        <v>112</v>
      </c>
      <c r="G20" s="198" t="s">
        <v>288</v>
      </c>
      <c r="H20" s="198" t="s">
        <v>289</v>
      </c>
      <c r="I20" s="198" t="s">
        <v>290</v>
      </c>
      <c r="J20" s="198" t="s">
        <v>291</v>
      </c>
      <c r="K20" s="198" t="s">
        <v>292</v>
      </c>
      <c r="L20" s="198" t="s">
        <v>293</v>
      </c>
      <c r="M20" s="200" t="s">
        <v>294</v>
      </c>
      <c r="N20" s="392"/>
      <c r="O20" s="196" t="s">
        <v>295</v>
      </c>
      <c r="P20" s="401" t="s">
        <v>296</v>
      </c>
      <c r="Q20" s="196" t="s">
        <v>297</v>
      </c>
      <c r="R20" s="403" t="s">
        <v>291</v>
      </c>
      <c r="S20" s="197" t="s">
        <v>298</v>
      </c>
      <c r="T20" s="197" t="s">
        <v>293</v>
      </c>
      <c r="U20" s="197" t="s">
        <v>299</v>
      </c>
      <c r="V20" s="197" t="s">
        <v>300</v>
      </c>
      <c r="W20" s="401" t="s">
        <v>291</v>
      </c>
      <c r="X20" s="373" t="s">
        <v>298</v>
      </c>
      <c r="Z20" s="1" t="s">
        <v>27</v>
      </c>
      <c r="AA20" s="1" t="s">
        <v>301</v>
      </c>
      <c r="AB20" s="1" t="s">
        <v>302</v>
      </c>
      <c r="AC20" s="1" t="s">
        <v>303</v>
      </c>
      <c r="AD20" s="1" t="s">
        <v>304</v>
      </c>
    </row>
    <row r="21" spans="1:30" ht="25" customHeight="1">
      <c r="A21" s="177" t="s">
        <v>218</v>
      </c>
      <c r="B21" s="328">
        <f>'MTD Actuals'!C14</f>
        <v>2886070</v>
      </c>
      <c r="C21" s="178">
        <f>(B21/$B$15)*$B$14</f>
        <v>3441083.4615384615</v>
      </c>
      <c r="D21" s="178" t="s">
        <v>199</v>
      </c>
      <c r="E21" s="178" t="s">
        <v>199</v>
      </c>
      <c r="F21" s="179" cm="1">
        <f t="array" ref="F21">INDEX('Consideration Goals'!D:D,MATCH(1,('Consideration Goals'!A:A=$A$20)*(TRIM('Consideration Goals'!C:C)=TEXT($B$16,"mmm")),0))</f>
        <v>3138529.2518305168</v>
      </c>
      <c r="G21" s="351">
        <f>C21/F21</f>
        <v>1.0963999967601012</v>
      </c>
      <c r="H21" s="178" t="s">
        <v>199</v>
      </c>
      <c r="I21" s="350" t="s">
        <v>199</v>
      </c>
      <c r="J21" s="179">
        <f>IFERROR(INDEX('Historic Data'!AJ:AJ,MATCH(DATE(YEAR($B$16),MONTH($B$16)-1,1),'Historic Data'!Z:Z,0)),"")</f>
        <v>2973825</v>
      </c>
      <c r="K21" s="349">
        <f t="shared" ref="K21:K29" si="0">(C21-J21)/J21</f>
        <v>0.15712372501356384</v>
      </c>
      <c r="L21" s="179">
        <f>IFERROR(INDEX('Historic Data'!AJ:AJ,MATCH(DATE(YEAR($B$16),MONTH($B$16)-12,1),'Historic Data'!Z:Z,0)),"")</f>
        <v>3803561</v>
      </c>
      <c r="M21" s="381">
        <f t="shared" ref="M21:M30" si="1">(C21-L21)/L21</f>
        <v>-9.529952022894822E-2</v>
      </c>
      <c r="N21" s="393"/>
      <c r="O21" s="378">
        <f>C29/C21</f>
        <v>0.22473536677904557</v>
      </c>
      <c r="P21" s="407">
        <f>'Consideration Goals'!E3</f>
        <v>0.16872260756359278</v>
      </c>
      <c r="Q21" s="732">
        <f>(SUM(C24:C25)/C21)</f>
        <v>5.2425270350338005E-2</v>
      </c>
      <c r="R21" s="700">
        <f>(SUM(J24:J25)/J21)</f>
        <v>5.1347002597664622E-2</v>
      </c>
      <c r="S21" s="710">
        <f>(Q21-R21)/R21</f>
        <v>2.0999624089496995E-2</v>
      </c>
      <c r="T21" s="700">
        <f>(SUM(L24:L25)/L21)</f>
        <v>4.3048606292892373E-2</v>
      </c>
      <c r="U21" s="710">
        <f>(Q21-T21)/T21</f>
        <v>0.21781574050618649</v>
      </c>
      <c r="V21" s="700">
        <f>C26/(C25+C24)</f>
        <v>0.68372735504253046</v>
      </c>
      <c r="W21" s="700">
        <f>J26/(J25+J24)</f>
        <v>0.68438148752103845</v>
      </c>
      <c r="X21" s="699">
        <f>(V21-W21)/W21</f>
        <v>-9.5580095375954533E-4</v>
      </c>
      <c r="Z21" s="1" t="s">
        <v>218</v>
      </c>
      <c r="AA21" s="202">
        <v>3365067.901120021</v>
      </c>
      <c r="AB21" s="202">
        <v>2942655.8732692506</v>
      </c>
      <c r="AC21" s="374">
        <f>(AB21-AA21)/AA21</f>
        <v>-0.12552853025942681</v>
      </c>
      <c r="AD21" s="545">
        <f>AB21-AA21</f>
        <v>-422412.02785077039</v>
      </c>
    </row>
    <row r="22" spans="1:30" ht="25" customHeight="1">
      <c r="A22" s="293" t="s">
        <v>219</v>
      </c>
      <c r="B22" s="328">
        <f>'MTD Actuals'!C15</f>
        <v>2333403</v>
      </c>
      <c r="C22" s="178">
        <f>(B22/$B$15)*$B$14</f>
        <v>2782134.3461538465</v>
      </c>
      <c r="D22" s="178" t="s">
        <v>199</v>
      </c>
      <c r="E22" s="178" t="s">
        <v>199</v>
      </c>
      <c r="F22" s="179" cm="1">
        <f t="array" ref="F22">INDEX('Consideration Goals'!E:E,MATCH(1,('Consideration Goals'!A:A=$A$20)*(TRIM('Consideration Goals'!C:C)=TEXT($B$16,"mmm")),0))</f>
        <v>2470200.8770111175</v>
      </c>
      <c r="G22" s="351">
        <f>C22/F22</f>
        <v>1.1262785840802392</v>
      </c>
      <c r="H22" s="178" t="s">
        <v>199</v>
      </c>
      <c r="I22" s="350" t="s">
        <v>199</v>
      </c>
      <c r="J22" s="179">
        <f>IFERROR(INDEX('Historic Data'!AV:AV,MATCH(DATE(YEAR($B$16),MONTH($B$16)-1,1),'Historic Data'!Z:Z,0)),"")</f>
        <v>2543961</v>
      </c>
      <c r="K22" s="349">
        <f t="shared" si="0"/>
        <v>9.3623033589684143E-2</v>
      </c>
      <c r="L22" s="179">
        <f>IFERROR(INDEX('Historic Data'!AV:AV,MATCH(DATE(YEAR($B$16),MONTH($B$16)-12,1),'Historic Data'!Z:Z,0)),"")</f>
        <v>3116704</v>
      </c>
      <c r="M22" s="381">
        <f t="shared" si="1"/>
        <v>-0.10734726616520321</v>
      </c>
      <c r="N22" s="393"/>
      <c r="O22" s="378">
        <f>C29/C22</f>
        <v>0.27796398650383153</v>
      </c>
      <c r="P22" s="407">
        <f>'Consideration Goals'!E4</f>
        <v>0.22825578023033427</v>
      </c>
      <c r="Q22" s="732"/>
      <c r="R22" s="700"/>
      <c r="S22" s="711"/>
      <c r="T22" s="700"/>
      <c r="U22" s="711"/>
      <c r="V22" s="700"/>
      <c r="W22" s="700"/>
      <c r="X22" s="699"/>
      <c r="Z22" s="146" t="s">
        <v>219</v>
      </c>
      <c r="AA22" s="202">
        <v>2465564.1893794923</v>
      </c>
      <c r="AB22" s="202">
        <v>2306121.4385163425</v>
      </c>
      <c r="AC22" s="374">
        <f t="shared" ref="AC22:AC31" si="2">(AB22-AA22)/AA22</f>
        <v>-6.4667856367299312E-2</v>
      </c>
      <c r="AD22" s="545">
        <f t="shared" ref="AD22:AD31" si="3">AB22-AA22</f>
        <v>-159442.75086314976</v>
      </c>
    </row>
    <row r="23" spans="1:30" ht="25" customHeight="1">
      <c r="A23" s="294" t="s">
        <v>305</v>
      </c>
      <c r="B23" s="296">
        <f>B24+B25+B27</f>
        <v>1713211</v>
      </c>
      <c r="C23" s="296">
        <f>C24+C25+C27</f>
        <v>2285580.0785953179</v>
      </c>
      <c r="D23" s="296">
        <f>D24+D25+D27</f>
        <v>584299.60820954409</v>
      </c>
      <c r="E23" s="296">
        <f>E24+E25+E27</f>
        <v>780150.64262887812</v>
      </c>
      <c r="F23" s="296">
        <f>F24+F25+F27</f>
        <v>1940826.7715034292</v>
      </c>
      <c r="G23" s="297">
        <f>C23/F23</f>
        <v>1.1776321885877694</v>
      </c>
      <c r="H23" s="296">
        <f>H24+H25+H27</f>
        <v>664022.05564601091</v>
      </c>
      <c r="I23" s="297">
        <f>E23/H23</f>
        <v>1.1748866411822549</v>
      </c>
      <c r="J23" s="296">
        <f>J24+J25+J27</f>
        <v>2261596</v>
      </c>
      <c r="K23" s="297">
        <f t="shared" si="0"/>
        <v>1.0604935008426748E-2</v>
      </c>
      <c r="L23" s="296">
        <f>L24+L25+L27</f>
        <v>2004427</v>
      </c>
      <c r="M23" s="382">
        <f t="shared" si="1"/>
        <v>0.14026606037302328</v>
      </c>
      <c r="N23" s="394"/>
      <c r="O23" s="733"/>
      <c r="P23" s="734"/>
      <c r="Q23" s="732"/>
      <c r="R23" s="700"/>
      <c r="S23" s="711"/>
      <c r="T23" s="700"/>
      <c r="U23" s="711"/>
      <c r="V23" s="700"/>
      <c r="W23" s="700"/>
      <c r="X23" s="699"/>
      <c r="Z23" s="38" t="s">
        <v>305</v>
      </c>
      <c r="AA23" s="202">
        <v>1836369.1881916453</v>
      </c>
      <c r="AB23" s="202">
        <v>1820162.6966908812</v>
      </c>
      <c r="AC23" s="374">
        <f t="shared" si="2"/>
        <v>-8.8252904726219081E-3</v>
      </c>
      <c r="AD23" s="545">
        <f t="shared" si="3"/>
        <v>-16206.491500764154</v>
      </c>
    </row>
    <row r="24" spans="1:30" ht="25" customHeight="1">
      <c r="A24" s="195" t="s">
        <v>202</v>
      </c>
      <c r="B24" s="328">
        <f>'MTD Actuals'!C5</f>
        <v>44835</v>
      </c>
      <c r="C24" s="178">
        <f>(B24/$B$15)*$B$14</f>
        <v>53457.115384615383</v>
      </c>
      <c r="D24" s="326">
        <f>B24*'Shop Goals'!K3</f>
        <v>16293.387226162757</v>
      </c>
      <c r="E24" s="178">
        <f>(D24/$B$15)*$B$14</f>
        <v>19426.730923501749</v>
      </c>
      <c r="F24" s="331" cm="1">
        <f t="array" ref="F24">INDEX('Shop Goals'!D:D,MATCH(1,('Shop Goals'!A:A=$A$20)*(TRIM('Shop Goals'!C:C)=TEXT($B$16,"mmm")),0))</f>
        <v>64039.199083874097</v>
      </c>
      <c r="G24" s="351">
        <f>C24/F24</f>
        <v>0.83475615169079431</v>
      </c>
      <c r="H24" s="329">
        <f>F24*'Shop Goals'!K3</f>
        <v>23272.342329137678</v>
      </c>
      <c r="I24" s="351">
        <f>E24/H24</f>
        <v>0.83475615169079442</v>
      </c>
      <c r="J24" s="179">
        <f>IFERROR(INDEX('Historic Data'!CZ:CZ,MATCH(DATE(YEAR($B$16),MONTH($B$16)-1,1),'Historic Data'!Z:Z,0)),"")</f>
        <v>45935</v>
      </c>
      <c r="K24" s="349">
        <f>(C24-J24)/J24</f>
        <v>0.1637556413326523</v>
      </c>
      <c r="L24" s="179">
        <f>IFERROR(INDEX('Historic Data'!CZ:CZ,MATCH(DATE(YEAR($B$16),MONTH($B$16)-12,1),'Historic Data'!Z:Z,0)),"")</f>
        <v>69485</v>
      </c>
      <c r="M24" s="381">
        <f t="shared" si="1"/>
        <v>-0.23066682903338298</v>
      </c>
      <c r="N24" s="393"/>
      <c r="O24" s="378">
        <f>'MTD Actuals'!$C$18/'Aug26 OP Pace'!C24</f>
        <v>0</v>
      </c>
      <c r="P24" s="407">
        <f>'Shop Goals'!G3</f>
        <v>9.0371331603114391E-2</v>
      </c>
      <c r="Q24" s="732"/>
      <c r="R24" s="700"/>
      <c r="S24" s="711"/>
      <c r="T24" s="700"/>
      <c r="U24" s="711"/>
      <c r="V24" s="700"/>
      <c r="W24" s="700"/>
      <c r="X24" s="699"/>
      <c r="Z24" s="38" t="s">
        <v>202</v>
      </c>
      <c r="AA24" s="202">
        <v>71482.846223518238</v>
      </c>
      <c r="AB24" s="202">
        <v>60042.558212166427</v>
      </c>
      <c r="AC24" s="374">
        <f t="shared" si="2"/>
        <v>-0.16004242438219948</v>
      </c>
      <c r="AD24" s="545">
        <f t="shared" si="3"/>
        <v>-11440.288011351811</v>
      </c>
    </row>
    <row r="25" spans="1:30" ht="25" customHeight="1">
      <c r="A25" s="195" t="s">
        <v>306</v>
      </c>
      <c r="B25" s="329">
        <f>SUM(B40,B54,B68,B82,B96,B110,B124,B138)</f>
        <v>106468</v>
      </c>
      <c r="C25" s="178">
        <f>(B25/$B$15)*$B$14</f>
        <v>126942.61538461539</v>
      </c>
      <c r="D25" s="326">
        <f>B25*'Shop Goals'!K4</f>
        <v>31184.031320325506</v>
      </c>
      <c r="E25" s="178">
        <f>(D25/$B$15)*$B$14</f>
        <v>37180.960420388103</v>
      </c>
      <c r="F25" s="331" cm="1">
        <f t="array" ref="F25">INDEX('Shop Goals'!E:E,MATCH(1,('Shop Goals'!A:A=$A$20)*(TRIM('Shop Goals'!C:C)=TEXT($B$16,"mmm")),0))</f>
        <v>84555.255210172661</v>
      </c>
      <c r="G25" s="351">
        <f>C25/F25</f>
        <v>1.5012977616717453</v>
      </c>
      <c r="H25" s="329">
        <f>F25*'Shop Goals'!K4</f>
        <v>24765.880140250036</v>
      </c>
      <c r="I25" s="351">
        <f t="shared" ref="I25" si="4">E25/H25</f>
        <v>1.5012977616717451</v>
      </c>
      <c r="J25" s="179">
        <f>IFERROR(INDEX('Historic Data'!DL:DL,MATCH(DATE(YEAR($B$16),MONTH($B$16)-1,1),'Historic Data'!Z:Z,0)),"")</f>
        <v>106762</v>
      </c>
      <c r="K25" s="349">
        <f>(C25-J25)/J25</f>
        <v>0.18902432873696062</v>
      </c>
      <c r="L25" s="179">
        <f>IFERROR(INDEX('Historic Data'!DL:DL,MATCH(DATE(YEAR($B$16),MONTH($B$16)-12,1),'Historic Data'!Z:Z,0)),"")</f>
        <v>94253</v>
      </c>
      <c r="M25" s="381">
        <f t="shared" si="1"/>
        <v>0.34682838089626211</v>
      </c>
      <c r="N25" s="393"/>
      <c r="O25" s="378">
        <f>'MTD Actuals'!$C$18/'Aug26 OP Pace'!C25</f>
        <v>0</v>
      </c>
      <c r="P25" s="407">
        <f>'Shop Goals'!G4</f>
        <v>7.4756245788799192E-2</v>
      </c>
      <c r="Q25" s="732"/>
      <c r="R25" s="700"/>
      <c r="S25" s="712"/>
      <c r="T25" s="700"/>
      <c r="U25" s="712"/>
      <c r="V25" s="700"/>
      <c r="W25" s="700"/>
      <c r="X25" s="699"/>
      <c r="Z25" s="38" t="s">
        <v>265</v>
      </c>
      <c r="AA25" s="202">
        <v>84505.969083858567</v>
      </c>
      <c r="AB25" s="202">
        <v>79739.765594446435</v>
      </c>
      <c r="AC25" s="374">
        <f t="shared" si="2"/>
        <v>-5.640079086818639E-2</v>
      </c>
      <c r="AD25" s="545">
        <f t="shared" si="3"/>
        <v>-4766.2034894121316</v>
      </c>
    </row>
    <row r="26" spans="1:30" ht="25" customHeight="1">
      <c r="A26" s="195" t="s">
        <v>307</v>
      </c>
      <c r="B26" s="329">
        <f>'MTD Actuals'!M4</f>
        <v>103450</v>
      </c>
      <c r="C26" s="178">
        <f>(B26/$B$15)*$B$14</f>
        <v>123344.23076923077</v>
      </c>
      <c r="D26" s="178" t="s">
        <v>199</v>
      </c>
      <c r="E26" s="178" t="s">
        <v>199</v>
      </c>
      <c r="F26" s="331" cm="1">
        <f t="array" ref="F26">INDEX('Shop Goals'!F:F,MATCH(1,('Shop Goals'!A:A=$A$20)*(TRIM('Shop Goals'!C:C)=TEXT($B$16,"mmm")),0))</f>
        <v>106580.96153587408</v>
      </c>
      <c r="G26" s="351">
        <f t="shared" ref="G26:G31" si="5">C26/F26</f>
        <v>1.1572820229034464</v>
      </c>
      <c r="H26" s="178" t="s">
        <v>199</v>
      </c>
      <c r="I26" s="350" t="s">
        <v>199</v>
      </c>
      <c r="J26" s="179">
        <f>IFERROR(INDEX('Historic Data'!CB:CB,MATCH(DATE(YEAR($B$16),MONTH($B$16)-1,1),'Historic Data'!Z:Z,0)),"")</f>
        <v>104503</v>
      </c>
      <c r="K26" s="349">
        <f>(C26-J26)/J26</f>
        <v>0.18029368314049132</v>
      </c>
      <c r="L26" s="179">
        <f>IFERROR(INDEX('Historic Data'!CB:CB,MATCH(DATE(YEAR($B$16),MONTH($B$16)-12,1),'Historic Data'!Z:Z,0)),"")</f>
        <v>116537</v>
      </c>
      <c r="M26" s="381">
        <f>(C26-L26)/L26</f>
        <v>5.8412613755552019E-2</v>
      </c>
      <c r="N26" s="393"/>
      <c r="O26" s="378">
        <f>C26/(C25+C24)</f>
        <v>0.68372735504253046</v>
      </c>
      <c r="P26" s="407">
        <f>'Shop Goals'!G6</f>
        <v>0.75736062355616451</v>
      </c>
      <c r="Q26" s="405" t="s">
        <v>308</v>
      </c>
      <c r="R26" s="405" t="s">
        <v>308</v>
      </c>
      <c r="S26" s="377" t="s">
        <v>298</v>
      </c>
      <c r="T26" s="377" t="s">
        <v>293</v>
      </c>
      <c r="U26" s="377" t="s">
        <v>299</v>
      </c>
      <c r="V26" s="377" t="s">
        <v>309</v>
      </c>
      <c r="W26" s="402" t="s">
        <v>291</v>
      </c>
      <c r="X26" s="379" t="s">
        <v>298</v>
      </c>
      <c r="Z26" s="38" t="s">
        <v>307</v>
      </c>
      <c r="AA26" s="202">
        <v>118139.78642898226</v>
      </c>
      <c r="AB26" s="202">
        <v>100260.36669946286</v>
      </c>
      <c r="AC26" s="374">
        <f t="shared" si="2"/>
        <v>-0.15134122271557782</v>
      </c>
      <c r="AD26" s="545">
        <f t="shared" si="3"/>
        <v>-17879.419729519403</v>
      </c>
    </row>
    <row r="27" spans="1:30" ht="25" customHeight="1">
      <c r="A27" s="195" t="s">
        <v>6</v>
      </c>
      <c r="B27" s="328">
        <f>'MTD Actuals'!C7</f>
        <v>1561908</v>
      </c>
      <c r="C27" s="178">
        <f>(B27/$D$15)*$B$14</f>
        <v>2105180.3478260869</v>
      </c>
      <c r="D27" s="327">
        <f>B27*'Shop Goals'!K5</f>
        <v>536822.18966305582</v>
      </c>
      <c r="E27" s="178">
        <f>(D27/$D$15)*$B$14</f>
        <v>723542.95128498832</v>
      </c>
      <c r="F27" s="331" cm="1">
        <f t="array" ref="F27">INDEX('Shop Goals'!G:G,MATCH(1,('Shop Goals'!A:A=$A$20)*(TRIM('Shop Goals'!C:C)=TEXT($B$16,"mmm")),0))</f>
        <v>1792232.3172093823</v>
      </c>
      <c r="G27" s="351">
        <f t="shared" si="5"/>
        <v>1.1746135406731111</v>
      </c>
      <c r="H27" s="329">
        <f>F27*'Shop Goals'!K5</f>
        <v>615983.83317662321</v>
      </c>
      <c r="I27" s="351">
        <f>E27/H27</f>
        <v>1.1746135406731111</v>
      </c>
      <c r="J27" s="179">
        <f>IFERROR(INDEX('Historic Data'!BM:BM,MATCH(DATE(YEAR($B$16),MONTH($B$16)-1,1),'Historic Data'!Z:Z,0)),"")</f>
        <v>2108899</v>
      </c>
      <c r="K27" s="349">
        <f>(C27-J27)/J27</f>
        <v>-1.7633144943940339E-3</v>
      </c>
      <c r="L27" s="179">
        <f>IFERROR(INDEX('Historic Data'!BM:BM,MATCH(DATE(YEAR($B$16),MONTH($B$16)-12,1),'Historic Data'!Z:Z,0)),"")</f>
        <v>1840689</v>
      </c>
      <c r="M27" s="381">
        <f t="shared" si="1"/>
        <v>0.1436914915154526</v>
      </c>
      <c r="N27" s="393"/>
      <c r="O27" s="378">
        <f>'MTD Actuals'!$C$18/'Aug26 OP Pace'!C27</f>
        <v>0</v>
      </c>
      <c r="P27" s="407">
        <f>'Shop Goals'!G5</f>
        <v>3.3545955783951609E-3</v>
      </c>
      <c r="Q27" s="746">
        <f>B29/B21</f>
        <v>0.22473536677904554</v>
      </c>
      <c r="R27" s="704">
        <f>J29/J21</f>
        <v>0.2291382310660513</v>
      </c>
      <c r="S27" s="710">
        <f>(Q27-R27)/R27</f>
        <v>-1.9214882939969067E-2</v>
      </c>
      <c r="T27" s="704">
        <f>L29/L21</f>
        <v>0.16962131013542309</v>
      </c>
      <c r="U27" s="710">
        <f>(Q27-T27)/T27</f>
        <v>0.32492413010853544</v>
      </c>
      <c r="V27" s="704">
        <f>C30/C29</f>
        <v>0.7759319274377815</v>
      </c>
      <c r="W27" s="704">
        <f>J30/J29</f>
        <v>0.79025618674027798</v>
      </c>
      <c r="X27" s="714">
        <f>(V27-W27)/W27</f>
        <v>-1.8126095743182361E-2</v>
      </c>
      <c r="Z27" s="38" t="s">
        <v>6</v>
      </c>
      <c r="AA27" s="202">
        <v>1680380.3728842684</v>
      </c>
      <c r="AB27" s="202">
        <v>1680380.3728842684</v>
      </c>
      <c r="AC27" s="374">
        <f t="shared" si="2"/>
        <v>0</v>
      </c>
      <c r="AD27" s="545">
        <f t="shared" si="3"/>
        <v>0</v>
      </c>
    </row>
    <row r="28" spans="1:30" ht="25" customHeight="1">
      <c r="A28" s="294" t="s">
        <v>310</v>
      </c>
      <c r="B28" s="296">
        <f>B29+B31</f>
        <v>766064.50297619053</v>
      </c>
      <c r="C28" s="296">
        <f>C29+C31</f>
        <v>931652.17959667149</v>
      </c>
      <c r="D28" s="296">
        <f>D29+D31</f>
        <v>516555.54342882067</v>
      </c>
      <c r="E28" s="296">
        <f>E29+E31</f>
        <v>620434.64637062768</v>
      </c>
      <c r="F28" s="296">
        <f>F29+F31</f>
        <v>727906.53186776116</v>
      </c>
      <c r="G28" s="297">
        <f>C28/F28</f>
        <v>1.2799063324876507</v>
      </c>
      <c r="H28" s="296">
        <f>H29+H31</f>
        <v>468974.32198453997</v>
      </c>
      <c r="I28" s="297">
        <f>E28/H28</f>
        <v>1.3229608046452503</v>
      </c>
      <c r="J28" s="296">
        <f>J29+J31</f>
        <v>829004.57142857136</v>
      </c>
      <c r="K28" s="297">
        <f t="shared" si="0"/>
        <v>0.12382031620309882</v>
      </c>
      <c r="L28" s="296">
        <f>L29+L31</f>
        <v>805984</v>
      </c>
      <c r="M28" s="382">
        <f>(C28-L28)/L28</f>
        <v>0.1559189507442722</v>
      </c>
      <c r="N28" s="394"/>
      <c r="O28" s="733"/>
      <c r="P28" s="734"/>
      <c r="Q28" s="747"/>
      <c r="R28" s="705"/>
      <c r="S28" s="711"/>
      <c r="T28" s="705"/>
      <c r="U28" s="711"/>
      <c r="V28" s="705"/>
      <c r="W28" s="705"/>
      <c r="X28" s="715"/>
      <c r="Z28" s="1" t="s">
        <v>310</v>
      </c>
      <c r="AA28" s="202">
        <v>737513.89959281497</v>
      </c>
      <c r="AB28" s="202">
        <v>685190.13505102973</v>
      </c>
      <c r="AC28" s="374">
        <f t="shared" si="2"/>
        <v>-7.0946140229592197E-2</v>
      </c>
      <c r="AD28" s="545">
        <f t="shared" si="3"/>
        <v>-52323.764541785233</v>
      </c>
    </row>
    <row r="29" spans="1:30" ht="25" customHeight="1">
      <c r="A29" s="195" t="s">
        <v>52</v>
      </c>
      <c r="B29" s="328">
        <f>'MTD Actuals'!C10</f>
        <v>648602</v>
      </c>
      <c r="C29" s="178">
        <f>(B29/$B$15)*$B$14</f>
        <v>773333.15384615387</v>
      </c>
      <c r="D29" s="326">
        <f>B29*'Research Goals'!K3</f>
        <v>487353.22015047434</v>
      </c>
      <c r="E29" s="178">
        <f>(D29/$B$15)*$B$14</f>
        <v>581074.9932563348</v>
      </c>
      <c r="F29" s="329" cm="1">
        <f t="array" ref="F29">INDEX('Research Goals'!D:D,MATCH(1,('Research Goals'!A:A=$A$20)*(TRIM('Research Goals'!C:C)=TEXT($B$16,"mmm")),0))</f>
        <v>572833.79185897217</v>
      </c>
      <c r="G29" s="351">
        <f t="shared" si="5"/>
        <v>1.3500131536174167</v>
      </c>
      <c r="H29" s="329">
        <f>F29*'Research Goals'!K3</f>
        <v>430421.72715082078</v>
      </c>
      <c r="I29" s="351">
        <f>E29/H29</f>
        <v>1.3500131536174167</v>
      </c>
      <c r="J29" s="179">
        <f>IFERROR(INDEX('Historic Data'!DX:DX,MATCH(DATE(YEAR($B$16),MONTH($B$16)-1,1),'Historic Data'!Z:Z,0)),"")</f>
        <v>681417</v>
      </c>
      <c r="K29" s="349">
        <f t="shared" si="0"/>
        <v>0.13488972809036739</v>
      </c>
      <c r="L29" s="179">
        <f>IFERROR(INDEX('Historic Data'!DX:DX,MATCH(DATE(YEAR($B$16),MONTH($B$16)-12,1),'Historic Data'!Z:Z,0)),"")</f>
        <v>645165</v>
      </c>
      <c r="M29" s="381">
        <f>(C29-L29)/L29</f>
        <v>0.19865949616943554</v>
      </c>
      <c r="N29" s="393"/>
      <c r="O29" s="378">
        <f>'MTD Actuals'!$C$18/'Aug26 OP Pace'!C29</f>
        <v>0</v>
      </c>
      <c r="P29" s="407">
        <f>'Research Goals'!G3</f>
        <v>1.1377986322387087E-2</v>
      </c>
      <c r="Q29" s="747"/>
      <c r="R29" s="705"/>
      <c r="S29" s="711"/>
      <c r="T29" s="705"/>
      <c r="U29" s="711"/>
      <c r="V29" s="705"/>
      <c r="W29" s="705"/>
      <c r="X29" s="715"/>
      <c r="Z29" s="1" t="s">
        <v>52</v>
      </c>
      <c r="AA29" s="202">
        <v>567763.03090551612</v>
      </c>
      <c r="AB29" s="202">
        <v>537083.64229447895</v>
      </c>
      <c r="AC29" s="374">
        <f t="shared" si="2"/>
        <v>-5.403555170210203E-2</v>
      </c>
      <c r="AD29" s="545">
        <f t="shared" si="3"/>
        <v>-30679.388611037168</v>
      </c>
    </row>
    <row r="30" spans="1:30" ht="25" customHeight="1">
      <c r="A30" s="195" t="s">
        <v>208</v>
      </c>
      <c r="B30" s="328">
        <f>'MTD Actuals'!M10</f>
        <v>503271</v>
      </c>
      <c r="C30" s="178">
        <f>(B30/$B$15)*$B$14</f>
        <v>600053.88461538462</v>
      </c>
      <c r="D30" s="326" t="s">
        <v>199</v>
      </c>
      <c r="E30" s="178" t="s">
        <v>199</v>
      </c>
      <c r="F30" s="329" cm="1">
        <f t="array" ref="F30">INDEX('Research Goals'!E:E,MATCH(1,('Research Goals'!A:A=$A$20)*(TRIM('Research Goals'!C:C)=TEXT($B$16,"mmm")),0))</f>
        <v>403570.08814241597</v>
      </c>
      <c r="G30" s="351">
        <f t="shared" si="5"/>
        <v>1.4868641216135707</v>
      </c>
      <c r="H30" s="295" t="s">
        <v>311</v>
      </c>
      <c r="I30" s="350" t="s">
        <v>199</v>
      </c>
      <c r="J30" s="179">
        <f>IFERROR(INDEX('Historic Data'!EJ:EJ,MATCH(DATE(YEAR($B$16),MONTH($B$16)-1,1),'Historic Data'!Z:Z,0)),"")</f>
        <v>538494</v>
      </c>
      <c r="K30" s="349">
        <f>(C30-J30)/J30</f>
        <v>0.11431860822104727</v>
      </c>
      <c r="L30" s="179">
        <f>IFERROR(INDEX('Historic Data'!EJ:EJ,MATCH(DATE(YEAR($B$16),MONTH($B$16)-12,1),'Historic Data'!Z:Z,0)),"")</f>
        <v>449832</v>
      </c>
      <c r="M30" s="381">
        <f t="shared" si="1"/>
        <v>0.33395108532826617</v>
      </c>
      <c r="N30" s="393"/>
      <c r="O30" s="378">
        <f>C30/C29</f>
        <v>0.7759319274377815</v>
      </c>
      <c r="P30" s="407">
        <f>'Research Goals'!G5</f>
        <v>0.66246966171937371</v>
      </c>
      <c r="Q30" s="747"/>
      <c r="R30" s="705"/>
      <c r="S30" s="711"/>
      <c r="T30" s="705"/>
      <c r="U30" s="711"/>
      <c r="V30" s="705"/>
      <c r="W30" s="705"/>
      <c r="X30" s="715"/>
      <c r="Z30" s="1" t="s">
        <v>208</v>
      </c>
      <c r="AA30" s="202">
        <v>376125.78302074358</v>
      </c>
      <c r="AB30" s="202">
        <v>378383.56595065416</v>
      </c>
      <c r="AC30" s="374">
        <f t="shared" si="2"/>
        <v>6.0027337444879753E-3</v>
      </c>
      <c r="AD30" s="545">
        <f t="shared" si="3"/>
        <v>2257.7829299105797</v>
      </c>
    </row>
    <row r="31" spans="1:30" ht="25" customHeight="1" thickBot="1">
      <c r="A31" s="383" t="s">
        <v>312</v>
      </c>
      <c r="B31" s="384">
        <f>SUM(B45,B59,B73,B87,B101,B115,B129,B143)</f>
        <v>117462.50297619047</v>
      </c>
      <c r="C31" s="385">
        <f>(B31/D16)*$B$14</f>
        <v>158319.02575051761</v>
      </c>
      <c r="D31" s="386">
        <f>B31*'Research Goals'!K4</f>
        <v>29202.323278346339</v>
      </c>
      <c r="E31" s="385">
        <f>(D31/$D$16)*$B$14</f>
        <v>39359.653114292894</v>
      </c>
      <c r="F31" s="384" cm="1">
        <f t="array" ref="F31">INDEX('Research Goals'!F:F,MATCH(1,('Research Goals'!A:A=$A$20)*(TRIM('Research Goals'!C:C)=TEXT($B$16,"mmm")),0))</f>
        <v>155072.74000878894</v>
      </c>
      <c r="G31" s="387">
        <f t="shared" si="5"/>
        <v>1.0209339548752714</v>
      </c>
      <c r="H31" s="384">
        <f>F31*'Research Goals'!K4</f>
        <v>38552.594833719202</v>
      </c>
      <c r="I31" s="387">
        <f>E31/H31</f>
        <v>1.0209339548752712</v>
      </c>
      <c r="J31" s="388">
        <f>IFERROR(INDEX('Historic Data'!HA:HA,MATCH(DATE(YEAR($B$16),MONTH($B$16)-1,1),'Historic Data'!Z:Z,0)),"")</f>
        <v>147587.57142857142</v>
      </c>
      <c r="K31" s="389">
        <f>(C31-J31)/J31</f>
        <v>7.2712452803926922E-2</v>
      </c>
      <c r="L31" s="388">
        <f>IFERROR(INDEX('Historic Data'!HA:HA,MATCH(DATE(YEAR($B$16),MONTH($B$16)-12,1),'Historic Data'!Z:Z,0)),"")</f>
        <v>160819</v>
      </c>
      <c r="M31" s="390">
        <f>(C31-L31)/L31</f>
        <v>-1.5545266725215227E-2</v>
      </c>
      <c r="N31" s="393"/>
      <c r="O31" s="380">
        <f>'MTD Actuals'!$C$18/'Aug26 OP Pace'!C31</f>
        <v>0</v>
      </c>
      <c r="P31" s="408">
        <f>'Research Goals'!G4</f>
        <v>3.7651558189112012E-2</v>
      </c>
      <c r="Q31" s="748"/>
      <c r="R31" s="706"/>
      <c r="S31" s="749"/>
      <c r="T31" s="706"/>
      <c r="U31" s="749"/>
      <c r="V31" s="706"/>
      <c r="W31" s="706"/>
      <c r="X31" s="750"/>
      <c r="Z31" s="1" t="s">
        <v>14</v>
      </c>
      <c r="AA31" s="202">
        <v>169750.86868729885</v>
      </c>
      <c r="AB31" s="202">
        <v>148106.49275655078</v>
      </c>
      <c r="AC31" s="374">
        <f t="shared" si="2"/>
        <v>-0.12750671674393349</v>
      </c>
      <c r="AD31" s="545">
        <f t="shared" si="3"/>
        <v>-21644.375930748065</v>
      </c>
    </row>
    <row r="32" spans="1:30" ht="15" customHeight="1" thickBot="1">
      <c r="B32" s="374"/>
      <c r="C32" s="143"/>
      <c r="E32" s="143"/>
      <c r="F32" s="143"/>
    </row>
    <row r="33" spans="1:34" ht="25" customHeight="1">
      <c r="A33" s="717" t="s">
        <v>97</v>
      </c>
      <c r="B33" s="718"/>
      <c r="C33" s="718"/>
      <c r="D33" s="718"/>
      <c r="E33" s="718"/>
      <c r="F33" s="718"/>
      <c r="G33" s="718"/>
      <c r="H33" s="718"/>
      <c r="I33" s="718"/>
      <c r="J33" s="718"/>
      <c r="K33" s="718"/>
      <c r="L33" s="718"/>
      <c r="M33" s="719"/>
      <c r="N33" s="391"/>
      <c r="O33" s="409"/>
      <c r="P33" s="410"/>
      <c r="Q33" s="738" t="s">
        <v>283</v>
      </c>
      <c r="R33" s="739"/>
      <c r="S33" s="739"/>
      <c r="T33" s="739"/>
      <c r="U33" s="739"/>
      <c r="V33" s="739"/>
      <c r="W33" s="739"/>
      <c r="X33" s="740"/>
    </row>
    <row r="34" spans="1:34" ht="25" customHeight="1" thickBot="1">
      <c r="A34" s="720"/>
      <c r="B34" s="721"/>
      <c r="C34" s="721"/>
      <c r="D34" s="721"/>
      <c r="E34" s="721"/>
      <c r="F34" s="721"/>
      <c r="G34" s="721"/>
      <c r="H34" s="721"/>
      <c r="I34" s="721"/>
      <c r="J34" s="721"/>
      <c r="K34" s="721"/>
      <c r="L34" s="721"/>
      <c r="M34" s="722"/>
      <c r="N34" s="391"/>
      <c r="O34" s="411"/>
      <c r="P34" s="412"/>
      <c r="Q34" s="741"/>
      <c r="R34" s="742"/>
      <c r="S34" s="742"/>
      <c r="T34" s="742"/>
      <c r="U34" s="742"/>
      <c r="V34" s="742"/>
      <c r="W34" s="742"/>
      <c r="X34" s="743"/>
    </row>
    <row r="35" spans="1:34" ht="25" customHeight="1">
      <c r="A35" s="199" t="s">
        <v>97</v>
      </c>
      <c r="B35" s="198" t="s">
        <v>284</v>
      </c>
      <c r="C35" s="198" t="s">
        <v>285</v>
      </c>
      <c r="D35" s="198" t="s">
        <v>286</v>
      </c>
      <c r="E35" s="198" t="s">
        <v>287</v>
      </c>
      <c r="F35" s="198" t="s">
        <v>112</v>
      </c>
      <c r="G35" s="198" t="s">
        <v>288</v>
      </c>
      <c r="H35" s="198" t="s">
        <v>289</v>
      </c>
      <c r="I35" s="198" t="s">
        <v>290</v>
      </c>
      <c r="J35" s="198" t="s">
        <v>291</v>
      </c>
      <c r="K35" s="198" t="s">
        <v>292</v>
      </c>
      <c r="L35" s="198" t="s">
        <v>293</v>
      </c>
      <c r="M35" s="200" t="s">
        <v>294</v>
      </c>
      <c r="N35" s="392"/>
      <c r="O35" s="708" t="s">
        <v>295</v>
      </c>
      <c r="P35" s="744" t="s">
        <v>296</v>
      </c>
      <c r="Q35" s="708" t="s">
        <v>297</v>
      </c>
      <c r="R35" s="403"/>
      <c r="S35" s="695" t="s">
        <v>298</v>
      </c>
      <c r="T35" s="695" t="s">
        <v>293</v>
      </c>
      <c r="U35" s="695" t="s">
        <v>299</v>
      </c>
      <c r="V35" s="695" t="s">
        <v>313</v>
      </c>
      <c r="W35" s="695" t="s">
        <v>291</v>
      </c>
      <c r="X35" s="697" t="s">
        <v>298</v>
      </c>
    </row>
    <row r="36" spans="1:34" ht="25" customHeight="1">
      <c r="A36" s="729"/>
      <c r="B36" s="730"/>
      <c r="C36" s="730"/>
      <c r="D36" s="730"/>
      <c r="E36" s="730"/>
      <c r="F36" s="730"/>
      <c r="G36" s="730"/>
      <c r="H36" s="730"/>
      <c r="I36" s="730"/>
      <c r="J36" s="730"/>
      <c r="K36" s="730"/>
      <c r="L36" s="730"/>
      <c r="M36" s="731"/>
      <c r="N36" s="395"/>
      <c r="O36" s="709"/>
      <c r="P36" s="745"/>
      <c r="Q36" s="709"/>
      <c r="R36" s="404" t="s">
        <v>291</v>
      </c>
      <c r="S36" s="696"/>
      <c r="T36" s="696"/>
      <c r="U36" s="696"/>
      <c r="V36" s="696"/>
      <c r="W36" s="696"/>
      <c r="X36" s="698"/>
    </row>
    <row r="37" spans="1:34" ht="25" customHeight="1">
      <c r="A37" s="293" t="s">
        <v>219</v>
      </c>
      <c r="B37" s="329">
        <f>'MTD Actuals'!E15</f>
        <v>815876</v>
      </c>
      <c r="C37" s="178">
        <f>(B37/$B$15)*$B$14</f>
        <v>972775.23076923075</v>
      </c>
      <c r="D37" s="178" t="s">
        <v>199</v>
      </c>
      <c r="E37" s="178" t="s">
        <v>199</v>
      </c>
      <c r="F37" s="179" cm="1">
        <f t="array" ref="F37">INDEX('Consideration Goals'!E:E,MATCH(1,('Consideration Goals'!A:A=$A$35)*(TRIM('Consideration Goals'!C:C)=TEXT($B$16,"mmm")),0))</f>
        <v>614466.53036347521</v>
      </c>
      <c r="G37" s="180">
        <f>C37/F37</f>
        <v>1.583121590355467</v>
      </c>
      <c r="H37" s="178" t="s">
        <v>199</v>
      </c>
      <c r="I37" s="178" t="s">
        <v>199</v>
      </c>
      <c r="J37" s="179">
        <f>IFERROR(INDEX('Historic Data'!AN:AN,MATCH(DATE(YEAR($B$16),MONTH($B$16)-1,1),'Historic Data'!Z:Z,0)),"")</f>
        <v>770135</v>
      </c>
      <c r="K37" s="349">
        <f t="shared" ref="K37:K45" si="6">(C37-J37)/J37</f>
        <v>0.26312299891477564</v>
      </c>
      <c r="L37" s="179">
        <f>IFERROR(INDEX('Historic Data'!AN:AN,MATCH(DATE(YEAR($B$16),MONTH($B$16)-12,1),'Historic Data'!Z:Z,0)),"")</f>
        <v>880183</v>
      </c>
      <c r="M37" s="381">
        <f t="shared" ref="M37:M45" si="7">(C37-L37)/L37</f>
        <v>0.10519656795147231</v>
      </c>
      <c r="N37" s="393"/>
      <c r="O37" s="378"/>
      <c r="P37" s="406"/>
      <c r="Q37" s="735">
        <f>SUM(C39:C40)/C37</f>
        <v>3.6169712064088172E-2</v>
      </c>
      <c r="R37" s="700">
        <f>SUM(J39:J40)/J37</f>
        <v>4.0285144812273174E-2</v>
      </c>
      <c r="S37" s="702">
        <f>(Q37-R37)/R37</f>
        <v>-0.10215757613290755</v>
      </c>
      <c r="T37" s="700">
        <f>SUM(L39:L40)/L37</f>
        <v>3.1119664887869908E-2</v>
      </c>
      <c r="U37" s="702">
        <f>(Q37-T37)/T37</f>
        <v>0.16227832768812095</v>
      </c>
      <c r="V37" s="704" t="s">
        <v>314</v>
      </c>
      <c r="W37" s="704" t="s">
        <v>314</v>
      </c>
      <c r="X37" s="714" t="s">
        <v>314</v>
      </c>
      <c r="Z37" s="176"/>
    </row>
    <row r="38" spans="1:34" ht="25" customHeight="1">
      <c r="A38" s="294" t="s">
        <v>305</v>
      </c>
      <c r="B38" s="296">
        <f>B39+B40+B41</f>
        <v>274454</v>
      </c>
      <c r="C38" s="296">
        <f>C39+C40+C41</f>
        <v>365326.91304347827</v>
      </c>
      <c r="D38" s="296">
        <f>D39+D40+D41</f>
        <v>107127.68792061158</v>
      </c>
      <c r="E38" s="296">
        <f>E39+E40+E41</f>
        <v>143127.93969823176</v>
      </c>
      <c r="F38" s="296">
        <f>F39+F40+F41</f>
        <v>331729.28726644861</v>
      </c>
      <c r="G38" s="297">
        <f>C38/F38</f>
        <v>1.10128025190023</v>
      </c>
      <c r="H38" s="296">
        <f>H39+H40+H41</f>
        <v>131118.62972194323</v>
      </c>
      <c r="I38" s="297">
        <f>E38/H38</f>
        <v>1.0915911796954869</v>
      </c>
      <c r="J38" s="296">
        <f>J39+J40+J41</f>
        <v>362092</v>
      </c>
      <c r="K38" s="297">
        <f t="shared" si="6"/>
        <v>8.9339533695256199E-3</v>
      </c>
      <c r="L38" s="296">
        <f>L39+L40+L41</f>
        <v>387316</v>
      </c>
      <c r="M38" s="382">
        <f t="shared" si="7"/>
        <v>-5.6772988868318712E-2</v>
      </c>
      <c r="N38" s="394"/>
      <c r="O38" s="733"/>
      <c r="P38" s="734"/>
      <c r="Q38" s="735"/>
      <c r="R38" s="700"/>
      <c r="S38" s="702"/>
      <c r="T38" s="700"/>
      <c r="U38" s="702"/>
      <c r="V38" s="705"/>
      <c r="W38" s="705"/>
      <c r="X38" s="715"/>
      <c r="Z38" s="38"/>
    </row>
    <row r="39" spans="1:34" ht="25" customHeight="1">
      <c r="A39" s="195" t="s">
        <v>202</v>
      </c>
      <c r="B39" s="329">
        <f>'MTD Actuals'!E5</f>
        <v>4154</v>
      </c>
      <c r="C39" s="178">
        <f>(B39/$B$15)*$B$14</f>
        <v>4952.8461538461543</v>
      </c>
      <c r="D39" s="178">
        <f>B39*'Shop Goals'!K43</f>
        <v>1370.3403277316079</v>
      </c>
      <c r="E39" s="178">
        <f>(D39/$B$15)*$B$14</f>
        <v>1633.8673138338402</v>
      </c>
      <c r="F39" s="331" cm="1">
        <f t="array" ref="F39">INDEX('Shop Goals'!D:D,MATCH(1,('Shop Goals'!A:A=$A$35)*(TRIM('Shop Goals'!C:C)=TEXT($B$16,"mmm")),0))</f>
        <v>3831.1269946808511</v>
      </c>
      <c r="G39" s="180">
        <f t="shared" ref="G39:G41" si="8">C39/F39</f>
        <v>1.2927909100175228</v>
      </c>
      <c r="H39" s="329">
        <f>F39*'Shop Goals'!K43</f>
        <v>1263.8295188907962</v>
      </c>
      <c r="I39" s="180">
        <f t="shared" ref="I39:I43" si="9">E39/H39</f>
        <v>1.2927909100175226</v>
      </c>
      <c r="J39" s="179">
        <f>IFERROR(INDEX('Historic Data'!DB:DB,MATCH(DATE(YEAR($B$16),MONTH($B$16)-1,1),'Historic Data'!Z:Z,0)),"")</f>
        <v>4217</v>
      </c>
      <c r="K39" s="349">
        <f t="shared" si="6"/>
        <v>0.17449517520658153</v>
      </c>
      <c r="L39" s="179">
        <f>IFERROR(INDEX('Historic Data'!DB:DB,MATCH(DATE(YEAR($B$16),MONTH($B$16)-12,1),'Historic Data'!Z:Z,0)),"")</f>
        <v>4126</v>
      </c>
      <c r="M39" s="381">
        <f t="shared" si="7"/>
        <v>0.20039897087885464</v>
      </c>
      <c r="N39" s="393"/>
      <c r="O39" s="378"/>
      <c r="P39" s="407"/>
      <c r="Q39" s="735"/>
      <c r="R39" s="700"/>
      <c r="S39" s="702"/>
      <c r="T39" s="700"/>
      <c r="U39" s="702"/>
      <c r="V39" s="705"/>
      <c r="W39" s="705"/>
      <c r="X39" s="715"/>
      <c r="Z39" s="38"/>
      <c r="AA39" s="38"/>
      <c r="AB39" s="38"/>
      <c r="AC39" s="38"/>
      <c r="AD39" s="38"/>
      <c r="AE39" s="38"/>
      <c r="AG39" s="38"/>
      <c r="AH39" s="38"/>
    </row>
    <row r="40" spans="1:34" ht="25" customHeight="1">
      <c r="A40" s="195" t="s">
        <v>203</v>
      </c>
      <c r="B40" s="329">
        <f>'MTD Actuals'!E6</f>
        <v>25356</v>
      </c>
      <c r="C40" s="178">
        <f t="shared" ref="C40" si="10">(B40/$B$15)*$B$14</f>
        <v>30232.153846153848</v>
      </c>
      <c r="D40" s="178">
        <f>B40*'Shop Goals'!K44</f>
        <v>6741.5792902291023</v>
      </c>
      <c r="E40" s="178">
        <f>(D40/$B$15)*$B$14</f>
        <v>8038.0368460423915</v>
      </c>
      <c r="F40" s="331" cm="1">
        <f t="array" ref="F40">INDEX('Shop Goals'!E:E,MATCH(1,('Shop Goals'!A:A=$A$35)*(TRIM('Shop Goals'!C:C)=TEXT($B$16,"mmm")),0))</f>
        <v>19472.382535460991</v>
      </c>
      <c r="G40" s="180">
        <f t="shared" si="8"/>
        <v>1.5525657320617201</v>
      </c>
      <c r="H40" s="329">
        <f>F40*'Shop Goals'!K44</f>
        <v>5177.2602473766638</v>
      </c>
      <c r="I40" s="180">
        <f t="shared" si="9"/>
        <v>1.5525657320617201</v>
      </c>
      <c r="J40" s="179">
        <f>IFERROR(INDEX('Historic Data'!DN:DN,MATCH(DATE(YEAR($B$16),MONTH($B$16)-1,1),'Historic Data'!Z:Z,0)),"")</f>
        <v>26808</v>
      </c>
      <c r="K40" s="349">
        <f>(C40-J40)/J40</f>
        <v>0.12772880655602237</v>
      </c>
      <c r="L40" s="179">
        <f>IFERROR(INDEX('Historic Data'!DN:DN,MATCH(DATE(YEAR($B$16),MONTH($B$16)-12,1),'Historic Data'!Z:Z,0)),"")</f>
        <v>23265</v>
      </c>
      <c r="M40" s="381">
        <f t="shared" si="7"/>
        <v>0.29946932500123996</v>
      </c>
      <c r="N40" s="393"/>
      <c r="O40" s="378"/>
      <c r="P40" s="407"/>
      <c r="Q40" s="735"/>
      <c r="R40" s="700"/>
      <c r="S40" s="702"/>
      <c r="T40" s="700"/>
      <c r="U40" s="702"/>
      <c r="V40" s="713"/>
      <c r="W40" s="713"/>
      <c r="X40" s="716"/>
      <c r="Z40" s="38"/>
    </row>
    <row r="41" spans="1:34" ht="25" customHeight="1">
      <c r="A41" s="195" t="s">
        <v>7</v>
      </c>
      <c r="B41" s="329">
        <f>'MTD Actuals'!E7</f>
        <v>244944</v>
      </c>
      <c r="C41" s="178">
        <f>(B41/$D$15)*$B$14</f>
        <v>330141.91304347827</v>
      </c>
      <c r="D41" s="330">
        <f>B41*'Shop Goals'!K45</f>
        <v>99015.768302650875</v>
      </c>
      <c r="E41" s="178">
        <f>(D41/$D$15)*$B$14</f>
        <v>133456.03553835553</v>
      </c>
      <c r="F41" s="331" cm="1">
        <f t="array" ref="F41">INDEX('Shop Goals'!G:G,MATCH(1,('Shop Goals'!A:A=$A$35)*(TRIM('Shop Goals'!C:C)=TEXT($B$16,"mmm")),0))</f>
        <v>308425.77773630677</v>
      </c>
      <c r="G41" s="180">
        <f t="shared" si="8"/>
        <v>1.0704095989205482</v>
      </c>
      <c r="H41" s="329">
        <f>F41*'Shop Goals'!K45</f>
        <v>124677.53995567578</v>
      </c>
      <c r="I41" s="180">
        <f t="shared" si="9"/>
        <v>1.0704095989205482</v>
      </c>
      <c r="J41" s="179">
        <f>IFERROR(INDEX('Historic Data'!BQ:BQ,MATCH(DATE(YEAR($B$16),MONTH($B$16)-1,1),'Historic Data'!Z:Z,0)),"")</f>
        <v>331067</v>
      </c>
      <c r="K41" s="349">
        <f t="shared" si="6"/>
        <v>-2.7942590367560916E-3</v>
      </c>
      <c r="L41" s="179">
        <f>IFERROR(INDEX('Historic Data'!BQ:BQ,MATCH(DATE(YEAR($B$16),MONTH($B$16)-12,1),'Historic Data'!Z:Z,0)),"")</f>
        <v>359925</v>
      </c>
      <c r="M41" s="381">
        <f t="shared" si="7"/>
        <v>-8.2748036275673342E-2</v>
      </c>
      <c r="N41" s="393"/>
      <c r="O41" s="378"/>
      <c r="P41" s="407"/>
      <c r="Q41" s="405" t="s">
        <v>308</v>
      </c>
      <c r="R41" s="377" t="s">
        <v>291</v>
      </c>
      <c r="S41" s="377" t="s">
        <v>298</v>
      </c>
      <c r="T41" s="377" t="s">
        <v>293</v>
      </c>
      <c r="U41" s="377" t="s">
        <v>299</v>
      </c>
      <c r="V41" s="377" t="s">
        <v>313</v>
      </c>
      <c r="W41" s="402" t="s">
        <v>291</v>
      </c>
      <c r="X41" s="379" t="s">
        <v>298</v>
      </c>
      <c r="Z41" s="38"/>
    </row>
    <row r="42" spans="1:34" ht="25" customHeight="1">
      <c r="A42" s="294" t="s">
        <v>310</v>
      </c>
      <c r="B42" s="296">
        <f>B43+B45</f>
        <v>190088.61607142858</v>
      </c>
      <c r="C42" s="296">
        <f>C43+C45</f>
        <v>232177.87049092213</v>
      </c>
      <c r="D42" s="296">
        <f>D43+D45</f>
        <v>124940.48747605029</v>
      </c>
      <c r="E42" s="296">
        <f>E43+E45</f>
        <v>150343.24882238268</v>
      </c>
      <c r="F42" s="296">
        <f>F43+F45</f>
        <v>164864.43262411348</v>
      </c>
      <c r="G42" s="297">
        <f>C42/F42</f>
        <v>1.4082956935913611</v>
      </c>
      <c r="H42" s="296">
        <f>H43+H45</f>
        <v>101225.86014838924</v>
      </c>
      <c r="I42" s="297">
        <f t="shared" si="9"/>
        <v>1.4852256982750374</v>
      </c>
      <c r="J42" s="296">
        <f>J43+J45</f>
        <v>216038.28571428571</v>
      </c>
      <c r="K42" s="297">
        <f t="shared" si="6"/>
        <v>7.4707058164594456E-2</v>
      </c>
      <c r="L42" s="296">
        <f>L43+L45</f>
        <v>190638</v>
      </c>
      <c r="M42" s="382">
        <f t="shared" si="7"/>
        <v>0.21789921469445822</v>
      </c>
      <c r="N42" s="394"/>
      <c r="O42" s="733"/>
      <c r="P42" s="734"/>
      <c r="Q42" s="735">
        <f>B43/B37</f>
        <v>0.18937436571243668</v>
      </c>
      <c r="R42" s="700">
        <f>J43/J37</f>
        <v>0.2233764210170944</v>
      </c>
      <c r="S42" s="702">
        <f>(Q42-R42)/R42</f>
        <v>-0.15221864129542856</v>
      </c>
      <c r="T42" s="700">
        <f>L43/L37</f>
        <v>0.16347850390202948</v>
      </c>
      <c r="U42" s="702">
        <f>(Q42-T42)/T42</f>
        <v>0.15840530217921653</v>
      </c>
      <c r="V42" s="704">
        <f>C44/C43</f>
        <v>0.80444125147243484</v>
      </c>
      <c r="W42" s="704">
        <f>J44/J43</f>
        <v>0.83362785560658026</v>
      </c>
      <c r="X42" s="699">
        <f>(V42-W42)/W42</f>
        <v>-3.5011550943086119E-2</v>
      </c>
      <c r="AA42" s="38"/>
    </row>
    <row r="43" spans="1:34" ht="25" customHeight="1">
      <c r="A43" s="195" t="s">
        <v>52</v>
      </c>
      <c r="B43" s="329">
        <f>'MTD Actuals'!E10</f>
        <v>154506</v>
      </c>
      <c r="C43" s="178">
        <f>(B43/$B$15)*$B$14</f>
        <v>184218.69230769231</v>
      </c>
      <c r="D43" s="178">
        <f>B43*'Research Goals'!K41</f>
        <v>116094.30225711482</v>
      </c>
      <c r="E43" s="178">
        <f>(D43/$B$15)*$B$14</f>
        <v>138420.12961425228</v>
      </c>
      <c r="F43" s="329" cm="1">
        <f t="array" ref="F43">INDEX('Research Goals'!D:D,MATCH(1,('Research Goals'!A:A=$A$35)*(TRIM('Research Goals'!C:C)=TEXT($B$16,"mmm")),0))</f>
        <v>119811.63674645391</v>
      </c>
      <c r="G43" s="180">
        <f>C43/F43</f>
        <v>1.5375692821686178</v>
      </c>
      <c r="H43" s="329">
        <f>F43*'Research Goals'!K41</f>
        <v>90025.295913184367</v>
      </c>
      <c r="I43" s="180">
        <f t="shared" si="9"/>
        <v>1.5375692821686178</v>
      </c>
      <c r="J43" s="179">
        <f>IFERROR(INDEX('Historic Data'!DZ:DZ,MATCH(DATE(YEAR($B$16),MONTH($B$16)-1,1),'Historic Data'!Z:Z,0)),"")</f>
        <v>172030</v>
      </c>
      <c r="K43" s="349">
        <f t="shared" si="6"/>
        <v>7.0852132230961526E-2</v>
      </c>
      <c r="L43" s="179">
        <f>IFERROR(INDEX('Historic Data'!DZ:DZ,MATCH(DATE(YEAR($B$16),MONTH($B$16)-12,1),'Historic Data'!Z:Z,0)),"")</f>
        <v>143891</v>
      </c>
      <c r="M43" s="381">
        <f>(C43-L43)/L43</f>
        <v>0.2802655642652585</v>
      </c>
      <c r="N43" s="393"/>
      <c r="O43" s="378"/>
      <c r="P43" s="407"/>
      <c r="Q43" s="735"/>
      <c r="R43" s="700"/>
      <c r="S43" s="702"/>
      <c r="T43" s="700"/>
      <c r="U43" s="702"/>
      <c r="V43" s="705"/>
      <c r="W43" s="705"/>
      <c r="X43" s="699"/>
      <c r="AA43" s="38"/>
    </row>
    <row r="44" spans="1:34" ht="25" customHeight="1">
      <c r="A44" s="195" t="s">
        <v>208</v>
      </c>
      <c r="B44" s="329">
        <f>'MTD Actuals'!O10</f>
        <v>124291</v>
      </c>
      <c r="C44" s="178">
        <f>(B44/$B$15)*$B$14</f>
        <v>148193.1153846154</v>
      </c>
      <c r="D44" s="178" t="s">
        <v>199</v>
      </c>
      <c r="E44" s="178" t="s">
        <v>199</v>
      </c>
      <c r="F44" s="329" cm="1">
        <f t="array" ref="F44">INDEX('Research Goals'!E:E,MATCH(1,('Research Goals'!A:A=$A$35)*(TRIM('Research Goals'!C:C)=TEXT($B$16,"mmm")),0))</f>
        <v>88028.446365248237</v>
      </c>
      <c r="G44" s="180">
        <f>C44/F44</f>
        <v>1.6834684866495486</v>
      </c>
      <c r="H44" s="295" t="s">
        <v>311</v>
      </c>
      <c r="I44" s="178" t="s">
        <v>199</v>
      </c>
      <c r="J44" s="179">
        <f>IFERROR(INDEX('Historic Data'!EL:EL,MATCH(DATE(YEAR($B$16),MONTH($B$16)-1,1),'Historic Data'!Z:Z,0)),"")</f>
        <v>143409</v>
      </c>
      <c r="K44" s="349">
        <f t="shared" si="6"/>
        <v>3.3359938250844823E-2</v>
      </c>
      <c r="L44" s="179">
        <f>IFERROR(INDEX('Historic Data'!EL:EL,MATCH(DATE(YEAR($B$16),MONTH($B$16)-12,1),'Historic Data'!Z:Z,0)),"")</f>
        <v>103355</v>
      </c>
      <c r="M44" s="381">
        <f t="shared" si="7"/>
        <v>0.43382628208229312</v>
      </c>
      <c r="N44" s="393"/>
      <c r="O44" s="378"/>
      <c r="P44" s="407"/>
      <c r="Q44" s="735"/>
      <c r="R44" s="700"/>
      <c r="S44" s="702"/>
      <c r="T44" s="700"/>
      <c r="U44" s="702"/>
      <c r="V44" s="705"/>
      <c r="W44" s="705"/>
      <c r="X44" s="699"/>
      <c r="AA44" s="38"/>
    </row>
    <row r="45" spans="1:34" ht="25" customHeight="1" thickBot="1">
      <c r="A45" s="383" t="s">
        <v>14</v>
      </c>
      <c r="B45" s="384">
        <f>'MTD Actuals'!E11</f>
        <v>35582.616071428572</v>
      </c>
      <c r="C45" s="385">
        <f>(B45/$D$16)*$B$14</f>
        <v>47959.178183229815</v>
      </c>
      <c r="D45" s="385">
        <f>B45*'Research Goals'!K42</f>
        <v>8846.1852189354649</v>
      </c>
      <c r="E45" s="385">
        <f>(D45/$D$16)*$B$14</f>
        <v>11923.119208130409</v>
      </c>
      <c r="F45" s="384" cm="1">
        <f t="array" ref="F45">INDEX('Research Goals'!F:F,MATCH(1,('Research Goals'!A:A=$A$35)*(TRIM('Research Goals'!C:C)=TEXT($B$16,"mmm")),0))</f>
        <v>45052.795877659577</v>
      </c>
      <c r="G45" s="396">
        <f>C45/F45</f>
        <v>1.0645105869447591</v>
      </c>
      <c r="H45" s="384">
        <f>F45*'Research Goals'!K42</f>
        <v>11200.564235204867</v>
      </c>
      <c r="I45" s="396">
        <f>E45/H45</f>
        <v>1.0645105869447591</v>
      </c>
      <c r="J45" s="388">
        <f>IFERROR(INDEX('Historic Data'!GY:GY,MATCH(DATE(YEAR($B$16),MONTH($B$16)-1,1),'Historic Data'!Z:Z,0)),"")</f>
        <v>44008.285714285717</v>
      </c>
      <c r="K45" s="389">
        <f t="shared" si="6"/>
        <v>8.9776104767961482E-2</v>
      </c>
      <c r="L45" s="388">
        <f>IFERROR(INDEX('Historic Data'!GY:GY,MATCH(DATE(YEAR($B$16),MONTH($B$16)-12,1),'Historic Data'!Z:Z,0)),"")</f>
        <v>46747</v>
      </c>
      <c r="M45" s="390">
        <f t="shared" si="7"/>
        <v>2.5930609092130293E-2</v>
      </c>
      <c r="N45" s="393"/>
      <c r="O45" s="380"/>
      <c r="P45" s="408"/>
      <c r="Q45" s="737"/>
      <c r="R45" s="701"/>
      <c r="S45" s="703"/>
      <c r="T45" s="701"/>
      <c r="U45" s="703"/>
      <c r="V45" s="706"/>
      <c r="W45" s="706"/>
      <c r="X45" s="707"/>
      <c r="AA45" s="37"/>
    </row>
    <row r="46" spans="1:34" ht="15" customHeight="1" thickBot="1"/>
    <row r="47" spans="1:34" ht="25" customHeight="1">
      <c r="A47" s="717" t="s">
        <v>249</v>
      </c>
      <c r="B47" s="718"/>
      <c r="C47" s="718"/>
      <c r="D47" s="718"/>
      <c r="E47" s="718"/>
      <c r="F47" s="718"/>
      <c r="G47" s="718"/>
      <c r="H47" s="718"/>
      <c r="I47" s="718"/>
      <c r="J47" s="718"/>
      <c r="K47" s="718"/>
      <c r="L47" s="718"/>
      <c r="M47" s="719"/>
      <c r="N47" s="391"/>
      <c r="O47" s="409"/>
      <c r="P47" s="410"/>
      <c r="Q47" s="738" t="s">
        <v>283</v>
      </c>
      <c r="R47" s="739"/>
      <c r="S47" s="739"/>
      <c r="T47" s="739"/>
      <c r="U47" s="739"/>
      <c r="V47" s="739"/>
      <c r="W47" s="739"/>
      <c r="X47" s="740"/>
    </row>
    <row r="48" spans="1:34" ht="25" customHeight="1" thickBot="1">
      <c r="A48" s="720"/>
      <c r="B48" s="721"/>
      <c r="C48" s="721"/>
      <c r="D48" s="721"/>
      <c r="E48" s="721"/>
      <c r="F48" s="721"/>
      <c r="G48" s="721"/>
      <c r="H48" s="721"/>
      <c r="I48" s="721"/>
      <c r="J48" s="721"/>
      <c r="K48" s="721"/>
      <c r="L48" s="721"/>
      <c r="M48" s="722"/>
      <c r="N48" s="391"/>
      <c r="O48" s="411"/>
      <c r="P48" s="412"/>
      <c r="Q48" s="741"/>
      <c r="R48" s="742"/>
      <c r="S48" s="742"/>
      <c r="T48" s="742"/>
      <c r="U48" s="742"/>
      <c r="V48" s="742"/>
      <c r="W48" s="742"/>
      <c r="X48" s="743"/>
    </row>
    <row r="49" spans="1:24" ht="25" customHeight="1">
      <c r="A49" s="199" t="s">
        <v>249</v>
      </c>
      <c r="B49" s="198" t="s">
        <v>284</v>
      </c>
      <c r="C49" s="198" t="s">
        <v>285</v>
      </c>
      <c r="D49" s="198" t="s">
        <v>286</v>
      </c>
      <c r="E49" s="198" t="s">
        <v>287</v>
      </c>
      <c r="F49" s="198" t="s">
        <v>112</v>
      </c>
      <c r="G49" s="198" t="s">
        <v>288</v>
      </c>
      <c r="H49" s="198" t="s">
        <v>289</v>
      </c>
      <c r="I49" s="198" t="s">
        <v>290</v>
      </c>
      <c r="J49" s="198" t="s">
        <v>291</v>
      </c>
      <c r="K49" s="198" t="s">
        <v>292</v>
      </c>
      <c r="L49" s="198" t="s">
        <v>293</v>
      </c>
      <c r="M49" s="200" t="s">
        <v>294</v>
      </c>
      <c r="N49" s="392"/>
      <c r="O49" s="708" t="s">
        <v>295</v>
      </c>
      <c r="P49" s="697" t="s">
        <v>296</v>
      </c>
      <c r="Q49" s="708" t="s">
        <v>297</v>
      </c>
      <c r="R49" s="403"/>
      <c r="S49" s="695" t="s">
        <v>298</v>
      </c>
      <c r="T49" s="695" t="s">
        <v>293</v>
      </c>
      <c r="U49" s="695" t="s">
        <v>299</v>
      </c>
      <c r="V49" s="695" t="s">
        <v>313</v>
      </c>
      <c r="W49" s="695" t="s">
        <v>291</v>
      </c>
      <c r="X49" s="697" t="s">
        <v>298</v>
      </c>
    </row>
    <row r="50" spans="1:24" ht="25" customHeight="1">
      <c r="A50" s="729"/>
      <c r="B50" s="730"/>
      <c r="C50" s="730"/>
      <c r="D50" s="730"/>
      <c r="E50" s="730"/>
      <c r="F50" s="730"/>
      <c r="G50" s="730"/>
      <c r="H50" s="730"/>
      <c r="I50" s="730"/>
      <c r="J50" s="730"/>
      <c r="K50" s="730"/>
      <c r="L50" s="730"/>
      <c r="M50" s="731"/>
      <c r="N50" s="395"/>
      <c r="O50" s="709"/>
      <c r="P50" s="698"/>
      <c r="Q50" s="709"/>
      <c r="R50" s="404" t="s">
        <v>291</v>
      </c>
      <c r="S50" s="696"/>
      <c r="T50" s="696"/>
      <c r="U50" s="696"/>
      <c r="V50" s="696"/>
      <c r="W50" s="696"/>
      <c r="X50" s="698"/>
    </row>
    <row r="51" spans="1:24" ht="25" customHeight="1">
      <c r="A51" s="293" t="s">
        <v>219</v>
      </c>
      <c r="B51" s="329">
        <f>'MTD Actuals'!D15</f>
        <v>122205</v>
      </c>
      <c r="C51" s="178">
        <f>(B51/$B$15)*$B$14</f>
        <v>145705.96153846153</v>
      </c>
      <c r="D51" s="178" t="s">
        <v>199</v>
      </c>
      <c r="E51" s="178" t="s">
        <v>199</v>
      </c>
      <c r="F51" s="179" cm="1">
        <f t="array" ref="F51">INDEX('Consideration Goals'!E:E,MATCH(1,('Consideration Goals'!A:A=$A$49)*(TRIM('Consideration Goals'!C:C)=TEXT($B$16,"mmm")),0))</f>
        <v>138302.26692209451</v>
      </c>
      <c r="G51" s="180">
        <f>C51/F51</f>
        <v>1.0535327061597444</v>
      </c>
      <c r="H51" s="178" t="s">
        <v>199</v>
      </c>
      <c r="I51" s="178" t="s">
        <v>199</v>
      </c>
      <c r="J51" s="179">
        <f>IFERROR(INDEX('Historic Data'!AM:AM,MATCH(DATE(YEAR($B$16),MONTH($B$16)-1,1),'Historic Data'!Z:Z,0)),"")</f>
        <v>149316</v>
      </c>
      <c r="K51" s="349">
        <f t="shared" ref="K51:K59" si="11">(C51-J51)/J51</f>
        <v>-2.4177170976576311E-2</v>
      </c>
      <c r="L51" s="179">
        <f>IFERROR(INDEX('Historic Data'!AM:AM,MATCH(DATE(YEAR($B$16),MONTH($B$16)-12,1),'Historic Data'!Z:Z,0)),"")</f>
        <v>157568</v>
      </c>
      <c r="M51" s="381">
        <f t="shared" ref="M51:M59" si="12">(C51-L51)/L51</f>
        <v>-7.5282027198025417E-2</v>
      </c>
      <c r="N51" s="393"/>
      <c r="O51" s="399"/>
      <c r="P51" s="400"/>
      <c r="Q51" s="735">
        <f>SUM(C53:C54)/C51</f>
        <v>6.8777873245775528E-2</v>
      </c>
      <c r="R51" s="700">
        <f>SUM(J53:J54)/J51</f>
        <v>5.5365801387661069E-2</v>
      </c>
      <c r="S51" s="702">
        <f>(Q51-R51)/R51</f>
        <v>0.2422446983871076</v>
      </c>
      <c r="T51" s="700">
        <f>SUM(L53:L54)/L51</f>
        <v>3.7571080422420799E-2</v>
      </c>
      <c r="U51" s="702">
        <f>(Q51-T51)/T51</f>
        <v>0.83060674520107391</v>
      </c>
      <c r="V51" s="704" t="s">
        <v>314</v>
      </c>
      <c r="W51" s="704" t="s">
        <v>314</v>
      </c>
      <c r="X51" s="714" t="s">
        <v>314</v>
      </c>
    </row>
    <row r="52" spans="1:24" ht="25" customHeight="1">
      <c r="A52" s="294" t="s">
        <v>305</v>
      </c>
      <c r="B52" s="296">
        <f>B53+B54+B55</f>
        <v>65470</v>
      </c>
      <c r="C52" s="296">
        <f>C53+C54+C55</f>
        <v>86935.041806020061</v>
      </c>
      <c r="D52" s="296">
        <f>D53+D54+D55</f>
        <v>25036.959620560316</v>
      </c>
      <c r="E52" s="296">
        <f>E53+E54+E55</f>
        <v>33383.158704995709</v>
      </c>
      <c r="F52" s="296">
        <f>F53+F54+F55</f>
        <v>84097.187152225961</v>
      </c>
      <c r="G52" s="297">
        <f>C52/F52</f>
        <v>1.0337449414170921</v>
      </c>
      <c r="H52" s="296">
        <f>H53+H54+H55</f>
        <v>32776.579880312122</v>
      </c>
      <c r="I52" s="297">
        <f t="shared" ref="I52:I55" si="13">E52/H52</f>
        <v>1.0185064709893035</v>
      </c>
      <c r="J52" s="296">
        <f>J53+J54+J55</f>
        <v>82170</v>
      </c>
      <c r="K52" s="297">
        <f t="shared" si="11"/>
        <v>5.7990042667884399E-2</v>
      </c>
      <c r="L52" s="296">
        <f>L53+L54+L55</f>
        <v>84076</v>
      </c>
      <c r="M52" s="382">
        <f t="shared" si="12"/>
        <v>3.4005445145107532E-2</v>
      </c>
      <c r="N52" s="394"/>
      <c r="O52" s="733"/>
      <c r="P52" s="736"/>
      <c r="Q52" s="735"/>
      <c r="R52" s="700"/>
      <c r="S52" s="702"/>
      <c r="T52" s="700"/>
      <c r="U52" s="702"/>
      <c r="V52" s="705"/>
      <c r="W52" s="705"/>
      <c r="X52" s="715"/>
    </row>
    <row r="53" spans="1:24" ht="25" customHeight="1">
      <c r="A53" s="195" t="s">
        <v>202</v>
      </c>
      <c r="B53" s="329">
        <f>'MTD Actuals'!D5</f>
        <v>1102</v>
      </c>
      <c r="C53" s="178">
        <f>(B53/$B$15)*$B$14</f>
        <v>1313.9230769230769</v>
      </c>
      <c r="D53" s="178">
        <f>B53*'Shop Goals'!K63</f>
        <v>367.38852555188873</v>
      </c>
      <c r="E53" s="178">
        <f>(D53/$B$15)*$B$14</f>
        <v>438.04016508109811</v>
      </c>
      <c r="F53" s="331" cm="1">
        <f t="array" ref="F53">INDEX('Shop Goals'!D:D,MATCH(1,('Shop Goals'!A:A=$A$49)*(TRIM('Shop Goals'!C:C)=TEXT($B$16,"mmm")),0))</f>
        <v>933.50574712643675</v>
      </c>
      <c r="G53" s="180">
        <f t="shared" ref="G53:G55" si="14">C53/F53</f>
        <v>1.4075147163985433</v>
      </c>
      <c r="H53" s="329">
        <f>F53*'Shop Goals'!K63</f>
        <v>311.215335781303</v>
      </c>
      <c r="I53" s="180">
        <f t="shared" si="13"/>
        <v>1.4075147163985433</v>
      </c>
      <c r="J53" s="179">
        <f>IFERROR(INDEX('Historic Data'!DA:DA,MATCH(DATE(YEAR($B$16),MONTH($B$16)-1,1),'Historic Data'!Z:Z,0)),"")</f>
        <v>981</v>
      </c>
      <c r="K53" s="349">
        <f t="shared" si="11"/>
        <v>0.33937112836195404</v>
      </c>
      <c r="L53" s="179">
        <f>IFERROR(INDEX('Historic Data'!DA:DA,MATCH(DATE(YEAR($B$16),MONTH($B$16)-12,1),'Historic Data'!Z:Z,0)),"")</f>
        <v>894</v>
      </c>
      <c r="M53" s="381">
        <f t="shared" si="12"/>
        <v>0.46971261400791603</v>
      </c>
      <c r="N53" s="393"/>
      <c r="O53" s="378"/>
      <c r="P53" s="397"/>
      <c r="Q53" s="735"/>
      <c r="R53" s="700"/>
      <c r="S53" s="702"/>
      <c r="T53" s="700"/>
      <c r="U53" s="702"/>
      <c r="V53" s="705"/>
      <c r="W53" s="705"/>
      <c r="X53" s="715"/>
    </row>
    <row r="54" spans="1:24" ht="25" customHeight="1">
      <c r="A54" s="195" t="s">
        <v>203</v>
      </c>
      <c r="B54" s="329">
        <f>'MTD Actuals'!D6</f>
        <v>7303</v>
      </c>
      <c r="C54" s="178">
        <f t="shared" ref="C54" si="15">(B54/$B$15)*$B$14</f>
        <v>8707.4230769230762</v>
      </c>
      <c r="D54" s="178">
        <f>B54*'Shop Goals'!K64</f>
        <v>1962.2947925575472</v>
      </c>
      <c r="E54" s="178">
        <f>(D54/$B$15)*$B$14</f>
        <v>2339.6591757416909</v>
      </c>
      <c r="F54" s="331" cm="1">
        <f t="array" ref="F54">INDEX('Shop Goals'!E:E,MATCH(1,('Shop Goals'!A:A=$A$49)*(TRIM('Shop Goals'!C:C)=TEXT($B$16,"mmm")),0))</f>
        <v>4852.7650063856963</v>
      </c>
      <c r="G54" s="180">
        <f t="shared" si="14"/>
        <v>1.7943220134222615</v>
      </c>
      <c r="H54" s="329">
        <f>F54*'Shop Goals'!K64</f>
        <v>1303.923798649342</v>
      </c>
      <c r="I54" s="180">
        <f t="shared" si="13"/>
        <v>1.7943220134222615</v>
      </c>
      <c r="J54" s="179">
        <f>IFERROR(INDEX('Historic Data'!DM:DM,MATCH(DATE(YEAR($B$16),MONTH($B$16)-1,1),'Historic Data'!Z:Z,0)),"")</f>
        <v>7286</v>
      </c>
      <c r="K54" s="349">
        <f>(C54-J54)/J54</f>
        <v>0.19508963449397149</v>
      </c>
      <c r="L54" s="179">
        <f>IFERROR(INDEX('Historic Data'!DM:DM,MATCH(DATE(YEAR($B$16),MONTH($B$16)-12,1),'Historic Data'!Z:Z,0)),"")</f>
        <v>5026</v>
      </c>
      <c r="M54" s="381">
        <f t="shared" si="12"/>
        <v>0.73247574152866624</v>
      </c>
      <c r="N54" s="393"/>
      <c r="O54" s="378"/>
      <c r="P54" s="397"/>
      <c r="Q54" s="735"/>
      <c r="R54" s="700"/>
      <c r="S54" s="702"/>
      <c r="T54" s="700"/>
      <c r="U54" s="702"/>
      <c r="V54" s="713"/>
      <c r="W54" s="713"/>
      <c r="X54" s="716"/>
    </row>
    <row r="55" spans="1:24" ht="25" customHeight="1">
      <c r="A55" s="195" t="s">
        <v>7</v>
      </c>
      <c r="B55" s="329">
        <f>'MTD Actuals'!D7</f>
        <v>57065</v>
      </c>
      <c r="C55" s="178">
        <f>(B55/$D$15)*$B$14</f>
        <v>76913.695652173905</v>
      </c>
      <c r="D55" s="330">
        <f>B55*'Shop Goals'!K65</f>
        <v>22707.276302450879</v>
      </c>
      <c r="E55" s="178">
        <f>(D55/$D$15)*$B$14</f>
        <v>30605.459364172923</v>
      </c>
      <c r="F55" s="331" cm="1">
        <f t="array" ref="F55">INDEX('Shop Goals'!G:G,MATCH(1,('Shop Goals'!A:A=$A$49)*(TRIM('Shop Goals'!C:C)=TEXT($B$16,"mmm")),0))</f>
        <v>78310.916398713831</v>
      </c>
      <c r="G55" s="180">
        <f t="shared" si="14"/>
        <v>0.9821580335054938</v>
      </c>
      <c r="H55" s="329">
        <f>F55*'Shop Goals'!K65</f>
        <v>31161.440745881479</v>
      </c>
      <c r="I55" s="180">
        <f t="shared" si="13"/>
        <v>0.9821580335054938</v>
      </c>
      <c r="J55" s="179">
        <f>IFERROR(INDEX('Historic Data'!BP:BP,MATCH(DATE(YEAR($B$16),MONTH($B$16)-1,1),'Historic Data'!Z:Z,0)),"")</f>
        <v>73903</v>
      </c>
      <c r="K55" s="349">
        <f t="shared" si="11"/>
        <v>4.0738476816555548E-2</v>
      </c>
      <c r="L55" s="179">
        <f>IFERROR(INDEX('Historic Data'!BP:BP,MATCH(DATE(YEAR($B$16),MONTH($B$16)-12,1),'Historic Data'!Z:Z,0)),"")</f>
        <v>78156</v>
      </c>
      <c r="M55" s="381">
        <f t="shared" si="12"/>
        <v>-1.5895188441400469E-2</v>
      </c>
      <c r="N55" s="393"/>
      <c r="O55" s="378"/>
      <c r="P55" s="397"/>
      <c r="Q55" s="405" t="s">
        <v>308</v>
      </c>
      <c r="R55" s="377" t="s">
        <v>291</v>
      </c>
      <c r="S55" s="377" t="s">
        <v>298</v>
      </c>
      <c r="T55" s="377" t="s">
        <v>293</v>
      </c>
      <c r="U55" s="377" t="s">
        <v>299</v>
      </c>
      <c r="V55" s="377" t="s">
        <v>313</v>
      </c>
      <c r="W55" s="402" t="s">
        <v>291</v>
      </c>
      <c r="X55" s="379" t="s">
        <v>298</v>
      </c>
    </row>
    <row r="56" spans="1:24" ht="25" customHeight="1">
      <c r="A56" s="294" t="s">
        <v>310</v>
      </c>
      <c r="B56" s="296">
        <f>B57+B59</f>
        <v>42176.059523809527</v>
      </c>
      <c r="C56" s="296">
        <f>C57+C59</f>
        <v>51237.066849816852</v>
      </c>
      <c r="D56" s="296">
        <f>D57+D59</f>
        <v>28618.661183544402</v>
      </c>
      <c r="E56" s="296">
        <f>E57+E59</f>
        <v>34358.485480390285</v>
      </c>
      <c r="F56" s="296">
        <f>F57+F59</f>
        <v>38680.121328224777</v>
      </c>
      <c r="G56" s="297">
        <f>C56/F56</f>
        <v>1.3246356291139476</v>
      </c>
      <c r="H56" s="296">
        <f>H57+H59</f>
        <v>25556.997778688525</v>
      </c>
      <c r="I56" s="297">
        <f>E56/H56</f>
        <v>1.3443866051059075</v>
      </c>
      <c r="J56" s="296">
        <f>J57+J59</f>
        <v>44805</v>
      </c>
      <c r="K56" s="297">
        <f>(C56-J56)/J56</f>
        <v>0.14355689877953023</v>
      </c>
      <c r="L56" s="296">
        <f>L57+L59</f>
        <v>45654</v>
      </c>
      <c r="M56" s="382">
        <f>(C56-L56)/L56</f>
        <v>0.12229085840927087</v>
      </c>
      <c r="N56" s="394"/>
      <c r="O56" s="733"/>
      <c r="P56" s="736"/>
      <c r="Q56" s="735">
        <f>B57/B51</f>
        <v>0.29512704062845219</v>
      </c>
      <c r="R56" s="700">
        <f>J57/J51</f>
        <v>0.25114522221329261</v>
      </c>
      <c r="S56" s="702">
        <f>(Q56-R56)/R56</f>
        <v>0.17512504529274581</v>
      </c>
      <c r="T56" s="700">
        <f>L57/L51</f>
        <v>0.22963418968318441</v>
      </c>
      <c r="U56" s="702">
        <f>(Q56-T56)/T56</f>
        <v>0.2852051388150223</v>
      </c>
      <c r="V56" s="704">
        <f>C58/C57</f>
        <v>0.77496811401319798</v>
      </c>
      <c r="W56" s="704">
        <f>J58/J57</f>
        <v>0.80893333333333328</v>
      </c>
      <c r="X56" s="699">
        <f>(V56-W56)/W56</f>
        <v>-4.1987661925336206E-2</v>
      </c>
    </row>
    <row r="57" spans="1:24" ht="25" customHeight="1">
      <c r="A57" s="195" t="s">
        <v>52</v>
      </c>
      <c r="B57" s="329">
        <f>'MTD Actuals'!D10</f>
        <v>36066</v>
      </c>
      <c r="C57" s="178">
        <f>(B57/$B$15)*$B$14</f>
        <v>43001.769230769234</v>
      </c>
      <c r="D57" s="178">
        <f>B57*'Research Goals'!K60</f>
        <v>27099.640824337584</v>
      </c>
      <c r="E57" s="178">
        <f>(D57/$B$15)*$B$14</f>
        <v>32311.110213633274</v>
      </c>
      <c r="F57" s="329" cm="1">
        <f t="array" ref="F57">INDEX('Research Goals'!D:D,MATCH(1,('Research Goals'!A:A=$A$49)*(TRIM('Research Goals'!C:C)=TEXT($B$16,"mmm")),0))</f>
        <v>31705.172413793101</v>
      </c>
      <c r="G57" s="180">
        <f>C57/F57</f>
        <v>1.3563013841887084</v>
      </c>
      <c r="H57" s="329">
        <f>F57*'Research Goals'!K60</f>
        <v>23822.95748592828</v>
      </c>
      <c r="I57" s="180">
        <f t="shared" ref="I57" si="16">E57/H57</f>
        <v>1.3563013841887082</v>
      </c>
      <c r="J57" s="179">
        <f>IFERROR(INDEX('Historic Data'!DY:DY,MATCH(DATE(YEAR($B$16),MONTH($B$16)-1,1),'Historic Data'!Z:Z,0)),"")</f>
        <v>37500</v>
      </c>
      <c r="K57" s="349">
        <f t="shared" si="11"/>
        <v>0.14671384615384625</v>
      </c>
      <c r="L57" s="179">
        <f>IFERROR(INDEX('Historic Data'!DY:DY,MATCH(DATE(YEAR($B$16),MONTH($B$16)-12,1),'Historic Data'!Z:Z,0)),"")</f>
        <v>36183</v>
      </c>
      <c r="M57" s="381">
        <f>(C57-L57)/L57</f>
        <v>0.188452290599708</v>
      </c>
      <c r="N57" s="393"/>
      <c r="O57" s="378"/>
      <c r="P57" s="397"/>
      <c r="Q57" s="735"/>
      <c r="R57" s="700"/>
      <c r="S57" s="702"/>
      <c r="T57" s="700"/>
      <c r="U57" s="702"/>
      <c r="V57" s="705"/>
      <c r="W57" s="705"/>
      <c r="X57" s="699"/>
    </row>
    <row r="58" spans="1:24" ht="25" customHeight="1">
      <c r="A58" s="195" t="s">
        <v>208</v>
      </c>
      <c r="B58" s="329">
        <f>'MTD Actuals'!N10</f>
        <v>27950</v>
      </c>
      <c r="C58" s="178">
        <f>(B58/$B$15)*$B$14</f>
        <v>33325</v>
      </c>
      <c r="D58" s="178" t="s">
        <v>199</v>
      </c>
      <c r="E58" s="178" t="s">
        <v>199</v>
      </c>
      <c r="F58" s="329" cm="1">
        <f t="array" ref="F58">INDEX('Research Goals'!E:E,MATCH(1,('Research Goals'!A:A=$A$49)*(TRIM('Research Goals'!C:C)=TEXT($B$16,"mmm")),0))</f>
        <v>21113.863346104721</v>
      </c>
      <c r="G58" s="180">
        <f>C58/F58</f>
        <v>1.5783468640355722</v>
      </c>
      <c r="H58" s="295" t="s">
        <v>311</v>
      </c>
      <c r="I58" s="178" t="s">
        <v>199</v>
      </c>
      <c r="J58" s="179">
        <f>IFERROR(INDEX('Historic Data'!EK:EK,MATCH(DATE(YEAR($B$16),MONTH($B$16)-1,1),'Historic Data'!Z:Z,0)),"")</f>
        <v>30335</v>
      </c>
      <c r="K58" s="349">
        <f t="shared" si="11"/>
        <v>9.8566012856436458E-2</v>
      </c>
      <c r="L58" s="179">
        <f>IFERROR(INDEX('Historic Data'!EK:EK,MATCH(DATE(YEAR($B$16),MONTH($B$16)-12,1),'Historic Data'!Z:Z,0)),"")</f>
        <v>22897</v>
      </c>
      <c r="M58" s="381">
        <f t="shared" si="12"/>
        <v>0.45543084246844567</v>
      </c>
      <c r="N58" s="393"/>
      <c r="O58" s="378"/>
      <c r="P58" s="397"/>
      <c r="Q58" s="735"/>
      <c r="R58" s="700"/>
      <c r="S58" s="702"/>
      <c r="T58" s="700"/>
      <c r="U58" s="702"/>
      <c r="V58" s="705"/>
      <c r="W58" s="705"/>
      <c r="X58" s="699"/>
    </row>
    <row r="59" spans="1:24" ht="25" customHeight="1" thickBot="1">
      <c r="A59" s="383" t="s">
        <v>14</v>
      </c>
      <c r="B59" s="384">
        <f>'MTD Actuals'!D11</f>
        <v>6110.0595238095239</v>
      </c>
      <c r="C59" s="385">
        <f>(B59/$D$16)*$B$14</f>
        <v>8235.2976190476202</v>
      </c>
      <c r="D59" s="385">
        <f>B59*'Research Goals'!K61</f>
        <v>1519.0203592068167</v>
      </c>
      <c r="E59" s="385">
        <f>(D59/$D$16)*$B$14</f>
        <v>2047.3752667570138</v>
      </c>
      <c r="F59" s="384" cm="1">
        <f t="array" ref="F59">INDEX('Research Goals'!F:F,MATCH(1,('Research Goals'!A:A=$A$49)*(TRIM('Research Goals'!C:C)=TEXT($B$16,"mmm")),0))</f>
        <v>6974.9489144316731</v>
      </c>
      <c r="G59" s="396">
        <f>C59/F59</f>
        <v>1.1806964782219687</v>
      </c>
      <c r="H59" s="384">
        <f>F59*'Research Goals'!K61</f>
        <v>1734.0402927602458</v>
      </c>
      <c r="I59" s="396">
        <f>E59/H59</f>
        <v>1.1806964782219687</v>
      </c>
      <c r="J59" s="388">
        <f>IFERROR(INDEX('Historic Data'!GZ:GZ,MATCH(DATE(YEAR($B$16),MONTH($B$16)-1,1),'Historic Data'!Z:Z,0)),"")</f>
        <v>7305</v>
      </c>
      <c r="K59" s="389">
        <f t="shared" si="11"/>
        <v>0.12735080342883234</v>
      </c>
      <c r="L59" s="388">
        <f>IFERROR(INDEX('Historic Data'!GZ:GZ,MATCH(DATE(YEAR($B$16),MONTH($B$16)-12,1),'Historic Data'!Z:Z,0)),"")</f>
        <v>9471</v>
      </c>
      <c r="M59" s="390">
        <f t="shared" si="12"/>
        <v>-0.13047221845131241</v>
      </c>
      <c r="N59" s="393"/>
      <c r="O59" s="380"/>
      <c r="P59" s="398"/>
      <c r="Q59" s="737"/>
      <c r="R59" s="701"/>
      <c r="S59" s="703"/>
      <c r="T59" s="701"/>
      <c r="U59" s="703"/>
      <c r="V59" s="706"/>
      <c r="W59" s="706"/>
      <c r="X59" s="707"/>
    </row>
    <row r="60" spans="1:24" ht="15" customHeight="1" thickBot="1">
      <c r="C60" s="41"/>
      <c r="F60" s="41"/>
      <c r="G60" s="374"/>
      <c r="J60" s="41"/>
      <c r="K60" s="374"/>
      <c r="L60" s="41"/>
      <c r="M60" s="374"/>
    </row>
    <row r="61" spans="1:24" ht="25" customHeight="1">
      <c r="A61" s="717" t="s">
        <v>94</v>
      </c>
      <c r="B61" s="718"/>
      <c r="C61" s="718"/>
      <c r="D61" s="718"/>
      <c r="E61" s="718"/>
      <c r="F61" s="718"/>
      <c r="G61" s="718"/>
      <c r="H61" s="718"/>
      <c r="I61" s="718"/>
      <c r="J61" s="718"/>
      <c r="K61" s="718"/>
      <c r="L61" s="718"/>
      <c r="M61" s="719"/>
      <c r="N61" s="391"/>
      <c r="O61" s="409"/>
      <c r="P61" s="410"/>
      <c r="Q61" s="738" t="s">
        <v>283</v>
      </c>
      <c r="R61" s="739"/>
      <c r="S61" s="739"/>
      <c r="T61" s="739"/>
      <c r="U61" s="739"/>
      <c r="V61" s="739"/>
      <c r="W61" s="739"/>
      <c r="X61" s="740"/>
    </row>
    <row r="62" spans="1:24" ht="25" customHeight="1" thickBot="1">
      <c r="A62" s="720"/>
      <c r="B62" s="721"/>
      <c r="C62" s="721"/>
      <c r="D62" s="721"/>
      <c r="E62" s="721"/>
      <c r="F62" s="721"/>
      <c r="G62" s="721"/>
      <c r="H62" s="721"/>
      <c r="I62" s="721"/>
      <c r="J62" s="721"/>
      <c r="K62" s="721"/>
      <c r="L62" s="721"/>
      <c r="M62" s="722"/>
      <c r="N62" s="391"/>
      <c r="O62" s="411"/>
      <c r="P62" s="412"/>
      <c r="Q62" s="741"/>
      <c r="R62" s="742"/>
      <c r="S62" s="742"/>
      <c r="T62" s="742"/>
      <c r="U62" s="742"/>
      <c r="V62" s="742"/>
      <c r="W62" s="742"/>
      <c r="X62" s="743"/>
    </row>
    <row r="63" spans="1:24" ht="25" customHeight="1">
      <c r="A63" s="199" t="s">
        <v>94</v>
      </c>
      <c r="B63" s="198" t="s">
        <v>284</v>
      </c>
      <c r="C63" s="198" t="s">
        <v>285</v>
      </c>
      <c r="D63" s="198" t="s">
        <v>286</v>
      </c>
      <c r="E63" s="198" t="s">
        <v>287</v>
      </c>
      <c r="F63" s="198" t="s">
        <v>112</v>
      </c>
      <c r="G63" s="198" t="s">
        <v>288</v>
      </c>
      <c r="H63" s="198" t="s">
        <v>289</v>
      </c>
      <c r="I63" s="198" t="s">
        <v>290</v>
      </c>
      <c r="J63" s="198" t="s">
        <v>291</v>
      </c>
      <c r="K63" s="198" t="s">
        <v>292</v>
      </c>
      <c r="L63" s="198" t="s">
        <v>293</v>
      </c>
      <c r="M63" s="200" t="s">
        <v>294</v>
      </c>
      <c r="N63" s="392"/>
      <c r="O63" s="708" t="s">
        <v>295</v>
      </c>
      <c r="P63" s="697" t="s">
        <v>296</v>
      </c>
      <c r="Q63" s="708" t="s">
        <v>297</v>
      </c>
      <c r="R63" s="403"/>
      <c r="S63" s="695" t="s">
        <v>298</v>
      </c>
      <c r="T63" s="695" t="s">
        <v>293</v>
      </c>
      <c r="U63" s="695" t="s">
        <v>299</v>
      </c>
      <c r="V63" s="695" t="s">
        <v>313</v>
      </c>
      <c r="W63" s="695" t="s">
        <v>291</v>
      </c>
      <c r="X63" s="697" t="s">
        <v>298</v>
      </c>
    </row>
    <row r="64" spans="1:24" ht="25" customHeight="1">
      <c r="A64" s="729"/>
      <c r="B64" s="730"/>
      <c r="C64" s="730"/>
      <c r="D64" s="730"/>
      <c r="E64" s="730"/>
      <c r="F64" s="730"/>
      <c r="G64" s="730"/>
      <c r="H64" s="730"/>
      <c r="I64" s="730"/>
      <c r="J64" s="730"/>
      <c r="K64" s="730"/>
      <c r="L64" s="730"/>
      <c r="M64" s="731"/>
      <c r="N64" s="395"/>
      <c r="O64" s="709"/>
      <c r="P64" s="698"/>
      <c r="Q64" s="709"/>
      <c r="R64" s="404" t="s">
        <v>291</v>
      </c>
      <c r="S64" s="696"/>
      <c r="T64" s="696"/>
      <c r="U64" s="696"/>
      <c r="V64" s="696"/>
      <c r="W64" s="696"/>
      <c r="X64" s="698"/>
    </row>
    <row r="65" spans="1:24" ht="25" customHeight="1">
      <c r="A65" s="293" t="s">
        <v>219</v>
      </c>
      <c r="B65" s="329">
        <f>'MTD Actuals'!F15</f>
        <v>949289</v>
      </c>
      <c r="C65" s="178">
        <f>(B65/$B$15)*$B$14</f>
        <v>1131844.5769230768</v>
      </c>
      <c r="D65" s="178" t="s">
        <v>199</v>
      </c>
      <c r="E65" s="178" t="s">
        <v>199</v>
      </c>
      <c r="F65" s="179" cm="1">
        <f t="array" ref="F65">INDEX('Consideration Goals'!E:E,MATCH(1,('Consideration Goals'!A:A=$A$63)*(TRIM('Consideration Goals'!C:C)=TEXT($B$16,"mmm")),0))</f>
        <v>1204504.380206598</v>
      </c>
      <c r="G65" s="180">
        <f>C65/F65</f>
        <v>0.93967659688289507</v>
      </c>
      <c r="H65" s="178" t="s">
        <v>199</v>
      </c>
      <c r="I65" s="178" t="s">
        <v>199</v>
      </c>
      <c r="J65" s="179">
        <f>IFERROR(INDEX('Historic Data'!AO:AO,MATCH(DATE(YEAR($B$16),MONTH($B$16)-1,1),'Historic Data'!Z:Z,0)),"")</f>
        <v>1106026</v>
      </c>
      <c r="K65" s="349">
        <f t="shared" ref="K65:K73" si="17">(C65-J65)/J65</f>
        <v>2.3343553336971069E-2</v>
      </c>
      <c r="L65" s="179">
        <f>IFERROR(INDEX('Historic Data'!AO:AO,MATCH(DATE(YEAR($B$16),MONTH($B$16)-12,1),'Historic Data'!Z:Z,0)),"")</f>
        <v>1423670</v>
      </c>
      <c r="M65" s="381">
        <f t="shared" ref="M65:M73" si="18">(C65-L65)/L65</f>
        <v>-0.2049810862608071</v>
      </c>
      <c r="N65" s="393"/>
      <c r="O65" s="399"/>
      <c r="P65" s="400"/>
      <c r="Q65" s="735">
        <f>SUM(C67:C68)/C65</f>
        <v>4.5876440156791036E-2</v>
      </c>
      <c r="R65" s="700">
        <f>SUM(J67:J68)/J65</f>
        <v>3.7509063982221036E-2</v>
      </c>
      <c r="S65" s="702">
        <f>(Q65-R65)/R65</f>
        <v>0.22307611244407652</v>
      </c>
      <c r="T65" s="700">
        <f>SUM(L67:L68)/L65</f>
        <v>2.6379708780827016E-2</v>
      </c>
      <c r="U65" s="702">
        <f>(Q65-T65)/T65</f>
        <v>0.73908061449618434</v>
      </c>
      <c r="V65" s="704" t="s">
        <v>314</v>
      </c>
      <c r="W65" s="704" t="s">
        <v>314</v>
      </c>
      <c r="X65" s="714" t="s">
        <v>314</v>
      </c>
    </row>
    <row r="66" spans="1:24" ht="25" customHeight="1">
      <c r="A66" s="294" t="s">
        <v>305</v>
      </c>
      <c r="B66" s="296">
        <f>B67+B68+B69</f>
        <v>330495</v>
      </c>
      <c r="C66" s="296">
        <f>C67+C68+C69</f>
        <v>438676.95652173914</v>
      </c>
      <c r="D66" s="296">
        <f>D67+D68+D69</f>
        <v>133604.19276807905</v>
      </c>
      <c r="E66" s="296">
        <f>E67+E68+E69</f>
        <v>178285.47670033158</v>
      </c>
      <c r="F66" s="296">
        <f>F67+F68+F69</f>
        <v>430296.70604906516</v>
      </c>
      <c r="G66" s="297">
        <f>C66/F66</f>
        <v>1.0194755162074571</v>
      </c>
      <c r="H66" s="296">
        <f>H67+H68+H69</f>
        <v>177065.74358172715</v>
      </c>
      <c r="I66" s="297">
        <f t="shared" ref="I66:I69" si="19">E66/H66</f>
        <v>1.006888588915797</v>
      </c>
      <c r="J66" s="296">
        <f>J67+J68+J69</f>
        <v>448276</v>
      </c>
      <c r="K66" s="297">
        <f t="shared" si="17"/>
        <v>-2.1413244247429852E-2</v>
      </c>
      <c r="L66" s="296">
        <f>L67+L68+L69</f>
        <v>419964</v>
      </c>
      <c r="M66" s="382">
        <f t="shared" si="18"/>
        <v>4.455847768318031E-2</v>
      </c>
      <c r="N66" s="394"/>
      <c r="O66" s="733"/>
      <c r="P66" s="736"/>
      <c r="Q66" s="735"/>
      <c r="R66" s="700"/>
      <c r="S66" s="702"/>
      <c r="T66" s="700"/>
      <c r="U66" s="702"/>
      <c r="V66" s="705"/>
      <c r="W66" s="705"/>
      <c r="X66" s="715"/>
    </row>
    <row r="67" spans="1:24" ht="25" customHeight="1">
      <c r="A67" s="195" t="s">
        <v>202</v>
      </c>
      <c r="B67" s="329">
        <f>'MTD Actuals'!F5</f>
        <v>5550</v>
      </c>
      <c r="C67" s="178">
        <f>(B67/$B$15)*$B$14</f>
        <v>6617.3076923076924</v>
      </c>
      <c r="D67" s="178">
        <f>B67*'Shop Goals'!K83</f>
        <v>1765.5098229448683</v>
      </c>
      <c r="E67" s="178">
        <f>(D67/$B$15)*$B$14</f>
        <v>2105.0309427419584</v>
      </c>
      <c r="F67" s="331" cm="1">
        <f t="array" ref="F67">INDEX('Shop Goals'!D:D,MATCH(1,('Shop Goals'!A:A=$A$63)*(TRIM('Shop Goals'!C:C)=TEXT($B$16,"mmm")),0))</f>
        <v>6351.4445184938359</v>
      </c>
      <c r="G67" s="547">
        <f t="shared" ref="G67:G69" si="20">C67/F67</f>
        <v>1.041858694197789</v>
      </c>
      <c r="H67" s="329">
        <f>F67*'Shop Goals'!K83</f>
        <v>2020.4572409531904</v>
      </c>
      <c r="I67" s="180">
        <f t="shared" si="19"/>
        <v>1.041858694197789</v>
      </c>
      <c r="J67" s="179">
        <f>IFERROR(INDEX('Historic Data'!DC:DC,MATCH(DATE(YEAR($B$16),MONTH($B$16)-1,1),'Historic Data'!Z:Z,0)),"")</f>
        <v>5225</v>
      </c>
      <c r="K67" s="349">
        <f>(C67-J67)/J67</f>
        <v>0.26647037173352967</v>
      </c>
      <c r="L67" s="179">
        <f>IFERROR(INDEX('Historic Data'!DC:DC,MATCH(DATE(YEAR($B$16),MONTH($B$16)-12,1),'Historic Data'!Z:Z,0)),"")</f>
        <v>6318</v>
      </c>
      <c r="M67" s="381">
        <f t="shared" si="18"/>
        <v>4.7373803784060205E-2</v>
      </c>
      <c r="N67" s="393"/>
      <c r="O67" s="378"/>
      <c r="P67" s="397"/>
      <c r="Q67" s="735"/>
      <c r="R67" s="700"/>
      <c r="S67" s="702"/>
      <c r="T67" s="700"/>
      <c r="U67" s="702"/>
      <c r="V67" s="705"/>
      <c r="W67" s="705"/>
      <c r="X67" s="715"/>
    </row>
    <row r="68" spans="1:24" ht="25" customHeight="1">
      <c r="A68" s="195" t="s">
        <v>203</v>
      </c>
      <c r="B68" s="329">
        <f>'MTD Actuals'!F6</f>
        <v>38000</v>
      </c>
      <c r="C68" s="178">
        <f t="shared" ref="C68" si="21">(B68/$B$15)*$B$14</f>
        <v>45307.692307692305</v>
      </c>
      <c r="D68" s="178">
        <f>B68*'Shop Goals'!K84</f>
        <v>9742.7085025759588</v>
      </c>
      <c r="E68" s="178">
        <f>(D68/$B$15)*$B$14</f>
        <v>11616.306291532874</v>
      </c>
      <c r="F68" s="331" cm="1">
        <f t="array" ref="F68">INDEX('Shop Goals'!E:E,MATCH(1,('Shop Goals'!A:A=$A$63)*(TRIM('Shop Goals'!C:C)=TEXT($B$16,"mmm")),0))</f>
        <v>31603.859963345552</v>
      </c>
      <c r="G68" s="546">
        <f t="shared" si="20"/>
        <v>1.4336126144161057</v>
      </c>
      <c r="H68" s="329">
        <f>F68*'Shop Goals'!K84</f>
        <v>8102.8209257659637</v>
      </c>
      <c r="I68" s="180">
        <f t="shared" si="19"/>
        <v>1.4336126144161059</v>
      </c>
      <c r="J68" s="179">
        <f>IFERROR(INDEX('Historic Data'!DO:DO,MATCH(DATE(YEAR($B$16),MONTH($B$16)-1,1),'Historic Data'!Z:Z,0)),"")</f>
        <v>36261</v>
      </c>
      <c r="K68" s="349">
        <f>(C68-J68)/J68</f>
        <v>0.24948821895955173</v>
      </c>
      <c r="L68" s="179">
        <f>IFERROR(INDEX('Historic Data'!DO:DO,MATCH(DATE(YEAR($B$16),MONTH($B$16)-12,1),'Historic Data'!Z:Z,0)),"")</f>
        <v>31238</v>
      </c>
      <c r="M68" s="381">
        <f t="shared" si="18"/>
        <v>0.45040310863987149</v>
      </c>
      <c r="N68" s="393"/>
      <c r="O68" s="378"/>
      <c r="P68" s="397"/>
      <c r="Q68" s="735"/>
      <c r="R68" s="700"/>
      <c r="S68" s="702"/>
      <c r="T68" s="700"/>
      <c r="U68" s="702"/>
      <c r="V68" s="713"/>
      <c r="W68" s="713"/>
      <c r="X68" s="716"/>
    </row>
    <row r="69" spans="1:24" ht="25" customHeight="1">
      <c r="A69" s="195" t="s">
        <v>7</v>
      </c>
      <c r="B69" s="329">
        <f>'MTD Actuals'!F7</f>
        <v>286945</v>
      </c>
      <c r="C69" s="178">
        <f>(B69/$D$15)*$B$14</f>
        <v>386751.95652173914</v>
      </c>
      <c r="D69" s="330">
        <f>B69*'Shop Goals'!K85</f>
        <v>122095.97444255822</v>
      </c>
      <c r="E69" s="178">
        <f>(D69/$D$15)*$B$14</f>
        <v>164564.13946605675</v>
      </c>
      <c r="F69" s="331" cm="1">
        <f t="array" ref="F69">INDEX('Shop Goals'!G:G,MATCH(1,('Shop Goals'!A:A=$A$63)*(TRIM('Shop Goals'!C:C)=TEXT($B$16,"mmm")),0))</f>
        <v>392341.40156722575</v>
      </c>
      <c r="G69" s="180">
        <f t="shared" si="20"/>
        <v>0.98575361911039894</v>
      </c>
      <c r="H69" s="329">
        <f>F69*'Shop Goals'!K85</f>
        <v>166942.46541500799</v>
      </c>
      <c r="I69" s="180">
        <f t="shared" si="19"/>
        <v>0.98575361911039905</v>
      </c>
      <c r="J69" s="179">
        <f>IFERROR(INDEX('Historic Data'!BR:BR,MATCH(DATE(YEAR($B$16),MONTH($B$16)-1,1),'Historic Data'!Z:Z,0)),"")</f>
        <v>406790</v>
      </c>
      <c r="K69" s="349">
        <f t="shared" si="17"/>
        <v>-4.9258938219378219E-2</v>
      </c>
      <c r="L69" s="179">
        <f>IFERROR(INDEX('Historic Data'!BR:BR,MATCH(DATE(YEAR($B$16),MONTH($B$16)-12,1),'Historic Data'!Z:Z,0)),"")</f>
        <v>382408</v>
      </c>
      <c r="M69" s="381">
        <f t="shared" si="18"/>
        <v>1.1359481291550217E-2</v>
      </c>
      <c r="N69" s="393"/>
      <c r="O69" s="378"/>
      <c r="P69" s="397"/>
      <c r="Q69" s="405" t="s">
        <v>308</v>
      </c>
      <c r="R69" s="377" t="s">
        <v>291</v>
      </c>
      <c r="S69" s="377" t="s">
        <v>298</v>
      </c>
      <c r="T69" s="377" t="s">
        <v>293</v>
      </c>
      <c r="U69" s="377" t="s">
        <v>299</v>
      </c>
      <c r="V69" s="377" t="s">
        <v>313</v>
      </c>
      <c r="W69" s="402" t="s">
        <v>291</v>
      </c>
      <c r="X69" s="379" t="s">
        <v>298</v>
      </c>
    </row>
    <row r="70" spans="1:24" ht="25" customHeight="1">
      <c r="A70" s="294" t="s">
        <v>310</v>
      </c>
      <c r="B70" s="296">
        <f>B71+B73</f>
        <v>231205.20535714287</v>
      </c>
      <c r="C70" s="296">
        <f>C71+C73</f>
        <v>279989.01089942665</v>
      </c>
      <c r="D70" s="296">
        <f>D71+D73</f>
        <v>159754.97516239077</v>
      </c>
      <c r="E70" s="296">
        <f>E71+E73</f>
        <v>191551.39463491947</v>
      </c>
      <c r="F70" s="296">
        <f>F71+F73</f>
        <v>213352.84780073311</v>
      </c>
      <c r="G70" s="297">
        <f>C70/F70</f>
        <v>1.3123284445723933</v>
      </c>
      <c r="H70" s="296">
        <f>H71+H73</f>
        <v>139857.47612520284</v>
      </c>
      <c r="I70" s="297">
        <f>E70/H70</f>
        <v>1.3696185569903989</v>
      </c>
      <c r="J70" s="296">
        <f>J71+J73</f>
        <v>235503.57142857142</v>
      </c>
      <c r="K70" s="297">
        <f>(C70-J70)/J70</f>
        <v>0.1888949674988166</v>
      </c>
      <c r="L70" s="296">
        <f>L71+L73</f>
        <v>214453</v>
      </c>
      <c r="M70" s="382">
        <f>(C70-L70)/L70</f>
        <v>0.30559614880382485</v>
      </c>
      <c r="N70" s="394"/>
      <c r="O70" s="733"/>
      <c r="P70" s="736"/>
      <c r="Q70" s="735">
        <f>B71/B65</f>
        <v>0.21428563904142994</v>
      </c>
      <c r="R70" s="700">
        <f>J71/J65</f>
        <v>0.18269914088818889</v>
      </c>
      <c r="S70" s="702">
        <f>(Q70-R70)/R70</f>
        <v>0.17288804971760569</v>
      </c>
      <c r="T70" s="700">
        <f>L71/L65</f>
        <v>0.12329191455885143</v>
      </c>
      <c r="U70" s="702">
        <f>(Q70-T70)/T70</f>
        <v>0.73803480794471821</v>
      </c>
      <c r="V70" s="704">
        <f>C72/C71</f>
        <v>0.84153397666884611</v>
      </c>
      <c r="W70" s="704">
        <f>J72/J71</f>
        <v>0.82498144207452861</v>
      </c>
      <c r="X70" s="699">
        <f>(V70-W70)/W70</f>
        <v>2.0064129627805787E-2</v>
      </c>
    </row>
    <row r="71" spans="1:24" ht="25" customHeight="1">
      <c r="A71" s="195" t="s">
        <v>52</v>
      </c>
      <c r="B71" s="329">
        <f>'MTD Actuals'!F10</f>
        <v>203419</v>
      </c>
      <c r="C71" s="178">
        <f>(B71/$B$15)*$B$14</f>
        <v>242538.03846153847</v>
      </c>
      <c r="D71" s="178">
        <f>B71*'Research Goals'!K79</f>
        <v>152847.0536473667</v>
      </c>
      <c r="E71" s="178">
        <f>(D71/$B$15)*$B$14</f>
        <v>182240.71781032183</v>
      </c>
      <c r="F71" s="178" cm="1">
        <f t="array" ref="F71">INDEX('Research Goals'!D:D,MATCH(1,('Research Goals'!A:A=$A$63)*(TRIM('Research Goals'!C:C)=TEXT($B$16,"mmm")),0))</f>
        <v>172671.52907364213</v>
      </c>
      <c r="G71" s="180">
        <f>C71/F71</f>
        <v>1.4046208993614644</v>
      </c>
      <c r="H71" s="329">
        <f>F71*'Research Goals'!K79</f>
        <v>129743.70372330911</v>
      </c>
      <c r="I71" s="180">
        <f t="shared" ref="I71" si="22">E71/H71</f>
        <v>1.4046208993614644</v>
      </c>
      <c r="J71" s="179">
        <f>IFERROR(INDEX('Historic Data'!EA:EA,MATCH(DATE(YEAR($B$16),MONTH($B$16)-1,1),'Historic Data'!Z:Z,0)),"")</f>
        <v>202070</v>
      </c>
      <c r="K71" s="349">
        <f t="shared" si="17"/>
        <v>0.20026742446448492</v>
      </c>
      <c r="L71" s="179">
        <f>IFERROR(INDEX('Historic Data'!EA:EA,MATCH(DATE(YEAR($B$16),MONTH($B$16)-12,1),'Historic Data'!Z:Z,0)),"")</f>
        <v>175527</v>
      </c>
      <c r="M71" s="381">
        <f>(C71-L71)/L71</f>
        <v>0.38177054505311703</v>
      </c>
      <c r="N71" s="393"/>
      <c r="O71" s="378"/>
      <c r="P71" s="397"/>
      <c r="Q71" s="735"/>
      <c r="R71" s="700"/>
      <c r="S71" s="702"/>
      <c r="T71" s="700"/>
      <c r="U71" s="702"/>
      <c r="V71" s="705"/>
      <c r="W71" s="705"/>
      <c r="X71" s="699"/>
    </row>
    <row r="72" spans="1:24" ht="25" customHeight="1">
      <c r="A72" s="195" t="s">
        <v>208</v>
      </c>
      <c r="B72" s="329">
        <f>'MTD Actuals'!P10</f>
        <v>171184</v>
      </c>
      <c r="C72" s="178">
        <f>(B72/$B$15)*$B$14</f>
        <v>204104</v>
      </c>
      <c r="D72" s="178" t="s">
        <v>199</v>
      </c>
      <c r="E72" s="178" t="s">
        <v>199</v>
      </c>
      <c r="F72" s="329" cm="1">
        <f t="array" ref="F72">INDEX('Research Goals'!E:E,MATCH(1,('Research Goals'!A:A=$A$63)*(TRIM('Research Goals'!C:C)=TEXT($B$16,"mmm")),0))</f>
        <v>131201.08047317562</v>
      </c>
      <c r="G72" s="180">
        <f>C72/F72</f>
        <v>1.5556579203761174</v>
      </c>
      <c r="H72" s="295" t="s">
        <v>311</v>
      </c>
      <c r="I72" s="178" t="s">
        <v>199</v>
      </c>
      <c r="J72" s="179">
        <f>IFERROR(INDEX('Historic Data'!EM:EM,MATCH(DATE(YEAR($B$16),MONTH($B$16)-1,1),'Historic Data'!Z:Z,0)),"")</f>
        <v>166704</v>
      </c>
      <c r="K72" s="349">
        <f t="shared" si="17"/>
        <v>0.22434974565697283</v>
      </c>
      <c r="L72" s="179">
        <f>IFERROR(INDEX('Historic Data'!EM:EM,MATCH(DATE(YEAR($B$16),MONTH($B$16)-12,1),'Historic Data'!Z:Z,0)),"")</f>
        <v>133383</v>
      </c>
      <c r="M72" s="381">
        <f t="shared" si="18"/>
        <v>0.53020999677620084</v>
      </c>
      <c r="N72" s="393"/>
      <c r="O72" s="378"/>
      <c r="P72" s="397"/>
      <c r="Q72" s="735"/>
      <c r="R72" s="700"/>
      <c r="S72" s="702"/>
      <c r="T72" s="700"/>
      <c r="U72" s="702"/>
      <c r="V72" s="705"/>
      <c r="W72" s="705"/>
      <c r="X72" s="699"/>
    </row>
    <row r="73" spans="1:24" ht="25" customHeight="1" thickBot="1">
      <c r="A73" s="383" t="s">
        <v>14</v>
      </c>
      <c r="B73" s="384">
        <f>'MTD Actuals'!F11</f>
        <v>27786.205357142859</v>
      </c>
      <c r="C73" s="385">
        <f>(B73/$D$16)*$B$14</f>
        <v>37450.972437888195</v>
      </c>
      <c r="D73" s="385">
        <f>B73*'Research Goals'!K80</f>
        <v>6907.921515024067</v>
      </c>
      <c r="E73" s="385">
        <f>(D73/$D$16)*$B$14</f>
        <v>9310.6768245976546</v>
      </c>
      <c r="F73" s="384" cm="1">
        <f t="array" ref="F73">INDEX('Research Goals'!F:F,MATCH(1,('Research Goals'!A:A=$A$63)*(TRIM('Research Goals'!C:C)=TEXT($B$16,"mmm")),0))</f>
        <v>40681.318727090969</v>
      </c>
      <c r="G73" s="396">
        <f>C73/F73</f>
        <v>0.920593864941463</v>
      </c>
      <c r="H73" s="384">
        <f>F73*'Research Goals'!K80</f>
        <v>10113.772401893732</v>
      </c>
      <c r="I73" s="396">
        <f>E73/H73</f>
        <v>0.92059386494146311</v>
      </c>
      <c r="J73" s="388">
        <f>IFERROR(INDEX('Historic Data'!GX:GX,MATCH(DATE(YEAR($B$16),MONTH($B$16)-1,1),'Historic Data'!Z:Z,0)),"")</f>
        <v>33433.571428571428</v>
      </c>
      <c r="K73" s="389">
        <f t="shared" si="17"/>
        <v>0.12016068991910343</v>
      </c>
      <c r="L73" s="388">
        <f>IFERROR(INDEX('Historic Data'!GX:GX,MATCH(DATE(YEAR($B$16),MONTH($B$16)-12,1),'Historic Data'!Z:Z,0)),"")</f>
        <v>38926</v>
      </c>
      <c r="M73" s="390">
        <f t="shared" si="18"/>
        <v>-3.7893119306165679E-2</v>
      </c>
      <c r="N73" s="393"/>
      <c r="O73" s="380"/>
      <c r="P73" s="398"/>
      <c r="Q73" s="737"/>
      <c r="R73" s="701"/>
      <c r="S73" s="703"/>
      <c r="T73" s="701"/>
      <c r="U73" s="703"/>
      <c r="V73" s="706"/>
      <c r="W73" s="706"/>
      <c r="X73" s="707"/>
    </row>
    <row r="74" spans="1:24" ht="15" customHeight="1" thickBot="1">
      <c r="F74" s="41"/>
    </row>
    <row r="75" spans="1:24" ht="25" customHeight="1">
      <c r="A75" s="717" t="s">
        <v>315</v>
      </c>
      <c r="B75" s="718"/>
      <c r="C75" s="718"/>
      <c r="D75" s="718"/>
      <c r="E75" s="718"/>
      <c r="F75" s="718"/>
      <c r="G75" s="718"/>
      <c r="H75" s="718"/>
      <c r="I75" s="718"/>
      <c r="J75" s="718"/>
      <c r="K75" s="718"/>
      <c r="L75" s="718"/>
      <c r="M75" s="719"/>
      <c r="N75" s="391"/>
      <c r="O75" s="409"/>
      <c r="P75" s="410"/>
      <c r="Q75" s="738" t="s">
        <v>283</v>
      </c>
      <c r="R75" s="739"/>
      <c r="S75" s="739"/>
      <c r="T75" s="739"/>
      <c r="U75" s="739"/>
      <c r="V75" s="739"/>
      <c r="W75" s="739"/>
      <c r="X75" s="740"/>
    </row>
    <row r="76" spans="1:24" ht="25" customHeight="1" thickBot="1">
      <c r="A76" s="720"/>
      <c r="B76" s="721"/>
      <c r="C76" s="721"/>
      <c r="D76" s="721"/>
      <c r="E76" s="721"/>
      <c r="F76" s="721"/>
      <c r="G76" s="721"/>
      <c r="H76" s="721"/>
      <c r="I76" s="721"/>
      <c r="J76" s="721"/>
      <c r="K76" s="721"/>
      <c r="L76" s="721"/>
      <c r="M76" s="722"/>
      <c r="N76" s="391"/>
      <c r="O76" s="411"/>
      <c r="P76" s="412"/>
      <c r="Q76" s="741"/>
      <c r="R76" s="742"/>
      <c r="S76" s="742"/>
      <c r="T76" s="742"/>
      <c r="U76" s="742"/>
      <c r="V76" s="742"/>
      <c r="W76" s="742"/>
      <c r="X76" s="743"/>
    </row>
    <row r="77" spans="1:24" ht="25" customHeight="1">
      <c r="A77" s="199" t="s">
        <v>315</v>
      </c>
      <c r="B77" s="198" t="s">
        <v>284</v>
      </c>
      <c r="C77" s="198" t="s">
        <v>285</v>
      </c>
      <c r="D77" s="198" t="s">
        <v>286</v>
      </c>
      <c r="E77" s="198" t="s">
        <v>287</v>
      </c>
      <c r="F77" s="198" t="s">
        <v>112</v>
      </c>
      <c r="G77" s="198" t="s">
        <v>288</v>
      </c>
      <c r="H77" s="198" t="s">
        <v>289</v>
      </c>
      <c r="I77" s="198" t="s">
        <v>290</v>
      </c>
      <c r="J77" s="198" t="s">
        <v>291</v>
      </c>
      <c r="K77" s="198" t="s">
        <v>292</v>
      </c>
      <c r="L77" s="198" t="s">
        <v>293</v>
      </c>
      <c r="M77" s="200" t="s">
        <v>294</v>
      </c>
      <c r="N77" s="392"/>
      <c r="O77" s="708" t="s">
        <v>295</v>
      </c>
      <c r="P77" s="697" t="s">
        <v>296</v>
      </c>
      <c r="Q77" s="708" t="s">
        <v>297</v>
      </c>
      <c r="R77" s="403"/>
      <c r="S77" s="695" t="s">
        <v>298</v>
      </c>
      <c r="T77" s="695" t="s">
        <v>293</v>
      </c>
      <c r="U77" s="695" t="s">
        <v>299</v>
      </c>
      <c r="V77" s="695" t="s">
        <v>313</v>
      </c>
      <c r="W77" s="695" t="s">
        <v>291</v>
      </c>
      <c r="X77" s="697" t="s">
        <v>298</v>
      </c>
    </row>
    <row r="78" spans="1:24" ht="25" customHeight="1">
      <c r="A78" s="729"/>
      <c r="B78" s="730"/>
      <c r="C78" s="730"/>
      <c r="D78" s="730"/>
      <c r="E78" s="730"/>
      <c r="F78" s="730"/>
      <c r="G78" s="730"/>
      <c r="H78" s="730"/>
      <c r="I78" s="730"/>
      <c r="J78" s="730"/>
      <c r="K78" s="730"/>
      <c r="L78" s="730"/>
      <c r="M78" s="731"/>
      <c r="N78" s="395"/>
      <c r="O78" s="709"/>
      <c r="P78" s="698"/>
      <c r="Q78" s="709"/>
      <c r="R78" s="404" t="s">
        <v>291</v>
      </c>
      <c r="S78" s="696"/>
      <c r="T78" s="696"/>
      <c r="U78" s="696"/>
      <c r="V78" s="696"/>
      <c r="W78" s="696"/>
      <c r="X78" s="698"/>
    </row>
    <row r="79" spans="1:24" ht="25" customHeight="1">
      <c r="A79" s="293" t="s">
        <v>219</v>
      </c>
      <c r="B79" s="329">
        <f>'MTD Actuals'!H15</f>
        <v>76534</v>
      </c>
      <c r="C79" s="178">
        <f>(B79/$B$15)*$B$14</f>
        <v>91252.076923076922</v>
      </c>
      <c r="D79" s="178" t="s">
        <v>199</v>
      </c>
      <c r="E79" s="178" t="s">
        <v>199</v>
      </c>
      <c r="F79" s="179" cm="1">
        <f t="array" ref="F79">INDEX('Consideration Goals'!E:E,MATCH(1,('Consideration Goals'!A:A=$A$77)*(TRIM('Consideration Goals'!C:C)=TEXT($B$16,"mmm")),0))</f>
        <v>64672.264150943403</v>
      </c>
      <c r="G79" s="180">
        <f>C79/F79</f>
        <v>1.4109924574481716</v>
      </c>
      <c r="H79" s="178" t="s">
        <v>199</v>
      </c>
      <c r="I79" s="178" t="s">
        <v>199</v>
      </c>
      <c r="J79" s="179">
        <f>IFERROR(INDEX('Historic Data'!AQ:AQ,MATCH(DATE(YEAR($B$16),MONTH($B$16)-1,1),'Historic Data'!Z:Z,0)),"")</f>
        <v>86246</v>
      </c>
      <c r="K79" s="349">
        <f t="shared" ref="K79:K87" si="23">(C79-J79)/J79</f>
        <v>5.8044163475139972E-2</v>
      </c>
      <c r="L79" s="179">
        <f>IFERROR(INDEX('Historic Data'!AQ:AQ,MATCH(DATE(YEAR($B$16),MONTH($B$16)-12,1),'Historic Data'!Z:Z,0)),"")</f>
        <v>128785</v>
      </c>
      <c r="M79" s="381">
        <f t="shared" ref="M79:M86" si="24">(C79-L79)/L79</f>
        <v>-0.29143862310768398</v>
      </c>
      <c r="N79" s="393"/>
      <c r="O79" s="399"/>
      <c r="P79" s="400"/>
      <c r="Q79" s="735">
        <f>SUM(C81:C82)/C79</f>
        <v>5.6158047403768258E-2</v>
      </c>
      <c r="R79" s="700">
        <f>SUM(J81:J82)/J79</f>
        <v>3.8216265102149663E-2</v>
      </c>
      <c r="S79" s="702">
        <f>(Q79-R79)/R79</f>
        <v>0.46948026589362785</v>
      </c>
      <c r="T79" s="700">
        <f>SUM(L81:L82)/L79</f>
        <v>4.9834996311682263E-2</v>
      </c>
      <c r="U79" s="702">
        <f>(Q79-T79)/T79</f>
        <v>0.12687973432444605</v>
      </c>
      <c r="V79" s="704" t="s">
        <v>314</v>
      </c>
      <c r="W79" s="704" t="s">
        <v>314</v>
      </c>
      <c r="X79" s="714" t="s">
        <v>314</v>
      </c>
    </row>
    <row r="80" spans="1:24" ht="25" customHeight="1">
      <c r="A80" s="294" t="s">
        <v>305</v>
      </c>
      <c r="B80" s="296">
        <f>B81+B82+B83</f>
        <v>10193</v>
      </c>
      <c r="C80" s="296">
        <f>C81+C82+C83</f>
        <v>13069.973244147157</v>
      </c>
      <c r="D80" s="296">
        <f>D81+D82+D83</f>
        <v>3629.8598385477235</v>
      </c>
      <c r="E80" s="296">
        <f>E81+E82+E83</f>
        <v>4715.3782381009951</v>
      </c>
      <c r="F80" s="296">
        <f>F81+F82+F83</f>
        <v>24773.832140533505</v>
      </c>
      <c r="G80" s="297">
        <f>C80/F80</f>
        <v>0.52757172043491918</v>
      </c>
      <c r="H80" s="296">
        <f>H81+H82+H83</f>
        <v>9986.3637834785986</v>
      </c>
      <c r="I80" s="297">
        <f t="shared" ref="I80:I83" si="25">E80/H80</f>
        <v>0.47218170100132928</v>
      </c>
      <c r="J80" s="296">
        <f>J81+J82+J83</f>
        <v>5930</v>
      </c>
      <c r="K80" s="297">
        <f>(C80-J80)/J80</f>
        <v>1.2040427055897398</v>
      </c>
      <c r="L80" s="296">
        <f>L81+L82+L83</f>
        <v>44921</v>
      </c>
      <c r="M80" s="382">
        <f t="shared" si="24"/>
        <v>-0.70904536310084021</v>
      </c>
      <c r="N80" s="394"/>
      <c r="O80" s="733"/>
      <c r="P80" s="736"/>
      <c r="Q80" s="735"/>
      <c r="R80" s="700"/>
      <c r="S80" s="702"/>
      <c r="T80" s="700"/>
      <c r="U80" s="702"/>
      <c r="V80" s="705"/>
      <c r="W80" s="705"/>
      <c r="X80" s="715"/>
    </row>
    <row r="81" spans="1:24" ht="25" customHeight="1">
      <c r="A81" s="195" t="s">
        <v>202</v>
      </c>
      <c r="B81" s="329">
        <f>'MTD Actuals'!H5</f>
        <v>499</v>
      </c>
      <c r="C81" s="178">
        <f>(B81/$B$15)*$B$14</f>
        <v>594.96153846153845</v>
      </c>
      <c r="D81" s="178">
        <f>B81*'Shop Goals'!K103</f>
        <v>159.5278672255285</v>
      </c>
      <c r="E81" s="178">
        <f>(D81/$B$15)*$B$14</f>
        <v>190.20630323043781</v>
      </c>
      <c r="F81" s="331" cm="1">
        <f t="array" ref="F81">INDEX('Shop Goals'!D:D,MATCH(1,('Shop Goals'!A:A=$A$77)*(TRIM('Shop Goals'!C:C)=TEXT($B$16,"mmm")),0))</f>
        <v>607.35849056603774</v>
      </c>
      <c r="G81" s="180">
        <f t="shared" ref="G81:G83" si="26">C81/F81</f>
        <v>0.97958873993356754</v>
      </c>
      <c r="H81" s="329">
        <f>F81*'Shop Goals'!K103</f>
        <v>194.16954837939133</v>
      </c>
      <c r="I81" s="180">
        <f t="shared" si="25"/>
        <v>0.97958873993356743</v>
      </c>
      <c r="J81" s="179">
        <f>IFERROR(INDEX('Historic Data'!DE:DE,MATCH(DATE(YEAR($B$16),MONTH($B$16)-1,1),'Historic Data'!Z:Z,0)),"")</f>
        <v>388</v>
      </c>
      <c r="K81" s="349">
        <f>(C81-J81)/J81</f>
        <v>0.53340602696272799</v>
      </c>
      <c r="L81" s="179">
        <f>IFERROR(INDEX('Historic Data'!DE:DE,MATCH(DATE(YEAR($B$16),MONTH($B$16)-12,1),'Historic Data'!Z:Z,0)),"")</f>
        <v>1266</v>
      </c>
      <c r="M81" s="381">
        <f>(C81-L81)/L81</f>
        <v>-0.53004617815044353</v>
      </c>
      <c r="N81" s="393"/>
      <c r="O81" s="378"/>
      <c r="P81" s="397"/>
      <c r="Q81" s="735"/>
      <c r="R81" s="700"/>
      <c r="S81" s="702"/>
      <c r="T81" s="700"/>
      <c r="U81" s="702"/>
      <c r="V81" s="705"/>
      <c r="W81" s="705"/>
      <c r="X81" s="715"/>
    </row>
    <row r="82" spans="1:24" ht="25" customHeight="1">
      <c r="A82" s="195" t="s">
        <v>203</v>
      </c>
      <c r="B82" s="329">
        <f>'MTD Actuals'!H6</f>
        <v>3799</v>
      </c>
      <c r="C82" s="178">
        <f t="shared" ref="C82" si="27">(B82/$B$15)*$B$14</f>
        <v>4529.5769230769229</v>
      </c>
      <c r="D82" s="178">
        <f>B82*'Shop Goals'!K104</f>
        <v>978.8682992805991</v>
      </c>
      <c r="E82" s="178">
        <f>(D82/$B$15)*$B$14</f>
        <v>1167.1122029884066</v>
      </c>
      <c r="F82" s="331" cm="1">
        <f t="array" ref="F82">INDEX('Shop Goals'!E:E,MATCH(1,('Shop Goals'!A:A=$A$77)*(TRIM('Shop Goals'!C:C)=TEXT($B$16,"mmm")),0))</f>
        <v>2555.0943396226417</v>
      </c>
      <c r="G82" s="180">
        <f t="shared" si="26"/>
        <v>1.7727630846483304</v>
      </c>
      <c r="H82" s="329">
        <f>F82*'Shop Goals'!K104</f>
        <v>658.35768642482253</v>
      </c>
      <c r="I82" s="180">
        <f t="shared" si="25"/>
        <v>1.7727630846483304</v>
      </c>
      <c r="J82" s="179">
        <f>IFERROR(INDEX('Historic Data'!DQ:DQ,MATCH(DATE(YEAR($B$16),MONTH($B$16)-1,1),'Historic Data'!Z:Z,0)),"")</f>
        <v>2908</v>
      </c>
      <c r="K82" s="349">
        <f>(C82-J82)/J82</f>
        <v>0.55762617712411378</v>
      </c>
      <c r="L82" s="179">
        <f>IFERROR(INDEX('Historic Data'!DQ:DQ,MATCH(DATE(YEAR($B$16),MONTH($B$16)-12,1),'Historic Data'!Z:Z,0)),"")</f>
        <v>5152</v>
      </c>
      <c r="M82" s="381">
        <f t="shared" si="24"/>
        <v>-0.12081193263258484</v>
      </c>
      <c r="N82" s="393"/>
      <c r="O82" s="378"/>
      <c r="P82" s="397"/>
      <c r="Q82" s="735"/>
      <c r="R82" s="700"/>
      <c r="S82" s="702"/>
      <c r="T82" s="700"/>
      <c r="U82" s="702"/>
      <c r="V82" s="713"/>
      <c r="W82" s="713"/>
      <c r="X82" s="716"/>
    </row>
    <row r="83" spans="1:24" ht="25" customHeight="1">
      <c r="A83" s="195" t="s">
        <v>7</v>
      </c>
      <c r="B83" s="329">
        <f>'MTD Actuals'!H7</f>
        <v>5895</v>
      </c>
      <c r="C83" s="178">
        <f>(B83/$D$15)*$B$14</f>
        <v>7945.4347826086951</v>
      </c>
      <c r="D83" s="330">
        <f>B83*'Shop Goals'!K105</f>
        <v>2491.4636720415956</v>
      </c>
      <c r="E83" s="178">
        <f>(D83/$D$15)*$B$14</f>
        <v>3358.0597318821506</v>
      </c>
      <c r="F83" s="331" cm="1">
        <f t="array" ref="F83">INDEX('Shop Goals'!G:G,MATCH(1,('Shop Goals'!A:A=$A$77)*(TRIM('Shop Goals'!C:C)=TEXT($B$16,"mmm")),0))</f>
        <v>21611.379310344826</v>
      </c>
      <c r="G83" s="180">
        <f t="shared" si="26"/>
        <v>0.36765051728120907</v>
      </c>
      <c r="H83" s="329">
        <f>F83*'Shop Goals'!K105</f>
        <v>9133.8365486743842</v>
      </c>
      <c r="I83" s="180">
        <f t="shared" si="25"/>
        <v>0.36765051728120907</v>
      </c>
      <c r="J83" s="179">
        <f>IFERROR(INDEX('Historic Data'!BT:BT,MATCH(DATE(YEAR($B$16),MONTH($B$16)-1,1),'Historic Data'!Z:Z,0)),"")</f>
        <v>2634</v>
      </c>
      <c r="K83" s="349">
        <f t="shared" si="23"/>
        <v>2.0164900465484794</v>
      </c>
      <c r="L83" s="179">
        <f>IFERROR(INDEX('Historic Data'!BT:BT,MATCH(DATE(YEAR($B$16),MONTH($B$16)-12,1),'Historic Data'!Z:Z,0)),"")</f>
        <v>38503</v>
      </c>
      <c r="M83" s="381">
        <f t="shared" si="24"/>
        <v>-0.79364115049194361</v>
      </c>
      <c r="N83" s="393"/>
      <c r="O83" s="378"/>
      <c r="P83" s="397"/>
      <c r="Q83" s="405" t="s">
        <v>308</v>
      </c>
      <c r="R83" s="377" t="s">
        <v>291</v>
      </c>
      <c r="S83" s="377" t="s">
        <v>298</v>
      </c>
      <c r="T83" s="377" t="s">
        <v>293</v>
      </c>
      <c r="U83" s="377" t="s">
        <v>299</v>
      </c>
      <c r="V83" s="377" t="s">
        <v>313</v>
      </c>
      <c r="W83" s="402" t="s">
        <v>291</v>
      </c>
      <c r="X83" s="379" t="s">
        <v>298</v>
      </c>
    </row>
    <row r="84" spans="1:24" ht="25" customHeight="1">
      <c r="A84" s="294" t="s">
        <v>310</v>
      </c>
      <c r="B84" s="296">
        <f>B85+B87</f>
        <v>23909.910714285714</v>
      </c>
      <c r="C84" s="296">
        <f>C85+C87</f>
        <v>28702.510093167701</v>
      </c>
      <c r="D84" s="296">
        <f>D85+D87</f>
        <v>17336.740314967989</v>
      </c>
      <c r="E84" s="296">
        <f>E85+E87</f>
        <v>20719.093284529754</v>
      </c>
      <c r="F84" s="296">
        <f>F85+F87</f>
        <v>16657.358490566039</v>
      </c>
      <c r="G84" s="297">
        <f>C84/F84</f>
        <v>1.7231129479156904</v>
      </c>
      <c r="H84" s="296">
        <f>H85+H87</f>
        <v>11353.046271779584</v>
      </c>
      <c r="I84" s="297">
        <f>E84/H84</f>
        <v>1.8249809600469502</v>
      </c>
      <c r="J84" s="296">
        <f>J85+J87</f>
        <v>19585.142857142859</v>
      </c>
      <c r="K84" s="297">
        <f>(C84-J84)/J84</f>
        <v>0.4655246736022487</v>
      </c>
      <c r="L84" s="296">
        <f>L85+L87</f>
        <v>33416</v>
      </c>
      <c r="M84" s="382">
        <f>(C84-L84)/L84</f>
        <v>-0.14105488109984138</v>
      </c>
      <c r="N84" s="394"/>
      <c r="O84" s="733"/>
      <c r="P84" s="736"/>
      <c r="Q84" s="735">
        <f>B85/B79</f>
        <v>0.29606449421172287</v>
      </c>
      <c r="R84" s="700">
        <f>J85/J79</f>
        <v>0.21096630568374186</v>
      </c>
      <c r="S84" s="702">
        <f>(Q84-R84)/R84</f>
        <v>0.40337336453884309</v>
      </c>
      <c r="T84" s="700">
        <f>L85/L79</f>
        <v>0.23084210117637924</v>
      </c>
      <c r="U84" s="702">
        <f>(Q84-T84)/T84</f>
        <v>0.28254115130198559</v>
      </c>
      <c r="V84" s="704">
        <f>C86/C85</f>
        <v>0.73652853170925447</v>
      </c>
      <c r="W84" s="704">
        <f>J86/J85</f>
        <v>0.73020060456169278</v>
      </c>
      <c r="X84" s="699">
        <f>(V84-W84)/W84</f>
        <v>8.6660119260789596E-3</v>
      </c>
    </row>
    <row r="85" spans="1:24" ht="25" customHeight="1">
      <c r="A85" s="195" t="s">
        <v>52</v>
      </c>
      <c r="B85" s="329">
        <f>'MTD Actuals'!H10</f>
        <v>22659</v>
      </c>
      <c r="C85" s="178">
        <f>(B85/$B$15)*$B$14</f>
        <v>27016.5</v>
      </c>
      <c r="D85" s="178">
        <f>B85*'Research Goals'!K98</f>
        <v>17025.751717369971</v>
      </c>
      <c r="E85" s="178">
        <f>(D85/$B$15)*$B$14</f>
        <v>20299.93473994112</v>
      </c>
      <c r="F85" s="329" cm="1">
        <f t="array" ref="F85">INDEX('Research Goals'!D:D,MATCH(1,('Research Goals'!A:A=$A$77)*(TRIM('Research Goals'!C:C)=TEXT($B$16,"mmm")),0))</f>
        <v>14343.962264150945</v>
      </c>
      <c r="G85" s="180">
        <f>C85/F85</f>
        <v>1.8834753956039618</v>
      </c>
      <c r="H85" s="329">
        <f>F85*'Research Goals'!K98</f>
        <v>10777.913418630918</v>
      </c>
      <c r="I85" s="180">
        <f t="shared" ref="I85" si="28">E85/H85</f>
        <v>1.883475395603962</v>
      </c>
      <c r="J85" s="179">
        <f>IFERROR(INDEX('Historic Data'!EC:EC,MATCH(DATE(YEAR($B$16),MONTH($B$16)-1,1),'Historic Data'!Z:Z,0)),"")</f>
        <v>18195</v>
      </c>
      <c r="K85" s="349">
        <f t="shared" si="23"/>
        <v>0.48483099752679309</v>
      </c>
      <c r="L85" s="179">
        <f>IFERROR(INDEX('Historic Data'!EC:EC,MATCH(DATE(YEAR($B$16),MONTH($B$16)-12,1),'Historic Data'!Z:Z,0)),"")</f>
        <v>29729</v>
      </c>
      <c r="M85" s="381">
        <f>(C85-L85)/L85</f>
        <v>-9.1240875912408759E-2</v>
      </c>
      <c r="N85" s="393"/>
      <c r="O85" s="378"/>
      <c r="P85" s="397"/>
      <c r="Q85" s="735"/>
      <c r="R85" s="700"/>
      <c r="S85" s="702"/>
      <c r="T85" s="700"/>
      <c r="U85" s="702"/>
      <c r="V85" s="705"/>
      <c r="W85" s="705"/>
      <c r="X85" s="699"/>
    </row>
    <row r="86" spans="1:24" ht="25" customHeight="1">
      <c r="A86" s="195" t="s">
        <v>208</v>
      </c>
      <c r="B86" s="329">
        <f>'MTD Actuals'!R10</f>
        <v>16689</v>
      </c>
      <c r="C86" s="178">
        <f>(B86/$B$15)*$B$14</f>
        <v>19898.423076923074</v>
      </c>
      <c r="D86" s="178" t="s">
        <v>199</v>
      </c>
      <c r="E86" s="178" t="s">
        <v>199</v>
      </c>
      <c r="F86" s="329" cm="1">
        <f t="array" ref="F86">INDEX('Research Goals'!E:E,MATCH(1,('Research Goals'!A:A=$A$77)*(TRIM('Research Goals'!C:C)=TEXT($B$16,"mmm")),0))</f>
        <v>8994.9056603773588</v>
      </c>
      <c r="G86" s="180">
        <f>C86/F86</f>
        <v>2.2121880793676145</v>
      </c>
      <c r="H86" s="295" t="s">
        <v>311</v>
      </c>
      <c r="I86" s="178" t="s">
        <v>199</v>
      </c>
      <c r="J86" s="179">
        <f>IFERROR(INDEX('Historic Data'!EO:EO,MATCH(DATE(YEAR($B$16),MONTH($B$16)-1,1),'Historic Data'!Z:Z,0)),"")</f>
        <v>13286</v>
      </c>
      <c r="K86" s="349">
        <f t="shared" si="23"/>
        <v>0.49769856065957208</v>
      </c>
      <c r="L86" s="179">
        <f>IFERROR(INDEX('Historic Data'!EO:EO,MATCH(DATE(YEAR($B$16),MONTH($B$16)-12,1),'Historic Data'!Z:Z,0)),"")</f>
        <v>18753</v>
      </c>
      <c r="M86" s="381">
        <f t="shared" si="24"/>
        <v>6.1079458055941685E-2</v>
      </c>
      <c r="N86" s="393"/>
      <c r="O86" s="378"/>
      <c r="P86" s="397"/>
      <c r="Q86" s="735"/>
      <c r="R86" s="700"/>
      <c r="S86" s="702"/>
      <c r="T86" s="700"/>
      <c r="U86" s="702"/>
      <c r="V86" s="705"/>
      <c r="W86" s="705"/>
      <c r="X86" s="699"/>
    </row>
    <row r="87" spans="1:24" ht="25" customHeight="1" thickBot="1">
      <c r="A87" s="383" t="s">
        <v>14</v>
      </c>
      <c r="B87" s="384">
        <f>'MTD Actuals'!H11</f>
        <v>1250.9107142857142</v>
      </c>
      <c r="C87" s="385">
        <f>(B87/$D$16)*$B$14</f>
        <v>1686.0100931677018</v>
      </c>
      <c r="D87" s="385">
        <f>B87*'Research Goals'!K99</f>
        <v>310.9885975980186</v>
      </c>
      <c r="E87" s="385">
        <f>(D87/$D$16)*$B$14</f>
        <v>419.15854458863373</v>
      </c>
      <c r="F87" s="384" cm="1">
        <f t="array" ref="F87">INDEX('Research Goals'!F:F,MATCH(1,('Research Goals'!A:A=$A$77)*(TRIM('Research Goals'!C:C)=TEXT($B$16,"mmm")),0))</f>
        <v>2313.3962264150946</v>
      </c>
      <c r="G87" s="396">
        <f>C87/F87</f>
        <v>0.72880299272398819</v>
      </c>
      <c r="H87" s="384">
        <f>F87*'Research Goals'!K99</f>
        <v>575.13285314866596</v>
      </c>
      <c r="I87" s="396">
        <f>E87/H87</f>
        <v>0.72880299272398819</v>
      </c>
      <c r="J87" s="388">
        <f>IFERROR(INDEX('Historic Data'!GS:GS,MATCH(DATE(YEAR($B$16),MONTH($B$16)-1,1),'Historic Data'!Z:Z,0)),"")</f>
        <v>1390.1428571428571</v>
      </c>
      <c r="K87" s="389">
        <f t="shared" si="23"/>
        <v>0.21283225281820092</v>
      </c>
      <c r="L87" s="388">
        <f>IFERROR(INDEX('Historic Data'!GS:GS,MATCH(DATE(YEAR($B$16),MONTH($B$16)-12,1),'Historic Data'!Z:Z,0)),"")</f>
        <v>3687</v>
      </c>
      <c r="M87" s="390">
        <f>(C87-L87)/L87</f>
        <v>-0.54271491912999681</v>
      </c>
      <c r="N87" s="393"/>
      <c r="O87" s="380"/>
      <c r="P87" s="398"/>
      <c r="Q87" s="737"/>
      <c r="R87" s="701"/>
      <c r="S87" s="703"/>
      <c r="T87" s="701"/>
      <c r="U87" s="703"/>
      <c r="V87" s="706"/>
      <c r="W87" s="706"/>
      <c r="X87" s="707"/>
    </row>
    <row r="88" spans="1:24" ht="15" customHeight="1" thickBot="1"/>
    <row r="89" spans="1:24" ht="25" customHeight="1">
      <c r="A89" s="717" t="s">
        <v>88</v>
      </c>
      <c r="B89" s="718"/>
      <c r="C89" s="718"/>
      <c r="D89" s="718"/>
      <c r="E89" s="718"/>
      <c r="F89" s="718"/>
      <c r="G89" s="718"/>
      <c r="H89" s="718"/>
      <c r="I89" s="718"/>
      <c r="J89" s="718"/>
      <c r="K89" s="718"/>
      <c r="L89" s="718"/>
      <c r="M89" s="719"/>
      <c r="N89" s="391"/>
      <c r="O89" s="409"/>
      <c r="P89" s="410"/>
      <c r="Q89" s="738" t="s">
        <v>283</v>
      </c>
      <c r="R89" s="739"/>
      <c r="S89" s="739"/>
      <c r="T89" s="739"/>
      <c r="U89" s="739"/>
      <c r="V89" s="739"/>
      <c r="W89" s="739"/>
      <c r="X89" s="740"/>
    </row>
    <row r="90" spans="1:24" ht="25" customHeight="1" thickBot="1">
      <c r="A90" s="720"/>
      <c r="B90" s="721"/>
      <c r="C90" s="721"/>
      <c r="D90" s="721"/>
      <c r="E90" s="721"/>
      <c r="F90" s="721"/>
      <c r="G90" s="721"/>
      <c r="H90" s="721"/>
      <c r="I90" s="721"/>
      <c r="J90" s="721"/>
      <c r="K90" s="721"/>
      <c r="L90" s="721"/>
      <c r="M90" s="722"/>
      <c r="N90" s="391"/>
      <c r="O90" s="411"/>
      <c r="P90" s="412"/>
      <c r="Q90" s="741"/>
      <c r="R90" s="742"/>
      <c r="S90" s="742"/>
      <c r="T90" s="742"/>
      <c r="U90" s="742"/>
      <c r="V90" s="742"/>
      <c r="W90" s="742"/>
      <c r="X90" s="743"/>
    </row>
    <row r="91" spans="1:24" ht="25" customHeight="1">
      <c r="A91" s="199" t="s">
        <v>88</v>
      </c>
      <c r="B91" s="198" t="s">
        <v>284</v>
      </c>
      <c r="C91" s="198" t="s">
        <v>285</v>
      </c>
      <c r="D91" s="198" t="s">
        <v>286</v>
      </c>
      <c r="E91" s="198" t="s">
        <v>287</v>
      </c>
      <c r="F91" s="198" t="s">
        <v>112</v>
      </c>
      <c r="G91" s="198" t="s">
        <v>288</v>
      </c>
      <c r="H91" s="198" t="s">
        <v>289</v>
      </c>
      <c r="I91" s="198" t="s">
        <v>290</v>
      </c>
      <c r="J91" s="198" t="s">
        <v>291</v>
      </c>
      <c r="K91" s="198" t="s">
        <v>292</v>
      </c>
      <c r="L91" s="198" t="s">
        <v>293</v>
      </c>
      <c r="M91" s="200" t="s">
        <v>294</v>
      </c>
      <c r="N91" s="392"/>
      <c r="O91" s="708" t="s">
        <v>295</v>
      </c>
      <c r="P91" s="697" t="s">
        <v>296</v>
      </c>
      <c r="Q91" s="708" t="s">
        <v>297</v>
      </c>
      <c r="R91" s="403"/>
      <c r="S91" s="695" t="s">
        <v>298</v>
      </c>
      <c r="T91" s="695" t="s">
        <v>293</v>
      </c>
      <c r="U91" s="695" t="s">
        <v>299</v>
      </c>
      <c r="V91" s="695" t="s">
        <v>313</v>
      </c>
      <c r="W91" s="695" t="s">
        <v>291</v>
      </c>
      <c r="X91" s="697" t="s">
        <v>298</v>
      </c>
    </row>
    <row r="92" spans="1:24" ht="25" customHeight="1">
      <c r="A92" s="729"/>
      <c r="B92" s="730"/>
      <c r="C92" s="730"/>
      <c r="D92" s="730"/>
      <c r="E92" s="730"/>
      <c r="F92" s="730"/>
      <c r="G92" s="730"/>
      <c r="H92" s="730"/>
      <c r="I92" s="730"/>
      <c r="J92" s="730"/>
      <c r="K92" s="730"/>
      <c r="L92" s="730"/>
      <c r="M92" s="731"/>
      <c r="N92" s="395"/>
      <c r="O92" s="709"/>
      <c r="P92" s="698"/>
      <c r="Q92" s="709"/>
      <c r="R92" s="404" t="s">
        <v>291</v>
      </c>
      <c r="S92" s="696"/>
      <c r="T92" s="696"/>
      <c r="U92" s="696"/>
      <c r="V92" s="696"/>
      <c r="W92" s="696"/>
      <c r="X92" s="698"/>
    </row>
    <row r="93" spans="1:24" ht="25" customHeight="1">
      <c r="A93" s="293" t="s">
        <v>219</v>
      </c>
      <c r="B93" s="329">
        <f>'MTD Actuals'!L15</f>
        <v>240800</v>
      </c>
      <c r="C93" s="178">
        <f>(B93/$B$15)*$B$14</f>
        <v>287107.69230769231</v>
      </c>
      <c r="D93" s="178" t="s">
        <v>199</v>
      </c>
      <c r="E93" s="178" t="s">
        <v>199</v>
      </c>
      <c r="F93" s="179" cm="1">
        <f t="array" ref="F93">INDEX('Consideration Goals'!E:E,MATCH(1,('Consideration Goals'!A:A=$A$91)*(TRIM('Consideration Goals'!C:C)=TEXT($B$16,"mmm")),0))</f>
        <v>300449.47401976411</v>
      </c>
      <c r="G93" s="180">
        <f>C93/F93</f>
        <v>0.95559392554904543</v>
      </c>
      <c r="H93" s="178" t="s">
        <v>199</v>
      </c>
      <c r="I93" s="178" t="s">
        <v>199</v>
      </c>
      <c r="J93" s="179">
        <f>IFERROR(INDEX('Historic Data'!AU:AU,MATCH(DATE(YEAR($B$16),MONTH($B$16)-1,1),'Historic Data'!Z:Z,0)),"")</f>
        <v>290178</v>
      </c>
      <c r="K93" s="349">
        <f t="shared" ref="K93:K101" si="29">(C93-J93)/J93</f>
        <v>-1.0580773498706614E-2</v>
      </c>
      <c r="L93" s="179">
        <f>IFERROR(INDEX('Historic Data'!AU:AU,MATCH(DATE(YEAR($B$16),MONTH($B$16)-12,1),'Historic Data'!Z:Z,0)),"")</f>
        <v>372597</v>
      </c>
      <c r="M93" s="381">
        <f t="shared" ref="M93:M100" si="30">(C93-L93)/L93</f>
        <v>-0.2294417499129292</v>
      </c>
      <c r="N93" s="393"/>
      <c r="O93" s="399"/>
      <c r="P93" s="400"/>
      <c r="Q93" s="735">
        <f>SUM(C95:C96)/C93</f>
        <v>8.7192691029900335E-2</v>
      </c>
      <c r="R93" s="700">
        <f>SUM(J95:J96)/J93</f>
        <v>7.7914245738822371E-2</v>
      </c>
      <c r="S93" s="702">
        <f>(Q93-R93)/R93</f>
        <v>0.11908535086356856</v>
      </c>
      <c r="T93" s="700">
        <f>SUM(L95:L96)/L93</f>
        <v>5.7601107899419482E-2</v>
      </c>
      <c r="U93" s="702">
        <f>(Q93-T93)/T93</f>
        <v>0.51373288135624706</v>
      </c>
      <c r="V93" s="704" t="s">
        <v>314</v>
      </c>
      <c r="W93" s="704" t="s">
        <v>314</v>
      </c>
      <c r="X93" s="714" t="s">
        <v>314</v>
      </c>
    </row>
    <row r="94" spans="1:24" ht="25" customHeight="1">
      <c r="A94" s="294" t="s">
        <v>305</v>
      </c>
      <c r="B94" s="296">
        <f>B95+B96+B97</f>
        <v>151028</v>
      </c>
      <c r="C94" s="296">
        <f>C95+C96+C97</f>
        <v>200294.21404682274</v>
      </c>
      <c r="D94" s="296">
        <f>D95+D96+D97</f>
        <v>59672.427934142914</v>
      </c>
      <c r="E94" s="296">
        <f>E95+E96+E97</f>
        <v>79558.944706243085</v>
      </c>
      <c r="F94" s="296">
        <f>F95+F96+F97</f>
        <v>192175.39125095954</v>
      </c>
      <c r="G94" s="518">
        <f>C94/F94</f>
        <v>1.042246942977527</v>
      </c>
      <c r="H94" s="296">
        <f>H95+H96+H97</f>
        <v>77223.195145181919</v>
      </c>
      <c r="I94" s="297">
        <f t="shared" ref="I94:I97" si="31">E94/H94</f>
        <v>1.0302467355393659</v>
      </c>
      <c r="J94" s="296">
        <f>J95+J96+J97</f>
        <v>203205</v>
      </c>
      <c r="K94" s="297">
        <f>(C94-J94)/J94</f>
        <v>-1.4324381551523119E-2</v>
      </c>
      <c r="L94" s="296">
        <f>L95+L96+L97</f>
        <v>226017</v>
      </c>
      <c r="M94" s="382">
        <f>(C94-L94)/L94</f>
        <v>-0.11380907610125458</v>
      </c>
      <c r="N94" s="394"/>
      <c r="O94" s="733"/>
      <c r="P94" s="736"/>
      <c r="Q94" s="735"/>
      <c r="R94" s="700"/>
      <c r="S94" s="702"/>
      <c r="T94" s="700"/>
      <c r="U94" s="702"/>
      <c r="V94" s="705"/>
      <c r="W94" s="705"/>
      <c r="X94" s="715"/>
    </row>
    <row r="95" spans="1:24" ht="25" customHeight="1">
      <c r="A95" s="195" t="s">
        <v>202</v>
      </c>
      <c r="B95" s="329">
        <f>'MTD Actuals'!L5</f>
        <v>1843</v>
      </c>
      <c r="C95" s="178">
        <f>(B95/$B$15)*$B$14</f>
        <v>2197.4230769230771</v>
      </c>
      <c r="D95" s="178">
        <f>B95*'Shop Goals'!K123</f>
        <v>596.0478477011352</v>
      </c>
      <c r="E95" s="178">
        <f>(D95/$B$15)*$B$14</f>
        <v>710.67243379750732</v>
      </c>
      <c r="F95" s="331" cm="1">
        <f t="array" ref="F95">INDEX('Shop Goals'!D:D,MATCH(1,('Shop Goals'!A:A=$A$91)*(TRIM('Shop Goals'!C:C)=TEXT($B$16,"mmm")),0))</f>
        <v>2238.7631495058972</v>
      </c>
      <c r="G95" s="180">
        <f t="shared" ref="G95:G97" si="32">C95/F95</f>
        <v>0.9815344143966529</v>
      </c>
      <c r="H95" s="329">
        <f>F95*'Shop Goals'!K123</f>
        <v>724.04229884731672</v>
      </c>
      <c r="I95" s="180">
        <f t="shared" si="31"/>
        <v>0.98153441439665279</v>
      </c>
      <c r="J95" s="179">
        <f>IFERROR(INDEX('Historic Data'!DI:DI,MATCH(DATE(YEAR($B$16),MONTH($B$16)-1,1),'Historic Data'!Z:Z,0)),"")</f>
        <v>2187</v>
      </c>
      <c r="K95" s="349">
        <f>(C95-J95)/J95</f>
        <v>4.765924519011035E-3</v>
      </c>
      <c r="L95" s="179">
        <f>IFERROR(INDEX('Historic Data'!DI:DI,MATCH(DATE(YEAR($B$16),MONTH($B$16)-12,1),'Historic Data'!Z:Z,0)),"")</f>
        <v>2833</v>
      </c>
      <c r="M95" s="381">
        <f>(C95-L95)/L95</f>
        <v>-0.22434766081077404</v>
      </c>
      <c r="N95" s="393"/>
      <c r="O95" s="378"/>
      <c r="P95" s="397"/>
      <c r="Q95" s="735"/>
      <c r="R95" s="700"/>
      <c r="S95" s="702"/>
      <c r="T95" s="700"/>
      <c r="U95" s="702"/>
      <c r="V95" s="705"/>
      <c r="W95" s="705"/>
      <c r="X95" s="715"/>
    </row>
    <row r="96" spans="1:24" ht="25" customHeight="1">
      <c r="A96" s="195" t="s">
        <v>203</v>
      </c>
      <c r="B96" s="329">
        <f>'MTD Actuals'!L6</f>
        <v>19153</v>
      </c>
      <c r="C96" s="178">
        <f t="shared" ref="C96" si="33">(B96/$B$15)*$B$14</f>
        <v>22836.26923076923</v>
      </c>
      <c r="D96" s="178">
        <f>B96*'Shop Goals'!K124</f>
        <v>4992.4250618238557</v>
      </c>
      <c r="E96" s="178">
        <f>(D96/$B$15)*$B$14</f>
        <v>5952.5068044822892</v>
      </c>
      <c r="F96" s="331" cm="1">
        <f t="array" ref="F96">INDEX('Shop Goals'!E:E,MATCH(1,('Shop Goals'!A:A=$A$91)*(TRIM('Shop Goals'!C:C)=TEXT($B$16,"mmm")),0))</f>
        <v>16106.471150781003</v>
      </c>
      <c r="G96" s="180">
        <f>C96/F96</f>
        <v>1.4178319395345578</v>
      </c>
      <c r="H96" s="329">
        <f>F96*'Shop Goals'!K124</f>
        <v>4198.3162027203043</v>
      </c>
      <c r="I96" s="180">
        <f t="shared" si="31"/>
        <v>1.417831939534558</v>
      </c>
      <c r="J96" s="179">
        <f>IFERROR(INDEX('Historic Data'!DU:DU,MATCH(DATE(YEAR($B$16),MONTH($B$16)-1,1),'Historic Data'!Z:Z,0)),"")</f>
        <v>20422</v>
      </c>
      <c r="K96" s="349">
        <f>(C96-J96)/J96</f>
        <v>0.11821903979870876</v>
      </c>
      <c r="L96" s="179">
        <f>IFERROR(INDEX('Historic Data'!DU:DU,MATCH(DATE(YEAR($B$16),MONTH($B$16)-12,1),'Historic Data'!Z:Z,0)),"")</f>
        <v>18629</v>
      </c>
      <c r="M96" s="381">
        <f t="shared" si="30"/>
        <v>0.22584514631860167</v>
      </c>
      <c r="N96" s="393"/>
      <c r="O96" s="378"/>
      <c r="P96" s="397">
        <f>'Shop Goals'!G124</f>
        <v>3.8404814754122781E-2</v>
      </c>
      <c r="Q96" s="735"/>
      <c r="R96" s="700"/>
      <c r="S96" s="702"/>
      <c r="T96" s="700"/>
      <c r="U96" s="702"/>
      <c r="V96" s="713"/>
      <c r="W96" s="713"/>
      <c r="X96" s="716"/>
    </row>
    <row r="97" spans="1:24" ht="25" customHeight="1">
      <c r="A97" s="195" t="s">
        <v>7</v>
      </c>
      <c r="B97" s="329">
        <f>'MTD Actuals'!L7</f>
        <v>130032</v>
      </c>
      <c r="C97" s="178">
        <f>(B97/$D$15)*$B$14</f>
        <v>175260.52173913043</v>
      </c>
      <c r="D97" s="330">
        <f>B97*'Shop Goals'!K125</f>
        <v>54083.955024617921</v>
      </c>
      <c r="E97" s="178">
        <f>(D97/$D$15)*$B$14</f>
        <v>72895.765467963283</v>
      </c>
      <c r="F97" s="331" cm="1">
        <f t="array" ref="F97">INDEX('Shop Goals'!G:G,MATCH(1,('Shop Goals'!A:A=$A$91)*(TRIM('Shop Goals'!C:C)=TEXT($B$16,"mmm")),0))</f>
        <v>173830.15695067265</v>
      </c>
      <c r="G97" s="180">
        <f t="shared" si="32"/>
        <v>1.0082285192256006</v>
      </c>
      <c r="H97" s="329">
        <f>F97*'Shop Goals'!K125</f>
        <v>72300.836643614297</v>
      </c>
      <c r="I97" s="180">
        <f t="shared" si="31"/>
        <v>1.0082285192256006</v>
      </c>
      <c r="J97" s="179">
        <f>IFERROR(INDEX('Historic Data'!BX:BX,MATCH(DATE(YEAR($B$16),MONTH($B$16)-1,1),'Historic Data'!Z:Z,0)),"")</f>
        <v>180596</v>
      </c>
      <c r="K97" s="349">
        <f t="shared" si="29"/>
        <v>-2.9543723343094908E-2</v>
      </c>
      <c r="L97" s="179">
        <f>IFERROR(INDEX('Historic Data'!BX:BX,MATCH(DATE(YEAR($B$16),MONTH($B$16)-12,1),'Historic Data'!Z:Z,0)),"")</f>
        <v>204555</v>
      </c>
      <c r="M97" s="381">
        <f t="shared" si="30"/>
        <v>-0.14321076610627737</v>
      </c>
      <c r="N97" s="393"/>
      <c r="O97" s="378"/>
      <c r="P97" s="397"/>
      <c r="Q97" s="405" t="s">
        <v>308</v>
      </c>
      <c r="R97" s="377" t="s">
        <v>291</v>
      </c>
      <c r="S97" s="377" t="s">
        <v>298</v>
      </c>
      <c r="T97" s="377" t="s">
        <v>293</v>
      </c>
      <c r="U97" s="377" t="s">
        <v>299</v>
      </c>
      <c r="V97" s="377" t="s">
        <v>313</v>
      </c>
      <c r="W97" s="402" t="s">
        <v>291</v>
      </c>
      <c r="X97" s="379" t="s">
        <v>298</v>
      </c>
    </row>
    <row r="98" spans="1:24" ht="25" customHeight="1">
      <c r="A98" s="294" t="s">
        <v>310</v>
      </c>
      <c r="B98" s="296">
        <f>B99+B101</f>
        <v>78922.919642857145</v>
      </c>
      <c r="C98" s="296">
        <f>C99+C101</f>
        <v>96816.831491877674</v>
      </c>
      <c r="D98" s="296">
        <f>D99+D101</f>
        <v>50519.88581242114</v>
      </c>
      <c r="E98" s="296">
        <f>E99+E101</f>
        <v>60910.57877606884</v>
      </c>
      <c r="F98" s="296">
        <f>F99+F101</f>
        <v>81624.242907236214</v>
      </c>
      <c r="G98" s="297">
        <f>C98/F98</f>
        <v>1.1861283859246012</v>
      </c>
      <c r="H98" s="296">
        <f>H99+H101</f>
        <v>50403.757441884401</v>
      </c>
      <c r="I98" s="297">
        <f>E98/H98</f>
        <v>1.2084531365801214</v>
      </c>
      <c r="J98" s="296">
        <f>J99+J101</f>
        <v>98549.142857142855</v>
      </c>
      <c r="K98" s="297">
        <f>(C98-J98)/J98</f>
        <v>-1.7578147460666858E-2</v>
      </c>
      <c r="L98" s="296">
        <f>L99+L101</f>
        <v>93215</v>
      </c>
      <c r="M98" s="382">
        <f>(C98-L98)/L98</f>
        <v>3.8640041751624464E-2</v>
      </c>
      <c r="N98" s="394"/>
      <c r="O98" s="733"/>
      <c r="P98" s="736"/>
      <c r="Q98" s="735">
        <f>B99/B93</f>
        <v>0.25521594684385385</v>
      </c>
      <c r="R98" s="700">
        <f>J99/J93</f>
        <v>0.2569078289877248</v>
      </c>
      <c r="S98" s="702">
        <f>(Q98-R98)/R98</f>
        <v>-6.585560862576079E-3</v>
      </c>
      <c r="T98" s="700">
        <f>L99/L93</f>
        <v>0.18086296991119091</v>
      </c>
      <c r="U98" s="702">
        <f>(Q98-T98)/T98</f>
        <v>0.4111011611120422</v>
      </c>
      <c r="V98" s="704">
        <f>C100/C99</f>
        <v>0.7935108044780006</v>
      </c>
      <c r="W98" s="704">
        <f>J100/J99</f>
        <v>0.8036861661457565</v>
      </c>
      <c r="X98" s="699">
        <f>(V98-W98)/W98</f>
        <v>-1.2660864521973739E-2</v>
      </c>
    </row>
    <row r="99" spans="1:24" ht="25" customHeight="1">
      <c r="A99" s="195" t="s">
        <v>52</v>
      </c>
      <c r="B99" s="329">
        <f>'MTD Actuals'!L10</f>
        <v>61456</v>
      </c>
      <c r="C99" s="178">
        <f>(B99/$B$15)*$B$14</f>
        <v>73274.461538461532</v>
      </c>
      <c r="D99" s="178">
        <f>B99*'Research Goals'!K117</f>
        <v>46177.43931959437</v>
      </c>
      <c r="E99" s="178">
        <f>(D99/$B$15)*$B$14</f>
        <v>55057.716111824062</v>
      </c>
      <c r="F99" s="329" cm="1">
        <f t="array" ref="F99">INDEX('Research Goals'!D:D,MATCH(1,('Research Goals'!A:A=$A$91)*(TRIM('Research Goals'!C:C)=TEXT($B$16,"mmm")),0))</f>
        <v>59889.305068536822</v>
      </c>
      <c r="G99" s="180">
        <f>C99/F99</f>
        <v>1.2234982766055951</v>
      </c>
      <c r="H99" s="329">
        <f>F99*'Research Goals'!K117</f>
        <v>45000.240020421683</v>
      </c>
      <c r="I99" s="180">
        <f t="shared" ref="I99" si="34">E99/H99</f>
        <v>1.2234982766055951</v>
      </c>
      <c r="J99" s="179">
        <f>IFERROR(INDEX('Historic Data'!EG:EG,MATCH(DATE(YEAR($B$16),MONTH($B$16)-1,1),'Historic Data'!Z:Z,0)),"")</f>
        <v>74549</v>
      </c>
      <c r="K99" s="349">
        <f t="shared" si="29"/>
        <v>-1.709665403343396E-2</v>
      </c>
      <c r="L99" s="179">
        <f>IFERROR(INDEX('Historic Data'!EG:EG,MATCH(DATE(YEAR($B$16),MONTH($B$16)-12,1),'Historic Data'!Z:Z,0)),"")</f>
        <v>67389</v>
      </c>
      <c r="M99" s="381">
        <f>(C99-L99)/L99</f>
        <v>8.7335641402328745E-2</v>
      </c>
      <c r="N99" s="393"/>
      <c r="O99" s="378"/>
      <c r="P99" s="397"/>
      <c r="Q99" s="735"/>
      <c r="R99" s="700"/>
      <c r="S99" s="702"/>
      <c r="T99" s="700"/>
      <c r="U99" s="702"/>
      <c r="V99" s="705"/>
      <c r="W99" s="705"/>
      <c r="X99" s="699"/>
    </row>
    <row r="100" spans="1:24" ht="25" customHeight="1">
      <c r="A100" s="195" t="s">
        <v>208</v>
      </c>
      <c r="B100" s="329">
        <f>'MTD Actuals'!V10</f>
        <v>48766</v>
      </c>
      <c r="C100" s="178">
        <f>(B100/$B$15)*$B$14</f>
        <v>58144.076923076922</v>
      </c>
      <c r="D100" s="178" t="s">
        <v>199</v>
      </c>
      <c r="E100" s="178" t="s">
        <v>199</v>
      </c>
      <c r="F100" s="329" cm="1">
        <f t="array" ref="F100">INDEX('Research Goals'!E:E,MATCH(1,('Research Goals'!A:A=$A$91)*(TRIM('Research Goals'!C:C)=TEXT($B$16,"mmm")),0))</f>
        <v>43690.548294548935</v>
      </c>
      <c r="G100" s="180">
        <f>C100/F100</f>
        <v>1.330815913114354</v>
      </c>
      <c r="H100" s="295" t="s">
        <v>311</v>
      </c>
      <c r="I100" s="178" t="s">
        <v>199</v>
      </c>
      <c r="J100" s="179">
        <f>IFERROR(INDEX('Historic Data'!ES:ES,MATCH(DATE(YEAR($B$16),MONTH($B$16)-1,1),'Historic Data'!Z:Z,0)),"")</f>
        <v>59914</v>
      </c>
      <c r="K100" s="349">
        <f t="shared" si="29"/>
        <v>-2.954106013491134E-2</v>
      </c>
      <c r="L100" s="179">
        <f>IFERROR(INDEX('Historic Data'!ES:ES,MATCH(DATE(YEAR($B$16),MONTH($B$16)-12,1),'Historic Data'!Z:Z,0)),"")</f>
        <v>47709</v>
      </c>
      <c r="M100" s="381">
        <f t="shared" si="30"/>
        <v>0.21872344679362221</v>
      </c>
      <c r="N100" s="393"/>
      <c r="O100" s="378"/>
      <c r="P100" s="397"/>
      <c r="Q100" s="735"/>
      <c r="R100" s="700"/>
      <c r="S100" s="702"/>
      <c r="T100" s="700"/>
      <c r="U100" s="702"/>
      <c r="V100" s="705"/>
      <c r="W100" s="705"/>
      <c r="X100" s="699"/>
    </row>
    <row r="101" spans="1:24" ht="25" customHeight="1" thickBot="1">
      <c r="A101" s="383" t="s">
        <v>14</v>
      </c>
      <c r="B101" s="384">
        <f>'MTD Actuals'!L11</f>
        <v>17466.919642857145</v>
      </c>
      <c r="C101" s="385">
        <f>(B101/$D$16)*$B$14</f>
        <v>23542.36995341615</v>
      </c>
      <c r="D101" s="385">
        <f>B101*'Research Goals'!K118</f>
        <v>4342.446492826768</v>
      </c>
      <c r="E101" s="385">
        <f>(D101/$D$16)*$B$14</f>
        <v>5852.8626642447744</v>
      </c>
      <c r="F101" s="384" cm="1">
        <f t="array" ref="F101">INDEX('Research Goals'!F:F,MATCH(1,('Research Goals'!A:A=$A$91)*(TRIM('Research Goals'!C:C)=TEXT($B$16,"mmm")),0))</f>
        <v>21734.937838699392</v>
      </c>
      <c r="G101" s="396">
        <f>C101/F101</f>
        <v>1.0831579150642243</v>
      </c>
      <c r="H101" s="384">
        <f>F101*'Research Goals'!K118</f>
        <v>5403.5174214627214</v>
      </c>
      <c r="I101" s="396">
        <f>E101/H101</f>
        <v>1.0831579150642243</v>
      </c>
      <c r="J101" s="388">
        <f>IFERROR(INDEX('Historic Data'!GT:GT,MATCH(DATE(YEAR($B$16),MONTH($B$16)-1,1),'Historic Data'!Z:Z,0)),"")</f>
        <v>24000.142857142859</v>
      </c>
      <c r="K101" s="389">
        <f t="shared" si="29"/>
        <v>-1.9073757454342314E-2</v>
      </c>
      <c r="L101" s="388">
        <f>IFERROR(INDEX('Historic Data'!GT:GT,MATCH(DATE(YEAR($B$16),MONTH($B$16)-12,1),'Historic Data'!Z:Z,0)),"")</f>
        <v>25826</v>
      </c>
      <c r="M101" s="390">
        <f>(C101-L101)/L101</f>
        <v>-8.8423683364975234E-2</v>
      </c>
      <c r="N101" s="393"/>
      <c r="O101" s="380"/>
      <c r="P101" s="398"/>
      <c r="Q101" s="737"/>
      <c r="R101" s="701"/>
      <c r="S101" s="703"/>
      <c r="T101" s="701"/>
      <c r="U101" s="703"/>
      <c r="V101" s="706"/>
      <c r="W101" s="706"/>
      <c r="X101" s="707"/>
    </row>
    <row r="102" spans="1:24" ht="15" customHeight="1" thickBot="1"/>
    <row r="103" spans="1:24" ht="25" customHeight="1">
      <c r="A103" s="717" t="s">
        <v>93</v>
      </c>
      <c r="B103" s="718"/>
      <c r="C103" s="718"/>
      <c r="D103" s="718"/>
      <c r="E103" s="718"/>
      <c r="F103" s="718"/>
      <c r="G103" s="718"/>
      <c r="H103" s="718"/>
      <c r="I103" s="718"/>
      <c r="J103" s="718"/>
      <c r="K103" s="718"/>
      <c r="L103" s="718"/>
      <c r="M103" s="719"/>
      <c r="N103" s="391"/>
      <c r="O103" s="409"/>
      <c r="P103" s="410"/>
      <c r="Q103" s="738" t="s">
        <v>283</v>
      </c>
      <c r="R103" s="739"/>
      <c r="S103" s="739"/>
      <c r="T103" s="739"/>
      <c r="U103" s="739"/>
      <c r="V103" s="739"/>
      <c r="W103" s="739"/>
      <c r="X103" s="740"/>
    </row>
    <row r="104" spans="1:24" ht="25" customHeight="1" thickBot="1">
      <c r="A104" s="720"/>
      <c r="B104" s="721"/>
      <c r="C104" s="721"/>
      <c r="D104" s="721"/>
      <c r="E104" s="721"/>
      <c r="F104" s="721"/>
      <c r="G104" s="721"/>
      <c r="H104" s="721"/>
      <c r="I104" s="721"/>
      <c r="J104" s="721"/>
      <c r="K104" s="721"/>
      <c r="L104" s="721"/>
      <c r="M104" s="722"/>
      <c r="N104" s="391"/>
      <c r="O104" s="411"/>
      <c r="P104" s="412"/>
      <c r="Q104" s="741"/>
      <c r="R104" s="742"/>
      <c r="S104" s="742"/>
      <c r="T104" s="742"/>
      <c r="U104" s="742"/>
      <c r="V104" s="742"/>
      <c r="W104" s="742"/>
      <c r="X104" s="743"/>
    </row>
    <row r="105" spans="1:24" ht="25" customHeight="1">
      <c r="A105" s="199" t="s">
        <v>93</v>
      </c>
      <c r="B105" s="198" t="s">
        <v>284</v>
      </c>
      <c r="C105" s="198" t="s">
        <v>285</v>
      </c>
      <c r="D105" s="198" t="s">
        <v>286</v>
      </c>
      <c r="E105" s="198" t="s">
        <v>287</v>
      </c>
      <c r="F105" s="198" t="s">
        <v>112</v>
      </c>
      <c r="G105" s="198" t="s">
        <v>288</v>
      </c>
      <c r="H105" s="198" t="s">
        <v>289</v>
      </c>
      <c r="I105" s="198" t="s">
        <v>290</v>
      </c>
      <c r="J105" s="198" t="s">
        <v>291</v>
      </c>
      <c r="K105" s="198" t="s">
        <v>292</v>
      </c>
      <c r="L105" s="198" t="s">
        <v>293</v>
      </c>
      <c r="M105" s="200" t="s">
        <v>294</v>
      </c>
      <c r="N105" s="392"/>
      <c r="O105" s="708" t="s">
        <v>295</v>
      </c>
      <c r="P105" s="697" t="s">
        <v>296</v>
      </c>
      <c r="Q105" s="708" t="s">
        <v>297</v>
      </c>
      <c r="R105" s="403"/>
      <c r="S105" s="695" t="s">
        <v>298</v>
      </c>
      <c r="T105" s="695" t="s">
        <v>293</v>
      </c>
      <c r="U105" s="695" t="s">
        <v>299</v>
      </c>
      <c r="V105" s="695" t="s">
        <v>313</v>
      </c>
      <c r="W105" s="695" t="s">
        <v>291</v>
      </c>
      <c r="X105" s="697" t="s">
        <v>298</v>
      </c>
    </row>
    <row r="106" spans="1:24" ht="25" customHeight="1">
      <c r="A106" s="729"/>
      <c r="B106" s="730"/>
      <c r="C106" s="730"/>
      <c r="D106" s="730"/>
      <c r="E106" s="730"/>
      <c r="F106" s="730"/>
      <c r="G106" s="730"/>
      <c r="H106" s="730"/>
      <c r="I106" s="730"/>
      <c r="J106" s="730"/>
      <c r="K106" s="730"/>
      <c r="L106" s="730"/>
      <c r="M106" s="731"/>
      <c r="N106" s="395"/>
      <c r="O106" s="709"/>
      <c r="P106" s="698"/>
      <c r="Q106" s="709"/>
      <c r="R106" s="404" t="s">
        <v>291</v>
      </c>
      <c r="S106" s="696"/>
      <c r="T106" s="696"/>
      <c r="U106" s="696"/>
      <c r="V106" s="696"/>
      <c r="W106" s="696"/>
      <c r="X106" s="698"/>
    </row>
    <row r="107" spans="1:24" ht="25" customHeight="1">
      <c r="A107" s="293" t="s">
        <v>219</v>
      </c>
      <c r="B107" s="329">
        <f>'MTD Actuals'!K15</f>
        <v>46094</v>
      </c>
      <c r="C107" s="178">
        <f>(B107/$B$15)*$B$14</f>
        <v>54958.230769230766</v>
      </c>
      <c r="D107" s="178" t="s">
        <v>199</v>
      </c>
      <c r="E107" s="178" t="s">
        <v>199</v>
      </c>
      <c r="F107" s="179" cm="1">
        <f t="array" ref="F107">INDEX('Consideration Goals'!E:E,MATCH(1,('Consideration Goals'!A:A=$A$105)*(TRIM('Consideration Goals'!C:C)=TEXT($B$16,"mmm")),0))</f>
        <v>60379.113345521029</v>
      </c>
      <c r="G107" s="180">
        <f>C107/F107</f>
        <v>0.91021924178864433</v>
      </c>
      <c r="H107" s="178" t="s">
        <v>199</v>
      </c>
      <c r="I107" s="178" t="s">
        <v>199</v>
      </c>
      <c r="J107" s="179">
        <f>IFERROR(INDEX('Historic Data'!AT:AT,MATCH(DATE(YEAR($B$16),MONTH($B$16)-1,1),'Historic Data'!Z:Z,0)),"")</f>
        <v>50761</v>
      </c>
      <c r="K107" s="349">
        <f t="shared" ref="K107:K115" si="35">(C107-J107)/J107</f>
        <v>8.2686132448745411E-2</v>
      </c>
      <c r="L107" s="179">
        <f>IFERROR(INDEX('Historic Data'!AT:AT,MATCH(DATE(YEAR($B$16),MONTH($B$16)-12,1),'Historic Data'!Z:Z,0)),"")</f>
        <v>63126</v>
      </c>
      <c r="M107" s="381">
        <f t="shared" ref="M107:M114" si="36">(C107-L107)/L107</f>
        <v>-0.12938835393925219</v>
      </c>
      <c r="N107" s="393"/>
      <c r="O107" s="399"/>
      <c r="P107" s="400"/>
      <c r="Q107" s="735">
        <f>SUM(C109:C110)/C107</f>
        <v>0.11841020523278518</v>
      </c>
      <c r="R107" s="700">
        <f>SUM(J109:J110)/J107</f>
        <v>0.11871318531943816</v>
      </c>
      <c r="S107" s="702">
        <f>(Q107-R107)/R107</f>
        <v>-2.5522024856607121E-3</v>
      </c>
      <c r="T107" s="700">
        <f>SUM(L109:L110)/L107</f>
        <v>6.8513766118556543E-2</v>
      </c>
      <c r="U107" s="702">
        <f>(Q107-T107)/T107</f>
        <v>0.7282688128381033</v>
      </c>
      <c r="V107" s="704" t="s">
        <v>314</v>
      </c>
      <c r="W107" s="704" t="s">
        <v>314</v>
      </c>
      <c r="X107" s="714" t="s">
        <v>314</v>
      </c>
    </row>
    <row r="108" spans="1:24" ht="25" customHeight="1">
      <c r="A108" s="294" t="s">
        <v>305</v>
      </c>
      <c r="B108" s="296">
        <f>B109+B110+B111</f>
        <v>22107</v>
      </c>
      <c r="C108" s="296">
        <f>C109+C110+C111</f>
        <v>28947.571906354511</v>
      </c>
      <c r="D108" s="296">
        <f>D109+D110+D111</f>
        <v>7861.7345682908253</v>
      </c>
      <c r="E108" s="296">
        <f>E109+E110+E111</f>
        <v>10353.695291616868</v>
      </c>
      <c r="F108" s="296">
        <f>F109+F110+F111</f>
        <v>39498.441172629929</v>
      </c>
      <c r="G108" s="297">
        <f>C108/F108</f>
        <v>0.73287884399887293</v>
      </c>
      <c r="H108" s="296">
        <f>H109+H110+H111</f>
        <v>14604.149689415482</v>
      </c>
      <c r="I108" s="297">
        <f t="shared" ref="I108:I111" si="37">E108/H108</f>
        <v>0.70895570860389234</v>
      </c>
      <c r="J108" s="296">
        <f>J109+J110+J111</f>
        <v>29497</v>
      </c>
      <c r="K108" s="297">
        <f>(C108-J108)/J108</f>
        <v>-1.8626575368528624E-2</v>
      </c>
      <c r="L108" s="296">
        <f>L109+L110+L111</f>
        <v>36748</v>
      </c>
      <c r="M108" s="382">
        <f>(C108-L108)/L108</f>
        <v>-0.21226809877123895</v>
      </c>
      <c r="N108" s="394"/>
      <c r="O108" s="733"/>
      <c r="P108" s="736"/>
      <c r="Q108" s="735"/>
      <c r="R108" s="700"/>
      <c r="S108" s="702"/>
      <c r="T108" s="700"/>
      <c r="U108" s="702"/>
      <c r="V108" s="705"/>
      <c r="W108" s="705"/>
      <c r="X108" s="715"/>
    </row>
    <row r="109" spans="1:24" ht="25" customHeight="1">
      <c r="A109" s="195" t="s">
        <v>202</v>
      </c>
      <c r="B109" s="329">
        <f>'MTD Actuals'!K5</f>
        <v>687</v>
      </c>
      <c r="C109" s="178">
        <f>(B109/$B$15)*$B$14</f>
        <v>819.11538461538464</v>
      </c>
      <c r="D109" s="178">
        <f>B109*'Shop Goals'!K143</f>
        <v>236.41187594828673</v>
      </c>
      <c r="E109" s="178">
        <f>(D109/$B$15)*$B$14</f>
        <v>281.87569824603418</v>
      </c>
      <c r="F109" s="331" cm="1">
        <f t="array" ref="F109">INDEX('Shop Goals'!D:D,MATCH(1,('Shop Goals'!A:A=$A$105)*(TRIM('Shop Goals'!C:C)=TEXT($B$16,"mmm")),0))</f>
        <v>611.54478976233997</v>
      </c>
      <c r="G109" s="180">
        <f t="shared" ref="G109:G111" si="38">C109/F109</f>
        <v>1.3394201018926368</v>
      </c>
      <c r="H109" s="329">
        <f>F109*'Shop Goals'!K143</f>
        <v>210.44607128692201</v>
      </c>
      <c r="I109" s="180">
        <f t="shared" si="37"/>
        <v>1.3394201018926368</v>
      </c>
      <c r="J109" s="179">
        <f>IFERROR(INDEX('Historic Data'!DH:DH,MATCH(DATE(YEAR($B$16),MONTH($B$16)-1,1),'Historic Data'!Z:Z,0)),"")</f>
        <v>798</v>
      </c>
      <c r="K109" s="349">
        <f>(C109-J109)/J109</f>
        <v>2.646038172353965E-2</v>
      </c>
      <c r="L109" s="179">
        <f>IFERROR(INDEX('Historic Data'!DH:DH,MATCH(DATE(YEAR($B$16),MONTH($B$16)-12,1),'Historic Data'!Z:Z,0)),"")</f>
        <v>710</v>
      </c>
      <c r="M109" s="381">
        <f>(C109-L109)/L109</f>
        <v>0.15368364030335865</v>
      </c>
      <c r="N109" s="393"/>
      <c r="O109" s="378"/>
      <c r="P109" s="397"/>
      <c r="Q109" s="735"/>
      <c r="R109" s="700"/>
      <c r="S109" s="702"/>
      <c r="T109" s="700"/>
      <c r="U109" s="702"/>
      <c r="V109" s="705"/>
      <c r="W109" s="705"/>
      <c r="X109" s="715"/>
    </row>
    <row r="110" spans="1:24" ht="25" customHeight="1">
      <c r="A110" s="195" t="s">
        <v>203</v>
      </c>
      <c r="B110" s="329">
        <f>'MTD Actuals'!K6</f>
        <v>4771</v>
      </c>
      <c r="C110" s="178">
        <f t="shared" ref="C110" si="39">(B110/$B$15)*$B$14</f>
        <v>5688.5</v>
      </c>
      <c r="D110" s="178">
        <f>B110*'Shop Goals'!K144</f>
        <v>1323.247023573419</v>
      </c>
      <c r="E110" s="178">
        <f>(D110/$B$15)*$B$14</f>
        <v>1577.7176050298458</v>
      </c>
      <c r="F110" s="331" cm="1">
        <f t="array" ref="F110">INDEX('Shop Goals'!E:E,MATCH(1,('Shop Goals'!A:A=$A$105)*(TRIM('Shop Goals'!C:C)=TEXT($B$16,"mmm")),0))</f>
        <v>3222.0749542961607</v>
      </c>
      <c r="G110" s="180">
        <f t="shared" si="38"/>
        <v>1.7654772408119266</v>
      </c>
      <c r="H110" s="329">
        <f>F110*'Shop Goals'!K144</f>
        <v>893.64935925442364</v>
      </c>
      <c r="I110" s="180">
        <f t="shared" si="37"/>
        <v>1.7654772408119264</v>
      </c>
      <c r="J110" s="179">
        <f>IFERROR(INDEX('Historic Data'!DT:DT,MATCH(DATE(YEAR($B$16),MONTH($B$16)-1,1),'Historic Data'!Z:Z,0)),"")</f>
        <v>5228</v>
      </c>
      <c r="K110" s="349">
        <f>(C110-J110)/J110</f>
        <v>8.8083397092578425E-2</v>
      </c>
      <c r="L110" s="179">
        <f>IFERROR(INDEX('Historic Data'!DT:DT,MATCH(DATE(YEAR($B$16),MONTH($B$16)-12,1),'Historic Data'!Z:Z,0)),"")</f>
        <v>3615</v>
      </c>
      <c r="M110" s="381">
        <f t="shared" si="36"/>
        <v>0.57358229598893495</v>
      </c>
      <c r="N110" s="393"/>
      <c r="O110" s="378"/>
      <c r="P110" s="397"/>
      <c r="Q110" s="735"/>
      <c r="R110" s="700"/>
      <c r="S110" s="702"/>
      <c r="T110" s="700"/>
      <c r="U110" s="702"/>
      <c r="V110" s="713"/>
      <c r="W110" s="713"/>
      <c r="X110" s="716"/>
    </row>
    <row r="111" spans="1:24" ht="25" customHeight="1">
      <c r="A111" s="195" t="s">
        <v>7</v>
      </c>
      <c r="B111" s="329">
        <f>'MTD Actuals'!K7</f>
        <v>16649</v>
      </c>
      <c r="C111" s="178">
        <f>(B111/$D$15)*$B$14</f>
        <v>22439.956521739128</v>
      </c>
      <c r="D111" s="330">
        <f>B111*'Shop Goals'!K145</f>
        <v>6302.0756687691201</v>
      </c>
      <c r="E111" s="178">
        <f>(D111/$D$15)*$B$14</f>
        <v>8494.1019883409881</v>
      </c>
      <c r="F111" s="331" cm="1">
        <f t="array" ref="F111">INDEX('Shop Goals'!G:G,MATCH(1,('Shop Goals'!A:A=$A$105)*(TRIM('Shop Goals'!C:C)=TEXT($B$16,"mmm")),0))</f>
        <v>35664.821428571428</v>
      </c>
      <c r="G111" s="180">
        <f t="shared" si="38"/>
        <v>0.62919021105100126</v>
      </c>
      <c r="H111" s="329">
        <f>F111*'Shop Goals'!K145</f>
        <v>13500.054258874137</v>
      </c>
      <c r="I111" s="180">
        <f t="shared" si="37"/>
        <v>0.62919021105100137</v>
      </c>
      <c r="J111" s="179">
        <f>IFERROR(INDEX('Historic Data'!BW:BW,MATCH(DATE(YEAR($B$16),MONTH($B$16)-1,1),'Historic Data'!Z:Z,0)),"")</f>
        <v>23471</v>
      </c>
      <c r="K111" s="349">
        <f t="shared" si="35"/>
        <v>-4.3928400079283871E-2</v>
      </c>
      <c r="L111" s="179">
        <f>IFERROR(INDEX('Historic Data'!BW:BW,MATCH(DATE(YEAR($B$16),MONTH($B$16)-12,1),'Historic Data'!Z:Z,0)),"")</f>
        <v>32423</v>
      </c>
      <c r="M111" s="381">
        <f t="shared" si="36"/>
        <v>-0.30790005484566119</v>
      </c>
      <c r="N111" s="393"/>
      <c r="O111" s="378"/>
      <c r="P111" s="397"/>
      <c r="Q111" s="405" t="s">
        <v>308</v>
      </c>
      <c r="R111" s="377" t="s">
        <v>291</v>
      </c>
      <c r="S111" s="377" t="s">
        <v>298</v>
      </c>
      <c r="T111" s="377" t="s">
        <v>293</v>
      </c>
      <c r="U111" s="377" t="s">
        <v>299</v>
      </c>
      <c r="V111" s="377" t="s">
        <v>313</v>
      </c>
      <c r="W111" s="402" t="s">
        <v>291</v>
      </c>
      <c r="X111" s="379" t="s">
        <v>298</v>
      </c>
    </row>
    <row r="112" spans="1:24" ht="25" customHeight="1">
      <c r="A112" s="294" t="s">
        <v>310</v>
      </c>
      <c r="B112" s="296">
        <f>B113+B115</f>
        <v>30147.642857142855</v>
      </c>
      <c r="C112" s="296">
        <f>C113+C115</f>
        <v>36640.378165312948</v>
      </c>
      <c r="D112" s="296">
        <f>D113+D115</f>
        <v>20405.395672694984</v>
      </c>
      <c r="E112" s="296">
        <f>E113+E115</f>
        <v>24502.321765262372</v>
      </c>
      <c r="F112" s="296">
        <f>F113+F115</f>
        <v>26472.440585009143</v>
      </c>
      <c r="G112" s="297">
        <f>C112/F112</f>
        <v>1.3840952082847142</v>
      </c>
      <c r="H112" s="296">
        <f>H113+H115</f>
        <v>17210.242892656828</v>
      </c>
      <c r="I112" s="297">
        <f>E112/H112</f>
        <v>1.4237057500052417</v>
      </c>
      <c r="J112" s="296">
        <f>J113+J115</f>
        <v>32003</v>
      </c>
      <c r="K112" s="297">
        <f>(C112-J112)/J112</f>
        <v>0.14490448287076049</v>
      </c>
      <c r="L112" s="296">
        <f>L113+L115</f>
        <v>30012</v>
      </c>
      <c r="M112" s="382">
        <f>(C112-L112)/L112</f>
        <v>0.22085759580544276</v>
      </c>
      <c r="N112" s="394"/>
      <c r="O112" s="733"/>
      <c r="P112" s="736"/>
      <c r="Q112" s="735">
        <f>B113/B107</f>
        <v>0.55707901245281377</v>
      </c>
      <c r="R112" s="700">
        <f>J113/J107</f>
        <v>0.48602273398869211</v>
      </c>
      <c r="S112" s="702">
        <f>(Q112-R112)/R112</f>
        <v>0.14619949540421059</v>
      </c>
      <c r="T112" s="700">
        <f>L113/L107</f>
        <v>0.38953838355035958</v>
      </c>
      <c r="U112" s="702">
        <f>(Q112-T112)/T112</f>
        <v>0.43010043676682896</v>
      </c>
      <c r="V112" s="704">
        <f>C114/C113</f>
        <v>0.61196354856297208</v>
      </c>
      <c r="W112" s="704">
        <f>J114/J113</f>
        <v>0.61712131652547531</v>
      </c>
      <c r="X112" s="699">
        <f>(V112-W112)/W112</f>
        <v>-8.3577861019978345E-3</v>
      </c>
    </row>
    <row r="113" spans="1:24" ht="25" customHeight="1">
      <c r="A113" s="195" t="s">
        <v>52</v>
      </c>
      <c r="B113" s="329">
        <f>'MTD Actuals'!K10</f>
        <v>25678</v>
      </c>
      <c r="C113" s="178">
        <f>(B113/$B$15)*$B$14</f>
        <v>30616.076923076926</v>
      </c>
      <c r="D113" s="178">
        <f>B113*'Research Goals'!K136</f>
        <v>19294.198887798495</v>
      </c>
      <c r="E113" s="178">
        <f>(D113/$B$15)*$B$14</f>
        <v>23004.621750836668</v>
      </c>
      <c r="F113" s="329" cm="1">
        <f t="array" ref="F113">INDEX('Research Goals'!D:D,MATCH(1,('Research Goals'!A:A=$A$105)*(TRIM('Research Goals'!C:C)=TEXT($B$16,"mmm")),0))</f>
        <v>21140.310786106034</v>
      </c>
      <c r="G113" s="180">
        <f>C113/F113</f>
        <v>1.4482321112894241</v>
      </c>
      <c r="H113" s="329">
        <f>F113*'Research Goals'!K136</f>
        <v>15884.623446413334</v>
      </c>
      <c r="I113" s="180">
        <f t="shared" ref="I113" si="40">E113/H113</f>
        <v>1.4482321112894239</v>
      </c>
      <c r="J113" s="179">
        <f>IFERROR(INDEX('Historic Data'!EF:EF,MATCH(DATE(YEAR($B$16),MONTH($B$16)-1,1),'Historic Data'!Z:Z,0)),"")</f>
        <v>24671</v>
      </c>
      <c r="K113" s="349">
        <f t="shared" si="35"/>
        <v>0.24097429869388859</v>
      </c>
      <c r="L113" s="179">
        <f>IFERROR(INDEX('Historic Data'!EF:EF,MATCH(DATE(YEAR($B$16),MONTH($B$16)-12,1),'Historic Data'!Z:Z,0)),"")</f>
        <v>24590</v>
      </c>
      <c r="M113" s="381">
        <f>(C113-L113)/L113</f>
        <v>0.24506209528576356</v>
      </c>
      <c r="N113" s="393"/>
      <c r="O113" s="378"/>
      <c r="P113" s="397"/>
      <c r="Q113" s="735"/>
      <c r="R113" s="700"/>
      <c r="S113" s="702"/>
      <c r="T113" s="700"/>
      <c r="U113" s="702"/>
      <c r="V113" s="705"/>
      <c r="W113" s="705"/>
      <c r="X113" s="699"/>
    </row>
    <row r="114" spans="1:24" ht="25" customHeight="1">
      <c r="A114" s="195" t="s">
        <v>208</v>
      </c>
      <c r="B114" s="329">
        <f>'MTD Actuals'!U10</f>
        <v>15714</v>
      </c>
      <c r="C114" s="178">
        <f>(B114/$B$15)*$B$14</f>
        <v>18735.923076923074</v>
      </c>
      <c r="D114" s="178" t="s">
        <v>199</v>
      </c>
      <c r="E114" s="178" t="s">
        <v>199</v>
      </c>
      <c r="F114" s="329" cm="1">
        <f t="array" ref="F114">INDEX('Research Goals'!E:E,MATCH(1,('Research Goals'!A:A=$A$105)*(TRIM('Research Goals'!C:C)=TEXT($B$16,"mmm")),0))</f>
        <v>12038.180987202926</v>
      </c>
      <c r="G114" s="180">
        <f>C114/F114</f>
        <v>1.5563749288069451</v>
      </c>
      <c r="H114" s="295" t="s">
        <v>311</v>
      </c>
      <c r="I114" s="178" t="s">
        <v>199</v>
      </c>
      <c r="J114" s="179">
        <f>IFERROR(INDEX('Historic Data'!ER:ER,MATCH(DATE(YEAR($B$16),MONTH($B$16)-1,1),'Historic Data'!Z:Z,0)),"")</f>
        <v>15225</v>
      </c>
      <c r="K114" s="349">
        <f t="shared" si="35"/>
        <v>0.23060250094732837</v>
      </c>
      <c r="L114" s="179">
        <f>IFERROR(INDEX('Historic Data'!ER:ER,MATCH(DATE(YEAR($B$16),MONTH($B$16)-12,1),'Historic Data'!Z:Z,0)),"")</f>
        <v>14410</v>
      </c>
      <c r="M114" s="381">
        <f t="shared" si="36"/>
        <v>0.30020285058452978</v>
      </c>
      <c r="N114" s="393"/>
      <c r="O114" s="378"/>
      <c r="P114" s="397"/>
      <c r="Q114" s="735"/>
      <c r="R114" s="700"/>
      <c r="S114" s="702"/>
      <c r="T114" s="700"/>
      <c r="U114" s="702"/>
      <c r="V114" s="705"/>
      <c r="W114" s="705"/>
      <c r="X114" s="699"/>
    </row>
    <row r="115" spans="1:24" ht="25" customHeight="1" thickBot="1">
      <c r="A115" s="383" t="s">
        <v>14</v>
      </c>
      <c r="B115" s="384">
        <f>'MTD Actuals'!K11</f>
        <v>4469.6428571428569</v>
      </c>
      <c r="C115" s="385">
        <f>(B115/$D$16)*$B$14</f>
        <v>6024.3012422360243</v>
      </c>
      <c r="D115" s="385">
        <f>B115*'Research Goals'!K137</f>
        <v>1111.1967848964905</v>
      </c>
      <c r="E115" s="385">
        <f>(D115/$D$16)*$B$14</f>
        <v>1497.7000144257045</v>
      </c>
      <c r="F115" s="384" cm="1">
        <f t="array" ref="F115">INDEX('Research Goals'!F:F,MATCH(1,('Research Goals'!A:A=$A$105)*(TRIM('Research Goals'!C:C)=TEXT($B$16,"mmm")),0))</f>
        <v>5332.1297989031082</v>
      </c>
      <c r="G115" s="396">
        <f>C115/F115</f>
        <v>1.1298114392255241</v>
      </c>
      <c r="H115" s="384">
        <f>F115*'Research Goals'!K137</f>
        <v>1325.6194462434944</v>
      </c>
      <c r="I115" s="396">
        <f>E115/H115</f>
        <v>1.1298114392255239</v>
      </c>
      <c r="J115" s="388">
        <f>IFERROR(INDEX('Historic Data'!GW:GW,MATCH(DATE(YEAR($B$16),MONTH($B$16)-1,1),'Historic Data'!Z:Z,0)),"")</f>
        <v>7332</v>
      </c>
      <c r="K115" s="389">
        <f t="shared" si="35"/>
        <v>-0.17835498605618871</v>
      </c>
      <c r="L115" s="388">
        <f>IFERROR(INDEX('Historic Data'!GW:GW,MATCH(DATE(YEAR($B$16),MONTH($B$16)-12,1),'Historic Data'!Z:Z,0)),"")</f>
        <v>5422</v>
      </c>
      <c r="M115" s="390">
        <f>(C115-L115)/L115</f>
        <v>0.11108469978532357</v>
      </c>
      <c r="N115" s="393"/>
      <c r="O115" s="380"/>
      <c r="P115" s="398"/>
      <c r="Q115" s="737"/>
      <c r="R115" s="701"/>
      <c r="S115" s="703"/>
      <c r="T115" s="701"/>
      <c r="U115" s="703"/>
      <c r="V115" s="706"/>
      <c r="W115" s="706"/>
      <c r="X115" s="707"/>
    </row>
    <row r="116" spans="1:24" ht="15" customHeight="1" thickBot="1"/>
    <row r="117" spans="1:24" ht="25" customHeight="1">
      <c r="A117" s="717" t="s">
        <v>89</v>
      </c>
      <c r="B117" s="718"/>
      <c r="C117" s="718"/>
      <c r="D117" s="718"/>
      <c r="E117" s="718"/>
      <c r="F117" s="718"/>
      <c r="G117" s="718"/>
      <c r="H117" s="718"/>
      <c r="I117" s="718"/>
      <c r="J117" s="718"/>
      <c r="K117" s="718"/>
      <c r="L117" s="718"/>
      <c r="M117" s="719"/>
      <c r="N117" s="391"/>
      <c r="O117" s="409"/>
      <c r="P117" s="410"/>
      <c r="Q117" s="738" t="s">
        <v>283</v>
      </c>
      <c r="R117" s="739"/>
      <c r="S117" s="739"/>
      <c r="T117" s="739"/>
      <c r="U117" s="739"/>
      <c r="V117" s="739"/>
      <c r="W117" s="739"/>
      <c r="X117" s="740"/>
    </row>
    <row r="118" spans="1:24" ht="25" customHeight="1" thickBot="1">
      <c r="A118" s="720"/>
      <c r="B118" s="721"/>
      <c r="C118" s="721"/>
      <c r="D118" s="721"/>
      <c r="E118" s="721"/>
      <c r="F118" s="721"/>
      <c r="G118" s="721"/>
      <c r="H118" s="721"/>
      <c r="I118" s="721"/>
      <c r="J118" s="721"/>
      <c r="K118" s="721"/>
      <c r="L118" s="721"/>
      <c r="M118" s="722"/>
      <c r="N118" s="391"/>
      <c r="O118" s="411"/>
      <c r="P118" s="412"/>
      <c r="Q118" s="741"/>
      <c r="R118" s="742"/>
      <c r="S118" s="742"/>
      <c r="T118" s="742"/>
      <c r="U118" s="742"/>
      <c r="V118" s="742"/>
      <c r="W118" s="742"/>
      <c r="X118" s="743"/>
    </row>
    <row r="119" spans="1:24" ht="25" customHeight="1">
      <c r="A119" s="199" t="s">
        <v>89</v>
      </c>
      <c r="B119" s="198" t="s">
        <v>284</v>
      </c>
      <c r="C119" s="198" t="s">
        <v>285</v>
      </c>
      <c r="D119" s="198" t="s">
        <v>286</v>
      </c>
      <c r="E119" s="198" t="s">
        <v>287</v>
      </c>
      <c r="F119" s="198" t="s">
        <v>112</v>
      </c>
      <c r="G119" s="198" t="s">
        <v>288</v>
      </c>
      <c r="H119" s="198" t="s">
        <v>289</v>
      </c>
      <c r="I119" s="198" t="s">
        <v>290</v>
      </c>
      <c r="J119" s="198" t="s">
        <v>291</v>
      </c>
      <c r="K119" s="198" t="s">
        <v>292</v>
      </c>
      <c r="L119" s="198" t="s">
        <v>293</v>
      </c>
      <c r="M119" s="200" t="s">
        <v>294</v>
      </c>
      <c r="N119" s="392"/>
      <c r="O119" s="708" t="s">
        <v>295</v>
      </c>
      <c r="P119" s="697" t="s">
        <v>296</v>
      </c>
      <c r="Q119" s="708" t="s">
        <v>297</v>
      </c>
      <c r="R119" s="403"/>
      <c r="S119" s="695" t="s">
        <v>298</v>
      </c>
      <c r="T119" s="695" t="s">
        <v>293</v>
      </c>
      <c r="U119" s="695" t="s">
        <v>299</v>
      </c>
      <c r="V119" s="695" t="s">
        <v>313</v>
      </c>
      <c r="W119" s="695" t="s">
        <v>291</v>
      </c>
      <c r="X119" s="697" t="s">
        <v>298</v>
      </c>
    </row>
    <row r="120" spans="1:24" ht="25" customHeight="1">
      <c r="A120" s="729"/>
      <c r="B120" s="730"/>
      <c r="C120" s="730"/>
      <c r="D120" s="730"/>
      <c r="E120" s="730"/>
      <c r="F120" s="730"/>
      <c r="G120" s="730"/>
      <c r="H120" s="730"/>
      <c r="I120" s="730"/>
      <c r="J120" s="730"/>
      <c r="K120" s="730"/>
      <c r="L120" s="730"/>
      <c r="M120" s="731"/>
      <c r="N120" s="395"/>
      <c r="O120" s="709"/>
      <c r="P120" s="698"/>
      <c r="Q120" s="709"/>
      <c r="R120" s="404" t="s">
        <v>291</v>
      </c>
      <c r="S120" s="696"/>
      <c r="T120" s="696"/>
      <c r="U120" s="696"/>
      <c r="V120" s="696"/>
      <c r="W120" s="696"/>
      <c r="X120" s="698"/>
    </row>
    <row r="121" spans="1:24" ht="25" customHeight="1">
      <c r="A121" s="293" t="s">
        <v>219</v>
      </c>
      <c r="B121" s="329">
        <f>'MTD Actuals'!G15</f>
        <v>44562</v>
      </c>
      <c r="C121" s="178">
        <f>(B121/$B$15)*$B$14</f>
        <v>53131.615384615383</v>
      </c>
      <c r="D121" s="178" t="s">
        <v>199</v>
      </c>
      <c r="E121" s="178" t="s">
        <v>199</v>
      </c>
      <c r="F121" s="179" cm="1">
        <f t="array" ref="F121">INDEX('Consideration Goals'!E:E,MATCH(1,('Consideration Goals'!A:A=$A$119)*(TRIM('Consideration Goals'!C:C)=TEXT($B$16,"mmm")),0))</f>
        <v>41184.574468085106</v>
      </c>
      <c r="G121" s="180">
        <f>C121/F121</f>
        <v>1.2900853309966409</v>
      </c>
      <c r="H121" s="178" t="s">
        <v>199</v>
      </c>
      <c r="I121" s="178" t="s">
        <v>199</v>
      </c>
      <c r="J121" s="179">
        <f>IFERROR(INDEX('Historic Data'!AP:AP,MATCH(DATE(YEAR($B$16),MONTH($B$16)-1,1),'Historic Data'!Z:Z,0)),"")</f>
        <v>54803</v>
      </c>
      <c r="K121" s="349">
        <f t="shared" ref="K121:K129" si="41">(C121-J121)/J121</f>
        <v>-3.049804965758475E-2</v>
      </c>
      <c r="L121" s="179">
        <f>IFERROR(INDEX('Historic Data'!AP:AP,MATCH(DATE(YEAR($B$16),MONTH($B$16)-12,1),'Historic Data'!Z:Z,0)),"")</f>
        <v>49608</v>
      </c>
      <c r="M121" s="381">
        <f t="shared" ref="M121:M128" si="42">(C121-L121)/L121</f>
        <v>7.1029176435562474E-2</v>
      </c>
      <c r="N121" s="393"/>
      <c r="O121" s="399"/>
      <c r="P121" s="400"/>
      <c r="Q121" s="735">
        <f>SUM(C123:C124)/C121</f>
        <v>0.12537588079529646</v>
      </c>
      <c r="R121" s="700">
        <f>SUM(J123:J124)/J121</f>
        <v>9.9209897268397712E-2</v>
      </c>
      <c r="S121" s="702">
        <f>(Q121-R121)/R121</f>
        <v>0.26374368129936221</v>
      </c>
      <c r="T121" s="700">
        <f>SUM(L123:L124)/L121</f>
        <v>0.11036526366715046</v>
      </c>
      <c r="U121" s="702">
        <f>(Q121-T121)/T121</f>
        <v>0.13600852867453272</v>
      </c>
      <c r="V121" s="704" t="s">
        <v>314</v>
      </c>
      <c r="W121" s="704" t="s">
        <v>314</v>
      </c>
      <c r="X121" s="714" t="s">
        <v>314</v>
      </c>
    </row>
    <row r="122" spans="1:24" ht="25" customHeight="1">
      <c r="A122" s="294" t="s">
        <v>305</v>
      </c>
      <c r="B122" s="296">
        <f>B123+B124+B125</f>
        <v>62940</v>
      </c>
      <c r="C122" s="296">
        <f>C123+C124+C125</f>
        <v>83963.29264214047</v>
      </c>
      <c r="D122" s="296">
        <f>D123+D124+D125</f>
        <v>24239.762114369449</v>
      </c>
      <c r="E122" s="296">
        <f>E123+E124+E125</f>
        <v>32430.405001126965</v>
      </c>
      <c r="F122" s="296">
        <f>F123+F124+F125</f>
        <v>75243.52236379894</v>
      </c>
      <c r="G122" s="297">
        <f>C122/F122</f>
        <v>1.1158873216511827</v>
      </c>
      <c r="H122" s="296">
        <f>H123+H124+H125</f>
        <v>29214.075171592285</v>
      </c>
      <c r="I122" s="297">
        <f t="shared" ref="I122:I125" si="43">E122/H122</f>
        <v>1.1100952130314989</v>
      </c>
      <c r="J122" s="296">
        <f>J123+J124+J125</f>
        <v>75319</v>
      </c>
      <c r="K122" s="297">
        <f>(C122-J122)/J122</f>
        <v>0.11476908405768094</v>
      </c>
      <c r="L122" s="296">
        <f>L123+L124+L125</f>
        <v>82538</v>
      </c>
      <c r="M122" s="382">
        <f>(C122-L122)/L122</f>
        <v>1.7268320557082436E-2</v>
      </c>
      <c r="N122" s="394"/>
      <c r="O122" s="733"/>
      <c r="P122" s="736"/>
      <c r="Q122" s="735"/>
      <c r="R122" s="700"/>
      <c r="S122" s="702"/>
      <c r="T122" s="700"/>
      <c r="U122" s="702"/>
      <c r="V122" s="705"/>
      <c r="W122" s="705"/>
      <c r="X122" s="715"/>
    </row>
    <row r="123" spans="1:24" ht="25" customHeight="1">
      <c r="A123" s="195" t="s">
        <v>202</v>
      </c>
      <c r="B123" s="329">
        <f>'MTD Actuals'!G5</f>
        <v>618</v>
      </c>
      <c r="C123" s="178">
        <f>(B123/$B$15)*$B$14</f>
        <v>736.84615384615392</v>
      </c>
      <c r="D123" s="178">
        <f>B123*'Shop Goals'!K163</f>
        <v>206.80100408921513</v>
      </c>
      <c r="E123" s="178">
        <f>(D123/$B$15)*$B$14</f>
        <v>246.57042795252573</v>
      </c>
      <c r="F123" s="331" cm="1">
        <f t="array" ref="F123">INDEX('Shop Goals'!D:D,MATCH(1,('Shop Goals'!A:A=$A$119)*(TRIM('Shop Goals'!C:C)=TEXT($B$16,"mmm")),0))</f>
        <v>640.80547112462011</v>
      </c>
      <c r="G123" s="180">
        <f t="shared" ref="G123:G125" si="44">C123/F123</f>
        <v>1.1498749418493281</v>
      </c>
      <c r="H123" s="329">
        <f>F123*'Shop Goals'!K163</f>
        <v>214.43238649584788</v>
      </c>
      <c r="I123" s="180">
        <f t="shared" si="43"/>
        <v>1.1498749418493281</v>
      </c>
      <c r="J123" s="179">
        <f>IFERROR(INDEX('Historic Data'!DD:DD,MATCH(DATE(YEAR($B$16),MONTH($B$16)-1,1),'Historic Data'!Z:Z,0)),"")</f>
        <v>612</v>
      </c>
      <c r="K123" s="349">
        <f>(C123-J123)/J123</f>
        <v>0.20399698340874825</v>
      </c>
      <c r="L123" s="179">
        <f>IFERROR(INDEX('Historic Data'!DD:DD,MATCH(DATE(YEAR($B$16),MONTH($B$16)-12,1),'Historic Data'!Z:Z,0)),"")</f>
        <v>743</v>
      </c>
      <c r="M123" s="381">
        <f>(C123-L123)/L123</f>
        <v>-8.282430893467127E-3</v>
      </c>
      <c r="N123" s="393"/>
      <c r="O123" s="378"/>
      <c r="P123" s="397"/>
      <c r="Q123" s="735"/>
      <c r="R123" s="700"/>
      <c r="S123" s="702"/>
      <c r="T123" s="700"/>
      <c r="U123" s="702"/>
      <c r="V123" s="705"/>
      <c r="W123" s="705"/>
      <c r="X123" s="715"/>
    </row>
    <row r="124" spans="1:24" ht="25" customHeight="1">
      <c r="A124" s="195" t="s">
        <v>203</v>
      </c>
      <c r="B124" s="329">
        <f>'MTD Actuals'!G6</f>
        <v>4969</v>
      </c>
      <c r="C124" s="178">
        <f t="shared" ref="C124" si="45">(B124/$B$15)*$B$14</f>
        <v>5924.5769230769229</v>
      </c>
      <c r="D124" s="178">
        <f>B124*'Shop Goals'!K164</f>
        <v>1340.1460228769438</v>
      </c>
      <c r="E124" s="178">
        <f>(D124/$B$15)*$B$14</f>
        <v>1597.8664118917407</v>
      </c>
      <c r="F124" s="331" cm="1">
        <f t="array" ref="F124">INDEX('Shop Goals'!E:E,MATCH(1,('Shop Goals'!A:A=$A$119)*(TRIM('Shop Goals'!C:C)=TEXT($B$16,"mmm")),0))</f>
        <v>4114.9696048632213</v>
      </c>
      <c r="G124" s="180">
        <f t="shared" si="44"/>
        <v>1.4397620133269129</v>
      </c>
      <c r="H124" s="329">
        <f>F124*'Shop Goals'!K164</f>
        <v>1109.8128698363764</v>
      </c>
      <c r="I124" s="180">
        <f t="shared" si="43"/>
        <v>1.4397620133269131</v>
      </c>
      <c r="J124" s="179">
        <f>IFERROR(INDEX('Historic Data'!DP:DP,MATCH(DATE(YEAR($B$16),MONTH($B$16)-1,1),'Historic Data'!Z:Z,0)),"")</f>
        <v>4825</v>
      </c>
      <c r="K124" s="349">
        <f>(C124-J124)/J124</f>
        <v>0.22789159027500991</v>
      </c>
      <c r="L124" s="179">
        <f>IFERROR(INDEX('Historic Data'!DP:DP,MATCH(DATE(YEAR($B$16),MONTH($B$16)-12,1),'Historic Data'!Z:Z,0)),"")</f>
        <v>4732</v>
      </c>
      <c r="M124" s="381">
        <f t="shared" si="42"/>
        <v>0.2520238637102542</v>
      </c>
      <c r="N124" s="393"/>
      <c r="O124" s="378"/>
      <c r="P124" s="397"/>
      <c r="Q124" s="735"/>
      <c r="R124" s="700"/>
      <c r="S124" s="702"/>
      <c r="T124" s="700"/>
      <c r="U124" s="702"/>
      <c r="V124" s="713"/>
      <c r="W124" s="713"/>
      <c r="X124" s="716"/>
    </row>
    <row r="125" spans="1:24" ht="25" customHeight="1">
      <c r="A125" s="195" t="s">
        <v>7</v>
      </c>
      <c r="B125" s="329">
        <f>'MTD Actuals'!G7</f>
        <v>57353</v>
      </c>
      <c r="C125" s="178">
        <f>(B125/$D$15)*$B$14</f>
        <v>77301.869565217392</v>
      </c>
      <c r="D125" s="330">
        <f>B125*'Shop Goals'!K165</f>
        <v>22692.815087403291</v>
      </c>
      <c r="E125" s="178">
        <f>(D125/$D$15)*$B$14</f>
        <v>30585.968161282697</v>
      </c>
      <c r="F125" s="331" cm="1">
        <f t="array" ref="F125">INDEX('Shop Goals'!G:G,MATCH(1,('Shop Goals'!A:A=$A$119)*(TRIM('Shop Goals'!C:C)=TEXT($B$16,"mmm")),0))</f>
        <v>70487.7472878111</v>
      </c>
      <c r="G125" s="180">
        <f t="shared" si="44"/>
        <v>1.0966710178661732</v>
      </c>
      <c r="H125" s="329">
        <f>F125*'Shop Goals'!K165</f>
        <v>27889.829915260059</v>
      </c>
      <c r="I125" s="180">
        <f t="shared" si="43"/>
        <v>1.0966710178661732</v>
      </c>
      <c r="J125" s="179">
        <f>IFERROR(INDEX('Historic Data'!BS:BS,MATCH(DATE(YEAR($B$16),MONTH($B$16)-1,1),'Historic Data'!Z:Z,0)),"")</f>
        <v>69882</v>
      </c>
      <c r="K125" s="349">
        <f t="shared" si="41"/>
        <v>0.1061771209355398</v>
      </c>
      <c r="L125" s="179">
        <f>IFERROR(INDEX('Historic Data'!BS:BS,MATCH(DATE(YEAR($B$16),MONTH($B$16)-12,1),'Historic Data'!Z:Z,0)),"")</f>
        <v>77063</v>
      </c>
      <c r="M125" s="381">
        <f t="shared" si="42"/>
        <v>3.099666055271556E-3</v>
      </c>
      <c r="N125" s="393"/>
      <c r="O125" s="378"/>
      <c r="P125" s="397"/>
      <c r="Q125" s="405" t="s">
        <v>308</v>
      </c>
      <c r="R125" s="377" t="s">
        <v>291</v>
      </c>
      <c r="S125" s="377" t="s">
        <v>298</v>
      </c>
      <c r="T125" s="377" t="s">
        <v>293</v>
      </c>
      <c r="U125" s="377" t="s">
        <v>299</v>
      </c>
      <c r="V125" s="377" t="s">
        <v>313</v>
      </c>
      <c r="W125" s="402" t="s">
        <v>291</v>
      </c>
      <c r="X125" s="379" t="s">
        <v>298</v>
      </c>
    </row>
    <row r="126" spans="1:24" ht="25" customHeight="1">
      <c r="A126" s="294" t="s">
        <v>310</v>
      </c>
      <c r="B126" s="296">
        <f>B127+B129</f>
        <v>38076.660714285717</v>
      </c>
      <c r="C126" s="296">
        <f>C127+C129</f>
        <v>47117.987517916867</v>
      </c>
      <c r="D126" s="296">
        <f>D127+D129</f>
        <v>23053.369363054349</v>
      </c>
      <c r="E126" s="296">
        <f>E127+E129</f>
        <v>27914.042944994304</v>
      </c>
      <c r="F126" s="296">
        <f>F127+F129</f>
        <v>34927.659574468082</v>
      </c>
      <c r="G126" s="297">
        <f>C126/F126</f>
        <v>1.3490164554959143</v>
      </c>
      <c r="H126" s="296">
        <f>H127+H129</f>
        <v>19000.022893294874</v>
      </c>
      <c r="I126" s="297">
        <f>E126/H126</f>
        <v>1.4691583847956939</v>
      </c>
      <c r="J126" s="296">
        <f>J127+J129</f>
        <v>43672.71428571429</v>
      </c>
      <c r="K126" s="297">
        <f>(C126-J126)/J126</f>
        <v>7.8888461332240908E-2</v>
      </c>
      <c r="L126" s="296">
        <f>L127+L129</f>
        <v>40208</v>
      </c>
      <c r="M126" s="382">
        <f>(C126-L126)/L126</f>
        <v>0.171856036557821</v>
      </c>
      <c r="N126" s="394"/>
      <c r="O126" s="733"/>
      <c r="P126" s="736"/>
      <c r="Q126" s="735">
        <f>B127/B121</f>
        <v>0.60643597684125483</v>
      </c>
      <c r="R126" s="700">
        <f>J127/J121</f>
        <v>0.53706913855080929</v>
      </c>
      <c r="S126" s="702">
        <f>(Q126-R126)/R126</f>
        <v>0.12915811636025165</v>
      </c>
      <c r="T126" s="700">
        <f>L127/L121</f>
        <v>0.50332607643928395</v>
      </c>
      <c r="U126" s="702">
        <f>(Q126-T126)/T126</f>
        <v>0.20485706032043621</v>
      </c>
      <c r="V126" s="704">
        <f>C128/C127</f>
        <v>0.68331853167554768</v>
      </c>
      <c r="W126" s="704">
        <f>J128/J127</f>
        <v>0.6808684130058098</v>
      </c>
      <c r="X126" s="699">
        <f>(V126-W126)/W126</f>
        <v>3.5985201001195082E-3</v>
      </c>
    </row>
    <row r="127" spans="1:24" ht="25" customHeight="1">
      <c r="A127" s="195" t="s">
        <v>52</v>
      </c>
      <c r="B127" s="329">
        <f>'MTD Actuals'!G10</f>
        <v>27024</v>
      </c>
      <c r="C127" s="178">
        <f>(B127/$B$15)*$B$14</f>
        <v>32220.923076923078</v>
      </c>
      <c r="D127" s="178">
        <f>B127*'Research Goals'!K155</f>
        <v>20305.570166830224</v>
      </c>
      <c r="E127" s="178">
        <f>(D127/$B$15)*$B$14</f>
        <v>24210.48750660527</v>
      </c>
      <c r="F127" s="329" cm="1">
        <f t="array" ref="F127">INDEX('Research Goals'!D:D,MATCH(1,('Research Goals'!A:A=$A$119)*(TRIM('Research Goals'!C:C)=TEXT($B$16,"mmm")),0))</f>
        <v>20519.224924012156</v>
      </c>
      <c r="G127" s="180">
        <f>C127/F127</f>
        <v>1.570279735040931</v>
      </c>
      <c r="H127" s="329">
        <f>F127*'Research Goals'!K155</f>
        <v>15417.945584054931</v>
      </c>
      <c r="I127" s="180">
        <f t="shared" ref="I127" si="46">E127/H127</f>
        <v>1.570279735040931</v>
      </c>
      <c r="J127" s="179">
        <f>IFERROR(INDEX('Historic Data'!EB:EB,MATCH(DATE(YEAR($B$16),MONTH($B$16)-1,1),'Historic Data'!Z:Z,0)),"")</f>
        <v>29433</v>
      </c>
      <c r="K127" s="349">
        <f t="shared" si="41"/>
        <v>9.4720996056232049E-2</v>
      </c>
      <c r="L127" s="179">
        <f>IFERROR(INDEX('Historic Data'!EB:EB,MATCH(DATE(YEAR($B$16),MONTH($B$16)-12,1),'Historic Data'!Z:Z,0)),"")</f>
        <v>24969</v>
      </c>
      <c r="M127" s="381">
        <f>(C127-L127)/L127</f>
        <v>0.29043706503756972</v>
      </c>
      <c r="N127" s="393"/>
      <c r="O127" s="378"/>
      <c r="P127" s="397"/>
      <c r="Q127" s="735"/>
      <c r="R127" s="700"/>
      <c r="S127" s="702"/>
      <c r="T127" s="700"/>
      <c r="U127" s="702"/>
      <c r="V127" s="705"/>
      <c r="W127" s="705"/>
      <c r="X127" s="699"/>
    </row>
    <row r="128" spans="1:24" ht="25" customHeight="1">
      <c r="A128" s="195" t="s">
        <v>208</v>
      </c>
      <c r="B128" s="329">
        <f>'MTD Actuals'!Q10</f>
        <v>18466</v>
      </c>
      <c r="C128" s="178">
        <f>(B128/$B$15)*$B$14</f>
        <v>22017.153846153848</v>
      </c>
      <c r="D128" s="178" t="s">
        <v>199</v>
      </c>
      <c r="E128" s="178" t="s">
        <v>199</v>
      </c>
      <c r="F128" s="329" cm="1">
        <f t="array" ref="F128">INDEX('Research Goals'!E:E,MATCH(1,('Research Goals'!A:A=$A$119)*(TRIM('Research Goals'!C:C)=TEXT($B$16,"mmm")),0))</f>
        <v>11703.419452887538</v>
      </c>
      <c r="G128" s="180">
        <f>C128/F128</f>
        <v>1.8812582027658287</v>
      </c>
      <c r="H128" s="295" t="s">
        <v>311</v>
      </c>
      <c r="I128" s="178" t="s">
        <v>199</v>
      </c>
      <c r="J128" s="179">
        <f>IFERROR(INDEX('Historic Data'!EN:EN,MATCH(DATE(YEAR($B$16),MONTH($B$16)-1,1),'Historic Data'!Z:Z,0)),"")</f>
        <v>20040</v>
      </c>
      <c r="K128" s="349">
        <f t="shared" si="41"/>
        <v>9.8660371564563254E-2</v>
      </c>
      <c r="L128" s="179">
        <f>IFERROR(INDEX('Historic Data'!EN:EN,MATCH(DATE(YEAR($B$16),MONTH($B$16)-12,1),'Historic Data'!Z:Z,0)),"")</f>
        <v>13826</v>
      </c>
      <c r="M128" s="381">
        <f t="shared" si="42"/>
        <v>0.59244567092100731</v>
      </c>
      <c r="N128" s="393"/>
      <c r="O128" s="378"/>
      <c r="P128" s="397"/>
      <c r="Q128" s="735"/>
      <c r="R128" s="700"/>
      <c r="S128" s="702"/>
      <c r="T128" s="700"/>
      <c r="U128" s="702"/>
      <c r="V128" s="705"/>
      <c r="W128" s="705"/>
      <c r="X128" s="699"/>
    </row>
    <row r="129" spans="1:24" ht="25" customHeight="1" thickBot="1">
      <c r="A129" s="383" t="s">
        <v>14</v>
      </c>
      <c r="B129" s="384">
        <f>'MTD Actuals'!G11</f>
        <v>11052.660714285716</v>
      </c>
      <c r="C129" s="385">
        <f>(B129/$D$16)*$B$14</f>
        <v>14897.06444099379</v>
      </c>
      <c r="D129" s="385">
        <f>B129*'Research Goals'!K156</f>
        <v>2747.7991962241231</v>
      </c>
      <c r="E129" s="385">
        <f>(D129/$D$16)*$B$14</f>
        <v>3703.5554383890353</v>
      </c>
      <c r="F129" s="384" cm="1">
        <f t="array" ref="F129">INDEX('Research Goals'!F:F,MATCH(1,('Research Goals'!A:A=$A$119)*(TRIM('Research Goals'!C:C)=TEXT($B$16,"mmm")),0))</f>
        <v>14408.434650455927</v>
      </c>
      <c r="G129" s="396">
        <f>C129/F129</f>
        <v>1.0339127602957481</v>
      </c>
      <c r="H129" s="384">
        <f>F129*'Research Goals'!K156</f>
        <v>3582.0773092399427</v>
      </c>
      <c r="I129" s="396">
        <f>E129/H129</f>
        <v>1.0339127602957481</v>
      </c>
      <c r="J129" s="388">
        <f>IFERROR(INDEX('Historic Data'!GU:GU,MATCH(DATE(YEAR($B$16),MONTH($B$16)-1,1),'Historic Data'!Z:Z,0)),"")</f>
        <v>14239.714285714286</v>
      </c>
      <c r="K129" s="389">
        <f t="shared" si="41"/>
        <v>4.6163156232634374E-2</v>
      </c>
      <c r="L129" s="388">
        <f>IFERROR(INDEX('Historic Data'!GU:GU,MATCH(DATE(YEAR($B$16),MONTH($B$16)-12,1),'Historic Data'!Z:Z,0)),"")</f>
        <v>15239</v>
      </c>
      <c r="M129" s="390">
        <f>(C129-L129)/L129</f>
        <v>-2.2438188792322959E-2</v>
      </c>
      <c r="N129" s="393"/>
      <c r="O129" s="380"/>
      <c r="P129" s="398"/>
      <c r="Q129" s="737"/>
      <c r="R129" s="701"/>
      <c r="S129" s="703"/>
      <c r="T129" s="701"/>
      <c r="U129" s="703"/>
      <c r="V129" s="706"/>
      <c r="W129" s="706"/>
      <c r="X129" s="707"/>
    </row>
    <row r="130" spans="1:24" ht="15" customHeight="1" thickBot="1"/>
    <row r="131" spans="1:24" ht="25" customHeight="1">
      <c r="A131" s="717" t="s">
        <v>92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9"/>
      <c r="N131" s="391"/>
      <c r="O131" s="409"/>
      <c r="P131" s="410"/>
      <c r="Q131" s="738" t="s">
        <v>283</v>
      </c>
      <c r="R131" s="739"/>
      <c r="S131" s="739"/>
      <c r="T131" s="739"/>
      <c r="U131" s="739"/>
      <c r="V131" s="739"/>
      <c r="W131" s="739"/>
      <c r="X131" s="740"/>
    </row>
    <row r="132" spans="1:24" ht="25" customHeight="1" thickBot="1">
      <c r="A132" s="720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2"/>
      <c r="N132" s="391"/>
      <c r="O132" s="411"/>
      <c r="P132" s="412"/>
      <c r="Q132" s="741"/>
      <c r="R132" s="742"/>
      <c r="S132" s="742"/>
      <c r="T132" s="742"/>
      <c r="U132" s="742"/>
      <c r="V132" s="742"/>
      <c r="W132" s="742"/>
      <c r="X132" s="743"/>
    </row>
    <row r="133" spans="1:24" ht="25" customHeight="1">
      <c r="A133" s="199" t="s">
        <v>92</v>
      </c>
      <c r="B133" s="198" t="s">
        <v>284</v>
      </c>
      <c r="C133" s="198" t="s">
        <v>285</v>
      </c>
      <c r="D133" s="198" t="s">
        <v>286</v>
      </c>
      <c r="E133" s="198" t="s">
        <v>287</v>
      </c>
      <c r="F133" s="198" t="s">
        <v>112</v>
      </c>
      <c r="G133" s="198" t="s">
        <v>288</v>
      </c>
      <c r="H133" s="198" t="s">
        <v>289</v>
      </c>
      <c r="I133" s="198" t="s">
        <v>290</v>
      </c>
      <c r="J133" s="198" t="s">
        <v>291</v>
      </c>
      <c r="K133" s="198" t="s">
        <v>292</v>
      </c>
      <c r="L133" s="198" t="s">
        <v>293</v>
      </c>
      <c r="M133" s="200" t="s">
        <v>294</v>
      </c>
      <c r="N133" s="392"/>
      <c r="O133" s="708" t="s">
        <v>295</v>
      </c>
      <c r="P133" s="697" t="s">
        <v>296</v>
      </c>
      <c r="Q133" s="708" t="s">
        <v>297</v>
      </c>
      <c r="R133" s="403"/>
      <c r="S133" s="695" t="s">
        <v>298</v>
      </c>
      <c r="T133" s="695" t="s">
        <v>293</v>
      </c>
      <c r="U133" s="695" t="s">
        <v>299</v>
      </c>
      <c r="V133" s="695" t="s">
        <v>313</v>
      </c>
      <c r="W133" s="695" t="s">
        <v>291</v>
      </c>
      <c r="X133" s="697" t="s">
        <v>298</v>
      </c>
    </row>
    <row r="134" spans="1:24" ht="25" customHeight="1">
      <c r="A134" s="729"/>
      <c r="B134" s="730"/>
      <c r="C134" s="730"/>
      <c r="D134" s="730"/>
      <c r="E134" s="730"/>
      <c r="F134" s="730"/>
      <c r="G134" s="730"/>
      <c r="H134" s="730"/>
      <c r="I134" s="730"/>
      <c r="J134" s="730"/>
      <c r="K134" s="730"/>
      <c r="L134" s="730"/>
      <c r="M134" s="731"/>
      <c r="N134" s="395"/>
      <c r="O134" s="709"/>
      <c r="P134" s="698"/>
      <c r="Q134" s="709"/>
      <c r="R134" s="404" t="s">
        <v>291</v>
      </c>
      <c r="S134" s="696"/>
      <c r="T134" s="696"/>
      <c r="U134" s="696"/>
      <c r="V134" s="696"/>
      <c r="W134" s="696"/>
      <c r="X134" s="698"/>
    </row>
    <row r="135" spans="1:24" ht="25" customHeight="1">
      <c r="A135" s="293" t="s">
        <v>219</v>
      </c>
      <c r="B135" s="329">
        <f>'MTD Actuals'!I15</f>
        <v>38034</v>
      </c>
      <c r="C135" s="178">
        <f>(B135/$B$15)*$B$14</f>
        <v>45348.230769230766</v>
      </c>
      <c r="D135" s="178" t="s">
        <v>199</v>
      </c>
      <c r="E135" s="178" t="s">
        <v>199</v>
      </c>
      <c r="F135" s="179" cm="1">
        <f t="array" ref="F135">INDEX('Consideration Goals'!E:E,MATCH(1,('Consideration Goals'!A:A=$A$133)*(TRIM('Consideration Goals'!C:C)=TEXT($B$16,"mmm")),0))</f>
        <v>46242.273534635875</v>
      </c>
      <c r="G135" s="180">
        <f>C135/F135</f>
        <v>0.98066611571908413</v>
      </c>
      <c r="H135" s="178" t="s">
        <v>199</v>
      </c>
      <c r="I135" s="178" t="s">
        <v>199</v>
      </c>
      <c r="J135" s="179">
        <f>IFERROR(INDEX('Historic Data'!AR:AR,MATCH(DATE(YEAR($B$16),MONTH($B$16)-1,1),'Historic Data'!Z:Z,0)),"")</f>
        <v>36490</v>
      </c>
      <c r="K135" s="349">
        <f t="shared" ref="K135:K143" si="47">(C135-J135)/J135</f>
        <v>0.2427577629276724</v>
      </c>
      <c r="L135" s="179">
        <f>IFERROR(INDEX('Historic Data'!AR:AR,MATCH(DATE(YEAR($B$16),MONTH($B$16)-12,1),'Historic Data'!Z:Z,0)),"")</f>
        <v>41165</v>
      </c>
      <c r="M135" s="381">
        <f t="shared" ref="M135:M142" si="48">(C135-L135)/L135</f>
        <v>0.1016210559754832</v>
      </c>
      <c r="N135" s="393"/>
      <c r="O135" s="399"/>
      <c r="P135" s="400"/>
      <c r="Q135" s="735">
        <f>SUM(C137:C138)/C135</f>
        <v>9.3784508597570621E-2</v>
      </c>
      <c r="R135" s="700">
        <f>SUM(J137:J138)/J135</f>
        <v>9.4354617703480401E-2</v>
      </c>
      <c r="S135" s="702">
        <f>(Q135-R135)/R135</f>
        <v>-6.0421961297263665E-3</v>
      </c>
      <c r="T135" s="700">
        <f>SUM(L137:L138)/L135</f>
        <v>7.1784282764484397E-2</v>
      </c>
      <c r="U135" s="702">
        <f>(Q135-T135)/T135</f>
        <v>0.30647691926192699</v>
      </c>
      <c r="V135" s="704" t="s">
        <v>314</v>
      </c>
      <c r="W135" s="704" t="s">
        <v>314</v>
      </c>
      <c r="X135" s="714" t="s">
        <v>314</v>
      </c>
    </row>
    <row r="136" spans="1:24" ht="25" customHeight="1">
      <c r="A136" s="294" t="s">
        <v>305</v>
      </c>
      <c r="B136" s="296">
        <f>B137+B138+B139</f>
        <v>47109</v>
      </c>
      <c r="C136" s="296">
        <f>C137+C138+C139</f>
        <v>62940.005016722411</v>
      </c>
      <c r="D136" s="296">
        <f>D137+D138+D139</f>
        <v>10490.141756796273</v>
      </c>
      <c r="E136" s="296">
        <f>E137+E138+E139</f>
        <v>13937.676320131528</v>
      </c>
      <c r="F136" s="296">
        <f>F137+F138+F139</f>
        <v>54820.723943906894</v>
      </c>
      <c r="G136" s="297">
        <f>C136/F136</f>
        <v>1.1481060534903413</v>
      </c>
      <c r="H136" s="296">
        <f>H137+H138+H139</f>
        <v>12041.055873098307</v>
      </c>
      <c r="I136" s="297">
        <f t="shared" ref="I136:I139" si="49">E136/H136</f>
        <v>1.1575128017859782</v>
      </c>
      <c r="J136" s="296">
        <f>J137+J138+J139</f>
        <v>56700</v>
      </c>
      <c r="K136" s="297">
        <f>(C136-J136)/J136</f>
        <v>0.11005299853125945</v>
      </c>
      <c r="L136" s="296">
        <f>L137+L138+L139</f>
        <v>38978</v>
      </c>
      <c r="M136" s="382">
        <f>(C136-L136)/L136</f>
        <v>0.61475717114070527</v>
      </c>
      <c r="N136" s="394"/>
      <c r="O136" s="733"/>
      <c r="P136" s="736"/>
      <c r="Q136" s="735"/>
      <c r="R136" s="700"/>
      <c r="S136" s="702"/>
      <c r="T136" s="700"/>
      <c r="U136" s="702"/>
      <c r="V136" s="705"/>
      <c r="W136" s="705"/>
      <c r="X136" s="715"/>
    </row>
    <row r="137" spans="1:24" ht="25" customHeight="1">
      <c r="A137" s="195" t="s">
        <v>202</v>
      </c>
      <c r="B137" s="329">
        <f>'MTD Actuals'!I5</f>
        <v>450</v>
      </c>
      <c r="C137" s="178">
        <f>(B137/$B$15)*$B$14</f>
        <v>536.53846153846155</v>
      </c>
      <c r="D137" s="178">
        <f>B137*'Shop Goals'!K183</f>
        <v>196.54657193755259</v>
      </c>
      <c r="E137" s="178">
        <f>(D137/$B$15)*$B$14</f>
        <v>234.34398961785118</v>
      </c>
      <c r="F137" s="331" cm="1">
        <f t="array" ref="F137">INDEX('Shop Goals'!D:D,MATCH(1,('Shop Goals'!A:A=$A$133)*(TRIM('Shop Goals'!C:C)=TEXT($B$16,"mmm")),0))</f>
        <v>410.37300177619892</v>
      </c>
      <c r="G137" s="180">
        <f t="shared" ref="G137:G139" si="50">C137/F137</f>
        <v>1.3074409359684638</v>
      </c>
      <c r="H137" s="329">
        <f>F137*'Shop Goals'!K183</f>
        <v>179.23868158852238</v>
      </c>
      <c r="I137" s="180">
        <f t="shared" si="49"/>
        <v>1.3074409359684638</v>
      </c>
      <c r="J137" s="179">
        <f>IFERROR(INDEX('Historic Data'!DF:DF,MATCH(DATE(YEAR($B$16),MONTH($B$16)-1,1),'Historic Data'!Z:Z,0)),"")</f>
        <v>420</v>
      </c>
      <c r="K137" s="349">
        <f>(C137-J137)/J137</f>
        <v>0.27747252747252749</v>
      </c>
      <c r="L137" s="179">
        <f>IFERROR(INDEX('Historic Data'!DF:DF,MATCH(DATE(YEAR($B$16),MONTH($B$16)-12,1),'Historic Data'!Z:Z,0)),"")</f>
        <v>359</v>
      </c>
      <c r="M137" s="381">
        <f>(C137-L137)/L137</f>
        <v>0.49453610456395974</v>
      </c>
      <c r="N137" s="393"/>
      <c r="O137" s="378"/>
      <c r="P137" s="397"/>
      <c r="Q137" s="735"/>
      <c r="R137" s="700"/>
      <c r="S137" s="702"/>
      <c r="T137" s="700"/>
      <c r="U137" s="702"/>
      <c r="V137" s="705"/>
      <c r="W137" s="705"/>
      <c r="X137" s="715"/>
    </row>
    <row r="138" spans="1:24" ht="25" customHeight="1">
      <c r="A138" s="195" t="s">
        <v>203</v>
      </c>
      <c r="B138" s="329">
        <f>'MTD Actuals'!I6</f>
        <v>3117</v>
      </c>
      <c r="C138" s="178">
        <f t="shared" ref="C138" si="51">(B138/$B$15)*$B$14</f>
        <v>3716.4230769230771</v>
      </c>
      <c r="D138" s="178">
        <f>B138*'Shop Goals'!K184</f>
        <v>1097.2579069779429</v>
      </c>
      <c r="E138" s="178">
        <f>(D138/$B$15)*$B$14</f>
        <v>1308.2690429352397</v>
      </c>
      <c r="F138" s="331" cm="1">
        <f t="array" ref="F138">INDEX('Shop Goals'!E:E,MATCH(1,('Shop Goals'!A:A=$A$133)*(TRIM('Shop Goals'!C:C)=TEXT($B$16,"mmm")),0))</f>
        <v>2627.6376554174067</v>
      </c>
      <c r="G138" s="180">
        <f t="shared" si="50"/>
        <v>1.414359041955773</v>
      </c>
      <c r="H138" s="329">
        <f>F138*'Shop Goals'!K184</f>
        <v>924.99075844713911</v>
      </c>
      <c r="I138" s="180">
        <f t="shared" si="49"/>
        <v>1.4143590419557732</v>
      </c>
      <c r="J138" s="179">
        <f>IFERROR(INDEX('Historic Data'!DR:DR,MATCH(DATE(YEAR($B$16),MONTH($B$16)-1,1),'Historic Data'!Z:Z,0)),"")</f>
        <v>3023</v>
      </c>
      <c r="K138" s="349">
        <f>(C138-J138)/J138</f>
        <v>0.22938242703376682</v>
      </c>
      <c r="L138" s="179">
        <f>IFERROR(INDEX('Historic Data'!DR:DR,MATCH(DATE(YEAR($B$16),MONTH($B$16)-12,1),'Historic Data'!Z:Z,0)),"")</f>
        <v>2596</v>
      </c>
      <c r="M138" s="381">
        <f t="shared" si="48"/>
        <v>0.43159594642645499</v>
      </c>
      <c r="N138" s="393"/>
      <c r="O138" s="378"/>
      <c r="P138" s="397"/>
      <c r="Q138" s="735"/>
      <c r="R138" s="700"/>
      <c r="S138" s="702"/>
      <c r="T138" s="700"/>
      <c r="U138" s="702"/>
      <c r="V138" s="713"/>
      <c r="W138" s="713"/>
      <c r="X138" s="716"/>
    </row>
    <row r="139" spans="1:24" ht="25" customHeight="1">
      <c r="A139" s="195" t="s">
        <v>7</v>
      </c>
      <c r="B139" s="329">
        <f>'MTD Actuals'!I7</f>
        <v>43542</v>
      </c>
      <c r="C139" s="178">
        <f>(B139/$D$15)*$B$14</f>
        <v>58687.043478260872</v>
      </c>
      <c r="D139" s="330">
        <f>B139*'Shop Goals'!K185</f>
        <v>9196.337277880777</v>
      </c>
      <c r="E139" s="178">
        <f>(D139/$D$15)*$B$14</f>
        <v>12395.063287578438</v>
      </c>
      <c r="F139" s="331" cm="1">
        <f t="array" ref="F139">INDEX('Shop Goals'!G:G,MATCH(1,('Shop Goals'!A:A=$A$133)*(TRIM('Shop Goals'!C:C)=TEXT($B$16,"mmm")),0))</f>
        <v>51782.71328671329</v>
      </c>
      <c r="G139" s="180">
        <f t="shared" si="50"/>
        <v>1.1333327234770283</v>
      </c>
      <c r="H139" s="329">
        <f>F139*'Shop Goals'!K185</f>
        <v>10936.826433062644</v>
      </c>
      <c r="I139" s="180">
        <f t="shared" si="49"/>
        <v>1.1333327234770281</v>
      </c>
      <c r="J139" s="179">
        <f>IFERROR(INDEX('Historic Data'!BU:BU,MATCH(DATE(YEAR($B$16),MONTH($B$16)-1,1),'Historic Data'!Z:Z,0)),"")</f>
        <v>53257</v>
      </c>
      <c r="K139" s="349">
        <f t="shared" si="47"/>
        <v>0.10195924438591869</v>
      </c>
      <c r="L139" s="179">
        <f>IFERROR(INDEX('Historic Data'!BU:BU,MATCH(DATE(YEAR($B$16),MONTH($B$16)-12,1),'Historic Data'!Z:Z,0)),"")</f>
        <v>36023</v>
      </c>
      <c r="M139" s="381">
        <f t="shared" si="48"/>
        <v>0.62915480327182283</v>
      </c>
      <c r="N139" s="393"/>
      <c r="O139" s="378"/>
      <c r="P139" s="397"/>
      <c r="Q139" s="405" t="s">
        <v>308</v>
      </c>
      <c r="R139" s="377" t="s">
        <v>291</v>
      </c>
      <c r="S139" s="377" t="s">
        <v>298</v>
      </c>
      <c r="T139" s="377" t="s">
        <v>293</v>
      </c>
      <c r="U139" s="377" t="s">
        <v>299</v>
      </c>
      <c r="V139" s="377" t="s">
        <v>313</v>
      </c>
      <c r="W139" s="402" t="s">
        <v>291</v>
      </c>
      <c r="X139" s="379" t="s">
        <v>298</v>
      </c>
    </row>
    <row r="140" spans="1:24" ht="25" customHeight="1">
      <c r="A140" s="294" t="s">
        <v>310</v>
      </c>
      <c r="B140" s="296">
        <f>B141+B143</f>
        <v>29795.488095238095</v>
      </c>
      <c r="C140" s="296">
        <f>C141+C143</f>
        <v>37662.754857461376</v>
      </c>
      <c r="D140" s="296">
        <f>D141+D143</f>
        <v>15478.081436827266</v>
      </c>
      <c r="E140" s="296">
        <f>E141+E143</f>
        <v>18986.005384658623</v>
      </c>
      <c r="F140" s="296">
        <f>F141+F143</f>
        <v>37202.699822380106</v>
      </c>
      <c r="G140" s="297">
        <f>C140/F140</f>
        <v>1.0123661733497233</v>
      </c>
      <c r="H140" s="296">
        <f>H141+H143</f>
        <v>18614.709762586637</v>
      </c>
      <c r="I140" s="297">
        <f>E140/H140</f>
        <v>1.0199463556943684</v>
      </c>
      <c r="J140" s="296">
        <f>J141+J143</f>
        <v>33107.857142857145</v>
      </c>
      <c r="K140" s="297">
        <f>(C140-J140)/J140</f>
        <v>0.13757754526215016</v>
      </c>
      <c r="L140" s="296">
        <f>L141+L143</f>
        <v>33327</v>
      </c>
      <c r="M140" s="382">
        <f>(C140-L140)/L140</f>
        <v>0.13009736422304366</v>
      </c>
      <c r="N140" s="394"/>
      <c r="O140" s="733"/>
      <c r="P140" s="736"/>
      <c r="Q140" s="735">
        <f>B141/B135</f>
        <v>0.42204343482147555</v>
      </c>
      <c r="R140" s="700">
        <f>J141/J135</f>
        <v>0.47314332693888739</v>
      </c>
      <c r="S140" s="702">
        <f>(Q140-R140)/R140</f>
        <v>-0.10800087247983538</v>
      </c>
      <c r="T140" s="700">
        <f>L141/L135</f>
        <v>0.44066561399246934</v>
      </c>
      <c r="U140" s="702">
        <f>(Q140-T140)/T140</f>
        <v>-4.2259206481475159E-2</v>
      </c>
      <c r="V140" s="704">
        <f>C142/C141</f>
        <v>0.6544355843508598</v>
      </c>
      <c r="W140" s="704">
        <f>J142/J141</f>
        <v>0.66382855487981463</v>
      </c>
      <c r="X140" s="699">
        <f>(V140-W140)/W140</f>
        <v>-1.4149693410906994E-2</v>
      </c>
    </row>
    <row r="141" spans="1:24" ht="25" customHeight="1">
      <c r="A141" s="195" t="s">
        <v>52</v>
      </c>
      <c r="B141" s="329">
        <f>'MTD Actuals'!I10</f>
        <v>16052</v>
      </c>
      <c r="C141" s="178">
        <f>(B141/$B$15)*$B$14</f>
        <v>19138.923076923074</v>
      </c>
      <c r="D141" s="178">
        <f>B141*'Research Goals'!K174</f>
        <v>12061.316323192672</v>
      </c>
      <c r="E141" s="178">
        <f>(D141/$B$15)*$B$14</f>
        <v>14380.800231498955</v>
      </c>
      <c r="F141" s="329" cm="1">
        <f t="array" ref="F141">INDEX('Research Goals'!D:D,MATCH(1,('Research Goals'!A:A=$A$133)*(TRIM('Research Goals'!C:C)=TEXT($B$16,"mmm")),0))</f>
        <v>18627.921847246889</v>
      </c>
      <c r="G141" s="180">
        <f>C141/F141</f>
        <v>1.0274320041637768</v>
      </c>
      <c r="H141" s="329">
        <f>F141*'Research Goals'!K174</f>
        <v>13996.838888821101</v>
      </c>
      <c r="I141" s="180">
        <f t="shared" ref="I141" si="52">E141/H141</f>
        <v>1.0274320041637768</v>
      </c>
      <c r="J141" s="179">
        <f>IFERROR(INDEX('Historic Data'!ED:ED,MATCH(DATE(YEAR($B$16),MONTH($B$16)-1,1),'Historic Data'!Z:Z,0)),"")</f>
        <v>17265</v>
      </c>
      <c r="K141" s="349">
        <f t="shared" si="47"/>
        <v>0.10853884025039527</v>
      </c>
      <c r="L141" s="179">
        <f>IFERROR(INDEX('Historic Data'!ED:ED,MATCH(DATE(YEAR($B$16),MONTH($B$16)-12,1),'Historic Data'!Z:Z,0)),"")</f>
        <v>18140</v>
      </c>
      <c r="M141" s="381">
        <f>(C141-L141)/L141</f>
        <v>5.5067424306674446E-2</v>
      </c>
      <c r="N141" s="393"/>
      <c r="O141" s="378"/>
      <c r="P141" s="397"/>
      <c r="Q141" s="735"/>
      <c r="R141" s="700"/>
      <c r="S141" s="702"/>
      <c r="T141" s="700"/>
      <c r="U141" s="702"/>
      <c r="V141" s="705"/>
      <c r="W141" s="705"/>
      <c r="X141" s="699"/>
    </row>
    <row r="142" spans="1:24" ht="25" customHeight="1">
      <c r="A142" s="195" t="s">
        <v>208</v>
      </c>
      <c r="B142" s="329">
        <f>'MTD Actuals'!S10</f>
        <v>10505</v>
      </c>
      <c r="C142" s="178">
        <f>(B142/$B$15)*$B$14</f>
        <v>12525.192307692309</v>
      </c>
      <c r="D142" s="178" t="s">
        <v>199</v>
      </c>
      <c r="E142" s="178" t="s">
        <v>199</v>
      </c>
      <c r="F142" s="329" cm="1">
        <f t="array" ref="F142">INDEX('Research Goals'!E:E,MATCH(1,('Research Goals'!A:A=$A$133)*(TRIM('Research Goals'!C:C)=TEXT($B$16,"mmm")),0))</f>
        <v>9514.4582593250434</v>
      </c>
      <c r="G142" s="180">
        <f>C142/F142</f>
        <v>1.3164377798826821</v>
      </c>
      <c r="H142" s="295" t="s">
        <v>311</v>
      </c>
      <c r="I142" s="178" t="s">
        <v>199</v>
      </c>
      <c r="J142" s="179">
        <f>IFERROR(INDEX('Historic Data'!EP:EP,MATCH(DATE(YEAR($B$16),MONTH($B$16)-1,1),'Historic Data'!Z:Z,0)),"")</f>
        <v>11461</v>
      </c>
      <c r="K142" s="349">
        <f t="shared" si="47"/>
        <v>9.2853355526769793E-2</v>
      </c>
      <c r="L142" s="179">
        <f>IFERROR(INDEX('Historic Data'!EP:EP,MATCH(DATE(YEAR($B$16),MONTH($B$16)-12,1),'Historic Data'!Z:Z,0)),"")</f>
        <v>9502</v>
      </c>
      <c r="M142" s="381">
        <f t="shared" si="48"/>
        <v>0.31816378738079443</v>
      </c>
      <c r="N142" s="393"/>
      <c r="O142" s="378"/>
      <c r="P142" s="397"/>
      <c r="Q142" s="735"/>
      <c r="R142" s="700"/>
      <c r="S142" s="702"/>
      <c r="T142" s="700"/>
      <c r="U142" s="702"/>
      <c r="V142" s="705"/>
      <c r="W142" s="705"/>
      <c r="X142" s="699"/>
    </row>
    <row r="143" spans="1:24" ht="25" customHeight="1" thickBot="1">
      <c r="A143" s="383" t="s">
        <v>14</v>
      </c>
      <c r="B143" s="384">
        <f>'MTD Actuals'!I11</f>
        <v>13743.488095238095</v>
      </c>
      <c r="C143" s="385">
        <f>(B143/$D$16)*$B$14</f>
        <v>18523.831780538301</v>
      </c>
      <c r="D143" s="385">
        <f>B143*'Research Goals'!K175</f>
        <v>3416.7651136345935</v>
      </c>
      <c r="E143" s="385">
        <f>(D143/$D$16)*$B$14</f>
        <v>4605.205153159669</v>
      </c>
      <c r="F143" s="384" cm="1">
        <f t="array" ref="F143">INDEX('Research Goals'!F:F,MATCH(1,('Research Goals'!A:A=$A$133)*(TRIM('Research Goals'!C:C)=TEXT($B$16,"mmm")),0))</f>
        <v>18574.777975133213</v>
      </c>
      <c r="G143" s="396">
        <f>C143/F143</f>
        <v>0.99725723803196387</v>
      </c>
      <c r="H143" s="384">
        <f>F143*'Research Goals'!K175</f>
        <v>4617.8708737655352</v>
      </c>
      <c r="I143" s="396">
        <f>E143/H143</f>
        <v>0.99725723803196376</v>
      </c>
      <c r="J143" s="388">
        <f>IFERROR(INDEX('Historic Data'!GV:GV,MATCH(DATE(YEAR($B$16),MONTH($B$16)-1,1),'Historic Data'!Z:Z,0)),"")</f>
        <v>15842.857142857143</v>
      </c>
      <c r="K143" s="389">
        <f t="shared" si="47"/>
        <v>0.16922292573280528</v>
      </c>
      <c r="L143" s="388">
        <f>IFERROR(INDEX('Historic Data'!GV:GV,MATCH(DATE(YEAR($B$16),MONTH($B$16)-12,1),'Historic Data'!Z:Z,0)),"")</f>
        <v>15187</v>
      </c>
      <c r="M143" s="390">
        <f>(C143-L143)/L143</f>
        <v>0.21971632188966228</v>
      </c>
      <c r="N143" s="393"/>
      <c r="O143" s="380"/>
      <c r="P143" s="398"/>
      <c r="Q143" s="737"/>
      <c r="R143" s="701"/>
      <c r="S143" s="703"/>
      <c r="T143" s="701"/>
      <c r="U143" s="703"/>
      <c r="V143" s="706"/>
      <c r="W143" s="706"/>
      <c r="X143" s="707"/>
    </row>
    <row r="144" spans="1:24" ht="15" customHeight="1"/>
    <row r="145" ht="25" customHeight="1"/>
    <row r="146" ht="25" customHeight="1"/>
    <row r="147" ht="25" customHeight="1"/>
    <row r="148" ht="25" customHeight="1"/>
    <row r="149" ht="25" customHeight="1"/>
    <row r="150" ht="25" customHeight="1"/>
    <row r="151" ht="25" customHeight="1"/>
    <row r="152" ht="25" customHeight="1"/>
    <row r="153" ht="25" customHeight="1"/>
    <row r="154" ht="25" customHeight="1"/>
    <row r="155" ht="25" customHeight="1"/>
    <row r="156" ht="25" customHeight="1"/>
    <row r="157" ht="25" customHeight="1"/>
    <row r="158" ht="25" customHeight="1"/>
    <row r="159" ht="25" customHeight="1"/>
    <row r="160" ht="25" customHeight="1"/>
    <row r="161" ht="25" customHeight="1"/>
    <row r="162" ht="25" customHeight="1"/>
    <row r="163" ht="25" customHeight="1"/>
    <row r="164" ht="25" customHeight="1"/>
    <row r="165" ht="25" customHeight="1"/>
    <row r="166" ht="25" customHeight="1"/>
    <row r="167" ht="25" customHeight="1"/>
    <row r="168" ht="25" customHeight="1"/>
    <row r="169" ht="25" customHeight="1"/>
    <row r="170" ht="25" customHeight="1"/>
    <row r="171" ht="25" customHeight="1"/>
    <row r="172" ht="25" customHeight="1"/>
    <row r="173" ht="25" customHeight="1"/>
    <row r="174" ht="25" customHeight="1"/>
    <row r="175" ht="25" customHeight="1"/>
    <row r="176" ht="25" customHeight="1"/>
    <row r="177" ht="25" customHeight="1"/>
    <row r="178" ht="25" customHeight="1"/>
    <row r="179" ht="25" customHeight="1"/>
    <row r="180" ht="25" customHeight="1"/>
    <row r="181" ht="25" customHeight="1"/>
    <row r="182" ht="25" customHeight="1"/>
    <row r="183" ht="25" customHeight="1"/>
    <row r="184" ht="25" customHeight="1"/>
    <row r="185" ht="25" customHeight="1"/>
    <row r="186" ht="25" customHeight="1"/>
    <row r="187" ht="25" customHeight="1"/>
    <row r="188" ht="25" customHeight="1"/>
    <row r="189" ht="25" customHeight="1"/>
    <row r="190" ht="25" customHeight="1"/>
    <row r="191" ht="25" customHeight="1"/>
    <row r="192" ht="25" customHeight="1"/>
    <row r="193" ht="25" customHeight="1"/>
    <row r="194" ht="25" customHeight="1"/>
    <row r="195" ht="25" customHeight="1"/>
    <row r="196" ht="25" customHeight="1"/>
    <row r="197" ht="25" customHeight="1"/>
    <row r="198" ht="25" customHeight="1"/>
    <row r="199" ht="25" customHeight="1"/>
    <row r="200" ht="25" customHeight="1"/>
    <row r="201" ht="25" customHeight="1"/>
    <row r="202" ht="25" customHeight="1"/>
    <row r="203" ht="25" customHeight="1"/>
    <row r="204" ht="25" customHeight="1"/>
    <row r="205" ht="25" customHeight="1"/>
    <row r="206" ht="25" customHeight="1"/>
    <row r="207" ht="25" customHeight="1"/>
    <row r="208" ht="25" customHeight="1"/>
    <row r="209" ht="25" customHeight="1"/>
    <row r="210" ht="25" customHeight="1"/>
    <row r="211" ht="25" customHeight="1"/>
    <row r="212" ht="25" customHeight="1"/>
    <row r="213" ht="25" customHeight="1"/>
    <row r="214" ht="25" customHeight="1"/>
    <row r="215" ht="25" customHeight="1"/>
    <row r="216" ht="25" customHeight="1"/>
    <row r="217" ht="25" customHeight="1"/>
    <row r="218" ht="25" customHeight="1"/>
    <row r="219" ht="25" customHeight="1"/>
    <row r="220" ht="25" customHeight="1"/>
    <row r="221" ht="25" customHeight="1"/>
    <row r="222" ht="25" customHeight="1"/>
    <row r="223" ht="25" customHeight="1"/>
    <row r="224" ht="25" customHeight="1"/>
    <row r="225" ht="25" customHeight="1"/>
    <row r="226" ht="25" customHeight="1"/>
    <row r="227" ht="25" customHeight="1"/>
    <row r="228" ht="25" customHeight="1"/>
    <row r="229" ht="25" customHeight="1"/>
    <row r="230" ht="25" customHeight="1"/>
    <row r="231" ht="25" customHeight="1"/>
    <row r="232" ht="25" customHeight="1"/>
    <row r="233" ht="25" customHeight="1"/>
    <row r="234" ht="25" customHeight="1"/>
    <row r="235" ht="25" customHeight="1"/>
    <row r="236" ht="25" customHeight="1"/>
    <row r="237" ht="25" customHeight="1"/>
    <row r="238" ht="25" customHeight="1"/>
    <row r="239" ht="25" customHeight="1"/>
    <row r="240" ht="25" customHeight="1"/>
    <row r="241" ht="25" customHeight="1"/>
    <row r="242" ht="25" customHeight="1"/>
    <row r="243" ht="25" customHeight="1"/>
    <row r="244" ht="25" customHeight="1"/>
    <row r="245" ht="25" customHeight="1"/>
    <row r="246" ht="25" customHeight="1"/>
    <row r="247" ht="25" customHeight="1"/>
    <row r="248" ht="25" customHeight="1"/>
    <row r="249" ht="25" customHeight="1"/>
    <row r="250" ht="25" customHeight="1"/>
    <row r="251" ht="25" customHeight="1"/>
    <row r="252" ht="25" customHeight="1"/>
    <row r="253" ht="25" customHeight="1"/>
    <row r="254" ht="25" customHeight="1"/>
    <row r="255" ht="25" customHeight="1"/>
    <row r="256" ht="25" customHeight="1"/>
    <row r="257" ht="25" customHeight="1"/>
    <row r="258" ht="25" customHeight="1"/>
    <row r="259" ht="25" customHeight="1"/>
    <row r="260" ht="25" customHeight="1"/>
    <row r="261" ht="25" customHeight="1"/>
    <row r="262" ht="25" customHeight="1"/>
    <row r="263" ht="25" customHeight="1"/>
    <row r="264" ht="25" customHeight="1"/>
    <row r="265" ht="25" customHeight="1"/>
    <row r="266" ht="25" customHeight="1"/>
    <row r="267" ht="25" customHeight="1"/>
    <row r="268" ht="25" customHeight="1"/>
    <row r="269" ht="25" customHeight="1"/>
    <row r="270" ht="25" customHeight="1"/>
    <row r="271" ht="25" customHeight="1"/>
    <row r="272" ht="25" customHeight="1"/>
    <row r="273" ht="25" customHeight="1"/>
    <row r="274" ht="25" customHeight="1"/>
    <row r="275" ht="25" customHeight="1"/>
    <row r="276" ht="25" customHeight="1"/>
    <row r="277" ht="25" customHeight="1"/>
    <row r="278" ht="25" customHeight="1"/>
    <row r="279" ht="25" customHeight="1"/>
    <row r="280" ht="25" customHeight="1"/>
    <row r="281" ht="25" customHeight="1"/>
    <row r="282" ht="25" customHeight="1"/>
    <row r="283" ht="25" customHeight="1"/>
    <row r="284" ht="25" customHeight="1"/>
    <row r="285" ht="25" customHeight="1"/>
    <row r="286" ht="25" customHeight="1"/>
    <row r="287" ht="25" customHeight="1"/>
    <row r="288" ht="25" customHeight="1"/>
    <row r="289" ht="25" customHeight="1"/>
    <row r="290" ht="25" customHeight="1"/>
    <row r="291" ht="25" customHeight="1"/>
    <row r="292" ht="25" customHeight="1"/>
    <row r="293" ht="25" customHeight="1"/>
    <row r="294" ht="25" customHeight="1"/>
    <row r="295" ht="25" customHeight="1"/>
    <row r="296" ht="25" customHeight="1"/>
    <row r="297" ht="25" customHeight="1"/>
    <row r="298" ht="25" customHeight="1"/>
    <row r="299" ht="25" customHeight="1"/>
    <row r="300" ht="25" customHeight="1"/>
    <row r="301" ht="25" customHeight="1"/>
    <row r="302" ht="25" customHeight="1"/>
    <row r="303" ht="25" customHeight="1"/>
    <row r="304" ht="25" customHeight="1"/>
    <row r="305" ht="25" customHeight="1"/>
    <row r="306" ht="25" customHeight="1"/>
    <row r="307" ht="25" customHeight="1"/>
    <row r="308" ht="25" customHeight="1"/>
    <row r="309" ht="25" customHeight="1"/>
    <row r="310" ht="25" customHeight="1"/>
    <row r="311" ht="25" customHeight="1"/>
    <row r="312" ht="25" customHeight="1"/>
    <row r="313" ht="25" customHeight="1"/>
    <row r="314" ht="25" customHeight="1"/>
    <row r="315" ht="25" customHeight="1"/>
    <row r="316" ht="25" customHeight="1"/>
    <row r="317" ht="25" customHeight="1"/>
    <row r="318" ht="25" customHeight="1"/>
    <row r="319" ht="25" customHeight="1"/>
    <row r="320" ht="25" customHeight="1"/>
    <row r="321" ht="25" customHeight="1"/>
    <row r="322" ht="25" customHeight="1"/>
    <row r="323" ht="25" customHeight="1"/>
    <row r="324" ht="25" customHeight="1"/>
    <row r="325" ht="25" customHeight="1"/>
    <row r="326" ht="25" customHeight="1"/>
    <row r="327" ht="25" customHeight="1"/>
    <row r="328" ht="25" customHeight="1"/>
    <row r="329" ht="25" customHeight="1"/>
    <row r="330" ht="25" customHeight="1"/>
    <row r="331" ht="25" customHeight="1"/>
  </sheetData>
  <mergeCells count="262">
    <mergeCell ref="W121:W124"/>
    <mergeCell ref="W126:W129"/>
    <mergeCell ref="W133:W134"/>
    <mergeCell ref="W140:W143"/>
    <mergeCell ref="W42:W45"/>
    <mergeCell ref="W56:W59"/>
    <mergeCell ref="W35:W36"/>
    <mergeCell ref="W37:W40"/>
    <mergeCell ref="W49:W50"/>
    <mergeCell ref="W51:W54"/>
    <mergeCell ref="W63:W64"/>
    <mergeCell ref="W65:W68"/>
    <mergeCell ref="W93:W96"/>
    <mergeCell ref="W98:W101"/>
    <mergeCell ref="W105:W106"/>
    <mergeCell ref="W79:W82"/>
    <mergeCell ref="W84:W87"/>
    <mergeCell ref="U126:U129"/>
    <mergeCell ref="V126:V129"/>
    <mergeCell ref="X126:X129"/>
    <mergeCell ref="O133:O134"/>
    <mergeCell ref="P133:P134"/>
    <mergeCell ref="Q133:Q134"/>
    <mergeCell ref="S133:S134"/>
    <mergeCell ref="T133:T134"/>
    <mergeCell ref="U133:U134"/>
    <mergeCell ref="V133:V134"/>
    <mergeCell ref="X133:X134"/>
    <mergeCell ref="X107:X110"/>
    <mergeCell ref="O108:P108"/>
    <mergeCell ref="O112:P112"/>
    <mergeCell ref="Q112:Q115"/>
    <mergeCell ref="S112:S115"/>
    <mergeCell ref="T112:T115"/>
    <mergeCell ref="U112:U115"/>
    <mergeCell ref="V112:V115"/>
    <mergeCell ref="X112:X115"/>
    <mergeCell ref="W107:W110"/>
    <mergeCell ref="W112:W115"/>
    <mergeCell ref="R112:R115"/>
    <mergeCell ref="V91:V92"/>
    <mergeCell ref="X91:X92"/>
    <mergeCell ref="W91:W92"/>
    <mergeCell ref="V98:V101"/>
    <mergeCell ref="X98:X101"/>
    <mergeCell ref="U65:U68"/>
    <mergeCell ref="V65:V68"/>
    <mergeCell ref="X65:X68"/>
    <mergeCell ref="V79:V82"/>
    <mergeCell ref="X79:X82"/>
    <mergeCell ref="O66:P66"/>
    <mergeCell ref="O70:P70"/>
    <mergeCell ref="Q70:Q73"/>
    <mergeCell ref="S70:S73"/>
    <mergeCell ref="T70:T73"/>
    <mergeCell ref="U70:U73"/>
    <mergeCell ref="V70:V73"/>
    <mergeCell ref="X70:X73"/>
    <mergeCell ref="W70:W73"/>
    <mergeCell ref="R65:R68"/>
    <mergeCell ref="R70:R73"/>
    <mergeCell ref="S65:S68"/>
    <mergeCell ref="T65:T68"/>
    <mergeCell ref="X51:X54"/>
    <mergeCell ref="O52:P52"/>
    <mergeCell ref="T63:T64"/>
    <mergeCell ref="U63:U64"/>
    <mergeCell ref="V63:V64"/>
    <mergeCell ref="X63:X64"/>
    <mergeCell ref="R51:R54"/>
    <mergeCell ref="T56:T59"/>
    <mergeCell ref="U56:U59"/>
    <mergeCell ref="V56:V59"/>
    <mergeCell ref="X56:X59"/>
    <mergeCell ref="R56:R59"/>
    <mergeCell ref="U51:U54"/>
    <mergeCell ref="V51:V54"/>
    <mergeCell ref="Q27:Q31"/>
    <mergeCell ref="R27:R31"/>
    <mergeCell ref="S27:S31"/>
    <mergeCell ref="T27:T31"/>
    <mergeCell ref="U27:U31"/>
    <mergeCell ref="V27:V31"/>
    <mergeCell ref="W27:W31"/>
    <mergeCell ref="X27:X31"/>
    <mergeCell ref="T21:T25"/>
    <mergeCell ref="U21:U25"/>
    <mergeCell ref="V21:V25"/>
    <mergeCell ref="U121:U124"/>
    <mergeCell ref="V121:V124"/>
    <mergeCell ref="X121:X124"/>
    <mergeCell ref="W119:W120"/>
    <mergeCell ref="O122:P122"/>
    <mergeCell ref="O126:P126"/>
    <mergeCell ref="Q126:Q129"/>
    <mergeCell ref="O136:P136"/>
    <mergeCell ref="O140:P140"/>
    <mergeCell ref="Q140:Q143"/>
    <mergeCell ref="S140:S143"/>
    <mergeCell ref="T140:T143"/>
    <mergeCell ref="U140:U143"/>
    <mergeCell ref="V140:V143"/>
    <mergeCell ref="X140:X143"/>
    <mergeCell ref="W135:W138"/>
    <mergeCell ref="Q135:Q138"/>
    <mergeCell ref="S135:S138"/>
    <mergeCell ref="T135:T138"/>
    <mergeCell ref="U135:U138"/>
    <mergeCell ref="V135:V138"/>
    <mergeCell ref="X135:X138"/>
    <mergeCell ref="R140:R143"/>
    <mergeCell ref="S126:S129"/>
    <mergeCell ref="A134:M134"/>
    <mergeCell ref="A131:M132"/>
    <mergeCell ref="A120:M120"/>
    <mergeCell ref="O119:O120"/>
    <mergeCell ref="P119:P120"/>
    <mergeCell ref="Q119:Q120"/>
    <mergeCell ref="S119:S120"/>
    <mergeCell ref="A117:M118"/>
    <mergeCell ref="T119:T120"/>
    <mergeCell ref="Q121:Q124"/>
    <mergeCell ref="S121:S124"/>
    <mergeCell ref="T121:T124"/>
    <mergeCell ref="T126:T129"/>
    <mergeCell ref="R121:R124"/>
    <mergeCell ref="R126:R129"/>
    <mergeCell ref="A89:M90"/>
    <mergeCell ref="R84:R87"/>
    <mergeCell ref="R93:R96"/>
    <mergeCell ref="R98:R101"/>
    <mergeCell ref="R107:R110"/>
    <mergeCell ref="V93:V96"/>
    <mergeCell ref="X93:X96"/>
    <mergeCell ref="O94:P94"/>
    <mergeCell ref="O98:P98"/>
    <mergeCell ref="Q98:Q101"/>
    <mergeCell ref="S98:S101"/>
    <mergeCell ref="T98:T101"/>
    <mergeCell ref="U98:U101"/>
    <mergeCell ref="V84:V87"/>
    <mergeCell ref="X84:X87"/>
    <mergeCell ref="O105:O106"/>
    <mergeCell ref="P105:P106"/>
    <mergeCell ref="Q105:Q106"/>
    <mergeCell ref="S105:S106"/>
    <mergeCell ref="T105:T106"/>
    <mergeCell ref="U105:U106"/>
    <mergeCell ref="V105:V106"/>
    <mergeCell ref="X105:X106"/>
    <mergeCell ref="V107:V110"/>
    <mergeCell ref="A106:M106"/>
    <mergeCell ref="Q107:Q110"/>
    <mergeCell ref="S107:S110"/>
    <mergeCell ref="T107:T110"/>
    <mergeCell ref="U107:U110"/>
    <mergeCell ref="A103:M104"/>
    <mergeCell ref="A92:M92"/>
    <mergeCell ref="O91:O92"/>
    <mergeCell ref="P91:P92"/>
    <mergeCell ref="Q91:Q92"/>
    <mergeCell ref="S91:S92"/>
    <mergeCell ref="Q93:Q96"/>
    <mergeCell ref="S93:S96"/>
    <mergeCell ref="T93:T96"/>
    <mergeCell ref="U93:U96"/>
    <mergeCell ref="T91:T92"/>
    <mergeCell ref="U91:U92"/>
    <mergeCell ref="A75:M76"/>
    <mergeCell ref="O77:O78"/>
    <mergeCell ref="P77:P78"/>
    <mergeCell ref="Q77:Q78"/>
    <mergeCell ref="S77:S78"/>
    <mergeCell ref="T77:T78"/>
    <mergeCell ref="U77:U78"/>
    <mergeCell ref="R79:R82"/>
    <mergeCell ref="S84:S87"/>
    <mergeCell ref="T84:T87"/>
    <mergeCell ref="U84:U87"/>
    <mergeCell ref="O80:P80"/>
    <mergeCell ref="S79:S82"/>
    <mergeCell ref="T79:T82"/>
    <mergeCell ref="U79:U82"/>
    <mergeCell ref="P35:P36"/>
    <mergeCell ref="R37:R40"/>
    <mergeCell ref="Q51:Q54"/>
    <mergeCell ref="S51:S54"/>
    <mergeCell ref="S35:S36"/>
    <mergeCell ref="T35:T36"/>
    <mergeCell ref="Q37:Q40"/>
    <mergeCell ref="S37:S40"/>
    <mergeCell ref="T37:T40"/>
    <mergeCell ref="T51:T54"/>
    <mergeCell ref="P49:P50"/>
    <mergeCell ref="Q49:Q50"/>
    <mergeCell ref="S49:S50"/>
    <mergeCell ref="T49:T50"/>
    <mergeCell ref="R42:R45"/>
    <mergeCell ref="O38:P38"/>
    <mergeCell ref="O35:O36"/>
    <mergeCell ref="A50:M50"/>
    <mergeCell ref="O42:P42"/>
    <mergeCell ref="Q42:Q45"/>
    <mergeCell ref="S42:S45"/>
    <mergeCell ref="A64:M64"/>
    <mergeCell ref="O63:O64"/>
    <mergeCell ref="P63:P64"/>
    <mergeCell ref="Q63:Q64"/>
    <mergeCell ref="S63:S64"/>
    <mergeCell ref="A61:M62"/>
    <mergeCell ref="O56:P56"/>
    <mergeCell ref="Q56:Q59"/>
    <mergeCell ref="S56:S59"/>
    <mergeCell ref="O49:O50"/>
    <mergeCell ref="R135:R138"/>
    <mergeCell ref="A18:M19"/>
    <mergeCell ref="B14:D14"/>
    <mergeCell ref="A1:D1"/>
    <mergeCell ref="A33:M34"/>
    <mergeCell ref="A36:M36"/>
    <mergeCell ref="A47:M48"/>
    <mergeCell ref="Q21:Q25"/>
    <mergeCell ref="O23:P23"/>
    <mergeCell ref="O28:P28"/>
    <mergeCell ref="A78:M78"/>
    <mergeCell ref="Q79:Q82"/>
    <mergeCell ref="O84:P84"/>
    <mergeCell ref="Q84:Q87"/>
    <mergeCell ref="Q65:Q68"/>
    <mergeCell ref="Q18:X19"/>
    <mergeCell ref="Q33:X34"/>
    <mergeCell ref="Q47:X48"/>
    <mergeCell ref="Q61:X62"/>
    <mergeCell ref="Q75:X76"/>
    <mergeCell ref="Q89:X90"/>
    <mergeCell ref="Q103:X104"/>
    <mergeCell ref="Q117:X118"/>
    <mergeCell ref="Q131:X132"/>
    <mergeCell ref="U119:U120"/>
    <mergeCell ref="V119:V120"/>
    <mergeCell ref="X119:X120"/>
    <mergeCell ref="X21:X25"/>
    <mergeCell ref="T42:T45"/>
    <mergeCell ref="U42:U45"/>
    <mergeCell ref="V42:V45"/>
    <mergeCell ref="X42:X45"/>
    <mergeCell ref="Q35:Q36"/>
    <mergeCell ref="S21:S25"/>
    <mergeCell ref="V77:V78"/>
    <mergeCell ref="X77:X78"/>
    <mergeCell ref="W77:W78"/>
    <mergeCell ref="U35:U36"/>
    <mergeCell ref="V35:V36"/>
    <mergeCell ref="X35:X36"/>
    <mergeCell ref="U37:U40"/>
    <mergeCell ref="V37:V40"/>
    <mergeCell ref="X37:X40"/>
    <mergeCell ref="W21:W25"/>
    <mergeCell ref="U49:U50"/>
    <mergeCell ref="V49:V50"/>
    <mergeCell ref="X49:X50"/>
    <mergeCell ref="R21:R25"/>
  </mergeCells>
  <conditionalFormatting sqref="G21:G31">
    <cfRule type="cellIs" dxfId="145" priority="371" operator="greaterThanOrEqual">
      <formula>0.995</formula>
    </cfRule>
    <cfRule type="cellIs" dxfId="144" priority="372" operator="between">
      <formula>0.95</formula>
      <formula>0.994999999</formula>
    </cfRule>
    <cfRule type="cellIs" dxfId="143" priority="373" operator="lessThan">
      <formula>0.95</formula>
    </cfRule>
  </conditionalFormatting>
  <conditionalFormatting sqref="G37:G45">
    <cfRule type="cellIs" dxfId="142" priority="234" operator="greaterThan">
      <formula>1</formula>
    </cfRule>
    <cfRule type="cellIs" dxfId="141" priority="235" operator="lessThan">
      <formula>1</formula>
    </cfRule>
  </conditionalFormatting>
  <conditionalFormatting sqref="G51:G59">
    <cfRule type="cellIs" dxfId="140" priority="218" operator="greaterThan">
      <formula>1</formula>
    </cfRule>
    <cfRule type="cellIs" dxfId="139" priority="219" operator="lessThan">
      <formula>1</formula>
    </cfRule>
  </conditionalFormatting>
  <conditionalFormatting sqref="G65:G66 G68:G73">
    <cfRule type="cellIs" dxfId="138" priority="208" operator="greaterThan">
      <formula>1</formula>
    </cfRule>
    <cfRule type="cellIs" dxfId="137" priority="209" operator="lessThan">
      <formula>1</formula>
    </cfRule>
  </conditionalFormatting>
  <conditionalFormatting sqref="G67">
    <cfRule type="cellIs" dxfId="136" priority="1" operator="greaterThanOrEqual">
      <formula>0.995</formula>
    </cfRule>
    <cfRule type="cellIs" dxfId="135" priority="2" operator="between">
      <formula>0.95</formula>
      <formula>0.994999999</formula>
    </cfRule>
    <cfRule type="cellIs" dxfId="134" priority="3" operator="lessThan">
      <formula>0.95</formula>
    </cfRule>
  </conditionalFormatting>
  <conditionalFormatting sqref="G79:G87">
    <cfRule type="cellIs" dxfId="133" priority="198" operator="greaterThan">
      <formula>1</formula>
    </cfRule>
    <cfRule type="cellIs" dxfId="132" priority="199" operator="lessThan">
      <formula>1</formula>
    </cfRule>
  </conditionalFormatting>
  <conditionalFormatting sqref="G93:G101">
    <cfRule type="cellIs" dxfId="131" priority="188" operator="greaterThan">
      <formula>1</formula>
    </cfRule>
    <cfRule type="cellIs" dxfId="130" priority="189" operator="lessThan">
      <formula>1</formula>
    </cfRule>
  </conditionalFormatting>
  <conditionalFormatting sqref="G107:G115">
    <cfRule type="cellIs" dxfId="129" priority="178" operator="greaterThan">
      <formula>1</formula>
    </cfRule>
    <cfRule type="cellIs" dxfId="128" priority="179" operator="lessThan">
      <formula>1</formula>
    </cfRule>
  </conditionalFormatting>
  <conditionalFormatting sqref="G121:G129">
    <cfRule type="cellIs" dxfId="127" priority="168" operator="greaterThan">
      <formula>1</formula>
    </cfRule>
    <cfRule type="cellIs" dxfId="126" priority="169" operator="lessThan">
      <formula>1</formula>
    </cfRule>
  </conditionalFormatting>
  <conditionalFormatting sqref="G135:G143">
    <cfRule type="cellIs" dxfId="125" priority="158" operator="greaterThan">
      <formula>1</formula>
    </cfRule>
    <cfRule type="cellIs" dxfId="124" priority="159" operator="lessThan">
      <formula>1</formula>
    </cfRule>
  </conditionalFormatting>
  <conditionalFormatting sqref="I23:I25 I27:I29">
    <cfRule type="cellIs" dxfId="123" priority="232" operator="greaterThan">
      <formula>1</formula>
    </cfRule>
    <cfRule type="cellIs" dxfId="122" priority="233" operator="lessThan">
      <formula>1</formula>
    </cfRule>
  </conditionalFormatting>
  <conditionalFormatting sqref="I31">
    <cfRule type="cellIs" dxfId="121" priority="228" operator="greaterThan">
      <formula>1</formula>
    </cfRule>
    <cfRule type="cellIs" dxfId="120" priority="229" operator="lessThan">
      <formula>1</formula>
    </cfRule>
  </conditionalFormatting>
  <conditionalFormatting sqref="I38:I43 I45">
    <cfRule type="cellIs" dxfId="119" priority="236" operator="greaterThan">
      <formula>1</formula>
    </cfRule>
    <cfRule type="cellIs" dxfId="118" priority="237" operator="lessThan">
      <formula>1</formula>
    </cfRule>
  </conditionalFormatting>
  <conditionalFormatting sqref="I52:I57 I59">
    <cfRule type="cellIs" dxfId="117" priority="220" operator="greaterThan">
      <formula>1</formula>
    </cfRule>
    <cfRule type="cellIs" dxfId="116" priority="221" operator="lessThan">
      <formula>1</formula>
    </cfRule>
  </conditionalFormatting>
  <conditionalFormatting sqref="I66:I71 I73">
    <cfRule type="cellIs" dxfId="115" priority="210" operator="greaterThan">
      <formula>1</formula>
    </cfRule>
    <cfRule type="cellIs" dxfId="114" priority="211" operator="lessThan">
      <formula>1</formula>
    </cfRule>
  </conditionalFormatting>
  <conditionalFormatting sqref="I80:I85 I87">
    <cfRule type="cellIs" dxfId="113" priority="200" operator="greaterThan">
      <formula>1</formula>
    </cfRule>
    <cfRule type="cellIs" dxfId="112" priority="201" operator="lessThan">
      <formula>1</formula>
    </cfRule>
  </conditionalFormatting>
  <conditionalFormatting sqref="I94:I99 I101">
    <cfRule type="cellIs" dxfId="111" priority="190" operator="greaterThan">
      <formula>1</formula>
    </cfRule>
    <cfRule type="cellIs" dxfId="110" priority="191" operator="lessThan">
      <formula>1</formula>
    </cfRule>
  </conditionalFormatting>
  <conditionalFormatting sqref="I108:I113 I115">
    <cfRule type="cellIs" dxfId="109" priority="180" operator="greaterThan">
      <formula>1</formula>
    </cfRule>
    <cfRule type="cellIs" dxfId="108" priority="181" operator="lessThan">
      <formula>1</formula>
    </cfRule>
  </conditionalFormatting>
  <conditionalFormatting sqref="I122:I127 I129">
    <cfRule type="cellIs" dxfId="107" priority="170" operator="greaterThan">
      <formula>1</formula>
    </cfRule>
    <cfRule type="cellIs" dxfId="106" priority="171" operator="lessThan">
      <formula>1</formula>
    </cfRule>
  </conditionalFormatting>
  <conditionalFormatting sqref="I136:I141 I143">
    <cfRule type="cellIs" dxfId="105" priority="160" operator="greaterThan">
      <formula>1</formula>
    </cfRule>
    <cfRule type="cellIs" dxfId="104" priority="161" operator="lessThan">
      <formula>1</formula>
    </cfRule>
  </conditionalFormatting>
  <conditionalFormatting sqref="K21:K31 M21:N31">
    <cfRule type="cellIs" dxfId="103" priority="369" operator="greaterThan">
      <formula>0</formula>
    </cfRule>
    <cfRule type="cellIs" dxfId="102" priority="370" operator="lessThan">
      <formula>0</formula>
    </cfRule>
  </conditionalFormatting>
  <conditionalFormatting sqref="K37:K45">
    <cfRule type="cellIs" dxfId="101" priority="156" operator="greaterThan">
      <formula>0</formula>
    </cfRule>
    <cfRule type="cellIs" dxfId="100" priority="157" operator="lessThan">
      <formula>0</formula>
    </cfRule>
  </conditionalFormatting>
  <conditionalFormatting sqref="K51:K59">
    <cfRule type="cellIs" dxfId="99" priority="140" operator="greaterThan">
      <formula>0</formula>
    </cfRule>
    <cfRule type="cellIs" dxfId="98" priority="141" operator="lessThan">
      <formula>0</formula>
    </cfRule>
  </conditionalFormatting>
  <conditionalFormatting sqref="K65:K73">
    <cfRule type="cellIs" dxfId="97" priority="136" operator="greaterThan">
      <formula>0</formula>
    </cfRule>
    <cfRule type="cellIs" dxfId="96" priority="137" operator="lessThan">
      <formula>0</formula>
    </cfRule>
  </conditionalFormatting>
  <conditionalFormatting sqref="K79:K87">
    <cfRule type="cellIs" dxfId="95" priority="130" operator="greaterThan">
      <formula>0</formula>
    </cfRule>
    <cfRule type="cellIs" dxfId="94" priority="131" operator="lessThan">
      <formula>0</formula>
    </cfRule>
  </conditionalFormatting>
  <conditionalFormatting sqref="K93:K101">
    <cfRule type="cellIs" dxfId="93" priority="128" operator="greaterThan">
      <formula>0</formula>
    </cfRule>
    <cfRule type="cellIs" dxfId="92" priority="129" operator="lessThan">
      <formula>0</formula>
    </cfRule>
  </conditionalFormatting>
  <conditionalFormatting sqref="K107:K115">
    <cfRule type="cellIs" dxfId="91" priority="124" operator="greaterThan">
      <formula>0</formula>
    </cfRule>
    <cfRule type="cellIs" dxfId="90" priority="125" operator="lessThan">
      <formula>0</formula>
    </cfRule>
  </conditionalFormatting>
  <conditionalFormatting sqref="K121:K129">
    <cfRule type="cellIs" dxfId="89" priority="120" operator="greaterThan">
      <formula>0</formula>
    </cfRule>
    <cfRule type="cellIs" dxfId="88" priority="121" operator="lessThan">
      <formula>0</formula>
    </cfRule>
  </conditionalFormatting>
  <conditionalFormatting sqref="K135:K143">
    <cfRule type="cellIs" dxfId="87" priority="116" operator="greaterThan">
      <formula>0</formula>
    </cfRule>
    <cfRule type="cellIs" dxfId="86" priority="117" operator="lessThan">
      <formula>0</formula>
    </cfRule>
  </conditionalFormatting>
  <conditionalFormatting sqref="M37:N45">
    <cfRule type="cellIs" dxfId="85" priority="154" operator="greaterThan">
      <formula>0</formula>
    </cfRule>
    <cfRule type="cellIs" dxfId="84" priority="155" operator="lessThan">
      <formula>0</formula>
    </cfRule>
  </conditionalFormatting>
  <conditionalFormatting sqref="M51:N59">
    <cfRule type="cellIs" dxfId="83" priority="138" operator="greaterThan">
      <formula>0</formula>
    </cfRule>
    <cfRule type="cellIs" dxfId="82" priority="139" operator="lessThan">
      <formula>0</formula>
    </cfRule>
  </conditionalFormatting>
  <conditionalFormatting sqref="M65:N73">
    <cfRule type="cellIs" dxfId="81" priority="134" operator="greaterThan">
      <formula>0</formula>
    </cfRule>
    <cfRule type="cellIs" dxfId="80" priority="135" operator="lessThan">
      <formula>0</formula>
    </cfRule>
  </conditionalFormatting>
  <conditionalFormatting sqref="M79:N87">
    <cfRule type="cellIs" dxfId="79" priority="132" operator="greaterThan">
      <formula>0</formula>
    </cfRule>
    <cfRule type="cellIs" dxfId="78" priority="133" operator="lessThan">
      <formula>0</formula>
    </cfRule>
  </conditionalFormatting>
  <conditionalFormatting sqref="M93:N101">
    <cfRule type="cellIs" dxfId="77" priority="126" operator="greaterThan">
      <formula>0</formula>
    </cfRule>
    <cfRule type="cellIs" dxfId="76" priority="127" operator="lessThan">
      <formula>0</formula>
    </cfRule>
  </conditionalFormatting>
  <conditionalFormatting sqref="M107:N115">
    <cfRule type="cellIs" dxfId="75" priority="122" operator="greaterThan">
      <formula>0</formula>
    </cfRule>
    <cfRule type="cellIs" dxfId="74" priority="123" operator="lessThan">
      <formula>0</formula>
    </cfRule>
  </conditionalFormatting>
  <conditionalFormatting sqref="M121:N129">
    <cfRule type="cellIs" dxfId="73" priority="118" operator="greaterThan">
      <formula>0</formula>
    </cfRule>
    <cfRule type="cellIs" dxfId="72" priority="119" operator="lessThan">
      <formula>0</formula>
    </cfRule>
  </conditionalFormatting>
  <conditionalFormatting sqref="M135:N143">
    <cfRule type="cellIs" dxfId="71" priority="114" operator="greaterThan">
      <formula>0</formula>
    </cfRule>
    <cfRule type="cellIs" dxfId="70" priority="115" operator="lessThan">
      <formula>0</formula>
    </cfRule>
  </conditionalFormatting>
  <conditionalFormatting sqref="S21:S25 S27 U27">
    <cfRule type="cellIs" dxfId="69" priority="74" operator="lessThan">
      <formula>0</formula>
    </cfRule>
    <cfRule type="cellIs" dxfId="68" priority="75" operator="greaterThan">
      <formula>0</formula>
    </cfRule>
  </conditionalFormatting>
  <conditionalFormatting sqref="S37:S40">
    <cfRule type="cellIs" dxfId="67" priority="66" operator="lessThan">
      <formula>0</formula>
    </cfRule>
    <cfRule type="cellIs" dxfId="66" priority="67" operator="greaterThan">
      <formula>0</formula>
    </cfRule>
  </conditionalFormatting>
  <conditionalFormatting sqref="S42:S45">
    <cfRule type="cellIs" dxfId="65" priority="64" operator="lessThan">
      <formula>0</formula>
    </cfRule>
    <cfRule type="cellIs" dxfId="64" priority="65" operator="greaterThan">
      <formula>0</formula>
    </cfRule>
  </conditionalFormatting>
  <conditionalFormatting sqref="S51:S54">
    <cfRule type="cellIs" dxfId="63" priority="58" operator="lessThan">
      <formula>0</formula>
    </cfRule>
    <cfRule type="cellIs" dxfId="62" priority="59" operator="greaterThan">
      <formula>0</formula>
    </cfRule>
  </conditionalFormatting>
  <conditionalFormatting sqref="S56:S59">
    <cfRule type="cellIs" dxfId="61" priority="56" operator="lessThan">
      <formula>0</formula>
    </cfRule>
    <cfRule type="cellIs" dxfId="60" priority="57" operator="greaterThan">
      <formula>0</formula>
    </cfRule>
  </conditionalFormatting>
  <conditionalFormatting sqref="S65:S68">
    <cfRule type="cellIs" dxfId="59" priority="50" operator="lessThan">
      <formula>0</formula>
    </cfRule>
    <cfRule type="cellIs" dxfId="58" priority="51" operator="greaterThan">
      <formula>0</formula>
    </cfRule>
  </conditionalFormatting>
  <conditionalFormatting sqref="S70:S73">
    <cfRule type="cellIs" dxfId="57" priority="48" operator="lessThan">
      <formula>0</formula>
    </cfRule>
    <cfRule type="cellIs" dxfId="56" priority="49" operator="greaterThan">
      <formula>0</formula>
    </cfRule>
  </conditionalFormatting>
  <conditionalFormatting sqref="S79:S82">
    <cfRule type="cellIs" dxfId="55" priority="42" operator="lessThan">
      <formula>0</formula>
    </cfRule>
    <cfRule type="cellIs" dxfId="54" priority="43" operator="greaterThan">
      <formula>0</formula>
    </cfRule>
  </conditionalFormatting>
  <conditionalFormatting sqref="S84:S87">
    <cfRule type="cellIs" dxfId="53" priority="40" operator="lessThan">
      <formula>0</formula>
    </cfRule>
    <cfRule type="cellIs" dxfId="52" priority="41" operator="greaterThan">
      <formula>0</formula>
    </cfRule>
  </conditionalFormatting>
  <conditionalFormatting sqref="S93:S96">
    <cfRule type="cellIs" dxfId="51" priority="34" operator="lessThan">
      <formula>0</formula>
    </cfRule>
    <cfRule type="cellIs" dxfId="50" priority="35" operator="greaterThan">
      <formula>0</formula>
    </cfRule>
  </conditionalFormatting>
  <conditionalFormatting sqref="S98:S101">
    <cfRule type="cellIs" dxfId="49" priority="32" operator="lessThan">
      <formula>0</formula>
    </cfRule>
    <cfRule type="cellIs" dxfId="48" priority="33" operator="greaterThan">
      <formula>0</formula>
    </cfRule>
  </conditionalFormatting>
  <conditionalFormatting sqref="S107:S110">
    <cfRule type="cellIs" dxfId="47" priority="26" operator="lessThan">
      <formula>0</formula>
    </cfRule>
    <cfRule type="cellIs" dxfId="46" priority="27" operator="greaterThan">
      <formula>0</formula>
    </cfRule>
  </conditionalFormatting>
  <conditionalFormatting sqref="S112:S115">
    <cfRule type="cellIs" dxfId="45" priority="24" operator="lessThan">
      <formula>0</formula>
    </cfRule>
    <cfRule type="cellIs" dxfId="44" priority="25" operator="greaterThan">
      <formula>0</formula>
    </cfRule>
  </conditionalFormatting>
  <conditionalFormatting sqref="S121:S124">
    <cfRule type="cellIs" dxfId="43" priority="18" operator="lessThan">
      <formula>0</formula>
    </cfRule>
    <cfRule type="cellIs" dxfId="42" priority="19" operator="greaterThan">
      <formula>0</formula>
    </cfRule>
  </conditionalFormatting>
  <conditionalFormatting sqref="S126:S129">
    <cfRule type="cellIs" dxfId="41" priority="16" operator="lessThan">
      <formula>0</formula>
    </cfRule>
    <cfRule type="cellIs" dxfId="40" priority="17" operator="greaterThan">
      <formula>0</formula>
    </cfRule>
  </conditionalFormatting>
  <conditionalFormatting sqref="S135:S138">
    <cfRule type="cellIs" dxfId="39" priority="10" operator="lessThan">
      <formula>0</formula>
    </cfRule>
    <cfRule type="cellIs" dxfId="38" priority="11" operator="greaterThan">
      <formula>0</formula>
    </cfRule>
  </conditionalFormatting>
  <conditionalFormatting sqref="S140:S143">
    <cfRule type="cellIs" dxfId="37" priority="8" operator="lessThan">
      <formula>0</formula>
    </cfRule>
    <cfRule type="cellIs" dxfId="36" priority="9" operator="greaterThan">
      <formula>0</formula>
    </cfRule>
  </conditionalFormatting>
  <conditionalFormatting sqref="U21:U25">
    <cfRule type="cellIs" dxfId="35" priority="72" operator="lessThan">
      <formula>0</formula>
    </cfRule>
    <cfRule type="cellIs" dxfId="34" priority="73" operator="greaterThan">
      <formula>0</formula>
    </cfRule>
  </conditionalFormatting>
  <conditionalFormatting sqref="U37:U40">
    <cfRule type="cellIs" dxfId="33" priority="62" operator="lessThan">
      <formula>0</formula>
    </cfRule>
    <cfRule type="cellIs" dxfId="32" priority="63" operator="greaterThan">
      <formula>0</formula>
    </cfRule>
  </conditionalFormatting>
  <conditionalFormatting sqref="U42:U45">
    <cfRule type="cellIs" dxfId="31" priority="60" operator="lessThan">
      <formula>0</formula>
    </cfRule>
    <cfRule type="cellIs" dxfId="30" priority="61" operator="greaterThan">
      <formula>0</formula>
    </cfRule>
  </conditionalFormatting>
  <conditionalFormatting sqref="U51:U54">
    <cfRule type="cellIs" dxfId="29" priority="54" operator="lessThan">
      <formula>0</formula>
    </cfRule>
    <cfRule type="cellIs" dxfId="28" priority="55" operator="greaterThan">
      <formula>0</formula>
    </cfRule>
  </conditionalFormatting>
  <conditionalFormatting sqref="U56:U59">
    <cfRule type="cellIs" dxfId="27" priority="52" operator="lessThan">
      <formula>0</formula>
    </cfRule>
    <cfRule type="cellIs" dxfId="26" priority="53" operator="greaterThan">
      <formula>0</formula>
    </cfRule>
  </conditionalFormatting>
  <conditionalFormatting sqref="U65:U68">
    <cfRule type="cellIs" dxfId="25" priority="46" operator="lessThan">
      <formula>0</formula>
    </cfRule>
    <cfRule type="cellIs" dxfId="24" priority="47" operator="greaterThan">
      <formula>0</formula>
    </cfRule>
  </conditionalFormatting>
  <conditionalFormatting sqref="U70:U73">
    <cfRule type="cellIs" dxfId="23" priority="44" operator="lessThan">
      <formula>0</formula>
    </cfRule>
    <cfRule type="cellIs" dxfId="22" priority="45" operator="greaterThan">
      <formula>0</formula>
    </cfRule>
  </conditionalFormatting>
  <conditionalFormatting sqref="U79:U82">
    <cfRule type="cellIs" dxfId="21" priority="38" operator="lessThan">
      <formula>0</formula>
    </cfRule>
    <cfRule type="cellIs" dxfId="20" priority="39" operator="greaterThan">
      <formula>0</formula>
    </cfRule>
  </conditionalFormatting>
  <conditionalFormatting sqref="U84:U87">
    <cfRule type="cellIs" dxfId="19" priority="36" operator="lessThan">
      <formula>0</formula>
    </cfRule>
    <cfRule type="cellIs" dxfId="18" priority="37" operator="greaterThan">
      <formula>0</formula>
    </cfRule>
  </conditionalFormatting>
  <conditionalFormatting sqref="U93:U96">
    <cfRule type="cellIs" dxfId="17" priority="30" operator="lessThan">
      <formula>0</formula>
    </cfRule>
    <cfRule type="cellIs" dxfId="16" priority="31" operator="greaterThan">
      <formula>0</formula>
    </cfRule>
  </conditionalFormatting>
  <conditionalFormatting sqref="U98:U101">
    <cfRule type="cellIs" dxfId="15" priority="28" operator="lessThan">
      <formula>0</formula>
    </cfRule>
    <cfRule type="cellIs" dxfId="14" priority="29" operator="greaterThan">
      <formula>0</formula>
    </cfRule>
  </conditionalFormatting>
  <conditionalFormatting sqref="U107:U110">
    <cfRule type="cellIs" dxfId="13" priority="22" operator="lessThan">
      <formula>0</formula>
    </cfRule>
    <cfRule type="cellIs" dxfId="12" priority="23" operator="greaterThan">
      <formula>0</formula>
    </cfRule>
  </conditionalFormatting>
  <conditionalFormatting sqref="U112:U115">
    <cfRule type="cellIs" dxfId="11" priority="20" operator="lessThan">
      <formula>0</formula>
    </cfRule>
    <cfRule type="cellIs" dxfId="10" priority="21" operator="greaterThan">
      <formula>0</formula>
    </cfRule>
  </conditionalFormatting>
  <conditionalFormatting sqref="U121:U124">
    <cfRule type="cellIs" dxfId="9" priority="14" operator="lessThan">
      <formula>0</formula>
    </cfRule>
    <cfRule type="cellIs" dxfId="8" priority="15" operator="greaterThan">
      <formula>0</formula>
    </cfRule>
  </conditionalFormatting>
  <conditionalFormatting sqref="U126:U129">
    <cfRule type="cellIs" dxfId="7" priority="12" operator="lessThan">
      <formula>0</formula>
    </cfRule>
    <cfRule type="cellIs" dxfId="6" priority="13" operator="greaterThan">
      <formula>0</formula>
    </cfRule>
  </conditionalFormatting>
  <conditionalFormatting sqref="U135:U138">
    <cfRule type="cellIs" dxfId="5" priority="6" operator="lessThan">
      <formula>0</formula>
    </cfRule>
    <cfRule type="cellIs" dxfId="4" priority="7" operator="greaterThan">
      <formula>0</formula>
    </cfRule>
  </conditionalFormatting>
  <conditionalFormatting sqref="U140:U143">
    <cfRule type="cellIs" dxfId="3" priority="4" operator="lessThan">
      <formula>0</formula>
    </cfRule>
    <cfRule type="cellIs" dxfId="2" priority="5" operator="greaterThan">
      <formula>0</formula>
    </cfRule>
  </conditionalFormatting>
  <dataValidations count="1">
    <dataValidation type="list" allowBlank="1" showInputMessage="1" showErrorMessage="1" sqref="B16" xr:uid="{E2BCA41C-6D05-834F-890A-0D07BB56DE10}">
      <formula1>$A$2:$A$13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44B0-FF17-7843-8102-DD86B48CF46B}">
  <sheetPr>
    <tabColor rgb="FF92D050"/>
  </sheetPr>
  <dimension ref="F11:I23"/>
  <sheetViews>
    <sheetView workbookViewId="0">
      <selection activeCell="G16" sqref="G16:H16"/>
    </sheetView>
  </sheetViews>
  <sheetFormatPr baseColWidth="10" defaultRowHeight="16"/>
  <cols>
    <col min="6" max="6" width="26" customWidth="1"/>
  </cols>
  <sheetData>
    <row r="11" spans="6:9">
      <c r="F11" t="s">
        <v>272</v>
      </c>
      <c r="G11">
        <v>23765964</v>
      </c>
      <c r="H11">
        <v>22595600</v>
      </c>
      <c r="I11" s="99">
        <f>(H11-G11)/G11</f>
        <v>-4.9245383019178184E-2</v>
      </c>
    </row>
    <row r="12" spans="6:9">
      <c r="F12" s="507" t="s">
        <v>373</v>
      </c>
      <c r="G12">
        <f>G15+G18+G21</f>
        <v>1290069</v>
      </c>
      <c r="H12">
        <f>H15+H18+H21</f>
        <v>1056283</v>
      </c>
      <c r="I12" s="99">
        <f>(H12-G12)/G12</f>
        <v>-0.18121976421416219</v>
      </c>
    </row>
    <row r="13" spans="6:9">
      <c r="F13" s="507" t="s">
        <v>374</v>
      </c>
      <c r="G13">
        <f>G15+G21</f>
        <v>750180</v>
      </c>
      <c r="H13">
        <f>H15+H21</f>
        <v>773386</v>
      </c>
      <c r="I13" s="99">
        <f>(H13-G13)/G13</f>
        <v>3.0933909195126504E-2</v>
      </c>
    </row>
    <row r="15" spans="6:9">
      <c r="F15" t="s">
        <v>370</v>
      </c>
      <c r="G15">
        <v>637197</v>
      </c>
      <c r="H15">
        <v>663281</v>
      </c>
      <c r="I15" s="99">
        <f t="shared" ref="I15:I23" si="0">(H15-G15)/G15</f>
        <v>4.0935534850289626E-2</v>
      </c>
    </row>
    <row r="16" spans="6:9">
      <c r="G16" s="235">
        <f>G15/G11</f>
        <v>2.6811325641997941E-2</v>
      </c>
      <c r="H16" s="235">
        <f>H15/H11</f>
        <v>2.935443183628671E-2</v>
      </c>
      <c r="I16" s="99">
        <f t="shared" si="0"/>
        <v>9.4851937880504597E-2</v>
      </c>
    </row>
    <row r="18" spans="6:9">
      <c r="F18" t="s">
        <v>368</v>
      </c>
      <c r="G18">
        <v>539889</v>
      </c>
      <c r="H18">
        <v>282897</v>
      </c>
      <c r="I18" s="99">
        <f t="shared" si="0"/>
        <v>-0.47600895739679822</v>
      </c>
    </row>
    <row r="19" spans="6:9">
      <c r="G19" s="235">
        <f>G18/G11</f>
        <v>2.271689883902879E-2</v>
      </c>
      <c r="H19" s="235">
        <f>H18/H11</f>
        <v>1.2520003894563543E-2</v>
      </c>
      <c r="I19" s="99">
        <f t="shared" si="0"/>
        <v>-0.44886826396156071</v>
      </c>
    </row>
    <row r="21" spans="6:9">
      <c r="F21" t="s">
        <v>369</v>
      </c>
      <c r="G21">
        <v>112983</v>
      </c>
      <c r="H21">
        <v>110105</v>
      </c>
      <c r="I21" s="99">
        <f t="shared" si="0"/>
        <v>-2.5472858748661304E-2</v>
      </c>
    </row>
    <row r="22" spans="6:9">
      <c r="F22" s="507" t="s">
        <v>371</v>
      </c>
      <c r="G22" s="235">
        <f>G21/G11</f>
        <v>4.7539834698058113E-3</v>
      </c>
      <c r="H22" s="235">
        <f>H21/H11</f>
        <v>4.8728513515905753E-3</v>
      </c>
      <c r="I22" s="99">
        <f t="shared" si="0"/>
        <v>2.5003848359956442E-2</v>
      </c>
    </row>
    <row r="23" spans="6:9">
      <c r="F23" s="507" t="s">
        <v>372</v>
      </c>
      <c r="G23" s="235">
        <f>G21/G15</f>
        <v>0.17731251088752772</v>
      </c>
      <c r="H23" s="235">
        <f>H21/H15</f>
        <v>0.16600053371044851</v>
      </c>
      <c r="I23" s="99">
        <f t="shared" si="0"/>
        <v>-6.3796835995710358E-2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0C3A-9703-7F43-B973-A77E11E1F563}">
  <sheetPr>
    <tabColor rgb="FF92D050"/>
  </sheetPr>
  <dimension ref="B1:L52"/>
  <sheetViews>
    <sheetView workbookViewId="0">
      <selection activeCell="J16" sqref="J16"/>
    </sheetView>
  </sheetViews>
  <sheetFormatPr baseColWidth="10" defaultColWidth="11" defaultRowHeight="16"/>
  <cols>
    <col min="1" max="1" width="5.1640625" customWidth="1"/>
    <col min="2" max="2" width="10.6640625" customWidth="1"/>
    <col min="3" max="3" width="23" customWidth="1"/>
    <col min="4" max="5" width="14.1640625" customWidth="1"/>
  </cols>
  <sheetData>
    <row r="1" spans="2:12" ht="20" customHeight="1" thickBot="1">
      <c r="B1" s="441"/>
      <c r="C1" s="441"/>
      <c r="D1" s="441"/>
      <c r="E1" s="441"/>
    </row>
    <row r="2" spans="2:12" ht="20" customHeight="1">
      <c r="B2" s="442" t="s">
        <v>261</v>
      </c>
      <c r="C2" s="443" t="s">
        <v>316</v>
      </c>
      <c r="D2" s="444" t="s">
        <v>317</v>
      </c>
      <c r="E2" s="445" t="s">
        <v>318</v>
      </c>
      <c r="G2" s="751" t="s">
        <v>319</v>
      </c>
      <c r="H2" s="751"/>
      <c r="I2" s="751"/>
    </row>
    <row r="3" spans="2:12" ht="20" customHeight="1">
      <c r="B3" s="755" t="s">
        <v>27</v>
      </c>
      <c r="C3" s="446" t="s">
        <v>305</v>
      </c>
      <c r="D3" s="447">
        <v>1946220</v>
      </c>
      <c r="E3" s="448">
        <v>1.1195522897705685</v>
      </c>
    </row>
    <row r="4" spans="2:12" ht="20" customHeight="1">
      <c r="B4" s="755"/>
      <c r="C4" s="449" t="s">
        <v>202</v>
      </c>
      <c r="D4" s="450">
        <v>53214</v>
      </c>
      <c r="E4" s="451">
        <v>0.72524949905421454</v>
      </c>
    </row>
    <row r="5" spans="2:12" ht="20" customHeight="1">
      <c r="B5" s="755"/>
      <c r="C5" s="452" t="s">
        <v>203</v>
      </c>
      <c r="D5" s="450">
        <v>71283</v>
      </c>
      <c r="E5" s="451">
        <v>1.0244377638840487</v>
      </c>
    </row>
    <row r="6" spans="2:12" ht="20" customHeight="1">
      <c r="B6" s="755"/>
      <c r="C6" s="449" t="s">
        <v>6</v>
      </c>
      <c r="D6" s="450">
        <v>1821723</v>
      </c>
      <c r="E6" s="451">
        <v>1.1422698917496763</v>
      </c>
    </row>
    <row r="7" spans="2:12" ht="20" customHeight="1">
      <c r="B7" s="755" t="s">
        <v>97</v>
      </c>
      <c r="C7" s="446" t="s">
        <v>305</v>
      </c>
      <c r="D7" s="447">
        <v>349798</v>
      </c>
      <c r="E7" s="448">
        <v>1.1339266997389112</v>
      </c>
    </row>
    <row r="8" spans="2:12" ht="20" customHeight="1">
      <c r="B8" s="755"/>
      <c r="C8" s="449" t="s">
        <v>202</v>
      </c>
      <c r="D8" s="450">
        <v>3515</v>
      </c>
      <c r="E8" s="451">
        <v>1.1936234777184922</v>
      </c>
    </row>
    <row r="9" spans="2:12" ht="20" customHeight="1">
      <c r="B9" s="755"/>
      <c r="C9" s="452" t="s">
        <v>203</v>
      </c>
      <c r="D9" s="450">
        <v>19074</v>
      </c>
      <c r="E9" s="451">
        <v>1.1459321344091602</v>
      </c>
    </row>
    <row r="10" spans="2:12" ht="20" customHeight="1">
      <c r="B10" s="755"/>
      <c r="C10" s="449" t="s">
        <v>7</v>
      </c>
      <c r="D10" s="450">
        <v>327209</v>
      </c>
      <c r="E10" s="451">
        <v>1.1329748687481718</v>
      </c>
    </row>
    <row r="11" spans="2:12" ht="20" customHeight="1">
      <c r="B11" s="755" t="s">
        <v>94</v>
      </c>
      <c r="C11" s="446" t="s">
        <v>305</v>
      </c>
      <c r="D11" s="447">
        <v>376398</v>
      </c>
      <c r="E11" s="448">
        <v>0.99216327358812439</v>
      </c>
    </row>
    <row r="12" spans="2:12" ht="20" customHeight="1">
      <c r="B12" s="755"/>
      <c r="C12" s="449" t="s">
        <v>202</v>
      </c>
      <c r="D12" s="450">
        <v>4466</v>
      </c>
      <c r="E12" s="451">
        <v>0.92546543738448117</v>
      </c>
    </row>
    <row r="13" spans="2:12" ht="20" customHeight="1">
      <c r="B13" s="755"/>
      <c r="C13" s="452" t="s">
        <v>203</v>
      </c>
      <c r="D13" s="450">
        <v>23713</v>
      </c>
      <c r="E13" s="451">
        <v>1.0318269723742135</v>
      </c>
    </row>
    <row r="14" spans="2:12" ht="20" customHeight="1">
      <c r="B14" s="755"/>
      <c r="C14" s="449" t="s">
        <v>7</v>
      </c>
      <c r="D14" s="450">
        <v>348219</v>
      </c>
      <c r="E14" s="451">
        <v>0.99128472217554442</v>
      </c>
    </row>
    <row r="15" spans="2:12" ht="20" customHeight="1">
      <c r="B15" s="755" t="s">
        <v>88</v>
      </c>
      <c r="C15" s="446" t="s">
        <v>305</v>
      </c>
      <c r="D15" s="447">
        <v>183812</v>
      </c>
      <c r="E15" s="448">
        <v>0.8807482861667999</v>
      </c>
    </row>
    <row r="16" spans="2:12" ht="20" customHeight="1">
      <c r="B16" s="755"/>
      <c r="C16" s="449" t="s">
        <v>202</v>
      </c>
      <c r="D16" s="450">
        <v>1769</v>
      </c>
      <c r="E16" s="451">
        <v>0.84368064882544691</v>
      </c>
      <c r="L16" s="99"/>
    </row>
    <row r="17" spans="2:12" ht="20" customHeight="1">
      <c r="B17" s="755"/>
      <c r="C17" s="452" t="s">
        <v>203</v>
      </c>
      <c r="D17" s="450">
        <v>14167</v>
      </c>
      <c r="E17" s="451">
        <v>0.78852320379950358</v>
      </c>
      <c r="L17" s="99"/>
    </row>
    <row r="18" spans="2:12" ht="20" customHeight="1">
      <c r="B18" s="755"/>
      <c r="C18" s="449" t="s">
        <v>7</v>
      </c>
      <c r="D18" s="450">
        <v>167876</v>
      </c>
      <c r="E18" s="451">
        <v>0.88655127156990476</v>
      </c>
      <c r="L18" s="99"/>
    </row>
    <row r="19" spans="2:12" ht="20" customHeight="1">
      <c r="B19" s="755" t="s">
        <v>93</v>
      </c>
      <c r="C19" s="446" t="s">
        <v>305</v>
      </c>
      <c r="D19" s="453">
        <v>15670</v>
      </c>
      <c r="E19" s="448">
        <v>2.1592340940604764</v>
      </c>
      <c r="L19" s="99"/>
    </row>
    <row r="20" spans="2:12" ht="20" customHeight="1">
      <c r="B20" s="755"/>
      <c r="C20" s="449" t="s">
        <v>202</v>
      </c>
      <c r="D20" s="454">
        <v>263</v>
      </c>
      <c r="E20" s="451">
        <v>2.22565575339843</v>
      </c>
      <c r="L20" s="99"/>
    </row>
    <row r="21" spans="2:12" ht="20" customHeight="1">
      <c r="B21" s="755"/>
      <c r="C21" s="452" t="s">
        <v>203</v>
      </c>
      <c r="D21" s="454">
        <v>1735</v>
      </c>
      <c r="E21" s="451">
        <v>2.7337444745472692</v>
      </c>
      <c r="L21" s="99"/>
    </row>
    <row r="22" spans="2:12" ht="20" customHeight="1" thickBot="1">
      <c r="B22" s="756"/>
      <c r="C22" s="455" t="s">
        <v>7</v>
      </c>
      <c r="D22" s="456">
        <v>13672</v>
      </c>
      <c r="E22" s="457">
        <v>2.1167659360040316</v>
      </c>
      <c r="L22" s="99"/>
    </row>
    <row r="23" spans="2:12" ht="20" customHeight="1" thickBot="1">
      <c r="C23" s="375"/>
      <c r="L23" s="99"/>
    </row>
    <row r="24" spans="2:12" ht="20" customHeight="1">
      <c r="B24" s="442" t="s">
        <v>267</v>
      </c>
      <c r="C24" s="443" t="s">
        <v>316</v>
      </c>
      <c r="D24" s="444" t="s">
        <v>317</v>
      </c>
      <c r="E24" s="445" t="s">
        <v>318</v>
      </c>
    </row>
    <row r="25" spans="2:12" ht="20" customHeight="1">
      <c r="B25" s="752" t="s">
        <v>27</v>
      </c>
      <c r="C25" s="446" t="s">
        <v>310</v>
      </c>
      <c r="D25" s="447">
        <v>645369</v>
      </c>
      <c r="E25" s="448">
        <v>1.1173240037369785</v>
      </c>
    </row>
    <row r="26" spans="2:12" ht="20" customHeight="1">
      <c r="B26" s="753"/>
      <c r="C26" s="449" t="s">
        <v>52</v>
      </c>
      <c r="D26" s="450">
        <v>506092</v>
      </c>
      <c r="E26" s="451">
        <v>1.0763192250223412</v>
      </c>
    </row>
    <row r="27" spans="2:12" ht="20" customHeight="1">
      <c r="B27" s="754"/>
      <c r="C27" s="452" t="s">
        <v>14</v>
      </c>
      <c r="D27" s="450">
        <v>139277</v>
      </c>
      <c r="E27" s="451">
        <v>1.9211184126382699</v>
      </c>
      <c r="F27" s="376"/>
      <c r="G27" s="376"/>
      <c r="H27" s="376"/>
      <c r="I27" s="376"/>
      <c r="J27" s="376"/>
      <c r="K27" s="376"/>
      <c r="L27" s="376"/>
    </row>
    <row r="28" spans="2:12" ht="20" customHeight="1">
      <c r="B28" s="752" t="s">
        <v>97</v>
      </c>
      <c r="C28" s="446" t="s">
        <v>310</v>
      </c>
      <c r="D28" s="447">
        <v>170985</v>
      </c>
      <c r="E28" s="448">
        <v>1.1757572218910899</v>
      </c>
      <c r="F28" s="117"/>
      <c r="G28" s="117"/>
      <c r="H28" s="117"/>
      <c r="I28" s="117"/>
      <c r="J28" s="117"/>
      <c r="K28" s="117"/>
      <c r="L28" s="117"/>
    </row>
    <row r="29" spans="2:12" ht="20" customHeight="1">
      <c r="B29" s="753"/>
      <c r="C29" s="449" t="s">
        <v>52</v>
      </c>
      <c r="D29" s="450">
        <v>127351</v>
      </c>
      <c r="E29" s="451">
        <v>1.1170991548670262</v>
      </c>
      <c r="F29" s="376"/>
      <c r="G29" s="376"/>
      <c r="H29" s="376"/>
      <c r="I29" s="376"/>
      <c r="J29" s="376"/>
      <c r="K29" s="376"/>
      <c r="L29" s="376"/>
    </row>
    <row r="30" spans="2:12" ht="20" customHeight="1">
      <c r="B30" s="754"/>
      <c r="C30" s="452" t="s">
        <v>14</v>
      </c>
      <c r="D30" s="450">
        <v>43634</v>
      </c>
      <c r="E30" s="451">
        <v>2.1902738841292808</v>
      </c>
      <c r="F30" s="376"/>
      <c r="G30" s="376"/>
      <c r="H30" s="376"/>
      <c r="I30" s="376"/>
      <c r="J30" s="376"/>
      <c r="K30" s="376"/>
      <c r="L30" s="376"/>
    </row>
    <row r="31" spans="2:12" ht="20" customHeight="1">
      <c r="B31" s="458" t="s">
        <v>94</v>
      </c>
      <c r="C31" s="446" t="s">
        <v>310</v>
      </c>
      <c r="D31" s="447">
        <v>172768</v>
      </c>
      <c r="E31" s="448">
        <v>1.0275138104593755</v>
      </c>
      <c r="F31" s="376"/>
      <c r="G31" s="376"/>
      <c r="H31" s="376"/>
      <c r="I31" s="376"/>
      <c r="J31" s="376"/>
      <c r="K31" s="376"/>
      <c r="L31" s="376"/>
    </row>
    <row r="32" spans="2:12" ht="20" customHeight="1">
      <c r="B32" s="459"/>
      <c r="C32" s="449" t="s">
        <v>52</v>
      </c>
      <c r="D32" s="450">
        <v>139234</v>
      </c>
      <c r="E32" s="451">
        <v>1.0062865522214473</v>
      </c>
      <c r="F32" s="376"/>
      <c r="G32" s="376"/>
      <c r="H32" s="376"/>
      <c r="I32" s="376"/>
      <c r="J32" s="376"/>
      <c r="K32" s="376"/>
      <c r="L32" s="376"/>
    </row>
    <row r="33" spans="2:12" ht="20" customHeight="1">
      <c r="B33" s="460"/>
      <c r="C33" s="452" t="s">
        <v>14</v>
      </c>
      <c r="D33" s="450">
        <v>33534</v>
      </c>
      <c r="E33" s="451">
        <v>1.3974372991295481</v>
      </c>
      <c r="F33" s="376"/>
      <c r="G33" s="376"/>
      <c r="H33" s="376"/>
      <c r="I33" s="376"/>
      <c r="J33" s="376"/>
      <c r="K33" s="376"/>
      <c r="L33" s="376"/>
    </row>
    <row r="34" spans="2:12" ht="20" customHeight="1">
      <c r="B34" s="458" t="s">
        <v>88</v>
      </c>
      <c r="C34" s="446" t="s">
        <v>310</v>
      </c>
      <c r="D34" s="447">
        <v>72675</v>
      </c>
      <c r="E34" s="448">
        <v>1.0109379982581639</v>
      </c>
      <c r="F34" s="376"/>
      <c r="G34" s="376"/>
      <c r="H34" s="376"/>
      <c r="I34" s="376"/>
      <c r="J34" s="376"/>
      <c r="K34" s="376"/>
      <c r="L34" s="376"/>
    </row>
    <row r="35" spans="2:12" ht="20" customHeight="1">
      <c r="B35" s="459"/>
      <c r="C35" s="449" t="s">
        <v>52</v>
      </c>
      <c r="D35" s="450">
        <v>52827</v>
      </c>
      <c r="E35" s="451">
        <v>0.95825608208460578</v>
      </c>
      <c r="F35" s="376"/>
      <c r="G35" s="376"/>
      <c r="H35" s="376"/>
      <c r="I35" s="376"/>
      <c r="J35" s="376"/>
      <c r="K35" s="376"/>
      <c r="L35" s="376"/>
    </row>
    <row r="36" spans="2:12" ht="20" customHeight="1">
      <c r="B36" s="460"/>
      <c r="C36" s="452" t="s">
        <v>14</v>
      </c>
      <c r="D36" s="450">
        <v>19848</v>
      </c>
      <c r="E36" s="451">
        <v>1.8125247274073986</v>
      </c>
      <c r="F36" s="376"/>
      <c r="G36" s="376"/>
      <c r="H36" s="376"/>
      <c r="I36" s="376"/>
      <c r="J36" s="376"/>
      <c r="K36" s="376"/>
      <c r="L36" s="376"/>
    </row>
    <row r="37" spans="2:12" ht="20" customHeight="1">
      <c r="B37" s="458" t="s">
        <v>93</v>
      </c>
      <c r="C37" s="446" t="s">
        <v>310</v>
      </c>
      <c r="D37" s="453">
        <v>17432</v>
      </c>
      <c r="E37" s="448">
        <v>3.8613800995327328</v>
      </c>
      <c r="F37" s="376"/>
      <c r="G37" s="376"/>
      <c r="H37" s="376"/>
      <c r="I37" s="376"/>
      <c r="J37" s="376"/>
      <c r="K37" s="376"/>
      <c r="L37" s="376"/>
    </row>
    <row r="38" spans="2:12" ht="20" customHeight="1">
      <c r="B38" s="459"/>
      <c r="C38" s="449" t="s">
        <v>52</v>
      </c>
      <c r="D38" s="454">
        <v>14320</v>
      </c>
      <c r="E38" s="451">
        <v>3.8871938487238062</v>
      </c>
      <c r="F38" s="376"/>
      <c r="G38" s="376"/>
      <c r="H38" s="376"/>
      <c r="I38" s="376"/>
      <c r="J38" s="376"/>
      <c r="K38" s="376"/>
      <c r="L38" s="376"/>
    </row>
    <row r="39" spans="2:12" ht="20" customHeight="1" thickBot="1">
      <c r="B39" s="462"/>
      <c r="C39" s="461" t="s">
        <v>14</v>
      </c>
      <c r="D39" s="456">
        <v>3112</v>
      </c>
      <c r="E39" s="457">
        <v>3.5349095394736838</v>
      </c>
      <c r="F39" s="376"/>
      <c r="G39" s="376"/>
      <c r="H39" s="376"/>
      <c r="I39" s="376"/>
      <c r="J39" s="376"/>
      <c r="K39" s="376"/>
      <c r="L39" s="376"/>
    </row>
    <row r="40" spans="2:12" ht="20" customHeight="1">
      <c r="F40" s="376"/>
      <c r="G40" s="376"/>
      <c r="H40" s="376"/>
      <c r="I40" s="376"/>
      <c r="J40" s="376"/>
      <c r="K40" s="376"/>
      <c r="L40" s="376"/>
    </row>
    <row r="41" spans="2:12" ht="20" customHeight="1">
      <c r="F41" s="376"/>
      <c r="G41" s="376"/>
      <c r="H41" s="376"/>
      <c r="I41" s="376"/>
      <c r="J41" s="376"/>
      <c r="K41" s="376"/>
      <c r="L41" s="376"/>
    </row>
    <row r="52" spans="6:12">
      <c r="F52" s="2"/>
      <c r="G52" s="2"/>
      <c r="H52" s="2"/>
      <c r="I52" s="2"/>
      <c r="J52" s="2"/>
      <c r="K52" s="2"/>
      <c r="L52" s="2"/>
    </row>
  </sheetData>
  <mergeCells count="8">
    <mergeCell ref="G2:I2"/>
    <mergeCell ref="B25:B27"/>
    <mergeCell ref="B28:B30"/>
    <mergeCell ref="B3:B6"/>
    <mergeCell ref="B7:B10"/>
    <mergeCell ref="B11:B14"/>
    <mergeCell ref="B15:B18"/>
    <mergeCell ref="B19:B22"/>
  </mergeCells>
  <conditionalFormatting sqref="E3:E22 E25:E39">
    <cfRule type="cellIs" dxfId="1" priority="1" operator="greaterThan">
      <formula>1</formula>
    </cfRule>
    <cfRule type="cellIs" dxfId="0" priority="2" operator="lessThan">
      <formula>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79F5-CC80-004A-8C72-4E6AC2BA9975}">
  <sheetPr>
    <tabColor theme="5" tint="0.39997558519241921"/>
  </sheetPr>
  <dimension ref="A1:AI139"/>
  <sheetViews>
    <sheetView topLeftCell="B1" zoomScale="90" zoomScaleNormal="90" workbookViewId="0">
      <selection activeCell="H21" sqref="H21"/>
    </sheetView>
  </sheetViews>
  <sheetFormatPr baseColWidth="10" defaultColWidth="11" defaultRowHeight="16"/>
  <cols>
    <col min="1" max="1" width="12.6640625" bestFit="1" customWidth="1"/>
    <col min="3" max="3" width="24" customWidth="1"/>
    <col min="4" max="15" width="13" customWidth="1"/>
    <col min="16" max="16" width="13.1640625" customWidth="1"/>
    <col min="17" max="17" width="3.5" customWidth="1"/>
    <col min="18" max="23" width="11" customWidth="1"/>
    <col min="32" max="32" width="25" bestFit="1" customWidth="1"/>
    <col min="33" max="33" width="15.5" bestFit="1" customWidth="1"/>
    <col min="34" max="34" width="17.5" customWidth="1"/>
    <col min="35" max="35" width="19.33203125" customWidth="1"/>
  </cols>
  <sheetData>
    <row r="1" spans="1:35">
      <c r="A1" s="762" t="s">
        <v>320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4"/>
      <c r="R1" s="761" t="s">
        <v>321</v>
      </c>
      <c r="S1" s="761"/>
      <c r="T1" s="761"/>
      <c r="U1" s="761"/>
      <c r="V1" s="761"/>
      <c r="W1" s="761"/>
      <c r="X1" s="761"/>
      <c r="Y1" s="761"/>
      <c r="Z1" s="761"/>
      <c r="AA1" s="761"/>
      <c r="AB1" s="761"/>
      <c r="AC1" s="761"/>
      <c r="AD1" s="761"/>
    </row>
    <row r="2" spans="1:35">
      <c r="A2" s="758" t="s">
        <v>282</v>
      </c>
      <c r="B2" s="759"/>
      <c r="C2" s="760"/>
      <c r="D2" s="234" t="s">
        <v>252</v>
      </c>
      <c r="E2" s="234" t="s">
        <v>253</v>
      </c>
      <c r="F2" s="234" t="s">
        <v>230</v>
      </c>
      <c r="G2" s="234" t="s">
        <v>254</v>
      </c>
      <c r="H2" s="234" t="s">
        <v>78</v>
      </c>
      <c r="I2" s="234" t="s">
        <v>255</v>
      </c>
      <c r="J2" s="234" t="s">
        <v>256</v>
      </c>
      <c r="K2" s="234" t="s">
        <v>236</v>
      </c>
      <c r="L2" s="234" t="s">
        <v>257</v>
      </c>
      <c r="M2" s="234" t="s">
        <v>258</v>
      </c>
      <c r="N2" s="234" t="s">
        <v>259</v>
      </c>
      <c r="O2" s="234" t="s">
        <v>260</v>
      </c>
      <c r="P2" s="234" t="s">
        <v>24</v>
      </c>
      <c r="R2" s="234" t="s">
        <v>252</v>
      </c>
      <c r="S2" s="234" t="s">
        <v>253</v>
      </c>
      <c r="T2" s="234" t="s">
        <v>230</v>
      </c>
      <c r="U2" s="234" t="s">
        <v>254</v>
      </c>
      <c r="V2" s="234" t="s">
        <v>78</v>
      </c>
      <c r="W2" s="234" t="s">
        <v>255</v>
      </c>
      <c r="X2" s="234" t="s">
        <v>256</v>
      </c>
      <c r="Y2" s="234" t="s">
        <v>236</v>
      </c>
      <c r="Z2" s="234" t="s">
        <v>257</v>
      </c>
      <c r="AA2" s="234" t="s">
        <v>258</v>
      </c>
      <c r="AB2" s="234" t="s">
        <v>259</v>
      </c>
      <c r="AC2" s="234" t="s">
        <v>260</v>
      </c>
      <c r="AD2" s="234" t="s">
        <v>24</v>
      </c>
    </row>
    <row r="3" spans="1:35" ht="16" customHeight="1">
      <c r="A3" s="757" t="s">
        <v>42</v>
      </c>
      <c r="B3" s="579" t="s">
        <v>43</v>
      </c>
      <c r="C3" s="229" t="s">
        <v>44</v>
      </c>
      <c r="D3" s="69" cm="1">
        <f t="array" ref="D3">INDEX('Consideration Goals'!$D$6:$D$17, COLUMN()-COLUMN($D$3)+1)</f>
        <v>2523800.925840016</v>
      </c>
      <c r="E3" s="69" cm="1">
        <f t="array" ref="E3">INDEX('Consideration Goals'!$D$6:$D$17, COLUMN()-COLUMN($D$3)+1)</f>
        <v>2786859.6394724636</v>
      </c>
      <c r="F3" s="69" cm="1">
        <f t="array" ref="F3">INDEX('Consideration Goals'!$D$6:$D$17, COLUMN()-COLUMN($D$3)+1)</f>
        <v>3138529.2518305168</v>
      </c>
      <c r="G3" s="69" cm="1">
        <f t="array" ref="G3">INDEX('Consideration Goals'!$D$6:$D$17, COLUMN()-COLUMN($D$3)+1)</f>
        <v>3042104.7279475117</v>
      </c>
      <c r="H3" s="69" cm="1">
        <f t="array" ref="H3">INDEX('Consideration Goals'!$D$6:$D$17, COLUMN()-COLUMN($D$3)+1)</f>
        <v>3396322.4017496188</v>
      </c>
      <c r="I3" s="69" cm="1">
        <f t="array" ref="I3">INDEX('Consideration Goals'!$D$6:$D$17, COLUMN()-COLUMN($D$3)+1)</f>
        <v>3186396.3391874875</v>
      </c>
      <c r="J3" s="69" cm="1">
        <f t="array" ref="J3">INDEX('Consideration Goals'!$D$6:$D$17, COLUMN()-COLUMN($D$3)+1)</f>
        <v>2942655.8732692506</v>
      </c>
      <c r="K3" s="69" cm="1">
        <f t="array" ref="K3">INDEX('Consideration Goals'!$D$6:$D$17, COLUMN()-COLUMN($D$3)+1)</f>
        <v>3138529.2518305168</v>
      </c>
      <c r="L3" s="69" cm="1">
        <f t="array" ref="L3">INDEX('Consideration Goals'!$D$6:$D$17, COLUMN()-COLUMN($D$3)+1)</f>
        <v>3333813.4004904237</v>
      </c>
      <c r="M3" s="69" cm="1">
        <f t="array" ref="M3">INDEX('Consideration Goals'!$D$6:$D$17, COLUMN()-COLUMN($D$3)+1)</f>
        <v>3456226.8612896814</v>
      </c>
      <c r="N3" s="69" cm="1">
        <f t="array" ref="N3">INDEX('Consideration Goals'!$D$6:$D$17, COLUMN()-COLUMN($D$3)+1)</f>
        <v>2812832.8200367838</v>
      </c>
      <c r="O3" s="69" cm="1">
        <f t="array" ref="O3">INDEX('Consideration Goals'!$D$6:$D$17, COLUMN()-COLUMN($D$3)+1)</f>
        <v>3616824.7111080266</v>
      </c>
      <c r="P3" s="68">
        <f>SUM(D3:O3)</f>
        <v>37374896.204052299</v>
      </c>
      <c r="R3" s="228"/>
      <c r="S3" s="228"/>
      <c r="T3" s="228"/>
      <c r="U3" s="228"/>
      <c r="V3" s="228"/>
      <c r="W3" s="228"/>
      <c r="X3" s="465"/>
      <c r="Y3" s="228"/>
      <c r="Z3" s="228"/>
      <c r="AA3" s="228"/>
      <c r="AB3" s="228"/>
      <c r="AC3" s="228"/>
      <c r="AD3" s="228"/>
      <c r="AG3" s="46"/>
      <c r="AH3" s="46"/>
      <c r="AI3" s="235"/>
    </row>
    <row r="4" spans="1:35">
      <c r="A4" s="757"/>
      <c r="B4" s="579"/>
      <c r="C4" s="229" t="s">
        <v>46</v>
      </c>
      <c r="D4" s="69" cm="1">
        <f t="array" ref="D4">INDEX('Consideration Goals'!$E$6:$E$17, COLUMN()-COLUMN($D$3)+1)</f>
        <v>1832612.3923070789</v>
      </c>
      <c r="E4" s="69" cm="1">
        <f t="array" ref="E4">INDEX('Consideration Goals'!$E$6:$E$17, COLUMN()-COLUMN($D$3)+1)</f>
        <v>2030382.5573380601</v>
      </c>
      <c r="F4" s="69" cm="1">
        <f t="array" ref="F4">INDEX('Consideration Goals'!$E$6:$E$17, COLUMN()-COLUMN($D$3)+1)</f>
        <v>2427801.1675551562</v>
      </c>
      <c r="G4" s="69" cm="1">
        <f t="array" ref="G4">INDEX('Consideration Goals'!$E$6:$E$17, COLUMN()-COLUMN($D$3)+1)</f>
        <v>2205501.7300772332</v>
      </c>
      <c r="H4" s="69" cm="1">
        <f t="array" ref="H4">INDEX('Consideration Goals'!$E$6:$E$17, COLUMN()-COLUMN($D$3)+1)</f>
        <v>2466640.6241467311</v>
      </c>
      <c r="I4" s="69" cm="1">
        <f t="array" ref="I4">INDEX('Consideration Goals'!$E$6:$E$17, COLUMN()-COLUMN($D$3)+1)</f>
        <v>2311908.5078209699</v>
      </c>
      <c r="J4" s="69" cm="1">
        <f t="array" ref="J4">INDEX('Consideration Goals'!$E$6:$E$17, COLUMN()-COLUMN($D$3)+1)</f>
        <v>2306121.4385163425</v>
      </c>
      <c r="K4" s="69" cm="1">
        <f t="array" ref="K4">INDEX('Consideration Goals'!$E$6:$E$17, COLUMN()-COLUMN($D$3)+1)</f>
        <v>2470200.8770111175</v>
      </c>
      <c r="L4" s="69" cm="1">
        <f t="array" ref="L4">INDEX('Consideration Goals'!$E$6:$E$17, COLUMN()-COLUMN($D$3)+1)</f>
        <v>2440916.3537094942</v>
      </c>
      <c r="M4" s="69" cm="1">
        <f t="array" ref="M4">INDEX('Consideration Goals'!$E$6:$E$17, COLUMN()-COLUMN($D$3)+1)</f>
        <v>2529853.0880972929</v>
      </c>
      <c r="N4" s="69" cm="1">
        <f t="array" ref="N4">INDEX('Consideration Goals'!$E$6:$E$17, COLUMN()-COLUMN($D$3)+1)</f>
        <v>2174035.9735123864</v>
      </c>
      <c r="O4" s="69" cm="1">
        <f t="array" ref="O4">INDEX('Consideration Goals'!$E$6:$E$17, COLUMN()-COLUMN($D$3)+1)</f>
        <v>2799227.2552875602</v>
      </c>
      <c r="P4" s="68">
        <f>SUM(D4:O4)</f>
        <v>27995201.965379424</v>
      </c>
      <c r="R4" s="228"/>
      <c r="S4" s="228"/>
      <c r="T4" s="228"/>
      <c r="U4" s="228"/>
      <c r="V4" s="228"/>
      <c r="W4" s="228"/>
      <c r="X4" s="465"/>
      <c r="Y4" s="228"/>
      <c r="Z4" s="228"/>
      <c r="AA4" s="228"/>
      <c r="AB4" s="228"/>
      <c r="AC4" s="228"/>
      <c r="AD4" s="228"/>
      <c r="AG4" s="46"/>
      <c r="AH4" s="46"/>
      <c r="AI4" s="235"/>
    </row>
    <row r="5" spans="1:35" s="47" customFormat="1">
      <c r="A5" s="757" t="s">
        <v>48</v>
      </c>
      <c r="B5" s="579" t="s">
        <v>49</v>
      </c>
      <c r="C5" s="230" t="s">
        <v>50</v>
      </c>
      <c r="D5" s="231" cm="1">
        <f t="array" ref="D5">INDEX('Research Goals'!$G$7:$G$18, COLUMN()-COLUMN($D$3)+1)</f>
        <v>491592.90461007151</v>
      </c>
      <c r="E5" s="231" cm="1">
        <f t="array" ref="E5">INDEX('Research Goals'!$G$7:$G$18, COLUMN()-COLUMN($D$3)+1)</f>
        <v>542704.09896356496</v>
      </c>
      <c r="F5" s="231" cm="1">
        <f t="array" ref="F5">INDEX('Research Goals'!$G$7:$G$18, COLUMN()-COLUMN($D$3)+1)</f>
        <v>663497.87256026117</v>
      </c>
      <c r="G5" s="231" cm="1">
        <f t="array" ref="G5">INDEX('Research Goals'!$G$7:$G$18, COLUMN()-COLUMN($D$3)+1)</f>
        <v>666996.0122449284</v>
      </c>
      <c r="H5" s="231" cm="1">
        <f t="array" ref="H5">INDEX('Research Goals'!$G$7:$G$18, COLUMN()-COLUMN($D$3)+1)</f>
        <v>742967.98552015203</v>
      </c>
      <c r="I5" s="231" cm="1">
        <f t="array" ref="I5">INDEX('Research Goals'!$G$7:$G$18, COLUMN()-COLUMN($D$3)+1)</f>
        <v>697480.19966288609</v>
      </c>
      <c r="J5" s="231" cm="1">
        <f t="array" ref="J5">INDEX('Research Goals'!$G$7:$G$18, COLUMN()-COLUMN($D$3)+1)</f>
        <v>685190.13505102973</v>
      </c>
      <c r="K5" s="231" cm="1">
        <f t="array" ref="K5">INDEX('Research Goals'!$G$7:$G$18, COLUMN()-COLUMN($D$3)+1)</f>
        <v>727906.53186776116</v>
      </c>
      <c r="L5" s="231" cm="1">
        <f t="array" ref="L5">INDEX('Research Goals'!$G$7:$G$18, COLUMN()-COLUMN($D$3)+1)</f>
        <v>731832.18714377959</v>
      </c>
      <c r="M5" s="231" cm="1">
        <f t="array" ref="M5">INDEX('Research Goals'!$G$7:$G$18, COLUMN()-COLUMN($D$3)+1)</f>
        <v>759690.74516388471</v>
      </c>
      <c r="N5" s="231" cm="1">
        <f t="array" ref="N5">INDEX('Research Goals'!$G$7:$G$18, COLUMN()-COLUMN($D$3)+1)</f>
        <v>656810.71149111318</v>
      </c>
      <c r="O5" s="231" cm="1">
        <f t="array" ref="O5">INDEX('Research Goals'!$G$7:$G$18, COLUMN()-COLUMN($D$3)+1)</f>
        <v>843268.91894505045</v>
      </c>
      <c r="P5" s="232">
        <f>SUM(D5:O5)</f>
        <v>8209938.3032244835</v>
      </c>
      <c r="R5" s="231" cm="1">
        <f t="array" ref="R5">INDEX('Research Goals'!$L$7:$L$18, COLUMN()-COLUMN($R$3)+1)</f>
        <v>336309.92521425849</v>
      </c>
      <c r="S5" s="231" cm="1">
        <f t="array" ref="S5">INDEX('Research Goals'!$L$7:$L$18, COLUMN()-COLUMN($R$3)+1)</f>
        <v>371332.05216753879</v>
      </c>
      <c r="T5" s="231" cm="1">
        <f t="array" ref="T5">INDEX('Research Goals'!$L$7:$L$18, COLUMN()-COLUMN($R$3)+1)</f>
        <v>452961.70141741534</v>
      </c>
      <c r="U5" s="231" cm="1">
        <f t="array" ref="U5">INDEX('Research Goals'!$L$7:$L$18, COLUMN()-COLUMN($R$3)+1)</f>
        <v>423884.78597909509</v>
      </c>
      <c r="V5" s="231" cm="1">
        <f t="array" ref="V5">INDEX('Research Goals'!$L$7:$L$18, COLUMN()-COLUMN($R$3)+1)</f>
        <v>472820.59940295044</v>
      </c>
      <c r="W5" s="231" cm="1">
        <f t="array" ref="W5">INDEX('Research Goals'!$L$7:$L$18, COLUMN()-COLUMN($R$3)+1)</f>
        <v>443703.77266205684</v>
      </c>
      <c r="X5" s="231" cm="1">
        <f t="array" ref="X5">INDEX('Research Goals'!$L$7:$L$18, COLUMN()-COLUMN($R$3)+1)</f>
        <v>440380.13112378039</v>
      </c>
      <c r="Y5" s="231" cm="1">
        <f t="array" ref="Y5">INDEX('Research Goals'!$L$7:$L$18, COLUMN()-COLUMN($R$3)+1)</f>
        <v>468974.32198453997</v>
      </c>
      <c r="Z5" s="231" cm="1">
        <f t="array" ref="Z5">INDEX('Research Goals'!$L$7:$L$18, COLUMN()-COLUMN($R$3)+1)</f>
        <v>464749.46544106159</v>
      </c>
      <c r="AA5" s="231" cm="1">
        <f t="array" ref="AA5">INDEX('Research Goals'!$L$7:$L$18, COLUMN()-COLUMN($R$3)+1)</f>
        <v>482059.76198441721</v>
      </c>
      <c r="AB5" s="231" cm="1">
        <f t="array" ref="AB5">INDEX('Research Goals'!$L$7:$L$18, COLUMN()-COLUMN($R$3)+1)</f>
        <v>421411.41282923787</v>
      </c>
      <c r="AC5" s="231" cm="1">
        <f t="array" ref="AC5">INDEX('Research Goals'!$L$7:$L$18, COLUMN()-COLUMN($R$3)+1)</f>
        <v>541545.7036944665</v>
      </c>
      <c r="AD5" s="232">
        <f>SUM(R5:AC5)</f>
        <v>5320133.6339008184</v>
      </c>
      <c r="AF5" s="235"/>
      <c r="AG5" s="46"/>
      <c r="AH5" s="46"/>
      <c r="AI5" s="235"/>
    </row>
    <row r="6" spans="1:35" ht="16" customHeight="1">
      <c r="A6" s="757"/>
      <c r="B6" s="579"/>
      <c r="C6" s="229" t="s">
        <v>52</v>
      </c>
      <c r="D6" s="69" cm="1">
        <f t="array" ref="D6">INDEX('Research Goals'!$D$7:$D$18, COLUMN()-COLUMN($D$3)+1)</f>
        <v>425822.27317913715</v>
      </c>
      <c r="E6" s="69" cm="1">
        <f t="array" ref="E6">INDEX('Research Goals'!$D$7:$D$18, COLUMN()-COLUMN($D$3)+1)</f>
        <v>470206.22528552811</v>
      </c>
      <c r="F6" s="69" cm="1">
        <f t="array" ref="F6">INDEX('Research Goals'!$D$7:$D$18, COLUMN()-COLUMN($D$3)+1)</f>
        <v>572833.79185897217</v>
      </c>
      <c r="G6" s="69" cm="1">
        <f t="array" ref="G6">INDEX('Research Goals'!$D$7:$D$18, COLUMN()-COLUMN($D$3)+1)</f>
        <v>513271.84218083817</v>
      </c>
      <c r="H6" s="69" cm="1">
        <f t="array" ref="H6">INDEX('Research Goals'!$D$7:$D$18, COLUMN()-COLUMN($D$3)+1)</f>
        <v>573036.37174983986</v>
      </c>
      <c r="I6" s="69" cm="1">
        <f t="array" ref="I6">INDEX('Research Goals'!$D$7:$D$18, COLUMN()-COLUMN($D$3)+1)</f>
        <v>537617.09907879913</v>
      </c>
      <c r="J6" s="69" cm="1">
        <f t="array" ref="J6">INDEX('Research Goals'!$D$7:$D$18, COLUMN()-COLUMN($D$3)+1)</f>
        <v>537083.64229447895</v>
      </c>
      <c r="K6" s="69" cm="1">
        <f t="array" ref="K6">INDEX('Research Goals'!$D$7:$D$18, COLUMN()-COLUMN($D$3)+1)</f>
        <v>572833.79185897217</v>
      </c>
      <c r="L6" s="69" cm="1">
        <f t="array" ref="L6">INDEX('Research Goals'!$D$7:$D$18, COLUMN()-COLUMN($D$3)+1)</f>
        <v>562489.69006119249</v>
      </c>
      <c r="M6" s="69" cm="1">
        <f t="array" ref="M6">INDEX('Research Goals'!$D$7:$D$18, COLUMN()-COLUMN($D$3)+1)</f>
        <v>583143.60836812691</v>
      </c>
      <c r="N6" s="69" cm="1">
        <f t="array" ref="N6">INDEX('Research Goals'!$D$7:$D$18, COLUMN()-COLUMN($D$3)+1)</f>
        <v>513388.77572266373</v>
      </c>
      <c r="O6" s="69" cm="1">
        <f t="array" ref="O6">INDEX('Research Goals'!$D$7:$D$18, COLUMN()-COLUMN($D$3)+1)</f>
        <v>660130.66870250204</v>
      </c>
      <c r="P6" s="68">
        <f>SUM(D6:O6)</f>
        <v>6521857.7803410515</v>
      </c>
      <c r="R6" s="228"/>
      <c r="S6" s="228"/>
      <c r="T6" s="228"/>
      <c r="U6" s="228"/>
      <c r="V6" s="228"/>
      <c r="W6" s="228"/>
      <c r="X6" s="465"/>
      <c r="Y6" s="228"/>
      <c r="Z6" s="228"/>
      <c r="AA6" s="228"/>
      <c r="AB6" s="228"/>
      <c r="AC6" s="228"/>
      <c r="AD6" s="228"/>
      <c r="AG6" s="46"/>
      <c r="AH6" s="46"/>
      <c r="AI6" s="235"/>
    </row>
    <row r="7" spans="1:35">
      <c r="A7" s="757"/>
      <c r="B7" s="579"/>
      <c r="C7" s="229" t="s">
        <v>14</v>
      </c>
      <c r="D7" s="513" cm="1">
        <f t="array" ref="D7">INDEX('Research Goals'!$F$7:$F$18, COLUMN()-COLUMN($D$3)+1)</f>
        <v>65770.631430934358</v>
      </c>
      <c r="E7" s="513" cm="1">
        <f t="array" ref="E7">INDEX('Research Goals'!$F$7:$F$18, COLUMN()-COLUMN($D$3)+1)</f>
        <v>72497.873678036878</v>
      </c>
      <c r="F7" s="513" cm="1">
        <f t="array" ref="F7">INDEX('Research Goals'!$F$7:$F$18, COLUMN()-COLUMN($D$3)+1)</f>
        <v>90664.080701288985</v>
      </c>
      <c r="G7" s="69" cm="1">
        <f t="array" ref="G7">INDEX('Research Goals'!$F$7:$F$18, COLUMN()-COLUMN($D$3)+1)</f>
        <v>153724.17006409017</v>
      </c>
      <c r="H7" s="69" cm="1">
        <f t="array" ref="H7">INDEX('Research Goals'!$F$7:$F$18, COLUMN()-COLUMN($D$3)+1)</f>
        <v>169931.61377031216</v>
      </c>
      <c r="I7" s="69" cm="1">
        <f t="array" ref="I7">INDEX('Research Goals'!$F$7:$F$18, COLUMN()-COLUMN($D$3)+1)</f>
        <v>159863.10058408699</v>
      </c>
      <c r="J7" s="69" cm="1">
        <f t="array" ref="J7">INDEX('Research Goals'!$F$7:$F$18, COLUMN()-COLUMN($D$3)+1)</f>
        <v>148106.49275655078</v>
      </c>
      <c r="K7" s="69" cm="1">
        <f t="array" ref="K7">INDEX('Research Goals'!$F$7:$F$18, COLUMN()-COLUMN($D$3)+1)</f>
        <v>155072.74000878894</v>
      </c>
      <c r="L7" s="69" cm="1">
        <f t="array" ref="L7">INDEX('Research Goals'!$F$7:$F$18, COLUMN()-COLUMN($D$3)+1)</f>
        <v>169342.49708258713</v>
      </c>
      <c r="M7" s="69" cm="1">
        <f t="array" ref="M7">INDEX('Research Goals'!$F$7:$F$18, COLUMN()-COLUMN($D$3)+1)</f>
        <v>176547.13679575775</v>
      </c>
      <c r="N7" s="69" cm="1">
        <f t="array" ref="N7">INDEX('Research Goals'!$F$7:$F$18, COLUMN()-COLUMN($D$3)+1)</f>
        <v>143421.93576844948</v>
      </c>
      <c r="O7" s="69" cm="1">
        <f t="array" ref="O7">INDEX('Research Goals'!$F$7:$F$18, COLUMN()-COLUMN($D$3)+1)</f>
        <v>183138.25024254841</v>
      </c>
      <c r="P7" s="68">
        <f>SUM(D7:O7)</f>
        <v>1688080.522883432</v>
      </c>
      <c r="R7" s="228"/>
      <c r="S7" s="228"/>
      <c r="T7" s="228"/>
      <c r="U7" s="228"/>
      <c r="V7" s="228"/>
      <c r="W7" s="228"/>
      <c r="X7" s="465"/>
      <c r="Y7" s="228"/>
      <c r="Z7" s="228"/>
      <c r="AA7" s="228"/>
      <c r="AB7" s="228"/>
      <c r="AC7" s="228"/>
      <c r="AD7" s="228"/>
      <c r="AG7" s="46"/>
      <c r="AH7" s="46"/>
      <c r="AI7" s="235"/>
    </row>
    <row r="8" spans="1:35">
      <c r="A8" s="757"/>
      <c r="B8" s="233" t="s">
        <v>43</v>
      </c>
      <c r="C8" s="229" t="s">
        <v>55</v>
      </c>
      <c r="D8" s="69" cm="1">
        <f t="array" ref="D8">INDEX('Research Goals'!$E$7:$E$18, COLUMN()-COLUMN($D$3)+1)</f>
        <v>282094.33726555773</v>
      </c>
      <c r="E8" s="69" cm="1">
        <f t="array" ref="E8">INDEX('Research Goals'!$E$7:$E$18, COLUMN()-COLUMN($D$3)+1)</f>
        <v>311497.35900324746</v>
      </c>
      <c r="F8" s="69" cm="1">
        <f t="array" ref="F8">INDEX('Research Goals'!$E$7:$E$18, COLUMN()-COLUMN($D$3)+1)</f>
        <v>403570.08814241597</v>
      </c>
      <c r="G8" s="69" cm="1">
        <f t="array" ref="G8">INDEX('Research Goals'!$E$7:$E$18, COLUMN()-COLUMN($D$3)+1)</f>
        <v>340027.02365961962</v>
      </c>
      <c r="H8" s="69" cm="1">
        <f t="array" ref="H8">INDEX('Research Goals'!$E$7:$E$18, COLUMN()-COLUMN($D$3)+1)</f>
        <v>379619.2113460137</v>
      </c>
      <c r="I8" s="69" cm="1">
        <f t="array" ref="I8">INDEX('Research Goals'!$E$7:$E$18, COLUMN()-COLUMN($D$3)+1)</f>
        <v>356155.01776128309</v>
      </c>
      <c r="J8" s="69" cm="1">
        <f t="array" ref="J8">INDEX('Research Goals'!$E$7:$E$18, COLUMN()-COLUMN($D$3)+1)</f>
        <v>378383.56595065416</v>
      </c>
      <c r="K8" s="69" cm="1">
        <f t="array" ref="K8">INDEX('Research Goals'!$E$7:$E$18, COLUMN()-COLUMN($D$3)+1)</f>
        <v>403570.08814241597</v>
      </c>
      <c r="L8" s="69" cm="1">
        <f t="array" ref="L8">INDEX('Research Goals'!$E$7:$E$18, COLUMN()-COLUMN($D$3)+1)</f>
        <v>372632.35469547356</v>
      </c>
      <c r="M8" s="69" cm="1">
        <f t="array" ref="M8">INDEX('Research Goals'!$E$7:$E$18, COLUMN()-COLUMN($D$3)+1)</f>
        <v>386314.94896944799</v>
      </c>
      <c r="N8" s="69" cm="1">
        <f t="array" ref="N8">INDEX('Research Goals'!$E$7:$E$18, COLUMN()-COLUMN($D$3)+1)</f>
        <v>361690.17333518411</v>
      </c>
      <c r="O8" s="69" cm="1">
        <f t="array" ref="O8">INDEX('Research Goals'!$E$7:$E$18, COLUMN()-COLUMN($D$3)+1)</f>
        <v>465072.06093625294</v>
      </c>
      <c r="P8" s="68">
        <f t="shared" ref="P8:P12" si="0">SUM(D8:O8)</f>
        <v>4440626.229207566</v>
      </c>
      <c r="R8" s="228"/>
      <c r="S8" s="228"/>
      <c r="T8" s="228"/>
      <c r="U8" s="228"/>
      <c r="V8" s="228"/>
      <c r="W8" s="228"/>
      <c r="X8" s="465"/>
      <c r="Y8" s="228"/>
      <c r="Z8" s="228"/>
      <c r="AA8" s="228"/>
      <c r="AB8" s="228"/>
      <c r="AC8" s="228"/>
      <c r="AD8" s="228"/>
      <c r="AG8" s="46"/>
      <c r="AH8" s="46"/>
      <c r="AI8" s="235"/>
    </row>
    <row r="9" spans="1:35" s="47" customFormat="1">
      <c r="A9" s="757" t="s">
        <v>57</v>
      </c>
      <c r="B9" s="579" t="s">
        <v>49</v>
      </c>
      <c r="C9" s="230" t="s">
        <v>58</v>
      </c>
      <c r="D9" s="231" cm="1">
        <f t="array" ref="D9">INDEX('Shop Goals'!$H$8:$H$19, COLUMN()-COLUMN($D$3)+1)</f>
        <v>1560115.7718115433</v>
      </c>
      <c r="E9" s="231" cm="1">
        <f t="array" ref="E9">INDEX('Shop Goals'!$H$8:$H$19, COLUMN()-COLUMN($D$3)+1)</f>
        <v>1723609.8663565605</v>
      </c>
      <c r="F9" s="231" cm="1">
        <f t="array" ref="F9">INDEX('Shop Goals'!$H$8:$H$19, COLUMN()-COLUMN($D$3)+1)</f>
        <v>1940383.9829418845</v>
      </c>
      <c r="G9" s="231" cm="1">
        <f t="array" ref="G9">INDEX('Shop Goals'!$H$8:$H$19, COLUMN()-COLUMN($D$3)+1)</f>
        <v>1881613.6784391778</v>
      </c>
      <c r="H9" s="231" cm="1">
        <f t="array" ref="H9">INDEX('Shop Goals'!$H$8:$H$19, COLUMN()-COLUMN($D$3)+1)</f>
        <v>2100489.6442307904</v>
      </c>
      <c r="I9" s="231" cm="1">
        <f t="array" ref="I9">INDEX('Shop Goals'!$H$8:$H$19, COLUMN()-COLUMN($D$3)+1)</f>
        <v>1970907.4420491084</v>
      </c>
      <c r="J9" s="231" cm="1">
        <f t="array" ref="J9">INDEX('Shop Goals'!$H$8:$H$19, COLUMN()-COLUMN($D$3)+1)</f>
        <v>1820162.6966908812</v>
      </c>
      <c r="K9" s="231" cm="1">
        <f t="array" ref="K9">INDEX('Shop Goals'!$H$8:$H$19, COLUMN()-COLUMN($D$3)+1)</f>
        <v>1940826.7715034292</v>
      </c>
      <c r="L9" s="231" cm="1">
        <f t="array" ref="L9">INDEX('Shop Goals'!$H$8:$H$19, COLUMN()-COLUMN($D$3)+1)</f>
        <v>2062787.9804307537</v>
      </c>
      <c r="M9" s="231" cm="1">
        <f t="array" ref="M9">INDEX('Shop Goals'!$H$8:$H$19, COLUMN()-COLUMN($D$3)+1)</f>
        <v>2137705.5405597105</v>
      </c>
      <c r="N9" s="231" cm="1">
        <f t="array" ref="N9">INDEX('Shop Goals'!$H$8:$H$19, COLUMN()-COLUMN($D$3)+1)</f>
        <v>1738982.4020060906</v>
      </c>
      <c r="O9" s="231" cm="1">
        <f t="array" ref="O9">INDEX('Shop Goals'!$H$8:$H$19, COLUMN()-COLUMN($D$3)+1)</f>
        <v>2235154.4079170432</v>
      </c>
      <c r="P9" s="232">
        <f t="shared" si="0"/>
        <v>23112740.18493697</v>
      </c>
      <c r="R9" s="231" cm="1">
        <f t="array" ref="R9">INDEX('Shop Goals'!$N$8:$N$19, COLUMN()-COLUMN($R$2)+1)</f>
        <v>534102.34992725973</v>
      </c>
      <c r="S9" s="231" cm="1">
        <f t="array" ref="S9">INDEX('Shop Goals'!$N$8:$N$19, COLUMN()-COLUMN($R$2)+1)</f>
        <v>590030.62150937098</v>
      </c>
      <c r="T9" s="231" cm="1">
        <f t="array" ref="T9">INDEX('Shop Goals'!$N$8:$N$19, COLUMN()-COLUMN($R$2)+1)</f>
        <v>663892.36473069852</v>
      </c>
      <c r="U9" s="231" cm="1">
        <f t="array" ref="U9">INDEX('Shop Goals'!$N$8:$N$19, COLUMN()-COLUMN($R$2)+1)</f>
        <v>644111.95484645502</v>
      </c>
      <c r="V9" s="231" cm="1">
        <f t="array" ref="V9">INDEX('Shop Goals'!$N$8:$N$19, COLUMN()-COLUMN($R$2)+1)</f>
        <v>719048.01546949625</v>
      </c>
      <c r="W9" s="231" cm="1">
        <f t="array" ref="W9">INDEX('Shop Goals'!$N$8:$N$19, COLUMN()-COLUMN($R$2)+1)</f>
        <v>674676.62617196841</v>
      </c>
      <c r="X9" s="231" cm="1">
        <f t="array" ref="X9">INDEX('Shop Goals'!$N$8:$N$19, COLUMN()-COLUMN($R$2)+1)</f>
        <v>622716.0956145497</v>
      </c>
      <c r="Y9" s="231" cm="1">
        <f t="array" ref="Y9">INDEX('Shop Goals'!$N$8:$N$19, COLUMN()-COLUMN($R$2)+1)</f>
        <v>664022.05564601091</v>
      </c>
      <c r="Z9" s="231" cm="1">
        <f t="array" ref="Z9">INDEX('Shop Goals'!$N$8:$N$19, COLUMN()-COLUMN($R$2)+1)</f>
        <v>706094.4959967722</v>
      </c>
      <c r="AA9" s="231" cm="1">
        <f t="array" ref="AA9">INDEX('Shop Goals'!$N$8:$N$19, COLUMN()-COLUMN($R$2)+1)</f>
        <v>731779.63651606499</v>
      </c>
      <c r="AB9" s="231" cm="1">
        <f t="array" ref="AB9">INDEX('Shop Goals'!$N$8:$N$19, COLUMN()-COLUMN($R$2)+1)</f>
        <v>594985.87149341695</v>
      </c>
      <c r="AC9" s="231" cm="1">
        <f t="array" ref="AC9">INDEX('Shop Goals'!$N$8:$N$19, COLUMN()-COLUMN($R$2)+1)</f>
        <v>764792.54062137322</v>
      </c>
      <c r="AD9" s="232">
        <f>SUM(R9:AC9)</f>
        <v>7910252.6285434365</v>
      </c>
      <c r="AF9" s="466"/>
      <c r="AG9" s="46"/>
      <c r="AH9" s="46"/>
      <c r="AI9" s="235"/>
    </row>
    <row r="10" spans="1:35">
      <c r="A10" s="757"/>
      <c r="B10" s="579"/>
      <c r="C10" s="229" t="s">
        <v>60</v>
      </c>
      <c r="D10" s="497">
        <v>57333.623831930548</v>
      </c>
      <c r="E10" s="497">
        <v>63309.574303576555</v>
      </c>
      <c r="F10" s="497">
        <v>68019.413193600994</v>
      </c>
      <c r="G10" s="69" cm="1">
        <f t="array" ref="G10">INDEX('Shop Goals'!$D$8:$D$19, COLUMN()-COLUMN($D$3)+1)</f>
        <v>64622.263459031965</v>
      </c>
      <c r="H10" s="69" cm="1">
        <f t="array" ref="H10">INDEX('Shop Goals'!$D$8:$D$19, COLUMN()-COLUMN($D$3)+1)</f>
        <v>72146.773587823365</v>
      </c>
      <c r="I10" s="69" cm="1">
        <f t="array" ref="I10">INDEX('Shop Goals'!$D$8:$D$19, COLUMN()-COLUMN($D$3)+1)</f>
        <v>67687.394790907289</v>
      </c>
      <c r="J10" s="69" cm="1">
        <f t="array" ref="J10">INDEX('Shop Goals'!$D$8:$D$19, COLUMN()-COLUMN($D$3)+1)</f>
        <v>60042.558212166427</v>
      </c>
      <c r="K10" s="69" cm="1">
        <f t="array" ref="K10">INDEX('Shop Goals'!$D$8:$D$19, COLUMN()-COLUMN($D$3)+1)</f>
        <v>64039.199083874097</v>
      </c>
      <c r="L10" s="69" cm="1">
        <f t="array" ref="L10">INDEX('Shop Goals'!$D$8:$D$19, COLUMN()-COLUMN($D$3)+1)</f>
        <v>70818.91885921311</v>
      </c>
      <c r="M10" s="69" cm="1">
        <f t="array" ref="M10">INDEX('Shop Goals'!$D$8:$D$19, COLUMN()-COLUMN($D$3)+1)</f>
        <v>73419.301036074845</v>
      </c>
      <c r="N10" s="69" cm="1">
        <f t="array" ref="N10">INDEX('Shop Goals'!$D$8:$D$19, COLUMN()-COLUMN($D$3)+1)</f>
        <v>57393.621820453205</v>
      </c>
      <c r="O10" s="69" cm="1">
        <f t="array" ref="O10">INDEX('Shop Goals'!$D$8:$D$19, COLUMN()-COLUMN($D$3)+1)</f>
        <v>73798.43842176492</v>
      </c>
      <c r="P10" s="68">
        <f t="shared" si="0"/>
        <v>792631.08060041734</v>
      </c>
      <c r="R10" s="228"/>
      <c r="S10" s="228"/>
      <c r="T10" s="228"/>
      <c r="U10" s="228"/>
      <c r="V10" s="228"/>
      <c r="W10" s="228"/>
      <c r="X10" s="465"/>
      <c r="Y10" s="228"/>
      <c r="Z10" s="228"/>
      <c r="AA10" s="228"/>
      <c r="AB10" s="228"/>
      <c r="AC10" s="228"/>
      <c r="AD10" s="228"/>
      <c r="AG10" s="46"/>
      <c r="AH10" s="46"/>
      <c r="AI10" s="235"/>
    </row>
    <row r="11" spans="1:35">
      <c r="A11" s="757"/>
      <c r="B11" s="579"/>
      <c r="C11" s="229" t="s">
        <v>203</v>
      </c>
      <c r="D11" s="69" cm="1">
        <f t="array" ref="D11">INDEX('Shop Goals'!$E$8:$E$19, COLUMN()-COLUMN($D$3)+1)</f>
        <v>62216.274695925436</v>
      </c>
      <c r="E11" s="69" cm="1">
        <f t="array" ref="E11">INDEX('Shop Goals'!$E$8:$E$19, COLUMN()-COLUMN($D$3)+1)</f>
        <v>69582.557880078486</v>
      </c>
      <c r="F11" s="69" cm="1">
        <f t="array" ref="F11">INDEX('Shop Goals'!$E$8:$E$19, COLUMN()-COLUMN($D$3)+1)</f>
        <v>84112.46664862812</v>
      </c>
      <c r="G11" s="69" cm="1">
        <f t="array" ref="G11">INDEX('Shop Goals'!$E$8:$E$19, COLUMN()-COLUMN($D$3)+1)</f>
        <v>76096.018345223754</v>
      </c>
      <c r="H11" s="69" cm="1">
        <f t="array" ref="H11">INDEX('Shop Goals'!$E$8:$E$19, COLUMN()-COLUMN($D$3)+1)</f>
        <v>84740.475769731929</v>
      </c>
      <c r="I11" s="69" cm="1">
        <f t="array" ref="I11">INDEX('Shop Goals'!$E$8:$E$19, COLUMN()-COLUMN($D$3)+1)</f>
        <v>79751.35869384851</v>
      </c>
      <c r="J11" s="69" cm="1">
        <f t="array" ref="J11">INDEX('Shop Goals'!$E$8:$E$19, COLUMN()-COLUMN($D$3)+1)</f>
        <v>79739.765594446435</v>
      </c>
      <c r="K11" s="69" cm="1">
        <f t="array" ref="K11">INDEX('Shop Goals'!$E$8:$E$19, COLUMN()-COLUMN($D$3)+1)</f>
        <v>84555.255210172661</v>
      </c>
      <c r="L11" s="69" cm="1">
        <f t="array" ref="L11">INDEX('Shop Goals'!$E$8:$E$19, COLUMN()-COLUMN($D$3)+1)</f>
        <v>84138.489916831255</v>
      </c>
      <c r="M11" s="69" cm="1">
        <f t="array" ref="M11">INDEX('Shop Goals'!$E$8:$E$19, COLUMN()-COLUMN($D$3)+1)</f>
        <v>86402.514065979893</v>
      </c>
      <c r="N11" s="69" cm="1">
        <f t="array" ref="N11">INDEX('Shop Goals'!$E$8:$E$19, COLUMN()-COLUMN($D$3)+1)</f>
        <v>75342.83551685157</v>
      </c>
      <c r="O11" s="69" cm="1">
        <f t="array" ref="O11">INDEX('Shop Goals'!$E$8:$E$19, COLUMN()-COLUMN($D$3)+1)</f>
        <v>95996.81149201325</v>
      </c>
      <c r="P11" s="68">
        <f t="shared" si="0"/>
        <v>962674.82382973121</v>
      </c>
      <c r="R11" s="228"/>
      <c r="S11" s="228"/>
      <c r="T11" s="228"/>
      <c r="U11" s="228"/>
      <c r="V11" s="228"/>
      <c r="W11" s="228"/>
      <c r="X11" s="465"/>
      <c r="Y11" s="228"/>
      <c r="Z11" s="228"/>
      <c r="AA11" s="228"/>
      <c r="AB11" s="228"/>
      <c r="AC11" s="228"/>
      <c r="AD11" s="228"/>
      <c r="AG11" s="46"/>
      <c r="AH11" s="46"/>
      <c r="AI11" s="235"/>
    </row>
    <row r="12" spans="1:35">
      <c r="A12" s="757"/>
      <c r="B12" s="579"/>
      <c r="C12" s="229" t="s">
        <v>6</v>
      </c>
      <c r="D12" s="69" cm="1">
        <f t="array" ref="D12">INDEX('Shop Goals'!$G$8:$G$19, COLUMN()-COLUMN($D$3)+1)</f>
        <v>1444287.3624479792</v>
      </c>
      <c r="E12" s="69" cm="1">
        <f t="array" ref="E12">INDEX('Shop Goals'!$G$8:$G$19, COLUMN()-COLUMN($D$3)+1)</f>
        <v>1594827.1184926087</v>
      </c>
      <c r="F12" s="69" cm="1">
        <f t="array" ref="F12">INDEX('Shop Goals'!$G$8:$G$19, COLUMN()-COLUMN($D$3)+1)</f>
        <v>1792232.3172093823</v>
      </c>
      <c r="G12" s="69" cm="1">
        <f t="array" ref="G12">INDEX('Shop Goals'!$G$8:$G$19, COLUMN()-COLUMN($D$3)+1)</f>
        <v>1740895.3966349221</v>
      </c>
      <c r="H12" s="69" cm="1">
        <f t="array" ref="H12">INDEX('Shop Goals'!$G$8:$G$19, COLUMN()-COLUMN($D$3)+1)</f>
        <v>1943602.3948732351</v>
      </c>
      <c r="I12" s="69" cm="1">
        <f t="array" ref="I12">INDEX('Shop Goals'!$G$8:$G$19, COLUMN()-COLUMN($D$3)+1)</f>
        <v>1823468.6885643527</v>
      </c>
      <c r="J12" s="69" cm="1">
        <f t="array" ref="J12">INDEX('Shop Goals'!$G$8:$G$19, COLUMN()-COLUMN($D$3)+1)</f>
        <v>1680380.3728842684</v>
      </c>
      <c r="K12" s="69" cm="1">
        <f t="array" ref="K12">INDEX('Shop Goals'!$G$8:$G$19, COLUMN()-COLUMN($D$3)+1)</f>
        <v>1792232.3172093823</v>
      </c>
      <c r="L12" s="69" cm="1">
        <f t="array" ref="L12">INDEX('Shop Goals'!$G$8:$G$19, COLUMN()-COLUMN($D$3)+1)</f>
        <v>1907830.5716547093</v>
      </c>
      <c r="M12" s="69" cm="1">
        <f t="array" ref="M12">INDEX('Shop Goals'!$G$8:$G$19, COLUMN()-COLUMN($D$3)+1)</f>
        <v>1977883.7254576557</v>
      </c>
      <c r="N12" s="69" cm="1">
        <f t="array" ref="N12">INDEX('Shop Goals'!$G$8:$G$19, COLUMN()-COLUMN($D$3)+1)</f>
        <v>1606245.9446687859</v>
      </c>
      <c r="O12" s="69" cm="1">
        <f t="array" ref="O12">INDEX('Shop Goals'!$G$8:$G$19, COLUMN()-COLUMN($D$3)+1)</f>
        <v>2065359.1580032648</v>
      </c>
      <c r="P12" s="68">
        <f t="shared" si="0"/>
        <v>21369245.368100543</v>
      </c>
      <c r="R12" s="228"/>
      <c r="S12" s="228"/>
      <c r="T12" s="228"/>
      <c r="U12" s="228"/>
      <c r="V12" s="228"/>
      <c r="W12" s="228"/>
      <c r="X12" s="465"/>
      <c r="Y12" s="228"/>
      <c r="Z12" s="228"/>
      <c r="AA12" s="228"/>
      <c r="AB12" s="228"/>
      <c r="AC12" s="228"/>
      <c r="AD12" s="228"/>
      <c r="AG12" s="46"/>
      <c r="AH12" s="46"/>
      <c r="AI12" s="235"/>
    </row>
    <row r="13" spans="1:35">
      <c r="A13" s="757"/>
      <c r="B13" s="233" t="s">
        <v>66</v>
      </c>
      <c r="C13" s="229" t="s">
        <v>67</v>
      </c>
      <c r="D13" s="69" cm="1">
        <f t="array" ref="D13">INDEX('Lead Goals'!$C$254:$C$265, COLUMN()-COLUMN($D$3)+1)</f>
        <v>2053.0263723529752</v>
      </c>
      <c r="E13" s="69" cm="1">
        <f t="array" ref="E13">INDEX('Lead Goals'!$C$254:$C$265, COLUMN()-COLUMN($D$3)+1)</f>
        <v>2267.0157052814066</v>
      </c>
      <c r="F13" s="69" cm="1">
        <f t="array" ref="F13">INDEX('Lead Goals'!$C$254:$C$265, COLUMN()-COLUMN($D$3)+1)</f>
        <v>2880.4429882682352</v>
      </c>
      <c r="G13" s="69" cm="1">
        <f t="array" ref="G13">INDEX('Lead Goals'!$C$254:$C$265, COLUMN()-COLUMN($D$3)+1)</f>
        <v>2474.6489194099845</v>
      </c>
      <c r="H13" s="69" cm="1">
        <f t="array" ref="H13">INDEX('Lead Goals'!$C$254:$C$265, COLUMN()-COLUMN($D$3)+1)</f>
        <v>2762.792971670051</v>
      </c>
      <c r="I13" s="69" cm="1">
        <f t="array" ref="I13">INDEX('Lead Goals'!$C$254:$C$265, COLUMN()-COLUMN($D$3)+1)</f>
        <v>2592.0252465806288</v>
      </c>
      <c r="J13" s="69" cm="1">
        <f t="array" ref="J13">INDEX('Lead Goals'!$C$254:$C$265, COLUMN()-COLUMN($D$3)+1)</f>
        <v>2700.6765898712333</v>
      </c>
      <c r="K13" s="69" cm="1">
        <f t="array" ref="K13">INDEX('Lead Goals'!$C$254:$C$265, COLUMN()-COLUMN($D$3)+1)</f>
        <v>2880.4429882682352</v>
      </c>
      <c r="L13" s="69" cm="1">
        <f t="array" ref="L13">INDEX('Lead Goals'!$C$254:$C$265, COLUMN()-COLUMN($D$3)+1)</f>
        <v>2711.9440212712157</v>
      </c>
      <c r="M13" s="69" cm="1">
        <f t="array" ref="M13">INDEX('Lead Goals'!$C$254:$C$265, COLUMN()-COLUMN($D$3)+1)</f>
        <v>2811.5232158022682</v>
      </c>
      <c r="N13" s="69" cm="1">
        <f t="array" ref="N13">INDEX('Lead Goals'!$C$254:$C$265, COLUMN()-COLUMN($D$3)+1)</f>
        <v>2581.5290932592675</v>
      </c>
      <c r="O13" s="69" cm="1">
        <f t="array" ref="O13">INDEX('Lead Goals'!$C$254:$C$265, COLUMN()-COLUMN($D$3)+1)</f>
        <v>3319.4074494702159</v>
      </c>
      <c r="P13" s="68">
        <f t="shared" ref="P13" si="1">SUM(D13:O13)</f>
        <v>32035.475561505715</v>
      </c>
      <c r="R13" s="228"/>
      <c r="S13" s="228"/>
      <c r="T13" s="228"/>
      <c r="U13" s="228"/>
      <c r="V13" s="228"/>
      <c r="W13" s="228"/>
      <c r="X13" s="465"/>
      <c r="Y13" s="228"/>
      <c r="Z13" s="228"/>
      <c r="AA13" s="228"/>
      <c r="AB13" s="228"/>
      <c r="AC13" s="228"/>
      <c r="AD13" s="228"/>
      <c r="AG13" s="46"/>
      <c r="AH13" s="46"/>
      <c r="AI13" s="235"/>
    </row>
    <row r="14" spans="1:35">
      <c r="D14" s="514" t="s">
        <v>322</v>
      </c>
      <c r="E14" s="498"/>
      <c r="F14" s="498"/>
      <c r="G14" s="498"/>
      <c r="H14" s="498"/>
      <c r="I14" s="498"/>
      <c r="J14" s="498"/>
      <c r="K14" s="498"/>
      <c r="L14" s="498"/>
      <c r="M14" s="498"/>
      <c r="N14" s="498"/>
      <c r="O14" s="498"/>
      <c r="P14" s="498"/>
    </row>
    <row r="15" spans="1:35">
      <c r="A15" s="762" t="s">
        <v>320</v>
      </c>
      <c r="B15" s="763"/>
      <c r="C15" s="763"/>
      <c r="D15" s="763"/>
      <c r="E15" s="763"/>
      <c r="F15" s="763"/>
      <c r="G15" s="763"/>
      <c r="H15" s="763"/>
      <c r="I15" s="763"/>
      <c r="J15" s="763"/>
      <c r="K15" s="763"/>
      <c r="L15" s="763"/>
      <c r="M15" s="763"/>
      <c r="N15" s="763"/>
      <c r="O15" s="763"/>
      <c r="P15" s="764"/>
      <c r="R15" s="761" t="s">
        <v>321</v>
      </c>
      <c r="S15" s="761"/>
      <c r="T15" s="761"/>
      <c r="U15" s="761"/>
      <c r="V15" s="761"/>
      <c r="W15" s="761"/>
      <c r="X15" s="761"/>
      <c r="Y15" s="761"/>
      <c r="Z15" s="761"/>
      <c r="AA15" s="761"/>
      <c r="AB15" s="761"/>
      <c r="AC15" s="761"/>
      <c r="AD15" s="761"/>
    </row>
    <row r="16" spans="1:35">
      <c r="A16" s="758" t="s">
        <v>323</v>
      </c>
      <c r="B16" s="759"/>
      <c r="C16" s="760"/>
      <c r="D16" s="234" t="s">
        <v>252</v>
      </c>
      <c r="E16" s="234" t="s">
        <v>253</v>
      </c>
      <c r="F16" s="234" t="s">
        <v>230</v>
      </c>
      <c r="G16" s="234" t="s">
        <v>254</v>
      </c>
      <c r="H16" s="234" t="s">
        <v>78</v>
      </c>
      <c r="I16" s="234" t="s">
        <v>255</v>
      </c>
      <c r="J16" s="234" t="s">
        <v>256</v>
      </c>
      <c r="K16" s="234" t="s">
        <v>236</v>
      </c>
      <c r="L16" s="234" t="s">
        <v>257</v>
      </c>
      <c r="M16" s="234" t="s">
        <v>258</v>
      </c>
      <c r="N16" s="234" t="s">
        <v>259</v>
      </c>
      <c r="O16" s="234" t="s">
        <v>260</v>
      </c>
      <c r="P16" s="234" t="s">
        <v>24</v>
      </c>
      <c r="R16" s="234" t="s">
        <v>252</v>
      </c>
      <c r="S16" s="234" t="s">
        <v>253</v>
      </c>
      <c r="T16" s="234" t="s">
        <v>230</v>
      </c>
      <c r="U16" s="234" t="s">
        <v>254</v>
      </c>
      <c r="V16" s="234" t="s">
        <v>78</v>
      </c>
      <c r="W16" s="234" t="s">
        <v>255</v>
      </c>
      <c r="X16" s="234" t="s">
        <v>256</v>
      </c>
      <c r="Y16" s="234" t="s">
        <v>236</v>
      </c>
      <c r="Z16" s="234" t="s">
        <v>257</v>
      </c>
      <c r="AA16" s="234" t="s">
        <v>258</v>
      </c>
      <c r="AB16" s="234" t="s">
        <v>259</v>
      </c>
      <c r="AC16" s="234" t="s">
        <v>260</v>
      </c>
      <c r="AD16" s="234" t="s">
        <v>24</v>
      </c>
      <c r="AF16" s="99"/>
    </row>
    <row r="17" spans="1:30">
      <c r="A17" s="757" t="s">
        <v>42</v>
      </c>
      <c r="B17" s="579" t="s">
        <v>43</v>
      </c>
      <c r="C17" s="229" t="s">
        <v>44</v>
      </c>
      <c r="D17" s="69" cm="1">
        <f t="array" ref="D17">INDEX('Consideration Goals'!$D$24:$D$35, COLUMN()-COLUMN($D$3)+1)</f>
        <v>0</v>
      </c>
      <c r="E17" s="69" cm="1">
        <f t="array" ref="E17">INDEX('Consideration Goals'!$D$24:$D$35, COLUMN()-COLUMN($D$3)+1)</f>
        <v>0</v>
      </c>
      <c r="F17" s="69" cm="1">
        <f t="array" ref="F17">INDEX('Consideration Goals'!$D$24:$D$35, COLUMN()-COLUMN($D$3)+1)</f>
        <v>0</v>
      </c>
      <c r="G17" s="69" cm="1">
        <f t="array" ref="G17">INDEX('Consideration Goals'!$D$24:$D$35, COLUMN()-COLUMN($D$3)+1)</f>
        <v>0</v>
      </c>
      <c r="H17" s="69" cm="1">
        <f t="array" ref="H17">INDEX('Consideration Goals'!$D$24:$D$35, COLUMN()-COLUMN($D$3)+1)</f>
        <v>0</v>
      </c>
      <c r="I17" s="69" cm="1">
        <f t="array" ref="I17">INDEX('Consideration Goals'!$D$24:$D$35, COLUMN()-COLUMN($D$3)+1)</f>
        <v>0</v>
      </c>
      <c r="J17" s="69" cm="1">
        <f t="array" ref="J17">INDEX('Consideration Goals'!$D$24:$D$35, COLUMN()-COLUMN($D$3)+1)</f>
        <v>0</v>
      </c>
      <c r="K17" s="69" cm="1">
        <f t="array" ref="K17">INDEX('Consideration Goals'!$D$24:$D$35, COLUMN()-COLUMN($D$3)+1)</f>
        <v>0</v>
      </c>
      <c r="L17" s="69" cm="1">
        <f t="array" ref="L17">INDEX('Consideration Goals'!$D$24:$D$35, COLUMN()-COLUMN($D$3)+1)</f>
        <v>0</v>
      </c>
      <c r="M17" s="69" cm="1">
        <f t="array" ref="M17">INDEX('Consideration Goals'!$D$24:$D$35, COLUMN()-COLUMN($D$3)+1)</f>
        <v>0</v>
      </c>
      <c r="N17" s="69" cm="1">
        <f t="array" ref="N17">INDEX('Consideration Goals'!$D$24:$D$35, COLUMN()-COLUMN($D$3)+1)</f>
        <v>0</v>
      </c>
      <c r="O17" s="69" cm="1">
        <f t="array" ref="O17">INDEX('Consideration Goals'!$D$24:$D$35, COLUMN()-COLUMN($D$3)+1)</f>
        <v>0</v>
      </c>
      <c r="P17" s="68">
        <f>SUM(D17:O17)</f>
        <v>0</v>
      </c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</row>
    <row r="18" spans="1:30">
      <c r="A18" s="757"/>
      <c r="B18" s="579"/>
      <c r="C18" s="229" t="s">
        <v>46</v>
      </c>
      <c r="D18" s="69" cm="1">
        <f t="array" ref="D18">INDEX('Consideration Goals'!$E$6:$E$17, COLUMN()-COLUMN($D$3)+1)</f>
        <v>1832612.3923070789</v>
      </c>
      <c r="E18" s="69" cm="1">
        <f t="array" ref="E18">INDEX('Consideration Goals'!$E$6:$E$17, COLUMN()-COLUMN($D$3)+1)</f>
        <v>2030382.5573380601</v>
      </c>
      <c r="F18" s="69" cm="1">
        <f t="array" ref="F18">INDEX('Consideration Goals'!$E$6:$E$17, COLUMN()-COLUMN($D$3)+1)</f>
        <v>2427801.1675551562</v>
      </c>
      <c r="G18" s="69" cm="1">
        <f t="array" ref="G18">INDEX('Consideration Goals'!$E$6:$E$17, COLUMN()-COLUMN($D$3)+1)</f>
        <v>2205501.7300772332</v>
      </c>
      <c r="H18" s="69" cm="1">
        <f t="array" ref="H18">INDEX('Consideration Goals'!$E$6:$E$17, COLUMN()-COLUMN($D$3)+1)</f>
        <v>2466640.6241467311</v>
      </c>
      <c r="I18" s="69" cm="1">
        <f t="array" ref="I18">INDEX('Consideration Goals'!$E$6:$E$17, COLUMN()-COLUMN($D$3)+1)</f>
        <v>2311908.5078209699</v>
      </c>
      <c r="J18" s="69" cm="1">
        <f t="array" ref="J18">INDEX('Consideration Goals'!$E$6:$E$17, COLUMN()-COLUMN($D$3)+1)</f>
        <v>2306121.4385163425</v>
      </c>
      <c r="K18" s="69" cm="1">
        <f t="array" ref="K18">INDEX('Consideration Goals'!$E$6:$E$17, COLUMN()-COLUMN($D$3)+1)</f>
        <v>2470200.8770111175</v>
      </c>
      <c r="L18" s="69" cm="1">
        <f t="array" ref="L18">INDEX('Consideration Goals'!$E$6:$E$17, COLUMN()-COLUMN($D$3)+1)</f>
        <v>2440916.3537094942</v>
      </c>
      <c r="M18" s="69" cm="1">
        <f t="array" ref="M18">INDEX('Consideration Goals'!$E$6:$E$17, COLUMN()-COLUMN($D$3)+1)</f>
        <v>2529853.0880972929</v>
      </c>
      <c r="N18" s="69" cm="1">
        <f t="array" ref="N18">INDEX('Consideration Goals'!$E$6:$E$17, COLUMN()-COLUMN($D$3)+1)</f>
        <v>2174035.9735123864</v>
      </c>
      <c r="O18" s="69" cm="1">
        <f t="array" ref="O18">INDEX('Consideration Goals'!$E$6:$E$17, COLUMN()-COLUMN($D$3)+1)</f>
        <v>2799227.2552875602</v>
      </c>
      <c r="P18" s="68">
        <f>SUM(D18:O18)</f>
        <v>27995201.965379424</v>
      </c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</row>
    <row r="19" spans="1:30">
      <c r="A19" s="757" t="s">
        <v>48</v>
      </c>
      <c r="B19" s="579" t="s">
        <v>49</v>
      </c>
      <c r="C19" s="230" t="s">
        <v>50</v>
      </c>
      <c r="D19" s="231" cm="1">
        <f t="array" ref="D19">INDEX('Research Goals'!$G$26:$G$37, COLUMN()-COLUMN($D$3)+1)</f>
        <v>406803.43768645125</v>
      </c>
      <c r="E19" s="231" cm="1">
        <f t="array" ref="E19">INDEX('Research Goals'!$G$26:$G$37, COLUMN()-COLUMN($D$3)+1)</f>
        <v>448252.55311557429</v>
      </c>
      <c r="F19" s="231" cm="1">
        <f t="array" ref="F19">INDEX('Research Goals'!$G$26:$G$37, COLUMN()-COLUMN($D$3)+1)</f>
        <v>544957.17455767526</v>
      </c>
      <c r="G19" s="231" cm="1">
        <f t="array" ref="G19">INDEX('Research Goals'!$G$26:$G$37, COLUMN()-COLUMN($D$3)+1)</f>
        <v>567862.28281167662</v>
      </c>
      <c r="H19" s="231" cm="1">
        <f t="array" ref="H19">INDEX('Research Goals'!$G$26:$G$37, COLUMN()-COLUMN($D$3)+1)</f>
        <v>631687.35209404863</v>
      </c>
      <c r="I19" s="231" cm="1">
        <f t="array" ref="I19">INDEX('Research Goals'!$G$26:$G$37, COLUMN()-COLUMN($D$3)+1)</f>
        <v>591461.76565491373</v>
      </c>
      <c r="J19" s="231" cm="1">
        <f t="array" ref="J19">INDEX('Research Goals'!$G$26:$G$37, COLUMN()-COLUMN($D$3)+1)</f>
        <v>579084.4919351784</v>
      </c>
      <c r="K19" s="231" cm="1">
        <f t="array" ref="K19">INDEX('Research Goals'!$G$26:$G$37, COLUMN()-COLUMN($D$3)+1)</f>
        <v>613781.803132731</v>
      </c>
      <c r="L19" s="231" cm="1">
        <f t="array" ref="L19">INDEX('Research Goals'!$G$26:$G$37, COLUMN()-COLUMN($D$3)+1)</f>
        <v>631505.08107195841</v>
      </c>
      <c r="M19" s="231" cm="1">
        <f t="array" ref="M19">INDEX('Research Goals'!$G$26:$G$37, COLUMN()-COLUMN($D$3)+1)</f>
        <v>655123.06019788631</v>
      </c>
      <c r="N19" s="231" cm="1">
        <f t="array" ref="N19">INDEX('Research Goals'!$G$26:$G$37, COLUMN()-COLUMN($D$3)+1)</f>
        <v>555579.33481376898</v>
      </c>
      <c r="O19" s="231" cm="1">
        <f t="array" ref="O19">INDEX('Research Goals'!$G$26:$G$37, COLUMN()-COLUMN($D$3)+1)</f>
        <v>707216.78877839714</v>
      </c>
      <c r="P19" s="232">
        <f>SUM(D19:O19)</f>
        <v>6933315.1258502584</v>
      </c>
      <c r="Q19" s="47"/>
      <c r="R19" s="231" cm="1">
        <f t="array" ref="R19">INDEX('Research Goals'!$L$26:$L$37, COLUMN()-COLUMN($R$3)+1)</f>
        <v>272599.94630566973</v>
      </c>
      <c r="S19" s="231" cm="1">
        <f t="array" ref="S19">INDEX('Research Goals'!$L$26:$L$37, COLUMN()-COLUMN($R$3)+1)</f>
        <v>300362.08134227397</v>
      </c>
      <c r="T19" s="231" cm="1">
        <f t="array" ref="T19">INDEX('Research Goals'!$L$26:$L$37, COLUMN()-COLUMN($R$3)+1)</f>
        <v>363891.37648711115</v>
      </c>
      <c r="U19" s="231" cm="1">
        <f t="array" ref="U19">INDEX('Research Goals'!$L$26:$L$37, COLUMN()-COLUMN($R$3)+1)</f>
        <v>349396.66805034823</v>
      </c>
      <c r="V19" s="231" cm="1">
        <f t="array" ref="V19">INDEX('Research Goals'!$L$26:$L$37, COLUMN()-COLUMN($R$3)+1)</f>
        <v>389205.41622344119</v>
      </c>
      <c r="W19" s="231" cm="1">
        <f t="array" ref="W19">INDEX('Research Goals'!$L$26:$L$37, COLUMN()-COLUMN($R$3)+1)</f>
        <v>364042.55482878478</v>
      </c>
      <c r="X19" s="231" cm="1">
        <f t="array" ref="X19">INDEX('Research Goals'!$L$26:$L$37, COLUMN()-COLUMN($R$3)+1)</f>
        <v>360653.38521697291</v>
      </c>
      <c r="Y19" s="231" cm="1">
        <f t="array" ref="Y19">INDEX('Research Goals'!$L$26:$L$37, COLUMN()-COLUMN($R$3)+1)</f>
        <v>383222.11331448285</v>
      </c>
      <c r="Z19" s="231" cm="1">
        <f t="array" ref="Z19">INDEX('Research Goals'!$L$26:$L$37, COLUMN()-COLUMN($R$3)+1)</f>
        <v>389364.65593927115</v>
      </c>
      <c r="AA19" s="231" cm="1">
        <f t="array" ref="AA19">INDEX('Research Goals'!$L$26:$L$37, COLUMN()-COLUMN($R$3)+1)</f>
        <v>403488.62283921003</v>
      </c>
      <c r="AB19" s="231" cm="1">
        <f t="array" ref="AB19">INDEX('Research Goals'!$L$26:$L$37, COLUMN()-COLUMN($R$3)+1)</f>
        <v>345347.143209395</v>
      </c>
      <c r="AC19" s="231" cm="1">
        <f t="array" ref="AC19">INDEX('Research Goals'!$L$26:$L$37, COLUMN()-COLUMN($R$3)+1)</f>
        <v>439317.45933960791</v>
      </c>
      <c r="AD19" s="232">
        <f>SUM(R19:AC19)</f>
        <v>4360891.4230965693</v>
      </c>
    </row>
    <row r="20" spans="1:30">
      <c r="A20" s="757"/>
      <c r="B20" s="579"/>
      <c r="C20" s="229" t="s">
        <v>52</v>
      </c>
      <c r="D20" s="69" cm="1">
        <f t="array" ref="D20">INDEX('Research Goals'!$D$26:$D$37, COLUMN()-COLUMN($D$3)+1)</f>
        <v>341032.80625551689</v>
      </c>
      <c r="E20" s="69" cm="1">
        <f t="array" ref="E20">INDEX('Research Goals'!$D$26:$D$37, COLUMN()-COLUMN($D$3)+1)</f>
        <v>375754.67943753744</v>
      </c>
      <c r="F20" s="69" cm="1">
        <f t="array" ref="F20">INDEX('Research Goals'!$D$26:$D$37, COLUMN()-COLUMN($D$3)+1)</f>
        <v>454293.09385638626</v>
      </c>
      <c r="G20" s="69" cm="1">
        <f t="array" ref="G20">INDEX('Research Goals'!$D$26:$D$37, COLUMN()-COLUMN($D$3)+1)</f>
        <v>414138.11274758645</v>
      </c>
      <c r="H20" s="69" cm="1">
        <f t="array" ref="H20">INDEX('Research Goals'!$D$26:$D$37, COLUMN()-COLUMN($D$3)+1)</f>
        <v>461755.73832373647</v>
      </c>
      <c r="I20" s="69" cm="1">
        <f t="array" ref="I20">INDEX('Research Goals'!$D$26:$D$37, COLUMN()-COLUMN($D$3)+1)</f>
        <v>431598.66507082677</v>
      </c>
      <c r="J20" s="69" cm="1">
        <f t="array" ref="J20">INDEX('Research Goals'!$D$26:$D$37, COLUMN()-COLUMN($D$3)+1)</f>
        <v>430977.99917862762</v>
      </c>
      <c r="K20" s="69" cm="1">
        <f t="array" ref="K20">INDEX('Research Goals'!$D$26:$D$37, COLUMN()-COLUMN($D$3)+1)</f>
        <v>458709.063123942</v>
      </c>
      <c r="L20" s="69" cm="1">
        <f t="array" ref="L20">INDEX('Research Goals'!$D$26:$D$37, COLUMN()-COLUMN($D$3)+1)</f>
        <v>462162.58398937125</v>
      </c>
      <c r="M20" s="69" cm="1">
        <f t="array" ref="M20">INDEX('Research Goals'!$D$26:$D$37, COLUMN()-COLUMN($D$3)+1)</f>
        <v>478575.92340212862</v>
      </c>
      <c r="N20" s="69" cm="1">
        <f t="array" ref="N20">INDEX('Research Goals'!$D$26:$D$37, COLUMN()-COLUMN($D$3)+1)</f>
        <v>412157.39904531953</v>
      </c>
      <c r="O20" s="69" cm="1">
        <f t="array" ref="O20">INDEX('Research Goals'!$D$26:$D$37, COLUMN()-COLUMN($D$3)+1)</f>
        <v>524078.53853584873</v>
      </c>
      <c r="P20" s="68">
        <f>SUM(D20:O20)</f>
        <v>5245234.6029668264</v>
      </c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</row>
    <row r="21" spans="1:30">
      <c r="A21" s="757"/>
      <c r="B21" s="579"/>
      <c r="C21" s="229" t="s">
        <v>14</v>
      </c>
      <c r="D21" s="69" cm="1">
        <f t="array" ref="D21">INDEX('Research Goals'!$F$26:$F$37, COLUMN()-COLUMN($D$3)+1)</f>
        <v>65770.631430934358</v>
      </c>
      <c r="E21" s="69" cm="1">
        <f t="array" ref="E21">INDEX('Research Goals'!$F$26:$F$37, COLUMN()-COLUMN($D$3)+1)</f>
        <v>72497.873678036878</v>
      </c>
      <c r="F21" s="69" cm="1">
        <f t="array" ref="F21">INDEX('Research Goals'!$F$26:$F$37, COLUMN()-COLUMN($D$3)+1)</f>
        <v>90664.080701288985</v>
      </c>
      <c r="G21" s="69" cm="1">
        <f t="array" ref="G21">INDEX('Research Goals'!$F$26:$F$37, COLUMN()-COLUMN($D$3)+1)</f>
        <v>153724.17006409017</v>
      </c>
      <c r="H21" s="69" cm="1">
        <f t="array" ref="H21">INDEX('Research Goals'!$F$26:$F$37, COLUMN()-COLUMN($D$3)+1)</f>
        <v>169931.61377031216</v>
      </c>
      <c r="I21" s="69" cm="1">
        <f t="array" ref="I21">INDEX('Research Goals'!$F$26:$F$37, COLUMN()-COLUMN($D$3)+1)</f>
        <v>159863.10058408699</v>
      </c>
      <c r="J21" s="69" cm="1">
        <f t="array" ref="J21">INDEX('Research Goals'!$F$26:$F$37, COLUMN()-COLUMN($D$3)+1)</f>
        <v>148106.49275655078</v>
      </c>
      <c r="K21" s="69" cm="1">
        <f t="array" ref="K21">INDEX('Research Goals'!$F$26:$F$37, COLUMN()-COLUMN($D$3)+1)</f>
        <v>155072.74000878894</v>
      </c>
      <c r="L21" s="69" cm="1">
        <f t="array" ref="L21">INDEX('Research Goals'!$F$26:$F$37, COLUMN()-COLUMN($D$3)+1)</f>
        <v>169342.49708258713</v>
      </c>
      <c r="M21" s="69" cm="1">
        <f t="array" ref="M21">INDEX('Research Goals'!$F$26:$F$37, COLUMN()-COLUMN($D$3)+1)</f>
        <v>176547.13679575775</v>
      </c>
      <c r="N21" s="69" cm="1">
        <f t="array" ref="N21">INDEX('Research Goals'!$F$26:$F$37, COLUMN()-COLUMN($D$3)+1)</f>
        <v>143421.93576844948</v>
      </c>
      <c r="O21" s="69" cm="1">
        <f t="array" ref="O21">INDEX('Research Goals'!$F$26:$F$37, COLUMN()-COLUMN($D$3)+1)</f>
        <v>183138.25024254841</v>
      </c>
      <c r="P21" s="68">
        <f>SUM(D21:O21)</f>
        <v>1688080.522883432</v>
      </c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</row>
    <row r="22" spans="1:30">
      <c r="A22" s="757"/>
      <c r="B22" s="233" t="s">
        <v>43</v>
      </c>
      <c r="C22" s="229" t="s">
        <v>55</v>
      </c>
      <c r="D22" s="69" cm="1">
        <f t="array" ref="D22">INDEX('Research Goals'!$E$26:$E$37, COLUMN()-COLUMN($D$3)+1)</f>
        <v>232533.88570753628</v>
      </c>
      <c r="E22" s="69" cm="1">
        <f t="array" ref="E22">INDEX('Research Goals'!$E$26:$E$37, COLUMN()-COLUMN($D$3)+1)</f>
        <v>256022.14200146985</v>
      </c>
      <c r="F22" s="69" cm="1">
        <f t="array" ref="F22">INDEX('Research Goals'!$E$26:$E$37, COLUMN()-COLUMN($D$3)+1)</f>
        <v>323671.27943320852</v>
      </c>
      <c r="G22" s="69" cm="1">
        <f t="array" ref="G22">INDEX('Research Goals'!$E$26:$E$37, COLUMN()-COLUMN($D$3)+1)</f>
        <v>281104.72358141211</v>
      </c>
      <c r="H22" s="69" cm="1">
        <f t="array" ref="H22">INDEX('Research Goals'!$E$26:$E$37, COLUMN()-COLUMN($D$3)+1)</f>
        <v>313741.82180833019</v>
      </c>
      <c r="I22" s="69" cm="1">
        <f t="array" ref="I22">INDEX('Research Goals'!$E$26:$E$37, COLUMN()-COLUMN($D$3)+1)</f>
        <v>293083.74883788725</v>
      </c>
      <c r="J22" s="69" cm="1">
        <f t="array" ref="J22">INDEX('Research Goals'!$E$26:$E$37, COLUMN()-COLUMN($D$3)+1)</f>
        <v>306548.4178417676</v>
      </c>
      <c r="K22" s="69" cm="1">
        <f t="array" ref="K22">INDEX('Research Goals'!$E$26:$E$37, COLUMN()-COLUMN($D$3)+1)</f>
        <v>326284.90283887042</v>
      </c>
      <c r="L22" s="69" cm="1">
        <f t="array" ref="L22">INDEX('Research Goals'!$E$26:$E$37, COLUMN()-COLUMN($D$3)+1)</f>
        <v>312544.10614015732</v>
      </c>
      <c r="M22" s="69" cm="1">
        <f t="array" ref="M22">INDEX('Research Goals'!$E$26:$E$37, COLUMN()-COLUMN($D$3)+1)</f>
        <v>323634.72255830152</v>
      </c>
      <c r="N22" s="69" cm="1">
        <f t="array" ref="N22">INDEX('Research Goals'!$E$26:$E$37, COLUMN()-COLUMN($D$3)+1)</f>
        <v>292193.86656024173</v>
      </c>
      <c r="O22" s="69" cm="1">
        <f t="array" ref="O22">INDEX('Research Goals'!$E$26:$E$37, COLUMN()-COLUMN($D$3)+1)</f>
        <v>372634.24006945692</v>
      </c>
      <c r="P22" s="68">
        <f t="shared" ref="P22:P27" si="2">SUM(D22:O22)</f>
        <v>3633997.8573786397</v>
      </c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</row>
    <row r="23" spans="1:30">
      <c r="A23" s="757" t="s">
        <v>57</v>
      </c>
      <c r="B23" s="579" t="s">
        <v>49</v>
      </c>
      <c r="C23" s="230" t="s">
        <v>58</v>
      </c>
      <c r="D23" s="231" cm="1">
        <f t="array" ref="D23">INDEX('Shop Goals'!$H$28:$H$39, COLUMN()-COLUMN($D$3)+1)</f>
        <v>980761.53240117722</v>
      </c>
      <c r="E23" s="231" cm="1">
        <f t="array" ref="E23">INDEX('Shop Goals'!$H$28:$H$39, COLUMN()-COLUMN($D$3)+1)</f>
        <v>1084799.006975885</v>
      </c>
      <c r="F23" s="231" cm="1">
        <f t="array" ref="F23">INDEX('Shop Goals'!$H$28:$H$39, COLUMN()-COLUMN($D$3)+1)</f>
        <v>1243169.1371695471</v>
      </c>
      <c r="G23" s="231" cm="1">
        <f t="array" ref="G23">INDEX('Shop Goals'!$H$28:$H$39, COLUMN()-COLUMN($D$3)+1)</f>
        <v>1184734.9990725864</v>
      </c>
      <c r="H23" s="231" cm="1">
        <f t="array" ref="H23">INDEX('Shop Goals'!$H$28:$H$39, COLUMN()-COLUMN($D$3)+1)</f>
        <v>1319605.3390923028</v>
      </c>
      <c r="I23" s="231" cm="1">
        <f t="array" ref="I23">INDEX('Shop Goals'!$H$28:$H$39, COLUMN()-COLUMN($D$3)+1)</f>
        <v>1237338.6404213184</v>
      </c>
      <c r="J23" s="231" cm="1">
        <f t="array" ref="J23">INDEX('Shop Goals'!$H$28:$H$39, COLUMN()-COLUMN($D$3)+1)</f>
        <v>1166103.984551752</v>
      </c>
      <c r="K23" s="231" cm="1">
        <f t="array" ref="K23">INDEX('Shop Goals'!$H$28:$H$39, COLUMN()-COLUMN($D$3)+1)</f>
        <v>1232635.0913395684</v>
      </c>
      <c r="L23" s="231" cm="1">
        <f t="array" ref="L23">INDEX('Shop Goals'!$H$28:$H$39, COLUMN()-COLUMN($D$3)+1)</f>
        <v>1304271.3443726019</v>
      </c>
      <c r="M23" s="231" cm="1">
        <f t="array" ref="M23">INDEX('Shop Goals'!$H$28:$H$39, COLUMN()-COLUMN($D$3)+1)</f>
        <v>1347725.3773003547</v>
      </c>
      <c r="N23" s="231" cm="1">
        <f t="array" ref="N23">INDEX('Shop Goals'!$H$28:$H$39, COLUMN()-COLUMN($D$3)+1)</f>
        <v>1115777.833024882</v>
      </c>
      <c r="O23" s="231" cm="1">
        <f t="array" ref="O23">INDEX('Shop Goals'!$H$28:$H$39, COLUMN()-COLUMN($D$3)+1)</f>
        <v>1421463.7543836345</v>
      </c>
      <c r="P23" s="232">
        <f t="shared" si="2"/>
        <v>14638386.040105611</v>
      </c>
      <c r="Q23" s="47"/>
      <c r="R23" s="231" cm="1">
        <f t="array" ref="R23">INDEX('Shop Goals'!$N$28:$N$39, COLUMN()-COLUMN($R$2)+1)</f>
        <v>387986.91806348786</v>
      </c>
      <c r="S23" s="231" cm="1">
        <f t="array" ref="S23">INDEX('Shop Goals'!$N$28:$N$39, COLUMN()-COLUMN($R$2)+1)</f>
        <v>429616.13154959131</v>
      </c>
      <c r="T23" s="231" cm="1">
        <f t="array" ref="T23">INDEX('Shop Goals'!$N$28:$N$39, COLUMN()-COLUMN($R$2)+1)</f>
        <v>487776.04409204784</v>
      </c>
      <c r="U23" s="231" cm="1">
        <f t="array" ref="U23">INDEX('Shop Goals'!$N$28:$N$39, COLUMN()-COLUMN($R$2)+1)</f>
        <v>468387.68991528073</v>
      </c>
      <c r="V23" s="231" cm="1">
        <f t="array" ref="V23">INDEX('Shop Goals'!$N$28:$N$39, COLUMN()-COLUMN($R$2)+1)</f>
        <v>522155.91307120258</v>
      </c>
      <c r="W23" s="231" cm="1">
        <f t="array" ref="W23">INDEX('Shop Goals'!$N$28:$N$39, COLUMN()-COLUMN($R$2)+1)</f>
        <v>489670.84097302565</v>
      </c>
      <c r="X23" s="231" cm="1">
        <f t="array" ref="X23">INDEX('Shop Goals'!$N$28:$N$39, COLUMN()-COLUMN($R$2)+1)</f>
        <v>457034.17798706208</v>
      </c>
      <c r="Y23" s="231" cm="1">
        <f t="array" ref="Y23">INDEX('Shop Goals'!$N$28:$N$39, COLUMN()-COLUMN($R$2)+1)</f>
        <v>484029.79284674919</v>
      </c>
      <c r="Z23" s="231" cm="1">
        <f t="array" ref="Z23">INDEX('Shop Goals'!$N$28:$N$39, COLUMN()-COLUMN($R$2)+1)</f>
        <v>515206.24532809784</v>
      </c>
      <c r="AA23" s="231" cm="1">
        <f t="array" ref="AA23">INDEX('Shop Goals'!$N$28:$N$39, COLUMN()-COLUMN($R$2)+1)</f>
        <v>531648.27365836408</v>
      </c>
      <c r="AB23" s="231" cm="1">
        <f t="array" ref="AB23">INDEX('Shop Goals'!$N$28:$N$39, COLUMN()-COLUMN($R$2)+1)</f>
        <v>437477.12090035755</v>
      </c>
      <c r="AC23" s="231" cm="1">
        <f t="array" ref="AC23">INDEX('Shop Goals'!$N$28:$N$39, COLUMN()-COLUMN($R$2)+1)</f>
        <v>557062.37059238576</v>
      </c>
      <c r="AD23" s="232">
        <f>SUM(R23:AC23)</f>
        <v>5768051.5189776514</v>
      </c>
    </row>
    <row r="24" spans="1:30">
      <c r="A24" s="757"/>
      <c r="B24" s="579"/>
      <c r="C24" s="229" t="s">
        <v>60</v>
      </c>
      <c r="D24" s="69" cm="1">
        <f t="array" ref="D24">INDEX('Shop Goals'!$D$28:$D$39, COLUMN()-COLUMN($D$3)+1)</f>
        <v>10672.638533621404</v>
      </c>
      <c r="E24" s="69" cm="1">
        <f t="array" ref="E24">INDEX('Shop Goals'!$D$28:$D$39, COLUMN()-COLUMN($D$3)+1)</f>
        <v>11867.630471661214</v>
      </c>
      <c r="F24" s="69" cm="1">
        <f t="array" ref="F24">INDEX('Shop Goals'!$D$28:$D$39, COLUMN()-COLUMN($D$3)+1)</f>
        <v>15358.212680840748</v>
      </c>
      <c r="G24" s="69" cm="1">
        <f t="array" ref="G24">INDEX('Shop Goals'!$D$28:$D$39, COLUMN()-COLUMN($D$3)+1)</f>
        <v>13046.724143350766</v>
      </c>
      <c r="H24" s="69" cm="1">
        <f t="array" ref="H24">INDEX('Shop Goals'!$D$28:$D$39, COLUMN()-COLUMN($D$3)+1)</f>
        <v>14559.421027148663</v>
      </c>
      <c r="I24" s="69" cm="1">
        <f t="array" ref="I24">INDEX('Shop Goals'!$D$28:$D$39, COLUMN()-COLUMN($D$3)+1)</f>
        <v>13669.979236213394</v>
      </c>
      <c r="J24" s="69" cm="1">
        <f t="array" ref="J24">INDEX('Shop Goals'!$D$28:$D$39, COLUMN()-COLUMN($D$3)+1)</f>
        <v>14603.682739507218</v>
      </c>
      <c r="K24" s="69" cm="1">
        <f t="array" ref="K24">INDEX('Shop Goals'!$D$28:$D$39, COLUMN()-COLUMN($D$3)+1)</f>
        <v>15624.922163036219</v>
      </c>
      <c r="L24" s="69" cm="1">
        <f t="array" ref="L24">INDEX('Shop Goals'!$D$28:$D$39, COLUMN()-COLUMN($D$3)+1)</f>
        <v>14516.415212288013</v>
      </c>
      <c r="M24" s="69" cm="1">
        <f t="array" ref="M24">INDEX('Shop Goals'!$D$28:$D$39, COLUMN()-COLUMN($D$3)+1)</f>
        <v>14982.997135286661</v>
      </c>
      <c r="N24" s="69" cm="1">
        <f t="array" ref="N24">INDEX('Shop Goals'!$D$28:$D$39, COLUMN()-COLUMN($D$3)+1)</f>
        <v>13933.441407645143</v>
      </c>
      <c r="O24" s="69" cm="1">
        <f t="array" ref="O24">INDEX('Shop Goals'!$D$28:$D$39, COLUMN()-COLUMN($D$3)+1)</f>
        <v>17746.799763276198</v>
      </c>
      <c r="P24" s="68">
        <f t="shared" si="2"/>
        <v>170582.86451387563</v>
      </c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spans="1:30">
      <c r="A25" s="757"/>
      <c r="B25" s="579"/>
      <c r="C25" s="229" t="s">
        <v>203</v>
      </c>
      <c r="D25" s="69" cm="1">
        <f t="array" ref="D25">INDEX('Shop Goals'!$E$28:$E$39, COLUMN()-COLUMN($D$3)+1)</f>
        <v>62216.274695925436</v>
      </c>
      <c r="E25" s="69" cm="1">
        <f t="array" ref="E25">INDEX('Shop Goals'!$E$28:$E$39, COLUMN()-COLUMN($D$3)+1)</f>
        <v>69582.557880078486</v>
      </c>
      <c r="F25" s="69" cm="1">
        <f t="array" ref="F25">INDEX('Shop Goals'!$E$28:$E$39, COLUMN()-COLUMN($D$3)+1)</f>
        <v>84112.46664862812</v>
      </c>
      <c r="G25" s="69" cm="1">
        <f t="array" ref="G25">INDEX('Shop Goals'!$E$28:$E$39, COLUMN()-COLUMN($D$3)+1)</f>
        <v>76096.018345223754</v>
      </c>
      <c r="H25" s="69" cm="1">
        <f t="array" ref="H25">INDEX('Shop Goals'!$E$28:$E$39, COLUMN()-COLUMN($D$3)+1)</f>
        <v>84740.475769731929</v>
      </c>
      <c r="I25" s="69" cm="1">
        <f t="array" ref="I25">INDEX('Shop Goals'!$E$28:$E$39, COLUMN()-COLUMN($D$3)+1)</f>
        <v>79751.35869384851</v>
      </c>
      <c r="J25" s="69" cm="1">
        <f t="array" ref="J25">INDEX('Shop Goals'!$E$28:$E$39, COLUMN()-COLUMN($D$3)+1)</f>
        <v>79739.765594446435</v>
      </c>
      <c r="K25" s="69" cm="1">
        <f t="array" ref="K25">INDEX('Shop Goals'!$E$28:$E$39, COLUMN()-COLUMN($D$3)+1)</f>
        <v>84555.255210172661</v>
      </c>
      <c r="L25" s="69" cm="1">
        <f t="array" ref="L25">INDEX('Shop Goals'!$E$28:$E$39, COLUMN()-COLUMN($D$3)+1)</f>
        <v>84138.489916831255</v>
      </c>
      <c r="M25" s="69" cm="1">
        <f t="array" ref="M25">INDEX('Shop Goals'!$E$28:$E$39, COLUMN()-COLUMN($D$3)+1)</f>
        <v>86402.514065979893</v>
      </c>
      <c r="N25" s="69" cm="1">
        <f t="array" ref="N25">INDEX('Shop Goals'!$E$28:$E$39, COLUMN()-COLUMN($D$3)+1)</f>
        <v>75342.83551685157</v>
      </c>
      <c r="O25" s="69" cm="1">
        <f t="array" ref="O25">INDEX('Shop Goals'!$E$28:$E$39, COLUMN()-COLUMN($D$3)+1)</f>
        <v>95996.81149201325</v>
      </c>
      <c r="P25" s="68">
        <f t="shared" si="2"/>
        <v>962674.82382973121</v>
      </c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spans="1:30">
      <c r="A26" s="757"/>
      <c r="B26" s="579"/>
      <c r="C26" s="229" t="s">
        <v>7</v>
      </c>
      <c r="D26" s="69" cm="1">
        <f t="array" ref="D26">INDEX('Shop Goals'!$G$28:$G$39, COLUMN()-COLUMN($D$3)+1)</f>
        <v>907872.61917163036</v>
      </c>
      <c r="E26" s="69" cm="1">
        <f t="array" ref="E26">INDEX('Shop Goals'!$G$28:$G$39, COLUMN()-COLUMN($D$3)+1)</f>
        <v>1003348.8186241452</v>
      </c>
      <c r="F26" s="69" cm="1">
        <f t="array" ref="F26">INDEX('Shop Goals'!$G$28:$G$39, COLUMN()-COLUMN($D$3)+1)</f>
        <v>1143698.4578400783</v>
      </c>
      <c r="G26" s="69" cm="1">
        <f t="array" ref="G26">INDEX('Shop Goals'!$G$28:$G$39, COLUMN()-COLUMN($D$3)+1)</f>
        <v>1095592.2565840119</v>
      </c>
      <c r="H26" s="69" cm="1">
        <f t="array" ref="H26">INDEX('Shop Goals'!$G$28:$G$39, COLUMN()-COLUMN($D$3)+1)</f>
        <v>1220305.4422954223</v>
      </c>
      <c r="I26" s="69" cm="1">
        <f t="array" ref="I26">INDEX('Shop Goals'!$G$28:$G$39, COLUMN()-COLUMN($D$3)+1)</f>
        <v>1143917.3024912565</v>
      </c>
      <c r="J26" s="69" cm="1">
        <f t="array" ref="J26">INDEX('Shop Goals'!$G$28:$G$39, COLUMN()-COLUMN($D$3)+1)</f>
        <v>1071760.5362177982</v>
      </c>
      <c r="K26" s="69" cm="1">
        <f t="array" ref="K26">INDEX('Shop Goals'!$G$28:$G$39, COLUMN()-COLUMN($D$3)+1)</f>
        <v>1132454.9139663596</v>
      </c>
      <c r="L26" s="69" cm="1">
        <f t="array" ref="L26">INDEX('Shop Goals'!$G$28:$G$39, COLUMN()-COLUMN($D$3)+1)</f>
        <v>1205616.4392434827</v>
      </c>
      <c r="M26" s="69" cm="1">
        <f t="array" ref="M26">INDEX('Shop Goals'!$G$28:$G$39, COLUMN()-COLUMN($D$3)+1)</f>
        <v>1246339.866099088</v>
      </c>
      <c r="N26" s="69" cm="1">
        <f t="array" ref="N26">INDEX('Shop Goals'!$G$28:$G$39, COLUMN()-COLUMN($D$3)+1)</f>
        <v>1026501.5561003854</v>
      </c>
      <c r="O26" s="69" cm="1">
        <f t="array" ref="O26">INDEX('Shop Goals'!$G$28:$G$39, COLUMN()-COLUMN($D$3)+1)</f>
        <v>1307720.143128345</v>
      </c>
      <c r="P26" s="68">
        <f t="shared" si="2"/>
        <v>13505128.351762004</v>
      </c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spans="1:30">
      <c r="A27" s="757"/>
      <c r="B27" s="233" t="s">
        <v>66</v>
      </c>
      <c r="C27" s="229" t="s">
        <v>67</v>
      </c>
      <c r="D27" s="69" cm="1">
        <f t="array" ref="D27">INDEX('Lead Goals'!$C$254:$C$265, COLUMN()-COLUMN($D$3)+1)</f>
        <v>2053.0263723529752</v>
      </c>
      <c r="E27" s="69" cm="1">
        <f t="array" ref="E27">INDEX('Lead Goals'!$C$254:$C$265, COLUMN()-COLUMN($D$3)+1)</f>
        <v>2267.0157052814066</v>
      </c>
      <c r="F27" s="69" cm="1">
        <f t="array" ref="F27">INDEX('Lead Goals'!$C$254:$C$265, COLUMN()-COLUMN($D$3)+1)</f>
        <v>2880.4429882682352</v>
      </c>
      <c r="G27" s="69" cm="1">
        <f t="array" ref="G27">INDEX('Lead Goals'!$C$254:$C$265, COLUMN()-COLUMN($D$3)+1)</f>
        <v>2474.6489194099845</v>
      </c>
      <c r="H27" s="69" cm="1">
        <f t="array" ref="H27">INDEX('Lead Goals'!$C$254:$C$265, COLUMN()-COLUMN($D$3)+1)</f>
        <v>2762.792971670051</v>
      </c>
      <c r="I27" s="69" cm="1">
        <f t="array" ref="I27">INDEX('Lead Goals'!$C$254:$C$265, COLUMN()-COLUMN($D$3)+1)</f>
        <v>2592.0252465806288</v>
      </c>
      <c r="J27" s="69" cm="1">
        <f t="array" ref="J27">INDEX('Lead Goals'!$C$254:$C$265, COLUMN()-COLUMN($D$3)+1)</f>
        <v>2700.6765898712333</v>
      </c>
      <c r="K27" s="69" cm="1">
        <f t="array" ref="K27">INDEX('Lead Goals'!$C$254:$C$265, COLUMN()-COLUMN($D$3)+1)</f>
        <v>2880.4429882682352</v>
      </c>
      <c r="L27" s="69" cm="1">
        <f t="array" ref="L27">INDEX('Lead Goals'!$C$254:$C$265, COLUMN()-COLUMN($D$3)+1)</f>
        <v>2711.9440212712157</v>
      </c>
      <c r="M27" s="69" cm="1">
        <f t="array" ref="M27">INDEX('Lead Goals'!$C$254:$C$265, COLUMN()-COLUMN($D$3)+1)</f>
        <v>2811.5232158022682</v>
      </c>
      <c r="N27" s="69" cm="1">
        <f t="array" ref="N27">INDEX('Lead Goals'!$C$254:$C$265, COLUMN()-COLUMN($D$3)+1)</f>
        <v>2581.5290932592675</v>
      </c>
      <c r="O27" s="69" cm="1">
        <f t="array" ref="O27">INDEX('Lead Goals'!$C$254:$C$265, COLUMN()-COLUMN($D$3)+1)</f>
        <v>3319.4074494702159</v>
      </c>
      <c r="P27" s="68">
        <f t="shared" si="2"/>
        <v>32035.475561505715</v>
      </c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9" spans="1:30">
      <c r="A29" s="762" t="s">
        <v>320</v>
      </c>
      <c r="B29" s="763"/>
      <c r="C29" s="763"/>
      <c r="D29" s="763"/>
      <c r="E29" s="763"/>
      <c r="F29" s="763"/>
      <c r="G29" s="763"/>
      <c r="H29" s="763"/>
      <c r="I29" s="763"/>
      <c r="J29" s="763"/>
      <c r="K29" s="763"/>
      <c r="L29" s="763"/>
      <c r="M29" s="763"/>
      <c r="N29" s="763"/>
      <c r="O29" s="763"/>
      <c r="P29" s="764"/>
      <c r="R29" s="761" t="s">
        <v>321</v>
      </c>
      <c r="S29" s="761"/>
      <c r="T29" s="761"/>
      <c r="U29" s="761"/>
      <c r="V29" s="761"/>
      <c r="W29" s="761"/>
      <c r="X29" s="761"/>
      <c r="Y29" s="761"/>
      <c r="Z29" s="761"/>
      <c r="AA29" s="761"/>
      <c r="AB29" s="761"/>
      <c r="AC29" s="761"/>
      <c r="AD29" s="761"/>
    </row>
    <row r="30" spans="1:30">
      <c r="A30" s="758" t="s">
        <v>97</v>
      </c>
      <c r="B30" s="759"/>
      <c r="C30" s="760"/>
      <c r="D30" s="234" t="s">
        <v>252</v>
      </c>
      <c r="E30" s="234" t="s">
        <v>253</v>
      </c>
      <c r="F30" s="234" t="s">
        <v>230</v>
      </c>
      <c r="G30" s="234" t="s">
        <v>254</v>
      </c>
      <c r="H30" s="234" t="s">
        <v>78</v>
      </c>
      <c r="I30" s="234" t="s">
        <v>255</v>
      </c>
      <c r="J30" s="234" t="s">
        <v>256</v>
      </c>
      <c r="K30" s="234" t="s">
        <v>236</v>
      </c>
      <c r="L30" s="234" t="s">
        <v>257</v>
      </c>
      <c r="M30" s="234" t="s">
        <v>258</v>
      </c>
      <c r="N30" s="234" t="s">
        <v>259</v>
      </c>
      <c r="O30" s="234" t="s">
        <v>260</v>
      </c>
      <c r="P30" s="234" t="s">
        <v>24</v>
      </c>
      <c r="R30" s="234" t="s">
        <v>252</v>
      </c>
      <c r="S30" s="234" t="s">
        <v>253</v>
      </c>
      <c r="T30" s="234" t="s">
        <v>230</v>
      </c>
      <c r="U30" s="234" t="s">
        <v>254</v>
      </c>
      <c r="V30" s="234" t="s">
        <v>78</v>
      </c>
      <c r="W30" s="234" t="s">
        <v>255</v>
      </c>
      <c r="X30" s="234" t="s">
        <v>256</v>
      </c>
      <c r="Y30" s="234" t="s">
        <v>236</v>
      </c>
      <c r="Z30" s="234" t="s">
        <v>257</v>
      </c>
      <c r="AA30" s="234" t="s">
        <v>258</v>
      </c>
      <c r="AB30" s="234" t="s">
        <v>259</v>
      </c>
      <c r="AC30" s="234" t="s">
        <v>260</v>
      </c>
      <c r="AD30" s="234" t="s">
        <v>24</v>
      </c>
    </row>
    <row r="31" spans="1:30">
      <c r="A31" s="757" t="s">
        <v>42</v>
      </c>
      <c r="B31" s="579" t="s">
        <v>43</v>
      </c>
      <c r="C31" s="229" t="s">
        <v>44</v>
      </c>
      <c r="D31" s="69" cm="1">
        <f t="array" ref="D31">INDEX('Consideration Goals'!$D$42:$D$53, COLUMN()-COLUMN($D$3)+1)</f>
        <v>0</v>
      </c>
      <c r="E31" s="69" cm="1">
        <f t="array" ref="E31">INDEX('Consideration Goals'!$D$42:$D$53, COLUMN()-COLUMN($D$3)+1)</f>
        <v>0</v>
      </c>
      <c r="F31" s="69" cm="1">
        <f t="array" ref="F31">INDEX('Consideration Goals'!$D$42:$D$53, COLUMN()-COLUMN($D$3)+1)</f>
        <v>0</v>
      </c>
      <c r="G31" s="69" cm="1">
        <f t="array" ref="G31">INDEX('Consideration Goals'!$D$42:$D$53, COLUMN()-COLUMN($D$3)+1)</f>
        <v>0</v>
      </c>
      <c r="H31" s="69" cm="1">
        <f t="array" ref="H31">INDEX('Consideration Goals'!$D$42:$D$53, COLUMN()-COLUMN($D$3)+1)</f>
        <v>0</v>
      </c>
      <c r="I31" s="69" cm="1">
        <f t="array" ref="I31">INDEX('Consideration Goals'!$D$42:$D$53, COLUMN()-COLUMN($D$3)+1)</f>
        <v>0</v>
      </c>
      <c r="J31" s="69" cm="1">
        <f t="array" ref="J31">INDEX('Consideration Goals'!$D$42:$D$53, COLUMN()-COLUMN($D$3)+1)</f>
        <v>0</v>
      </c>
      <c r="K31" s="69" cm="1">
        <f t="array" ref="K31">INDEX('Consideration Goals'!$D$42:$D$53, COLUMN()-COLUMN($D$3)+1)</f>
        <v>0</v>
      </c>
      <c r="L31" s="69" cm="1">
        <f t="array" ref="L31">INDEX('Consideration Goals'!$D$42:$D$53, COLUMN()-COLUMN($D$3)+1)</f>
        <v>0</v>
      </c>
      <c r="M31" s="69" cm="1">
        <f t="array" ref="M31">INDEX('Consideration Goals'!$D$42:$D$53, COLUMN()-COLUMN($D$3)+1)</f>
        <v>0</v>
      </c>
      <c r="N31" s="69" cm="1">
        <f t="array" ref="N31">INDEX('Consideration Goals'!$D$42:$D$53, COLUMN()-COLUMN($D$3)+1)</f>
        <v>0</v>
      </c>
      <c r="O31" s="69" cm="1">
        <f t="array" ref="O31">INDEX('Consideration Goals'!$D$42:$D$53, COLUMN()-COLUMN($D$3)+1)</f>
        <v>0</v>
      </c>
      <c r="P31" s="68">
        <f>SUM(D31:O31)</f>
        <v>0</v>
      </c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spans="1:30">
      <c r="A32" s="757"/>
      <c r="B32" s="579"/>
      <c r="C32" s="229" t="s">
        <v>46</v>
      </c>
      <c r="D32" s="69" cm="1">
        <f t="array" ref="D32">INDEX('Consideration Goals'!$E$42:$E$53, COLUMN()-COLUMN($D$3)+1)</f>
        <v>607269.72039099794</v>
      </c>
      <c r="E32" s="69" cm="1">
        <f t="array" ref="E32">INDEX('Consideration Goals'!$E$42:$E$53, COLUMN()-COLUMN($D$3)+1)</f>
        <v>631560.50920663786</v>
      </c>
      <c r="F32" s="69" cm="1">
        <f t="array" ref="F32">INDEX('Consideration Goals'!$E$42:$E$53, COLUMN()-COLUMN($D$3)+1)</f>
        <v>670182.40746897168</v>
      </c>
      <c r="G32" s="69" cm="1">
        <f t="array" ref="G32">INDEX('Consideration Goals'!$E$42:$E$53, COLUMN()-COLUMN($D$3)+1)</f>
        <v>688239.01644313103</v>
      </c>
      <c r="H32" s="69" cm="1">
        <f t="array" ref="H32">INDEX('Consideration Goals'!$E$42:$E$53, COLUMN()-COLUMN($D$3)+1)</f>
        <v>757062.91808744415</v>
      </c>
      <c r="I32" s="69" cm="1">
        <f t="array" ref="I32">INDEX('Consideration Goals'!$E$42:$E$53, COLUMN()-COLUMN($D$3)+1)</f>
        <v>688239.01644313103</v>
      </c>
      <c r="J32" s="69" cm="1">
        <f t="array" ref="J32">INDEX('Consideration Goals'!$E$42:$E$53, COLUMN()-COLUMN($D$3)+1)</f>
        <v>604915.23714539001</v>
      </c>
      <c r="K32" s="69" cm="1">
        <f t="array" ref="K32">INDEX('Consideration Goals'!$E$42:$E$53, COLUMN()-COLUMN($D$3)+1)</f>
        <v>614466.53036347521</v>
      </c>
      <c r="L32" s="69" cm="1">
        <f t="array" ref="L32">INDEX('Consideration Goals'!$E$42:$E$53, COLUMN()-COLUMN($D$3)+1)</f>
        <v>793499.1013109039</v>
      </c>
      <c r="M32" s="69" cm="1">
        <f t="array" ref="M32">INDEX('Consideration Goals'!$E$42:$E$53, COLUMN()-COLUMN($D$3)+1)</f>
        <v>842080.67894218385</v>
      </c>
      <c r="N32" s="69" cm="1">
        <f t="array" ref="N32">INDEX('Consideration Goals'!$E$42:$E$53, COLUMN()-COLUMN($D$3)+1)</f>
        <v>652671.70323581563</v>
      </c>
      <c r="O32" s="69" cm="1">
        <f t="array" ref="O32">INDEX('Consideration Goals'!$E$42:$E$53, COLUMN()-COLUMN($D$3)+1)</f>
        <v>799124.86591312056</v>
      </c>
      <c r="P32" s="68">
        <f>SUM(D32:O32)</f>
        <v>8349311.7049512025</v>
      </c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spans="1:30">
      <c r="A33" s="757" t="s">
        <v>48</v>
      </c>
      <c r="B33" s="579" t="s">
        <v>49</v>
      </c>
      <c r="C33" s="230" t="s">
        <v>50</v>
      </c>
      <c r="D33" s="231" cm="1">
        <f t="array" ref="D33">INDEX('Research Goals'!$G$45:$G$56, COLUMN()-COLUMN($D$3)+1)</f>
        <v>128772.3346215049</v>
      </c>
      <c r="E33" s="231" cm="1">
        <f t="array" ref="E33">INDEX('Research Goals'!$G$45:$G$56, COLUMN()-COLUMN($D$3)+1)</f>
        <v>133923.2280063651</v>
      </c>
      <c r="F33" s="231" cm="1">
        <f t="array" ref="F33">INDEX('Research Goals'!$G$45:$G$56, COLUMN()-COLUMN($D$3)+1)</f>
        <v>156020.29532358158</v>
      </c>
      <c r="G33" s="231" cm="1">
        <f t="array" ref="G33">INDEX('Research Goals'!$G$45:$G$56, COLUMN()-COLUMN($D$3)+1)</f>
        <v>173902.25808895961</v>
      </c>
      <c r="H33" s="231" cm="1">
        <f t="array" ref="H33">INDEX('Research Goals'!$G$45:$G$56, COLUMN()-COLUMN($D$3)+1)</f>
        <v>191292.48389785559</v>
      </c>
      <c r="I33" s="231" cm="1">
        <f t="array" ref="I33">INDEX('Research Goals'!$G$45:$G$56, COLUMN()-COLUMN($D$3)+1)</f>
        <v>173902.25808895961</v>
      </c>
      <c r="J33" s="231" cm="1">
        <f t="array" ref="J33">INDEX('Research Goals'!$G$45:$G$56, COLUMN()-COLUMN($D$3)+1)</f>
        <v>162301.77304964539</v>
      </c>
      <c r="K33" s="231" cm="1">
        <f t="array" ref="K33">INDEX('Research Goals'!$G$45:$G$56, COLUMN()-COLUMN($D$3)+1)</f>
        <v>164864.43262411348</v>
      </c>
      <c r="L33" s="231" cm="1">
        <f t="array" ref="L33">INDEX('Research Goals'!$G$45:$G$56, COLUMN()-COLUMN($D$3)+1)</f>
        <v>200499.07403197695</v>
      </c>
      <c r="M33" s="231" cm="1">
        <f t="array" ref="M33">INDEX('Research Goals'!$G$45:$G$56, COLUMN()-COLUMN($D$3)+1)</f>
        <v>212774.52754413884</v>
      </c>
      <c r="N33" s="231" cm="1">
        <f t="array" ref="N33">INDEX('Research Goals'!$G$45:$G$56, COLUMN()-COLUMN($D$3)+1)</f>
        <v>175115.07092198584</v>
      </c>
      <c r="O33" s="231" cm="1">
        <f t="array" ref="O33">INDEX('Research Goals'!$G$45:$G$56, COLUMN()-COLUMN($D$3)+1)</f>
        <v>214409.18439716313</v>
      </c>
      <c r="P33" s="232">
        <f>SUM(D33:O33)</f>
        <v>2087776.9205962501</v>
      </c>
      <c r="Q33" s="47"/>
      <c r="R33" s="231" cm="1">
        <f t="array" ref="R33">INDEX('Research Goals'!$L$45:$L$56, COLUMN()-COLUMN($R$3)+1)</f>
        <v>87127.270092832681</v>
      </c>
      <c r="S33" s="231" cm="1">
        <f t="array" ref="S33">INDEX('Research Goals'!$L$45:$L$56, COLUMN()-COLUMN($R$3)+1)</f>
        <v>90612.360896545986</v>
      </c>
      <c r="T33" s="231" cm="1">
        <f t="array" ref="T33">INDEX('Research Goals'!$L$45:$L$56, COLUMN()-COLUMN($R$3)+1)</f>
        <v>104489.20282093679</v>
      </c>
      <c r="U33" s="231" cm="1">
        <f t="array" ref="U33">INDEX('Research Goals'!$L$45:$L$56, COLUMN()-COLUMN($R$3)+1)</f>
        <v>105695.43732109296</v>
      </c>
      <c r="V33" s="231" cm="1">
        <f t="array" ref="V33">INDEX('Research Goals'!$L$45:$L$56, COLUMN()-COLUMN($R$3)+1)</f>
        <v>116264.98105320227</v>
      </c>
      <c r="W33" s="231" cm="1">
        <f t="array" ref="W33">INDEX('Research Goals'!$L$45:$L$56, COLUMN()-COLUMN($R$3)+1)</f>
        <v>105695.43732109296</v>
      </c>
      <c r="X33" s="231" cm="1">
        <f t="array" ref="X33">INDEX('Research Goals'!$L$45:$L$56, COLUMN()-COLUMN($R$3)+1)</f>
        <v>99652.4011823521</v>
      </c>
      <c r="Y33" s="231" cm="1">
        <f t="array" ref="Y33">INDEX('Research Goals'!$L$45:$L$56, COLUMN()-COLUMN($R$3)+1)</f>
        <v>101225.86014838924</v>
      </c>
      <c r="Z33" s="231" cm="1">
        <f t="array" ref="Z33">INDEX('Research Goals'!$L$45:$L$56, COLUMN()-COLUMN($R$3)+1)</f>
        <v>121860.62185255424</v>
      </c>
      <c r="AA33" s="231" cm="1">
        <f t="array" ref="AA33">INDEX('Research Goals'!$L$45:$L$56, COLUMN()-COLUMN($R$3)+1)</f>
        <v>129321.47625169023</v>
      </c>
      <c r="AB33" s="231" cm="1">
        <f t="array" ref="AB33">INDEX('Research Goals'!$L$45:$L$56, COLUMN()-COLUMN($R$3)+1)</f>
        <v>107519.6960125378</v>
      </c>
      <c r="AC33" s="231" cm="1">
        <f t="array" ref="AC33">INDEX('Research Goals'!$L$45:$L$56, COLUMN()-COLUMN($R$3)+1)</f>
        <v>131646.06682510726</v>
      </c>
      <c r="AD33" s="232">
        <f>SUM(R33:AC33)</f>
        <v>1301110.8117783344</v>
      </c>
    </row>
    <row r="34" spans="1:30">
      <c r="A34" s="757"/>
      <c r="B34" s="579"/>
      <c r="C34" s="229" t="s">
        <v>52</v>
      </c>
      <c r="D34" s="69" cm="1">
        <f t="array" ref="D34">INDEX('Research Goals'!$D$45:$D$56, COLUMN()-COLUMN($D$3)+1)</f>
        <v>109616.84473744033</v>
      </c>
      <c r="E34" s="69" cm="1">
        <f t="array" ref="E34">INDEX('Research Goals'!$D$45:$D$56, COLUMN()-COLUMN($D$3)+1)</f>
        <v>114001.51852693794</v>
      </c>
      <c r="F34" s="69" cm="1">
        <f t="array" ref="F34">INDEX('Research Goals'!$D$45:$D$56, COLUMN()-COLUMN($D$3)+1)</f>
        <v>130675.3861923759</v>
      </c>
      <c r="G34" s="69" cm="1">
        <f t="array" ref="G34">INDEX('Research Goals'!$D$45:$D$56, COLUMN()-COLUMN($D$3)+1)</f>
        <v>124232.42403576571</v>
      </c>
      <c r="H34" s="69" cm="1">
        <f t="array" ref="H34">INDEX('Research Goals'!$D$45:$D$56, COLUMN()-COLUMN($D$3)+1)</f>
        <v>136655.66643934228</v>
      </c>
      <c r="I34" s="69" cm="1">
        <f t="array" ref="I34">INDEX('Research Goals'!$D$45:$D$56, COLUMN()-COLUMN($D$3)+1)</f>
        <v>124232.42403576571</v>
      </c>
      <c r="J34" s="69" cm="1">
        <f t="array" ref="J34">INDEX('Research Goals'!$D$45:$D$56, COLUMN()-COLUMN($D$3)+1)</f>
        <v>117949.27969858157</v>
      </c>
      <c r="K34" s="69" cm="1">
        <f t="array" ref="K34">INDEX('Research Goals'!$D$45:$D$56, COLUMN()-COLUMN($D$3)+1)</f>
        <v>119811.63674645391</v>
      </c>
      <c r="L34" s="69" cm="1">
        <f t="array" ref="L34">INDEX('Research Goals'!$D$45:$D$56, COLUMN()-COLUMN($D$3)+1)</f>
        <v>143232.67712358868</v>
      </c>
      <c r="M34" s="69" cm="1">
        <f t="array" ref="M34">INDEX('Research Goals'!$D$45:$D$56, COLUMN()-COLUMN($D$3)+1)</f>
        <v>152002.02470258393</v>
      </c>
      <c r="N34" s="69" cm="1">
        <f t="array" ref="N34">INDEX('Research Goals'!$D$45:$D$56, COLUMN()-COLUMN($D$3)+1)</f>
        <v>127261.06493794327</v>
      </c>
      <c r="O34" s="69" cm="1">
        <f t="array" ref="O34">INDEX('Research Goals'!$D$45:$D$56, COLUMN()-COLUMN($D$3)+1)</f>
        <v>155817.2063386525</v>
      </c>
      <c r="P34" s="68">
        <f>SUM(D34:O34)</f>
        <v>1555488.1535154318</v>
      </c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spans="1:30">
      <c r="A35" s="757"/>
      <c r="B35" s="579"/>
      <c r="C35" s="229" t="s">
        <v>14</v>
      </c>
      <c r="D35" s="69" cm="1">
        <f t="array" ref="D35">INDEX('Research Goals'!$F$45:$F$56, COLUMN()-COLUMN($D$3)+1)</f>
        <v>19155.489884064558</v>
      </c>
      <c r="E35" s="69" cm="1">
        <f t="array" ref="E35">INDEX('Research Goals'!$F$45:$F$56, COLUMN()-COLUMN($D$3)+1)</f>
        <v>19921.709479427143</v>
      </c>
      <c r="F35" s="69" cm="1">
        <f t="array" ref="F35">INDEX('Research Goals'!$F$45:$F$56, COLUMN()-COLUMN($D$3)+1)</f>
        <v>25344.909131205673</v>
      </c>
      <c r="G35" s="69" cm="1">
        <f t="array" ref="G35">INDEX('Research Goals'!$F$45:$F$56, COLUMN()-COLUMN($D$3)+1)</f>
        <v>49669.83405319391</v>
      </c>
      <c r="H35" s="69" cm="1">
        <f t="array" ref="H35">INDEX('Research Goals'!$F$45:$F$56, COLUMN()-COLUMN($D$3)+1)</f>
        <v>54636.817458513302</v>
      </c>
      <c r="I35" s="69" cm="1">
        <f t="array" ref="I35">INDEX('Research Goals'!$F$45:$F$56, COLUMN()-COLUMN($D$3)+1)</f>
        <v>49669.83405319391</v>
      </c>
      <c r="J35" s="69" cm="1">
        <f t="array" ref="J35">INDEX('Research Goals'!$F$45:$F$56, COLUMN()-COLUMN($D$3)+1)</f>
        <v>44352.493351063829</v>
      </c>
      <c r="K35" s="69" cm="1">
        <f t="array" ref="K35">INDEX('Research Goals'!$F$45:$F$56, COLUMN()-COLUMN($D$3)+1)</f>
        <v>45052.795877659577</v>
      </c>
      <c r="L35" s="69" cm="1">
        <f t="array" ref="L35">INDEX('Research Goals'!$F$45:$F$56, COLUMN()-COLUMN($D$3)+1)</f>
        <v>57266.396908388269</v>
      </c>
      <c r="M35" s="69" cm="1">
        <f t="array" ref="M35">INDEX('Research Goals'!$F$45:$F$56, COLUMN()-COLUMN($D$3)+1)</f>
        <v>60772.502841554902</v>
      </c>
      <c r="N35" s="69" cm="1">
        <f t="array" ref="N35">INDEX('Research Goals'!$F$45:$F$56, COLUMN()-COLUMN($D$3)+1)</f>
        <v>47854.005984042553</v>
      </c>
      <c r="O35" s="69" cm="1">
        <f t="array" ref="O35">INDEX('Research Goals'!$F$45:$F$56, COLUMN()-COLUMN($D$3)+1)</f>
        <v>58591.978058510642</v>
      </c>
      <c r="P35" s="68">
        <f>SUM(D35:O35)</f>
        <v>532288.7670808183</v>
      </c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spans="1:30">
      <c r="A36" s="757"/>
      <c r="B36" s="233" t="s">
        <v>43</v>
      </c>
      <c r="C36" s="229" t="s">
        <v>55</v>
      </c>
      <c r="D36" s="69" cm="1">
        <f t="array" ref="D36">INDEX('Research Goals'!$E$45:$E$56, COLUMN()-COLUMN($D$3)+1)</f>
        <v>78622.641509433961</v>
      </c>
      <c r="E36" s="69" cm="1">
        <f t="array" ref="E36">INDEX('Research Goals'!$E$45:$E$56, COLUMN()-COLUMN($D$3)+1)</f>
        <v>81767.547169811325</v>
      </c>
      <c r="F36" s="69" cm="1">
        <f t="array" ref="F36">INDEX('Research Goals'!$E$45:$E$56, COLUMN()-COLUMN($D$3)+1)</f>
        <v>96010.300310283696</v>
      </c>
      <c r="G36" s="69" cm="1">
        <f t="array" ref="G36">INDEX('Research Goals'!$E$45:$E$56, COLUMN()-COLUMN($D$3)+1)</f>
        <v>89105.660377358494</v>
      </c>
      <c r="H36" s="69" cm="1">
        <f t="array" ref="H36">INDEX('Research Goals'!$E$45:$E$56, COLUMN()-COLUMN($D$3)+1)</f>
        <v>98016.226415094352</v>
      </c>
      <c r="I36" s="69" cm="1">
        <f t="array" ref="I36">INDEX('Research Goals'!$E$45:$E$56, COLUMN()-COLUMN($D$3)+1)</f>
        <v>89105.660377358494</v>
      </c>
      <c r="J36" s="69" cm="1">
        <f t="array" ref="J36">INDEX('Research Goals'!$E$45:$E$56, COLUMN()-COLUMN($D$3)+1)</f>
        <v>86660.128546099295</v>
      </c>
      <c r="K36" s="69" cm="1">
        <f t="array" ref="K36">INDEX('Research Goals'!$E$45:$E$56, COLUMN()-COLUMN($D$3)+1)</f>
        <v>88028.446365248237</v>
      </c>
      <c r="L36" s="69" cm="1">
        <f t="array" ref="L36">INDEX('Research Goals'!$E$45:$E$56, COLUMN()-COLUMN($D$3)+1)</f>
        <v>102733.58490566038</v>
      </c>
      <c r="M36" s="69" cm="1">
        <f t="array" ref="M36">INDEX('Research Goals'!$E$45:$E$56, COLUMN()-COLUMN($D$3)+1)</f>
        <v>109023.39622641511</v>
      </c>
      <c r="N36" s="69" cm="1">
        <f t="array" ref="N36">INDEX('Research Goals'!$E$45:$E$56, COLUMN()-COLUMN($D$3)+1)</f>
        <v>93501.717641843978</v>
      </c>
      <c r="O36" s="69" cm="1">
        <f t="array" ref="O36">INDEX('Research Goals'!$E$45:$E$56, COLUMN()-COLUMN($D$3)+1)</f>
        <v>114482.59086879434</v>
      </c>
      <c r="P36" s="68">
        <f t="shared" ref="P36:P40" si="3">SUM(D36:O36)</f>
        <v>1127057.9007134016</v>
      </c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spans="1:30">
      <c r="A37" s="757" t="s">
        <v>57</v>
      </c>
      <c r="B37" s="579" t="s">
        <v>49</v>
      </c>
      <c r="C37" s="230" t="s">
        <v>58</v>
      </c>
      <c r="D37" s="231" cm="1">
        <f t="array" ref="D37">INDEX('Shop Goals'!$H$48:$H$59, COLUMN()-COLUMN($D$3)+1)</f>
        <v>296533.60564505908</v>
      </c>
      <c r="E37" s="231" cm="1">
        <f t="array" ref="E37">INDEX('Shop Goals'!$H$48:$H$59, COLUMN()-COLUMN($D$3)+1)</f>
        <v>308394.94987086143</v>
      </c>
      <c r="F37" s="231" cm="1">
        <f t="array" ref="F37">INDEX('Shop Goals'!$H$48:$H$59, COLUMN()-COLUMN($D$3)+1)</f>
        <v>361808.36771806958</v>
      </c>
      <c r="G37" s="231" cm="1">
        <f t="array" ref="G37">INDEX('Shop Goals'!$H$48:$H$59, COLUMN()-COLUMN($D$3)+1)</f>
        <v>336071.41973106691</v>
      </c>
      <c r="H37" s="231" cm="1">
        <f t="array" ref="H37">INDEX('Shop Goals'!$H$48:$H$59, COLUMN()-COLUMN($D$3)+1)</f>
        <v>369678.56170417363</v>
      </c>
      <c r="I37" s="231" cm="1">
        <f t="array" ref="I37">INDEX('Shop Goals'!$H$48:$H$59, COLUMN()-COLUMN($D$3)+1)</f>
        <v>336071.41973106691</v>
      </c>
      <c r="J37" s="231" cm="1">
        <f t="array" ref="J37">INDEX('Shop Goals'!$H$48:$H$59, COLUMN()-COLUMN($D$3)+1)</f>
        <v>326572.87347474223</v>
      </c>
      <c r="K37" s="231" cm="1">
        <f t="array" ref="K37">INDEX('Shop Goals'!$H$48:$H$59, COLUMN()-COLUMN($D$3)+1)</f>
        <v>331729.28726644861</v>
      </c>
      <c r="L37" s="231" cm="1">
        <f t="array" ref="L37">INDEX('Shop Goals'!$H$48:$H$59, COLUMN()-COLUMN($D$3)+1)</f>
        <v>387470.57804287714</v>
      </c>
      <c r="M37" s="231" cm="1">
        <f t="array" ref="M37">INDEX('Shop Goals'!$H$48:$H$59, COLUMN()-COLUMN($D$3)+1)</f>
        <v>411193.26649448188</v>
      </c>
      <c r="N37" s="231" cm="1">
        <f t="array" ref="N37">INDEX('Shop Goals'!$H$48:$H$59, COLUMN()-COLUMN($D$3)+1)</f>
        <v>352354.94243327447</v>
      </c>
      <c r="O37" s="231" cm="1">
        <f t="array" ref="O37">INDEX('Shop Goals'!$H$48:$H$59, COLUMN()-COLUMN($D$3)+1)</f>
        <v>431419.95390610676</v>
      </c>
      <c r="P37" s="232">
        <f t="shared" si="3"/>
        <v>4249299.2260182286</v>
      </c>
      <c r="Q37" s="47"/>
      <c r="R37" s="231" cm="1">
        <f t="array" ref="R37">INDEX('Shop Goals'!$N$48:$N$59, COLUMN()-COLUMN($R$2)+1)</f>
        <v>117445.28912929057</v>
      </c>
      <c r="S37" s="231" cm="1">
        <f t="array" ref="S37">INDEX('Shop Goals'!$N$48:$N$59, COLUMN()-COLUMN($R$2)+1)</f>
        <v>122143.10069446221</v>
      </c>
      <c r="T37" s="231" cm="1">
        <f t="array" ref="T37">INDEX('Shop Goals'!$N$48:$N$59, COLUMN()-COLUMN($R$2)+1)</f>
        <v>143007.62464491738</v>
      </c>
      <c r="U37" s="231" cm="1">
        <f t="array" ref="U37">INDEX('Shop Goals'!$N$48:$N$59, COLUMN()-COLUMN($R$2)+1)</f>
        <v>133104.66101319599</v>
      </c>
      <c r="V37" s="231" cm="1">
        <f t="array" ref="V37">INDEX('Shop Goals'!$N$48:$N$59, COLUMN()-COLUMN($R$2)+1)</f>
        <v>146415.12711451558</v>
      </c>
      <c r="W37" s="231" cm="1">
        <f t="array" ref="W37">INDEX('Shop Goals'!$N$48:$N$59, COLUMN()-COLUMN($R$2)+1)</f>
        <v>133104.66101319599</v>
      </c>
      <c r="X37" s="231" cm="1">
        <f t="array" ref="X37">INDEX('Shop Goals'!$N$48:$N$59, COLUMN()-COLUMN($R$2)+1)</f>
        <v>129080.51630657626</v>
      </c>
      <c r="Y37" s="231" cm="1">
        <f t="array" ref="Y37">INDEX('Shop Goals'!$N$48:$N$59, COLUMN()-COLUMN($R$2)+1)</f>
        <v>131118.62972194323</v>
      </c>
      <c r="Z37" s="231" cm="1">
        <f t="array" ref="Z37">INDEX('Shop Goals'!$N$48:$N$59, COLUMN()-COLUMN($R$2)+1)</f>
        <v>153461.844462273</v>
      </c>
      <c r="AA37" s="231" cm="1">
        <f t="array" ref="AA37">INDEX('Shop Goals'!$N$48:$N$59, COLUMN()-COLUMN($R$2)+1)</f>
        <v>162857.46759261627</v>
      </c>
      <c r="AB37" s="231" cm="1">
        <f t="array" ref="AB37">INDEX('Shop Goals'!$N$48:$N$59, COLUMN()-COLUMN($R$2)+1)</f>
        <v>139271.08338341123</v>
      </c>
      <c r="AC37" s="231" cm="1">
        <f t="array" ref="AC37">INDEX('Shop Goals'!$N$48:$N$59, COLUMN()-COLUMN($R$2)+1)</f>
        <v>170522.15575237179</v>
      </c>
      <c r="AD37" s="232">
        <f>SUM(R37:AC37)</f>
        <v>1681532.1608287694</v>
      </c>
    </row>
    <row r="38" spans="1:30">
      <c r="A38" s="757"/>
      <c r="B38" s="579"/>
      <c r="C38" s="229" t="s">
        <v>60</v>
      </c>
      <c r="D38" s="69" cm="1">
        <f t="array" ref="D38">INDEX('Shop Goals'!$D$48:$D$59, COLUMN()-COLUMN($D$3)+1)</f>
        <v>2831.5526255967266</v>
      </c>
      <c r="E38" s="69" cm="1">
        <f t="array" ref="E38">INDEX('Shop Goals'!$D$48:$D$59, COLUMN()-COLUMN($D$3)+1)</f>
        <v>2944.8147306205956</v>
      </c>
      <c r="F38" s="69" cm="1">
        <f t="array" ref="F38">INDEX('Shop Goals'!$D$48:$D$59, COLUMN()-COLUMN($D$3)+1)</f>
        <v>4178.5089760638302</v>
      </c>
      <c r="G38" s="69" cm="1">
        <f t="array" ref="G38">INDEX('Shop Goals'!$D$48:$D$59, COLUMN()-COLUMN($D$3)+1)</f>
        <v>3209.0929756762898</v>
      </c>
      <c r="H38" s="69" cm="1">
        <f t="array" ref="H38">INDEX('Shop Goals'!$D$48:$D$59, COLUMN()-COLUMN($D$3)+1)</f>
        <v>3530.0022732439188</v>
      </c>
      <c r="I38" s="69" cm="1">
        <f t="array" ref="I38">INDEX('Shop Goals'!$D$48:$D$59, COLUMN()-COLUMN($D$3)+1)</f>
        <v>3209.0929756762898</v>
      </c>
      <c r="J38" s="69" cm="1">
        <f t="array" ref="J38">INDEX('Shop Goals'!$D$48:$D$59, COLUMN()-COLUMN($D$3)+1)</f>
        <v>3771.5757978723404</v>
      </c>
      <c r="K38" s="69" cm="1">
        <f t="array" ref="K38">INDEX('Shop Goals'!$D$48:$D$59, COLUMN()-COLUMN($D$3)+1)</f>
        <v>3831.1269946808511</v>
      </c>
      <c r="L38" s="69" cm="1">
        <f t="array" ref="L38">INDEX('Shop Goals'!$D$48:$D$59, COLUMN()-COLUMN($D$3)+1)</f>
        <v>3699.8954307797226</v>
      </c>
      <c r="M38" s="69" cm="1">
        <f t="array" ref="M38">INDEX('Shop Goals'!$D$48:$D$59, COLUMN()-COLUMN($D$3)+1)</f>
        <v>3926.4196408274606</v>
      </c>
      <c r="N38" s="69" cm="1">
        <f t="array" ref="N38">INDEX('Shop Goals'!$D$48:$D$59, COLUMN()-COLUMN($D$3)+1)</f>
        <v>4069.3317819148938</v>
      </c>
      <c r="O38" s="69" cm="1">
        <f t="array" ref="O38">INDEX('Shop Goals'!$D$48:$D$59, COLUMN()-COLUMN($D$3)+1)</f>
        <v>4982.4501329787236</v>
      </c>
      <c r="P38" s="68">
        <f t="shared" si="3"/>
        <v>44183.864335931641</v>
      </c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spans="1:30">
      <c r="A39" s="757"/>
      <c r="B39" s="579"/>
      <c r="C39" s="229" t="s">
        <v>203</v>
      </c>
      <c r="D39" s="69" cm="1">
        <f t="array" ref="D39">INDEX('Shop Goals'!$E$48:$E$59, COLUMN()-COLUMN($D$3)+1)</f>
        <v>16004.773812230052</v>
      </c>
      <c r="E39" s="69" cm="1">
        <f t="array" ref="E39">INDEX('Shop Goals'!$E$48:$E$59, COLUMN()-COLUMN($D$3)+1)</f>
        <v>16644.964764719254</v>
      </c>
      <c r="F39" s="69" cm="1">
        <f t="array" ref="F39">INDEX('Shop Goals'!$E$48:$E$59, COLUMN()-COLUMN($D$3)+1)</f>
        <v>21238.013076241135</v>
      </c>
      <c r="G39" s="69" cm="1">
        <f t="array" ref="G39">INDEX('Shop Goals'!$E$48:$E$59, COLUMN()-COLUMN($D$3)+1)</f>
        <v>18138.743653860725</v>
      </c>
      <c r="H39" s="69" cm="1">
        <f t="array" ref="H39">INDEX('Shop Goals'!$E$48:$E$59, COLUMN()-COLUMN($D$3)+1)</f>
        <v>19952.618019246798</v>
      </c>
      <c r="I39" s="69" cm="1">
        <f t="array" ref="I39">INDEX('Shop Goals'!$E$48:$E$59, COLUMN()-COLUMN($D$3)+1)</f>
        <v>18138.743653860725</v>
      </c>
      <c r="J39" s="69" cm="1">
        <f t="array" ref="J39">INDEX('Shop Goals'!$E$48:$E$59, COLUMN()-COLUMN($D$3)+1)</f>
        <v>19169.703014184397</v>
      </c>
      <c r="K39" s="69" cm="1">
        <f t="array" ref="K39">INDEX('Shop Goals'!$E$48:$E$59, COLUMN()-COLUMN($D$3)+1)</f>
        <v>19472.382535460991</v>
      </c>
      <c r="L39" s="69" cm="1">
        <f t="array" ref="L39">INDEX('Shop Goals'!$E$48:$E$59, COLUMN()-COLUMN($D$3)+1)</f>
        <v>20912.904447980603</v>
      </c>
      <c r="M39" s="69" cm="1">
        <f t="array" ref="M39">INDEX('Shop Goals'!$E$48:$E$59, COLUMN()-COLUMN($D$3)+1)</f>
        <v>22193.286352959007</v>
      </c>
      <c r="N39" s="69" cm="1">
        <f t="array" ref="N39">INDEX('Shop Goals'!$E$48:$E$59, COLUMN()-COLUMN($D$3)+1)</f>
        <v>20683.100620567377</v>
      </c>
      <c r="O39" s="69" cm="1">
        <f t="array" ref="O39">INDEX('Shop Goals'!$E$48:$E$59, COLUMN()-COLUMN($D$3)+1)</f>
        <v>25324.186613475176</v>
      </c>
      <c r="P39" s="68">
        <f t="shared" si="3"/>
        <v>237873.42056478627</v>
      </c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spans="1:30">
      <c r="A40" s="757"/>
      <c r="B40" s="579"/>
      <c r="C40" s="229" t="s">
        <v>7</v>
      </c>
      <c r="D40" s="69" cm="1">
        <f t="array" ref="D40">INDEX('Shop Goals'!$G$48:$G$59, COLUMN()-COLUMN($D$3)+1)</f>
        <v>277697.27920723229</v>
      </c>
      <c r="E40" s="69" cm="1">
        <f t="array" ref="E40">INDEX('Shop Goals'!$G$48:$G$59, COLUMN()-COLUMN($D$3)+1)</f>
        <v>288805.17037552159</v>
      </c>
      <c r="F40" s="69" cm="1">
        <f t="array" ref="F40">INDEX('Shop Goals'!$G$48:$G$59, COLUMN()-COLUMN($D$3)+1)</f>
        <v>336391.84566576465</v>
      </c>
      <c r="G40" s="69" cm="1">
        <f t="array" ref="G40">INDEX('Shop Goals'!$G$48:$G$59, COLUMN()-COLUMN($D$3)+1)</f>
        <v>314723.58310152992</v>
      </c>
      <c r="H40" s="69" cm="1">
        <f t="array" ref="H40">INDEX('Shop Goals'!$G$48:$G$59, COLUMN()-COLUMN($D$3)+1)</f>
        <v>346195.94141168293</v>
      </c>
      <c r="I40" s="69" cm="1">
        <f t="array" ref="I40">INDEX('Shop Goals'!$G$48:$G$59, COLUMN()-COLUMN($D$3)+1)</f>
        <v>314723.58310152992</v>
      </c>
      <c r="J40" s="69" cm="1">
        <f t="array" ref="J40">INDEX('Shop Goals'!$G$48:$G$59, COLUMN()-COLUMN($D$3)+1)</f>
        <v>303631.59466268547</v>
      </c>
      <c r="K40" s="69" cm="1">
        <f t="array" ref="K40">INDEX('Shop Goals'!$G$48:$G$59, COLUMN()-COLUMN($D$3)+1)</f>
        <v>308425.77773630677</v>
      </c>
      <c r="L40" s="69" cm="1">
        <f t="array" ref="L40">INDEX('Shop Goals'!$G$48:$G$59, COLUMN()-COLUMN($D$3)+1)</f>
        <v>362857.77816411684</v>
      </c>
      <c r="M40" s="69" cm="1">
        <f t="array" ref="M40">INDEX('Shop Goals'!$G$48:$G$59, COLUMN()-COLUMN($D$3)+1)</f>
        <v>385073.56050069543</v>
      </c>
      <c r="N40" s="69" cm="1">
        <f t="array" ref="N40">INDEX('Shop Goals'!$G$48:$G$59, COLUMN()-COLUMN($D$3)+1)</f>
        <v>327602.51003079221</v>
      </c>
      <c r="O40" s="69" cm="1">
        <f t="array" ref="O40">INDEX('Shop Goals'!$G$48:$G$59, COLUMN()-COLUMN($D$3)+1)</f>
        <v>401113.31715965288</v>
      </c>
      <c r="P40" s="68">
        <f t="shared" si="3"/>
        <v>3967241.9411175102</v>
      </c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spans="1:30">
      <c r="A41" s="757"/>
      <c r="B41" s="233" t="s">
        <v>66</v>
      </c>
      <c r="C41" s="229" t="s">
        <v>67</v>
      </c>
      <c r="D41" s="69" cm="1">
        <f t="array" ref="D41">INDEX('Lead Goals'!$K$254:$K$265, COLUMN()-COLUMN($D$3)+1)</f>
        <v>635.61187998544131</v>
      </c>
      <c r="E41" s="69" cm="1">
        <f t="array" ref="E41">INDEX('Lead Goals'!$K$254:$K$265, COLUMN()-COLUMN($D$3)+1)</f>
        <v>661.03635518485873</v>
      </c>
      <c r="F41" s="69" cm="1">
        <f t="array" ref="F41">INDEX('Lead Goals'!$K$254:$K$265, COLUMN()-COLUMN($D$3)+1)</f>
        <v>880.01922936206608</v>
      </c>
      <c r="G41" s="69" cm="1">
        <f t="array" ref="G41">INDEX('Lead Goals'!$K$254:$K$265, COLUMN()-COLUMN($D$3)+1)</f>
        <v>720.36013065016675</v>
      </c>
      <c r="H41" s="69" cm="1">
        <f t="array" ref="H41">INDEX('Lead Goals'!$K$254:$K$265, COLUMN()-COLUMN($D$3)+1)</f>
        <v>792.39614371518337</v>
      </c>
      <c r="I41" s="69" cm="1">
        <f t="array" ref="I41">INDEX('Lead Goals'!$K$254:$K$265, COLUMN()-COLUMN($D$3)+1)</f>
        <v>720.36013065016664</v>
      </c>
      <c r="J41" s="69" cm="1">
        <f t="array" ref="J41">INDEX('Lead Goals'!$K$254:$K$265, COLUMN()-COLUMN($D$3)+1)</f>
        <v>794.31664407977451</v>
      </c>
      <c r="K41" s="69" cm="1">
        <f t="array" ref="K41">INDEX('Lead Goals'!$K$254:$K$265, COLUMN()-COLUMN($D$3)+1)</f>
        <v>806.85848582840265</v>
      </c>
      <c r="L41" s="69" cm="1">
        <f t="array" ref="L41">INDEX('Lead Goals'!$K$254:$K$265, COLUMN()-COLUMN($D$3)+1)</f>
        <v>830.53285651430986</v>
      </c>
      <c r="M41" s="69" cm="1">
        <f t="array" ref="M41">INDEX('Lead Goals'!$K$254:$K$265, COLUMN()-COLUMN($D$3)+1)</f>
        <v>881.38180691314506</v>
      </c>
      <c r="N41" s="69" cm="1">
        <f t="array" ref="N41">INDEX('Lead Goals'!$K$254:$K$265, COLUMN()-COLUMN($D$3)+1)</f>
        <v>857.02585282291477</v>
      </c>
      <c r="O41" s="69" cm="1">
        <f t="array" ref="O41">INDEX('Lead Goals'!$K$254:$K$265, COLUMN()-COLUMN($D$3)+1)</f>
        <v>1049.3340929685444</v>
      </c>
      <c r="P41" s="68">
        <f>SUM(D41:O41)</f>
        <v>9629.2336086749747</v>
      </c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spans="1:30">
      <c r="D42" s="257"/>
      <c r="E42" s="257"/>
      <c r="F42" s="257"/>
      <c r="G42" s="257"/>
      <c r="H42" s="257"/>
      <c r="I42" s="257"/>
    </row>
    <row r="43" spans="1:30">
      <c r="A43" s="762" t="s">
        <v>320</v>
      </c>
      <c r="B43" s="763"/>
      <c r="C43" s="763"/>
      <c r="D43" s="763"/>
      <c r="E43" s="763"/>
      <c r="F43" s="763"/>
      <c r="G43" s="763"/>
      <c r="H43" s="763"/>
      <c r="I43" s="763"/>
      <c r="J43" s="763"/>
      <c r="K43" s="763"/>
      <c r="L43" s="763"/>
      <c r="M43" s="763"/>
      <c r="N43" s="763"/>
      <c r="O43" s="763"/>
      <c r="P43" s="764"/>
      <c r="R43" s="761" t="s">
        <v>321</v>
      </c>
      <c r="S43" s="761"/>
      <c r="T43" s="761"/>
      <c r="U43" s="761"/>
      <c r="V43" s="761"/>
      <c r="W43" s="761"/>
      <c r="X43" s="761"/>
      <c r="Y43" s="761"/>
      <c r="Z43" s="761"/>
      <c r="AA43" s="761"/>
      <c r="AB43" s="761"/>
      <c r="AC43" s="761"/>
      <c r="AD43" s="761"/>
    </row>
    <row r="44" spans="1:30">
      <c r="A44" s="758" t="s">
        <v>249</v>
      </c>
      <c r="B44" s="759"/>
      <c r="C44" s="760"/>
      <c r="D44" s="234" t="s">
        <v>252</v>
      </c>
      <c r="E44" s="234" t="s">
        <v>253</v>
      </c>
      <c r="F44" s="234" t="s">
        <v>230</v>
      </c>
      <c r="G44" s="234" t="s">
        <v>254</v>
      </c>
      <c r="H44" s="234" t="s">
        <v>78</v>
      </c>
      <c r="I44" s="234" t="s">
        <v>255</v>
      </c>
      <c r="J44" s="234" t="s">
        <v>256</v>
      </c>
      <c r="K44" s="234" t="s">
        <v>236</v>
      </c>
      <c r="L44" s="234" t="s">
        <v>257</v>
      </c>
      <c r="M44" s="234" t="s">
        <v>258</v>
      </c>
      <c r="N44" s="234" t="s">
        <v>259</v>
      </c>
      <c r="O44" s="234" t="s">
        <v>260</v>
      </c>
      <c r="P44" s="234" t="s">
        <v>24</v>
      </c>
      <c r="R44" s="234" t="s">
        <v>252</v>
      </c>
      <c r="S44" s="234" t="s">
        <v>253</v>
      </c>
      <c r="T44" s="234" t="s">
        <v>230</v>
      </c>
      <c r="U44" s="234" t="s">
        <v>254</v>
      </c>
      <c r="V44" s="234" t="s">
        <v>78</v>
      </c>
      <c r="W44" s="234" t="s">
        <v>255</v>
      </c>
      <c r="X44" s="234" t="s">
        <v>256</v>
      </c>
      <c r="Y44" s="234" t="s">
        <v>236</v>
      </c>
      <c r="Z44" s="234" t="s">
        <v>257</v>
      </c>
      <c r="AA44" s="234" t="s">
        <v>258</v>
      </c>
      <c r="AB44" s="234" t="s">
        <v>259</v>
      </c>
      <c r="AC44" s="234" t="s">
        <v>260</v>
      </c>
      <c r="AD44" s="234" t="s">
        <v>24</v>
      </c>
    </row>
    <row r="45" spans="1:30">
      <c r="A45" s="757" t="s">
        <v>42</v>
      </c>
      <c r="B45" s="579" t="s">
        <v>43</v>
      </c>
      <c r="C45" s="229" t="s">
        <v>44</v>
      </c>
      <c r="D45" s="69" cm="1">
        <f t="array" ref="D45">INDEX('Consideration Goals'!$D$60:$D$71, COLUMN()-COLUMN($D$3)+1)</f>
        <v>0</v>
      </c>
      <c r="E45" s="69" cm="1">
        <f t="array" ref="E45">INDEX('Consideration Goals'!$D$60:$D$71, COLUMN()-COLUMN($D$3)+1)</f>
        <v>0</v>
      </c>
      <c r="F45" s="69" cm="1">
        <f t="array" ref="F45">INDEX('Consideration Goals'!$D$60:$D$71, COLUMN()-COLUMN($D$3)+1)</f>
        <v>0</v>
      </c>
      <c r="G45" s="69" cm="1">
        <f t="array" ref="G45">INDEX('Consideration Goals'!$D$60:$D$71, COLUMN()-COLUMN($D$3)+1)</f>
        <v>0</v>
      </c>
      <c r="H45" s="69" cm="1">
        <f t="array" ref="H45">INDEX('Consideration Goals'!$D$60:$D$71, COLUMN()-COLUMN($D$3)+1)</f>
        <v>0</v>
      </c>
      <c r="I45" s="69" cm="1">
        <f t="array" ref="I45">INDEX('Consideration Goals'!$D$60:$D$71, COLUMN()-COLUMN($D$3)+1)</f>
        <v>0</v>
      </c>
      <c r="J45" s="69" cm="1">
        <f t="array" ref="J45">INDEX('Consideration Goals'!$D$60:$D$71, COLUMN()-COLUMN($D$3)+1)</f>
        <v>0</v>
      </c>
      <c r="K45" s="69" cm="1">
        <f t="array" ref="K45">INDEX('Consideration Goals'!$D$60:$D$71, COLUMN()-COLUMN($D$3)+1)</f>
        <v>0</v>
      </c>
      <c r="L45" s="69" cm="1">
        <f t="array" ref="L45">INDEX('Consideration Goals'!$D$60:$D$71, COLUMN()-COLUMN($D$3)+1)</f>
        <v>0</v>
      </c>
      <c r="M45" s="69" cm="1">
        <f t="array" ref="M45">INDEX('Consideration Goals'!$D$60:$D$71, COLUMN()-COLUMN($D$3)+1)</f>
        <v>0</v>
      </c>
      <c r="N45" s="69" cm="1">
        <f t="array" ref="N45">INDEX('Consideration Goals'!$D$60:$D$71, COLUMN()-COLUMN($D$3)+1)</f>
        <v>0</v>
      </c>
      <c r="O45" s="69" cm="1">
        <f t="array" ref="O45">INDEX('Consideration Goals'!$D$60:$D$71, COLUMN()-COLUMN($D$3)+1)</f>
        <v>0</v>
      </c>
      <c r="P45" s="68">
        <f>SUM(D45:O45)</f>
        <v>0</v>
      </c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spans="1:30">
      <c r="A46" s="757"/>
      <c r="B46" s="579"/>
      <c r="C46" s="229" t="s">
        <v>46</v>
      </c>
      <c r="D46" s="69" cm="1">
        <f t="array" ref="D46">INDEX('Consideration Goals'!$E$60:$E$71, COLUMN()-COLUMN($D$3)+1)</f>
        <v>122993.17157712307</v>
      </c>
      <c r="E46" s="69" cm="1">
        <f t="array" ref="E46">INDEX('Consideration Goals'!$E$60:$E$71, COLUMN()-COLUMN($D$3)+1)</f>
        <v>118752.02772963606</v>
      </c>
      <c r="F46" s="69" cm="1">
        <f t="array" ref="F46">INDEX('Consideration Goals'!$E$60:$E$71, COLUMN()-COLUMN($D$3)+1)</f>
        <v>138302.26692209451</v>
      </c>
      <c r="G46" s="69" cm="1">
        <f t="array" ref="G46">INDEX('Consideration Goals'!$E$60:$E$71, COLUMN()-COLUMN($D$3)+1)</f>
        <v>131475.45927209707</v>
      </c>
      <c r="H46" s="69" cm="1">
        <f t="array" ref="H46">INDEX('Consideration Goals'!$E$60:$E$71, COLUMN()-COLUMN($D$3)+1)</f>
        <v>152681.17850953207</v>
      </c>
      <c r="I46" s="69" cm="1">
        <f t="array" ref="I46">INDEX('Consideration Goals'!$E$60:$E$71, COLUMN()-COLUMN($D$3)+1)</f>
        <v>127234.31542461006</v>
      </c>
      <c r="J46" s="69" cm="1">
        <f t="array" ref="J46">INDEX('Consideration Goals'!$E$60:$E$71, COLUMN()-COLUMN($D$3)+1)</f>
        <v>127088.56960408684</v>
      </c>
      <c r="K46" s="69" cm="1">
        <f t="array" ref="K46">INDEX('Consideration Goals'!$E$60:$E$71, COLUMN()-COLUMN($D$3)+1)</f>
        <v>138302.26692209451</v>
      </c>
      <c r="L46" s="69" cm="1">
        <f t="array" ref="L46">INDEX('Consideration Goals'!$E$60:$E$71, COLUMN()-COLUMN($D$3)+1)</f>
        <v>149712.37781629118</v>
      </c>
      <c r="M46" s="69" cm="1">
        <f t="array" ref="M46">INDEX('Consideration Goals'!$E$60:$E$71, COLUMN()-COLUMN($D$3)+1)</f>
        <v>152681.17850953207</v>
      </c>
      <c r="N46" s="69" cm="1">
        <f t="array" ref="N46">INDEX('Consideration Goals'!$E$60:$E$71, COLUMN()-COLUMN($D$3)+1)</f>
        <v>123350.67049808429</v>
      </c>
      <c r="O46" s="69" cm="1">
        <f t="array" ref="O46">INDEX('Consideration Goals'!$E$60:$E$71, COLUMN()-COLUMN($D$3)+1)</f>
        <v>142040.16602809707</v>
      </c>
      <c r="P46" s="68">
        <f>SUM(D46:O46)</f>
        <v>1624613.6488132786</v>
      </c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spans="1:30">
      <c r="A47" s="757" t="s">
        <v>48</v>
      </c>
      <c r="B47" s="579" t="s">
        <v>49</v>
      </c>
      <c r="C47" s="230" t="s">
        <v>50</v>
      </c>
      <c r="D47" s="231" cm="1">
        <f t="array" ref="D47">INDEX('Research Goals'!$G$64:$G$75, COLUMN()-COLUMN($D$3)+1)</f>
        <v>34676.863084922014</v>
      </c>
      <c r="E47" s="231" cm="1">
        <f t="array" ref="E47">INDEX('Research Goals'!$G$64:$G$75, COLUMN()-COLUMN($D$3)+1)</f>
        <v>33481.109185441943</v>
      </c>
      <c r="F47" s="231" cm="1">
        <f t="array" ref="F47">INDEX('Research Goals'!$G$64:$G$75, COLUMN()-COLUMN($D$3)+1)</f>
        <v>39995.204342273304</v>
      </c>
      <c r="G47" s="231" cm="1">
        <f t="array" ref="G47">INDEX('Research Goals'!$G$64:$G$75, COLUMN()-COLUMN($D$3)+1)</f>
        <v>35356.38648180243</v>
      </c>
      <c r="H47" s="231" cm="1">
        <f t="array" ref="H47">INDEX('Research Goals'!$G$64:$G$75, COLUMN()-COLUMN($D$3)+1)</f>
        <v>41059.029462738305</v>
      </c>
      <c r="I47" s="231" cm="1">
        <f t="array" ref="I47">INDEX('Research Goals'!$G$64:$G$75, COLUMN()-COLUMN($D$3)+1)</f>
        <v>34215.857885615253</v>
      </c>
      <c r="J47" s="231" cm="1">
        <f t="array" ref="J47">INDEX('Research Goals'!$G$64:$G$75, COLUMN()-COLUMN($D$3)+1)</f>
        <v>35543.895274584931</v>
      </c>
      <c r="K47" s="231" cm="1">
        <f t="array" ref="K47">INDEX('Research Goals'!$G$64:$G$75, COLUMN()-COLUMN($D$3)+1)</f>
        <v>38680.121328224777</v>
      </c>
      <c r="L47" s="231" cm="1">
        <f t="array" ref="L47">INDEX('Research Goals'!$G$64:$G$75, COLUMN()-COLUMN($D$3)+1)</f>
        <v>40260.659445407284</v>
      </c>
      <c r="M47" s="231" cm="1">
        <f t="array" ref="M47">INDEX('Research Goals'!$G$64:$G$75, COLUMN()-COLUMN($D$3)+1)</f>
        <v>41059.029462738305</v>
      </c>
      <c r="N47" s="231" cm="1">
        <f t="array" ref="N47">INDEX('Research Goals'!$G$64:$G$75, COLUMN()-COLUMN($D$3)+1)</f>
        <v>34498.486590038316</v>
      </c>
      <c r="O47" s="231" cm="1">
        <f t="array" ref="O47">INDEX('Research Goals'!$G$64:$G$75, COLUMN()-COLUMN($D$3)+1)</f>
        <v>39725.530012771393</v>
      </c>
      <c r="P47" s="232">
        <f>SUM(D47:O47)</f>
        <v>448552.17255655827</v>
      </c>
      <c r="Q47" s="47"/>
      <c r="R47" s="231" cm="1">
        <f t="array" ref="R47">INDEX('Research Goals'!$L$64:$L$75, COLUMN()-COLUMN($R$3)+1)</f>
        <v>23839.38563452689</v>
      </c>
      <c r="S47" s="231" cm="1">
        <f t="array" ref="S47">INDEX('Research Goals'!$L$64:$L$75, COLUMN()-COLUMN($R$3)+1)</f>
        <v>23017.337854025965</v>
      </c>
      <c r="T47" s="231" cm="1">
        <f t="array" ref="T47">INDEX('Research Goals'!$L$64:$L$75, COLUMN()-COLUMN($R$3)+1)</f>
        <v>25883.940235566799</v>
      </c>
      <c r="U47" s="231" cm="1">
        <f t="array" ref="U47">INDEX('Research Goals'!$L$64:$L$75, COLUMN()-COLUMN($R$3)+1)</f>
        <v>25057.865184543927</v>
      </c>
      <c r="V47" s="231" cm="1">
        <f t="array" ref="V47">INDEX('Research Goals'!$L$64:$L$75, COLUMN()-COLUMN($R$3)+1)</f>
        <v>29099.456343341335</v>
      </c>
      <c r="W47" s="231" cm="1">
        <f t="array" ref="W47">INDEX('Research Goals'!$L$64:$L$75, COLUMN()-COLUMN($R$3)+1)</f>
        <v>24249.546952784447</v>
      </c>
      <c r="X47" s="231" cm="1">
        <f t="array" ref="X47">INDEX('Research Goals'!$L$64:$L$75, COLUMN()-COLUMN($R$3)+1)</f>
        <v>23484.808769605675</v>
      </c>
      <c r="Y47" s="231" cm="1">
        <f t="array" ref="Y47">INDEX('Research Goals'!$L$64:$L$75, COLUMN()-COLUMN($R$3)+1)</f>
        <v>25556.997778688525</v>
      </c>
      <c r="Z47" s="231" cm="1">
        <f t="array" ref="Z47">INDEX('Research Goals'!$L$64:$L$75, COLUMN()-COLUMN($R$3)+1)</f>
        <v>28533.633581109698</v>
      </c>
      <c r="AA47" s="231" cm="1">
        <f t="array" ref="AA47">INDEX('Research Goals'!$L$64:$L$75, COLUMN()-COLUMN($R$3)+1)</f>
        <v>29099.456343341335</v>
      </c>
      <c r="AB47" s="231" cm="1">
        <f t="array" ref="AB47">INDEX('Research Goals'!$L$64:$L$75, COLUMN()-COLUMN($R$3)+1)</f>
        <v>22794.079099911389</v>
      </c>
      <c r="AC47" s="231" cm="1">
        <f t="array" ref="AC47">INDEX('Research Goals'!$L$64:$L$75, COLUMN()-COLUMN($R$3)+1)</f>
        <v>26247.727448382808</v>
      </c>
      <c r="AD47" s="232">
        <f>SUM(R47:AC47)</f>
        <v>306864.23522582883</v>
      </c>
    </row>
    <row r="48" spans="1:30">
      <c r="A48" s="757"/>
      <c r="B48" s="579"/>
      <c r="C48" s="229" t="s">
        <v>52</v>
      </c>
      <c r="D48" s="69" cm="1">
        <f t="array" ref="D48">INDEX('Research Goals'!$D$64:$D$75, COLUMN()-COLUMN($D$3)+1)</f>
        <v>30268.435875216641</v>
      </c>
      <c r="E48" s="69" cm="1">
        <f t="array" ref="E48">INDEX('Research Goals'!$D$64:$D$75, COLUMN()-COLUMN($D$3)+1)</f>
        <v>29224.696707105722</v>
      </c>
      <c r="F48" s="69" cm="1">
        <f t="array" ref="F48">INDEX('Research Goals'!$D$64:$D$75, COLUMN()-COLUMN($D$3)+1)</f>
        <v>31705.172413793101</v>
      </c>
      <c r="G48" s="69" cm="1">
        <f t="array" ref="G48">INDEX('Research Goals'!$D$64:$D$75, COLUMN()-COLUMN($D$3)+1)</f>
        <v>32355.914211438478</v>
      </c>
      <c r="H48" s="69" cm="1">
        <f t="array" ref="H48">INDEX('Research Goals'!$D$64:$D$75, COLUMN()-COLUMN($D$3)+1)</f>
        <v>37574.61005199307</v>
      </c>
      <c r="I48" s="69" cm="1">
        <f t="array" ref="I48">INDEX('Research Goals'!$D$64:$D$75, COLUMN()-COLUMN($D$3)+1)</f>
        <v>31312.175043327559</v>
      </c>
      <c r="J48" s="69" cm="1">
        <f t="array" ref="J48">INDEX('Research Goals'!$D$64:$D$75, COLUMN()-COLUMN($D$3)+1)</f>
        <v>29134.482758620688</v>
      </c>
      <c r="K48" s="69" cm="1">
        <f t="array" ref="K48">INDEX('Research Goals'!$D$64:$D$75, COLUMN()-COLUMN($D$3)+1)</f>
        <v>31705.172413793101</v>
      </c>
      <c r="L48" s="69" cm="1">
        <f t="array" ref="L48">INDEX('Research Goals'!$D$64:$D$75, COLUMN()-COLUMN($D$3)+1)</f>
        <v>36843.992634315429</v>
      </c>
      <c r="M48" s="69" cm="1">
        <f t="array" ref="M48">INDEX('Research Goals'!$D$64:$D$75, COLUMN()-COLUMN($D$3)+1)</f>
        <v>37574.61005199307</v>
      </c>
      <c r="N48" s="69" cm="1">
        <f t="array" ref="N48">INDEX('Research Goals'!$D$64:$D$75, COLUMN()-COLUMN($D$3)+1)</f>
        <v>28277.586206896551</v>
      </c>
      <c r="O48" s="69" cm="1">
        <f t="array" ref="O48">INDEX('Research Goals'!$D$64:$D$75, COLUMN()-COLUMN($D$3)+1)</f>
        <v>32562.068965517239</v>
      </c>
      <c r="P48" s="68">
        <f>SUM(D48:O48)</f>
        <v>388538.91733401059</v>
      </c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spans="1:30">
      <c r="A49" s="757"/>
      <c r="B49" s="579"/>
      <c r="C49" s="229" t="s">
        <v>14</v>
      </c>
      <c r="D49" s="69" cm="1">
        <f t="array" ref="D49">INDEX('Research Goals'!$F$64:$F$75, COLUMN()-COLUMN($D$3)+1)</f>
        <v>4408.4272097053727</v>
      </c>
      <c r="E49" s="69" cm="1">
        <f t="array" ref="E49">INDEX('Research Goals'!$F$64:$F$75, COLUMN()-COLUMN($D$3)+1)</f>
        <v>4256.4124783362222</v>
      </c>
      <c r="F49" s="69" cm="1">
        <f t="array" ref="F49">INDEX('Research Goals'!$F$64:$F$75, COLUMN()-COLUMN($D$3)+1)</f>
        <v>8290.0319284802044</v>
      </c>
      <c r="G49" s="69" cm="1">
        <f t="array" ref="G49">INDEX('Research Goals'!$F$64:$F$75, COLUMN()-COLUMN($D$3)+1)</f>
        <v>3000.4722703639513</v>
      </c>
      <c r="H49" s="69" cm="1">
        <f t="array" ref="H49">INDEX('Research Goals'!$F$64:$F$75, COLUMN()-COLUMN($D$3)+1)</f>
        <v>3484.4194107452336</v>
      </c>
      <c r="I49" s="69" cm="1">
        <f t="array" ref="I49">INDEX('Research Goals'!$F$64:$F$75, COLUMN()-COLUMN($D$3)+1)</f>
        <v>2903.6828422876947</v>
      </c>
      <c r="J49" s="69" cm="1">
        <f t="array" ref="J49">INDEX('Research Goals'!$F$64:$F$75, COLUMN()-COLUMN($D$3)+1)</f>
        <v>6409.4125159642408</v>
      </c>
      <c r="K49" s="69" cm="1">
        <f t="array" ref="K49">INDEX('Research Goals'!$F$64:$F$75, COLUMN()-COLUMN($D$3)+1)</f>
        <v>6974.9489144316731</v>
      </c>
      <c r="L49" s="69" cm="1">
        <f t="array" ref="L49">INDEX('Research Goals'!$F$64:$F$75, COLUMN()-COLUMN($D$3)+1)</f>
        <v>3416.666811091854</v>
      </c>
      <c r="M49" s="69" cm="1">
        <f t="array" ref="M49">INDEX('Research Goals'!$F$64:$F$75, COLUMN()-COLUMN($D$3)+1)</f>
        <v>3484.4194107452336</v>
      </c>
      <c r="N49" s="69" cm="1">
        <f t="array" ref="N49">INDEX('Research Goals'!$F$64:$F$75, COLUMN()-COLUMN($D$3)+1)</f>
        <v>6220.9003831417631</v>
      </c>
      <c r="O49" s="69" cm="1">
        <f t="array" ref="O49">INDEX('Research Goals'!$F$64:$F$75, COLUMN()-COLUMN($D$3)+1)</f>
        <v>7163.4610472541508</v>
      </c>
      <c r="P49" s="68">
        <f>SUM(D49:O49)</f>
        <v>60013.255222547603</v>
      </c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spans="1:30">
      <c r="A50" s="757"/>
      <c r="B50" s="233" t="s">
        <v>43</v>
      </c>
      <c r="C50" s="229" t="s">
        <v>55</v>
      </c>
      <c r="D50" s="69" cm="1">
        <f t="array" ref="D50">INDEX('Research Goals'!$E$64:$E$75, COLUMN()-COLUMN($D$3)+1)</f>
        <v>20249.991334488739</v>
      </c>
      <c r="E50" s="69" cm="1">
        <f t="array" ref="E50">INDEX('Research Goals'!$E$64:$E$75, COLUMN()-COLUMN($D$3)+1)</f>
        <v>19551.715771230505</v>
      </c>
      <c r="F50" s="69" cm="1">
        <f t="array" ref="F50">INDEX('Research Goals'!$E$64:$E$75, COLUMN()-COLUMN($D$3)+1)</f>
        <v>21113.863346104721</v>
      </c>
      <c r="G50" s="69" cm="1">
        <f t="array" ref="G50">INDEX('Research Goals'!$E$64:$E$75, COLUMN()-COLUMN($D$3)+1)</f>
        <v>21646.542461005203</v>
      </c>
      <c r="H50" s="69" cm="1">
        <f t="array" ref="H50">INDEX('Research Goals'!$E$64:$E$75, COLUMN()-COLUMN($D$3)+1)</f>
        <v>25137.920277296365</v>
      </c>
      <c r="I50" s="69" cm="1">
        <f t="array" ref="I50">INDEX('Research Goals'!$E$64:$E$75, COLUMN()-COLUMN($D$3)+1)</f>
        <v>20948.266897746969</v>
      </c>
      <c r="J50" s="69" cm="1">
        <f t="array" ref="J50">INDEX('Research Goals'!$E$64:$E$75, COLUMN()-COLUMN($D$3)+1)</f>
        <v>19401.92848020434</v>
      </c>
      <c r="K50" s="69" cm="1">
        <f t="array" ref="K50">INDEX('Research Goals'!$E$64:$E$75, COLUMN()-COLUMN($D$3)+1)</f>
        <v>21113.863346104721</v>
      </c>
      <c r="L50" s="69" cm="1">
        <f t="array" ref="L50">INDEX('Research Goals'!$E$64:$E$75, COLUMN()-COLUMN($D$3)+1)</f>
        <v>24649.127383015602</v>
      </c>
      <c r="M50" s="69" cm="1">
        <f t="array" ref="M50">INDEX('Research Goals'!$E$64:$E$75, COLUMN()-COLUMN($D$3)+1)</f>
        <v>25137.920277296365</v>
      </c>
      <c r="N50" s="69" cm="1">
        <f t="array" ref="N50">INDEX('Research Goals'!$E$64:$E$75, COLUMN()-COLUMN($D$3)+1)</f>
        <v>18831.283524904211</v>
      </c>
      <c r="O50" s="69" cm="1">
        <f t="array" ref="O50">INDEX('Research Goals'!$E$64:$E$75, COLUMN()-COLUMN($D$3)+1)</f>
        <v>21684.50830140485</v>
      </c>
      <c r="P50" s="68">
        <f t="shared" ref="P50:P55" si="4">SUM(D50:O50)</f>
        <v>259466.9314008026</v>
      </c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spans="1:30">
      <c r="A51" s="757" t="s">
        <v>57</v>
      </c>
      <c r="B51" s="579" t="s">
        <v>49</v>
      </c>
      <c r="C51" s="230" t="s">
        <v>58</v>
      </c>
      <c r="D51" s="231" cm="1">
        <f t="array" ref="D51">INDEX('Shop Goals'!$H$68:$H$79, COLUMN()-COLUMN($D$3)+1)</f>
        <v>72369.640217293723</v>
      </c>
      <c r="E51" s="231" cm="1">
        <f t="array" ref="E51">INDEX('Shop Goals'!$H$68:$H$79, COLUMN()-COLUMN($D$3)+1)</f>
        <v>69874.135382214648</v>
      </c>
      <c r="F51" s="231" cm="1">
        <f t="array" ref="F51">INDEX('Shop Goals'!$H$68:$H$79, COLUMN()-COLUMN($D$3)+1)</f>
        <v>84097.187152225961</v>
      </c>
      <c r="G51" s="231" cm="1">
        <f t="array" ref="G51">INDEX('Shop Goals'!$H$68:$H$79, COLUMN()-COLUMN($D$3)+1)</f>
        <v>77360.649887451931</v>
      </c>
      <c r="H51" s="231" cm="1">
        <f t="array" ref="H51">INDEX('Shop Goals'!$H$68:$H$79, COLUMN()-COLUMN($D$3)+1)</f>
        <v>89838.174062847393</v>
      </c>
      <c r="I51" s="231" cm="1">
        <f t="array" ref="I51">INDEX('Shop Goals'!$H$68:$H$79, COLUMN()-COLUMN($D$3)+1)</f>
        <v>74865.145052372827</v>
      </c>
      <c r="J51" s="231" cm="1">
        <f t="array" ref="J51">INDEX('Shop Goals'!$H$68:$H$79, COLUMN()-COLUMN($D$3)+1)</f>
        <v>77278.496302045474</v>
      </c>
      <c r="K51" s="231" cm="1">
        <f t="array" ref="K51">INDEX('Shop Goals'!$H$68:$H$79, COLUMN()-COLUMN($D$3)+1)</f>
        <v>84097.187152225961</v>
      </c>
      <c r="L51" s="231" cm="1">
        <f t="array" ref="L51">INDEX('Shop Goals'!$H$68:$H$79, COLUMN()-COLUMN($D$3)+1)</f>
        <v>88091.320678292032</v>
      </c>
      <c r="M51" s="231" cm="1">
        <f t="array" ref="M51">INDEX('Shop Goals'!$H$68:$H$79, COLUMN()-COLUMN($D$3)+1)</f>
        <v>89838.174062847393</v>
      </c>
      <c r="N51" s="231" cm="1">
        <f t="array" ref="N51">INDEX('Shop Goals'!$H$68:$H$79, COLUMN()-COLUMN($D$3)+1)</f>
        <v>75005.599351985322</v>
      </c>
      <c r="O51" s="231" cm="1">
        <f t="array" ref="O51">INDEX('Shop Goals'!$H$68:$H$79, COLUMN()-COLUMN($D$3)+1)</f>
        <v>86370.084102286128</v>
      </c>
      <c r="P51" s="232">
        <f t="shared" si="4"/>
        <v>969085.79340408894</v>
      </c>
      <c r="Q51" s="47"/>
      <c r="R51" s="231" cm="1">
        <f t="array" ref="R51">INDEX('Shop Goals'!$N$68:$N$79, COLUMN()-COLUMN($R$2)+1)</f>
        <v>28175.858290909051</v>
      </c>
      <c r="S51" s="231" cm="1">
        <f t="array" ref="S51">INDEX('Shop Goals'!$N$68:$N$79, COLUMN()-COLUMN($R$2)+1)</f>
        <v>27204.276970532879</v>
      </c>
      <c r="T51" s="231" cm="1">
        <f t="array" ref="T51">INDEX('Shop Goals'!$N$68:$N$79, COLUMN()-COLUMN($R$2)+1)</f>
        <v>32776.579880312122</v>
      </c>
      <c r="U51" s="231" cm="1">
        <f t="array" ref="U51">INDEX('Shop Goals'!$N$68:$N$79, COLUMN()-COLUMN($R$2)+1)</f>
        <v>30119.020931661405</v>
      </c>
      <c r="V51" s="231" cm="1">
        <f t="array" ref="V51">INDEX('Shop Goals'!$N$68:$N$79, COLUMN()-COLUMN($R$2)+1)</f>
        <v>34976.927533542272</v>
      </c>
      <c r="W51" s="231" cm="1">
        <f t="array" ref="W51">INDEX('Shop Goals'!$N$68:$N$79, COLUMN()-COLUMN($R$2)+1)</f>
        <v>29147.439611285226</v>
      </c>
      <c r="X51" s="231" cm="1">
        <f t="array" ref="X51">INDEX('Shop Goals'!$N$68:$N$79, COLUMN()-COLUMN($R$2)+1)</f>
        <v>30119.019349476006</v>
      </c>
      <c r="Y51" s="231" cm="1">
        <f t="array" ref="Y51">INDEX('Shop Goals'!$N$68:$N$79, COLUMN()-COLUMN($R$2)+1)</f>
        <v>32776.579880312122</v>
      </c>
      <c r="Z51" s="231" cm="1">
        <f t="array" ref="Z51">INDEX('Shop Goals'!$N$68:$N$79, COLUMN()-COLUMN($R$2)+1)</f>
        <v>34296.820609278948</v>
      </c>
      <c r="AA51" s="231" cm="1">
        <f t="array" ref="AA51">INDEX('Shop Goals'!$N$68:$N$79, COLUMN()-COLUMN($R$2)+1)</f>
        <v>34976.927533542272</v>
      </c>
      <c r="AB51" s="231" cm="1">
        <f t="array" ref="AB51">INDEX('Shop Goals'!$N$68:$N$79, COLUMN()-COLUMN($R$2)+1)</f>
        <v>29233.1658391973</v>
      </c>
      <c r="AC51" s="231" cm="1">
        <f t="array" ref="AC51">INDEX('Shop Goals'!$N$68:$N$79, COLUMN()-COLUMN($R$2)+1)</f>
        <v>33662.433390590828</v>
      </c>
      <c r="AD51" s="232">
        <f>SUM(R51:AC51)</f>
        <v>377465.04982064042</v>
      </c>
    </row>
    <row r="52" spans="1:30">
      <c r="A52" s="757"/>
      <c r="B52" s="579"/>
      <c r="C52" s="229" t="s">
        <v>60</v>
      </c>
      <c r="D52" s="69" cm="1">
        <f t="array" ref="D52">INDEX('Shop Goals'!$D$68:$D$79, COLUMN()-COLUMN($D$3)+1)</f>
        <v>833.81282495667244</v>
      </c>
      <c r="E52" s="69" cm="1">
        <f t="array" ref="E52">INDEX('Shop Goals'!$D$68:$D$79, COLUMN()-COLUMN($D$3)+1)</f>
        <v>805.06065857885619</v>
      </c>
      <c r="F52" s="69" cm="1">
        <f t="array" ref="F52">INDEX('Shop Goals'!$D$68:$D$79, COLUMN()-COLUMN($D$3)+1)</f>
        <v>933.50574712643675</v>
      </c>
      <c r="G52" s="69" cm="1">
        <f t="array" ref="G52">INDEX('Shop Goals'!$D$68:$D$79, COLUMN()-COLUMN($D$3)+1)</f>
        <v>891.31715771230506</v>
      </c>
      <c r="H52" s="69" cm="1">
        <f t="array" ref="H52">INDEX('Shop Goals'!$D$68:$D$79, COLUMN()-COLUMN($D$3)+1)</f>
        <v>1035.0779896013864</v>
      </c>
      <c r="I52" s="69" cm="1">
        <f t="array" ref="I52">INDEX('Shop Goals'!$D$68:$D$79, COLUMN()-COLUMN($D$3)+1)</f>
        <v>862.56499133448881</v>
      </c>
      <c r="J52" s="69" cm="1">
        <f t="array" ref="J52">INDEX('Shop Goals'!$D$68:$D$79, COLUMN()-COLUMN($D$3)+1)</f>
        <v>857.81609195402302</v>
      </c>
      <c r="K52" s="69" cm="1">
        <f t="array" ref="K52">INDEX('Shop Goals'!$D$68:$D$79, COLUMN()-COLUMN($D$3)+1)</f>
        <v>933.50574712643675</v>
      </c>
      <c r="L52" s="69" cm="1">
        <f t="array" ref="L52">INDEX('Shop Goals'!$D$68:$D$79, COLUMN()-COLUMN($D$3)+1)</f>
        <v>1014.9514731369152</v>
      </c>
      <c r="M52" s="69" cm="1">
        <f t="array" ref="M52">INDEX('Shop Goals'!$D$68:$D$79, COLUMN()-COLUMN($D$3)+1)</f>
        <v>1035.0779896013864</v>
      </c>
      <c r="N52" s="69" cm="1">
        <f t="array" ref="N52">INDEX('Shop Goals'!$D$68:$D$79, COLUMN()-COLUMN($D$3)+1)</f>
        <v>832.58620689655174</v>
      </c>
      <c r="O52" s="69" cm="1">
        <f t="array" ref="O52">INDEX('Shop Goals'!$D$68:$D$79, COLUMN()-COLUMN($D$3)+1)</f>
        <v>958.73563218390802</v>
      </c>
      <c r="P52" s="68">
        <f t="shared" si="4"/>
        <v>10994.01251020937</v>
      </c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</row>
    <row r="53" spans="1:30">
      <c r="A53" s="757"/>
      <c r="B53" s="579"/>
      <c r="C53" s="229" t="s">
        <v>203</v>
      </c>
      <c r="D53" s="69" cm="1">
        <f t="array" ref="D53">INDEX('Shop Goals'!$E$68:$E$79, COLUMN()-COLUMN($D$3)+1)</f>
        <v>4392.5953206239165</v>
      </c>
      <c r="E53" s="69" cm="1">
        <f t="array" ref="E53">INDEX('Shop Goals'!$E$68:$E$79, COLUMN()-COLUMN($D$3)+1)</f>
        <v>4241.126516464471</v>
      </c>
      <c r="F53" s="69" cm="1">
        <f t="array" ref="F53">INDEX('Shop Goals'!$E$68:$E$79, COLUMN()-COLUMN($D$3)+1)</f>
        <v>4852.7650063856963</v>
      </c>
      <c r="G53" s="69" cm="1">
        <f t="array" ref="G53">INDEX('Shop Goals'!$E$68:$E$79, COLUMN()-COLUMN($D$3)+1)</f>
        <v>4695.5329289428073</v>
      </c>
      <c r="H53" s="69" cm="1">
        <f t="array" ref="H53">INDEX('Shop Goals'!$E$68:$E$79, COLUMN()-COLUMN($D$3)+1)</f>
        <v>5452.8769497400344</v>
      </c>
      <c r="I53" s="69" cm="1">
        <f t="array" ref="I53">INDEX('Shop Goals'!$E$68:$E$79, COLUMN()-COLUMN($D$3)+1)</f>
        <v>4544.0641247833619</v>
      </c>
      <c r="J53" s="69" cm="1">
        <f t="array" ref="J53">INDEX('Shop Goals'!$E$68:$E$79, COLUMN()-COLUMN($D$3)+1)</f>
        <v>4459.2975734355041</v>
      </c>
      <c r="K53" s="69" cm="1">
        <f t="array" ref="K53">INDEX('Shop Goals'!$E$68:$E$79, COLUMN()-COLUMN($D$3)+1)</f>
        <v>4852.7650063856963</v>
      </c>
      <c r="L53" s="69" cm="1">
        <f t="array" ref="L53">INDEX('Shop Goals'!$E$68:$E$79, COLUMN()-COLUMN($D$3)+1)</f>
        <v>5346.8487868284228</v>
      </c>
      <c r="M53" s="69" cm="1">
        <f t="array" ref="M53">INDEX('Shop Goals'!$E$68:$E$79, COLUMN()-COLUMN($D$3)+1)</f>
        <v>5452.8769497400344</v>
      </c>
      <c r="N53" s="69" cm="1">
        <f t="array" ref="N53">INDEX('Shop Goals'!$E$68:$E$79, COLUMN()-COLUMN($D$3)+1)</f>
        <v>4328.1417624521073</v>
      </c>
      <c r="O53" s="69" cm="1">
        <f t="array" ref="O53">INDEX('Shop Goals'!$E$68:$E$79, COLUMN()-COLUMN($D$3)+1)</f>
        <v>4983.9208173690931</v>
      </c>
      <c r="P53" s="68">
        <f t="shared" si="4"/>
        <v>57602.811743151142</v>
      </c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</row>
    <row r="54" spans="1:30">
      <c r="A54" s="757"/>
      <c r="B54" s="579"/>
      <c r="C54" s="229" t="s">
        <v>7</v>
      </c>
      <c r="D54" s="69" cm="1">
        <f t="array" ref="D54">INDEX('Shop Goals'!$G$68:$G$79, COLUMN()-COLUMN($D$3)+1)</f>
        <v>67143.232071713137</v>
      </c>
      <c r="E54" s="69" cm="1">
        <f t="array" ref="E54">INDEX('Shop Goals'!$G$68:$G$79, COLUMN()-COLUMN($D$3)+1)</f>
        <v>64827.948207171314</v>
      </c>
      <c r="F54" s="69" cm="1">
        <f t="array" ref="F54">INDEX('Shop Goals'!$G$68:$G$79, COLUMN()-COLUMN($D$3)+1)</f>
        <v>78310.916398713831</v>
      </c>
      <c r="G54" s="69" cm="1">
        <f t="array" ref="G54">INDEX('Shop Goals'!$G$68:$G$79, COLUMN()-COLUMN($D$3)+1)</f>
        <v>71773.799800796813</v>
      </c>
      <c r="H54" s="69" cm="1">
        <f t="array" ref="H54">INDEX('Shop Goals'!$G$68:$G$79, COLUMN()-COLUMN($D$3)+1)</f>
        <v>83350.219123505973</v>
      </c>
      <c r="I54" s="69" cm="1">
        <f t="array" ref="I54">INDEX('Shop Goals'!$G$68:$G$79, COLUMN()-COLUMN($D$3)+1)</f>
        <v>69458.515936254975</v>
      </c>
      <c r="J54" s="69" cm="1">
        <f t="array" ref="J54">INDEX('Shop Goals'!$G$68:$G$79, COLUMN()-COLUMN($D$3)+1)</f>
        <v>71961.382636655952</v>
      </c>
      <c r="K54" s="69" cm="1">
        <f t="array" ref="K54">INDEX('Shop Goals'!$G$68:$G$79, COLUMN()-COLUMN($D$3)+1)</f>
        <v>78310.916398713831</v>
      </c>
      <c r="L54" s="69" cm="1">
        <f t="array" ref="L54">INDEX('Shop Goals'!$G$68:$G$79, COLUMN()-COLUMN($D$3)+1)</f>
        <v>81729.520418326691</v>
      </c>
      <c r="M54" s="69" cm="1">
        <f t="array" ref="M54">INDEX('Shop Goals'!$G$68:$G$79, COLUMN()-COLUMN($D$3)+1)</f>
        <v>83350.219123505973</v>
      </c>
      <c r="N54" s="69" cm="1">
        <f t="array" ref="N54">INDEX('Shop Goals'!$G$68:$G$79, COLUMN()-COLUMN($D$3)+1)</f>
        <v>69844.871382636658</v>
      </c>
      <c r="O54" s="69" cm="1">
        <f t="array" ref="O54">INDEX('Shop Goals'!$G$68:$G$79, COLUMN()-COLUMN($D$3)+1)</f>
        <v>80427.427652733124</v>
      </c>
      <c r="P54" s="68">
        <f>SUM(D54:O54)</f>
        <v>900488.96915072831</v>
      </c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</row>
    <row r="55" spans="1:30">
      <c r="A55" s="757"/>
      <c r="B55" s="233" t="s">
        <v>66</v>
      </c>
      <c r="C55" s="229" t="s">
        <v>67</v>
      </c>
      <c r="D55" s="69" cm="1">
        <f t="array" ref="D55">INDEX('Lead Goals'!$L$254:$L$265, COLUMN()-COLUMN($D$3)+1)</f>
        <v>122.88496346385197</v>
      </c>
      <c r="E55" s="69" cm="1">
        <f t="array" ref="E55">INDEX('Lead Goals'!$L$254:$L$265, COLUMN()-COLUMN($D$3)+1)</f>
        <v>118.64755093061568</v>
      </c>
      <c r="F55" s="69" cm="1">
        <f t="array" ref="F55">INDEX('Lead Goals'!$L$254:$L$265, COLUMN()-COLUMN($D$3)+1)</f>
        <v>154.68271489974558</v>
      </c>
      <c r="G55" s="69" cm="1">
        <f t="array" ref="G55">INDEX('Lead Goals'!$L$254:$L$265, COLUMN()-COLUMN($D$3)+1)</f>
        <v>131.35978853032452</v>
      </c>
      <c r="H55" s="69" cm="1">
        <f t="array" ref="H55">INDEX('Lead Goals'!$L$254:$L$265, COLUMN()-COLUMN($D$3)+1)</f>
        <v>152.54685119650588</v>
      </c>
      <c r="I55" s="69" cm="1">
        <f t="array" ref="I55">INDEX('Lead Goals'!$L$254:$L$265, COLUMN()-COLUMN($D$3)+1)</f>
        <v>127.12237599708823</v>
      </c>
      <c r="J55" s="69" cm="1">
        <f t="array" ref="J55">INDEX('Lead Goals'!$L$254:$L$265, COLUMN()-COLUMN($D$3)+1)</f>
        <v>142.14087315111755</v>
      </c>
      <c r="K55" s="69" cm="1">
        <f t="array" ref="K55">INDEX('Lead Goals'!$L$254:$L$265, COLUMN()-COLUMN($D$3)+1)</f>
        <v>154.68271489974558</v>
      </c>
      <c r="L55" s="69" cm="1">
        <f t="array" ref="L55">INDEX('Lead Goals'!$L$254:$L$265, COLUMN()-COLUMN($D$3)+1)</f>
        <v>149.58066242324048</v>
      </c>
      <c r="M55" s="69" cm="1">
        <f t="array" ref="M55">INDEX('Lead Goals'!$L$254:$L$265, COLUMN()-COLUMN($D$3)+1)</f>
        <v>152.54685119650588</v>
      </c>
      <c r="N55" s="69" cm="1">
        <f t="array" ref="N55">INDEX('Lead Goals'!$L$254:$L$265, COLUMN()-COLUMN($D$3)+1)</f>
        <v>137.96025923490822</v>
      </c>
      <c r="O55" s="69" cm="1">
        <f t="array" ref="O55">INDEX('Lead Goals'!$L$254:$L$265, COLUMN()-COLUMN($D$3)+1)</f>
        <v>158.8633288159549</v>
      </c>
      <c r="P55" s="68">
        <f t="shared" si="4"/>
        <v>1703.0189347396049</v>
      </c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</row>
    <row r="57" spans="1:30">
      <c r="A57" s="762" t="s">
        <v>320</v>
      </c>
      <c r="B57" s="763"/>
      <c r="C57" s="763"/>
      <c r="D57" s="763"/>
      <c r="E57" s="763"/>
      <c r="F57" s="763"/>
      <c r="G57" s="763"/>
      <c r="H57" s="763"/>
      <c r="I57" s="763"/>
      <c r="J57" s="763"/>
      <c r="K57" s="763"/>
      <c r="L57" s="763"/>
      <c r="M57" s="763"/>
      <c r="N57" s="763"/>
      <c r="O57" s="763"/>
      <c r="P57" s="764"/>
      <c r="R57" s="761" t="s">
        <v>321</v>
      </c>
      <c r="S57" s="761"/>
      <c r="T57" s="761"/>
      <c r="U57" s="761"/>
      <c r="V57" s="761"/>
      <c r="W57" s="761"/>
      <c r="X57" s="761"/>
      <c r="Y57" s="761"/>
      <c r="Z57" s="761"/>
      <c r="AA57" s="761"/>
      <c r="AB57" s="761"/>
      <c r="AC57" s="761"/>
      <c r="AD57" s="761"/>
    </row>
    <row r="58" spans="1:30">
      <c r="A58" s="758" t="s">
        <v>94</v>
      </c>
      <c r="B58" s="759"/>
      <c r="C58" s="760"/>
      <c r="D58" s="234" t="s">
        <v>252</v>
      </c>
      <c r="E58" s="234" t="s">
        <v>253</v>
      </c>
      <c r="F58" s="234" t="s">
        <v>230</v>
      </c>
      <c r="G58" s="234" t="s">
        <v>254</v>
      </c>
      <c r="H58" s="234" t="s">
        <v>78</v>
      </c>
      <c r="I58" s="234" t="s">
        <v>255</v>
      </c>
      <c r="J58" s="234" t="s">
        <v>256</v>
      </c>
      <c r="K58" s="234" t="s">
        <v>236</v>
      </c>
      <c r="L58" s="234" t="s">
        <v>257</v>
      </c>
      <c r="M58" s="234" t="s">
        <v>258</v>
      </c>
      <c r="N58" s="234" t="s">
        <v>259</v>
      </c>
      <c r="O58" s="234" t="s">
        <v>260</v>
      </c>
      <c r="P58" s="234" t="s">
        <v>24</v>
      </c>
      <c r="R58" s="234" t="s">
        <v>252</v>
      </c>
      <c r="S58" s="234" t="s">
        <v>253</v>
      </c>
      <c r="T58" s="234" t="s">
        <v>230</v>
      </c>
      <c r="U58" s="234" t="s">
        <v>254</v>
      </c>
      <c r="V58" s="234" t="s">
        <v>78</v>
      </c>
      <c r="W58" s="234" t="s">
        <v>255</v>
      </c>
      <c r="X58" s="234" t="s">
        <v>256</v>
      </c>
      <c r="Y58" s="234" t="s">
        <v>236</v>
      </c>
      <c r="Z58" s="234" t="s">
        <v>257</v>
      </c>
      <c r="AA58" s="234" t="s">
        <v>258</v>
      </c>
      <c r="AB58" s="234" t="s">
        <v>259</v>
      </c>
      <c r="AC58" s="234" t="s">
        <v>260</v>
      </c>
      <c r="AD58" s="234" t="s">
        <v>24</v>
      </c>
    </row>
    <row r="59" spans="1:30">
      <c r="A59" s="757" t="s">
        <v>42</v>
      </c>
      <c r="B59" s="579" t="s">
        <v>43</v>
      </c>
      <c r="C59" s="229" t="s">
        <v>44</v>
      </c>
      <c r="D59" s="69" cm="1">
        <f t="array" ref="D59">INDEX('Consideration Goals'!$D$78:$D$89, COLUMN()-COLUMN($D$3)+1)</f>
        <v>0</v>
      </c>
      <c r="E59" s="69" cm="1">
        <f t="array" ref="E59">INDEX('Consideration Goals'!$D$78:$D$89, COLUMN()-COLUMN($D$3)+1)</f>
        <v>0</v>
      </c>
      <c r="F59" s="69" cm="1">
        <f t="array" ref="F59">INDEX('Consideration Goals'!$D$78:$D$89, COLUMN()-COLUMN($D$3)+1)</f>
        <v>0</v>
      </c>
      <c r="G59" s="69" cm="1">
        <f t="array" ref="G59">INDEX('Consideration Goals'!$D$78:$D$89, COLUMN()-COLUMN($D$3)+1)</f>
        <v>0</v>
      </c>
      <c r="H59" s="69" cm="1">
        <f t="array" ref="H59">INDEX('Consideration Goals'!$D$78:$D$89, COLUMN()-COLUMN($D$3)+1)</f>
        <v>0</v>
      </c>
      <c r="I59" s="69" cm="1">
        <f t="array" ref="I59">INDEX('Consideration Goals'!$D$78:$D$89, COLUMN()-COLUMN($D$3)+1)</f>
        <v>0</v>
      </c>
      <c r="J59" s="69" cm="1">
        <f t="array" ref="J59">INDEX('Consideration Goals'!$D$78:$D$89, COLUMN()-COLUMN($D$3)+1)</f>
        <v>0</v>
      </c>
      <c r="K59" s="69" cm="1">
        <f t="array" ref="K59">INDEX('Consideration Goals'!$D$78:$D$89, COLUMN()-COLUMN($D$3)+1)</f>
        <v>0</v>
      </c>
      <c r="L59" s="69" cm="1">
        <f t="array" ref="L59">INDEX('Consideration Goals'!$D$78:$D$89, COLUMN()-COLUMN($D$3)+1)</f>
        <v>0</v>
      </c>
      <c r="M59" s="69" cm="1">
        <f t="array" ref="M59">INDEX('Consideration Goals'!$D$78:$D$89, COLUMN()-COLUMN($D$3)+1)</f>
        <v>0</v>
      </c>
      <c r="N59" s="69" cm="1">
        <f t="array" ref="N59">INDEX('Consideration Goals'!$D$78:$D$89, COLUMN()-COLUMN($D$3)+1)</f>
        <v>0</v>
      </c>
      <c r="O59" s="69" cm="1">
        <f t="array" ref="O59">INDEX('Consideration Goals'!$D$78:$D$89, COLUMN()-COLUMN($D$3)+1)</f>
        <v>0</v>
      </c>
      <c r="P59" s="68">
        <f>SUM(D59:O59)</f>
        <v>0</v>
      </c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</row>
    <row r="60" spans="1:30">
      <c r="A60" s="757"/>
      <c r="B60" s="579"/>
      <c r="C60" s="229" t="s">
        <v>46</v>
      </c>
      <c r="D60" s="69" cm="1">
        <f t="array" ref="D60">INDEX('Consideration Goals'!$E$78:$E$89, COLUMN()-COLUMN($D$3)+1)</f>
        <v>778231.37713577319</v>
      </c>
      <c r="E60" s="69" cm="1">
        <f t="array" ref="E60">INDEX('Consideration Goals'!$E$78:$E$89, COLUMN()-COLUMN($D$3)+1)</f>
        <v>886215.63520724396</v>
      </c>
      <c r="F60" s="69" cm="1">
        <f t="array" ref="F60">INDEX('Consideration Goals'!$E$78:$E$89, COLUMN()-COLUMN($D$3)+1)</f>
        <v>1132968.807064312</v>
      </c>
      <c r="G60" s="69" cm="1">
        <f t="array" ref="G60">INDEX('Consideration Goals'!$E$78:$E$89, COLUMN()-COLUMN($D$3)+1)</f>
        <v>952123.2685819004</v>
      </c>
      <c r="H60" s="69" cm="1">
        <f t="array" ref="H60">INDEX('Consideration Goals'!$E$78:$E$89, COLUMN()-COLUMN($D$3)+1)</f>
        <v>1079842.5807147091</v>
      </c>
      <c r="I60" s="69" cm="1">
        <f t="array" ref="I60">INDEX('Consideration Goals'!$E$78:$E$89, COLUMN()-COLUMN($D$3)+1)</f>
        <v>1034787.0799331643</v>
      </c>
      <c r="J60" s="69" cm="1">
        <f t="array" ref="J60">INDEX('Consideration Goals'!$E$78:$E$89, COLUMN()-COLUMN($D$3)+1)</f>
        <v>1082313.8877040988</v>
      </c>
      <c r="K60" s="69" cm="1">
        <f t="array" ref="K60">INDEX('Consideration Goals'!$E$78:$E$89, COLUMN()-COLUMN($D$3)+1)</f>
        <v>1204504.380206598</v>
      </c>
      <c r="L60" s="69" cm="1">
        <f t="array" ref="L60">INDEX('Consideration Goals'!$E$78:$E$89, COLUMN()-COLUMN($D$3)+1)</f>
        <v>974464.83921737724</v>
      </c>
      <c r="M60" s="69" cm="1">
        <f t="array" ref="M60">INDEX('Consideration Goals'!$E$78:$E$89, COLUMN()-COLUMN($D$3)+1)</f>
        <v>1009094.2737023662</v>
      </c>
      <c r="N60" s="69" cm="1">
        <f t="array" ref="N60">INDEX('Consideration Goals'!$E$78:$E$89, COLUMN()-COLUMN($D$3)+1)</f>
        <v>952003.14095301565</v>
      </c>
      <c r="O60" s="69" cm="1">
        <f t="array" ref="O60">INDEX('Consideration Goals'!$E$78:$E$89, COLUMN()-COLUMN($D$3)+1)</f>
        <v>1314707.8307230924</v>
      </c>
      <c r="P60" s="68">
        <f>SUM(D60:O60)</f>
        <v>12401257.101143651</v>
      </c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</row>
    <row r="61" spans="1:30">
      <c r="A61" s="757" t="s">
        <v>48</v>
      </c>
      <c r="B61" s="579" t="s">
        <v>49</v>
      </c>
      <c r="C61" s="230" t="s">
        <v>50</v>
      </c>
      <c r="D61" s="231" cm="1">
        <f t="array" ref="D61">INDEX('Research Goals'!$G$83:$G$94, COLUMN()-COLUMN($D$3)+1)</f>
        <v>142577.47264593327</v>
      </c>
      <c r="E61" s="231" cm="1">
        <f t="array" ref="E61">INDEX('Research Goals'!$G$83:$G$94, COLUMN()-COLUMN($D$3)+1)</f>
        <v>162360.94971163693</v>
      </c>
      <c r="F61" s="231" cm="1">
        <f t="array" ref="F61">INDEX('Research Goals'!$G$83:$G$94, COLUMN()-COLUMN($D$3)+1)</f>
        <v>185410.12662445853</v>
      </c>
      <c r="G61" s="231" cm="1">
        <f t="array" ref="G61">INDEX('Research Goals'!$G$83:$G$94, COLUMN()-COLUMN($D$3)+1)</f>
        <v>191578.88018110278</v>
      </c>
      <c r="H61" s="231" cm="1">
        <f t="array" ref="H61">INDEX('Research Goals'!$G$83:$G$94, COLUMN()-COLUMN($D$3)+1)</f>
        <v>217277.57236026519</v>
      </c>
      <c r="I61" s="231" cm="1">
        <f t="array" ref="I61">INDEX('Research Goals'!$G$83:$G$94, COLUMN()-COLUMN($D$3)+1)</f>
        <v>208211.85296178516</v>
      </c>
      <c r="J61" s="231" cm="1">
        <f t="array" ref="J61">INDEX('Research Goals'!$G$83:$G$94, COLUMN()-COLUMN($D$3)+1)</f>
        <v>191709.34863378873</v>
      </c>
      <c r="K61" s="231" cm="1">
        <f t="array" ref="K61">INDEX('Research Goals'!$G$83:$G$94, COLUMN()-COLUMN($D$3)+1)</f>
        <v>213352.84780073311</v>
      </c>
      <c r="L61" s="231" cm="1">
        <f t="array" ref="L61">INDEX('Research Goals'!$G$83:$G$94, COLUMN()-COLUMN($D$3)+1)</f>
        <v>196074.27822993585</v>
      </c>
      <c r="M61" s="231" cm="1">
        <f t="array" ref="M61">INDEX('Research Goals'!$G$83:$G$94, COLUMN()-COLUMN($D$3)+1)</f>
        <v>203042.14520562714</v>
      </c>
      <c r="N61" s="231" cm="1">
        <f t="array" ref="N61">INDEX('Research Goals'!$G$83:$G$94, COLUMN()-COLUMN($D$3)+1)</f>
        <v>168627.51566144617</v>
      </c>
      <c r="O61" s="231" cm="1">
        <f t="array" ref="O61">INDEX('Research Goals'!$G$83:$G$94, COLUMN()-COLUMN($D$3)+1)</f>
        <v>232873.09230256581</v>
      </c>
      <c r="P61" s="232">
        <f>SUM(D61:O61)</f>
        <v>2313096.0823192787</v>
      </c>
      <c r="Q61" s="47"/>
      <c r="R61" s="231" cm="1">
        <f t="array" ref="R61">INDEX('Research Goals'!$L$83:$L$94, COLUMN()-COLUMN($R$3)+1)</f>
        <v>96536.327330972927</v>
      </c>
      <c r="S61" s="231" cm="1">
        <f t="array" ref="S61">INDEX('Research Goals'!$L$83:$L$94, COLUMN()-COLUMN($R$3)+1)</f>
        <v>109931.32011852418</v>
      </c>
      <c r="T61" s="231" cm="1">
        <f t="array" ref="T61">INDEX('Research Goals'!$L$83:$L$94, COLUMN()-COLUMN($R$3)+1)</f>
        <v>127754.64405469685</v>
      </c>
      <c r="U61" s="231" cm="1">
        <f t="array" ref="U61">INDEX('Research Goals'!$L$83:$L$94, COLUMN()-COLUMN($R$3)+1)</f>
        <v>122368.84822588111</v>
      </c>
      <c r="V61" s="231" cm="1">
        <f t="array" ref="V61">INDEX('Research Goals'!$L$83:$L$94, COLUMN()-COLUMN($R$3)+1)</f>
        <v>138783.59790968138</v>
      </c>
      <c r="W61" s="231" cm="1">
        <f t="array" ref="W61">INDEX('Research Goals'!$L$83:$L$94, COLUMN()-COLUMN($R$3)+1)</f>
        <v>132992.97192793258</v>
      </c>
      <c r="X61" s="231" cm="1">
        <f t="array" ref="X61">INDEX('Research Goals'!$L$83:$L$94, COLUMN()-COLUMN($R$3)+1)</f>
        <v>125669.68721490938</v>
      </c>
      <c r="Y61" s="231" cm="1">
        <f t="array" ref="Y61">INDEX('Research Goals'!$L$83:$L$94, COLUMN()-COLUMN($R$3)+1)</f>
        <v>139857.47612520284</v>
      </c>
      <c r="Z61" s="231" cm="1">
        <f t="array" ref="Z61">INDEX('Research Goals'!$L$83:$L$94, COLUMN()-COLUMN($R$3)+1)</f>
        <v>125240.23301021938</v>
      </c>
      <c r="AA61" s="231" cm="1">
        <f t="array" ref="AA61">INDEX('Research Goals'!$L$83:$L$94, COLUMN()-COLUMN($R$3)+1)</f>
        <v>129690.87942594363</v>
      </c>
      <c r="AB61" s="231" cm="1">
        <f t="array" ref="AB61">INDEX('Research Goals'!$L$83:$L$94, COLUMN()-COLUMN($R$3)+1)</f>
        <v>110539.03891500783</v>
      </c>
      <c r="AC61" s="231" cm="1">
        <f t="array" ref="AC61">INDEX('Research Goals'!$L$83:$L$94, COLUMN()-COLUMN($R$3)+1)</f>
        <v>152653.42498417004</v>
      </c>
      <c r="AD61" s="232">
        <f>SUM(R61:AC61)</f>
        <v>1512018.449243142</v>
      </c>
    </row>
    <row r="62" spans="1:30">
      <c r="A62" s="757"/>
      <c r="B62" s="579"/>
      <c r="C62" s="229" t="s">
        <v>52</v>
      </c>
      <c r="D62" s="69" cm="1">
        <f t="array" ref="D62">INDEX('Research Goals'!$D$83:$D$94, COLUMN()-COLUMN($D$3)+1)</f>
        <v>121504.66716972996</v>
      </c>
      <c r="E62" s="69" cm="1">
        <f t="array" ref="E62">INDEX('Research Goals'!$D$83:$D$94, COLUMN()-COLUMN($D$3)+1)</f>
        <v>138364.16644208482</v>
      </c>
      <c r="F62" s="69" cm="1">
        <f t="array" ref="F62">INDEX('Research Goals'!$D$83:$D$94, COLUMN()-COLUMN($D$3)+1)</f>
        <v>162416.55864711764</v>
      </c>
      <c r="G62" s="69" cm="1">
        <f t="array" ref="G62">INDEX('Research Goals'!$D$83:$D$94, COLUMN()-COLUMN($D$3)+1)</f>
        <v>148654.27461866004</v>
      </c>
      <c r="H62" s="69" cm="1">
        <f t="array" ref="H62">INDEX('Research Goals'!$D$83:$D$94, COLUMN()-COLUMN($D$3)+1)</f>
        <v>168594.99272354876</v>
      </c>
      <c r="I62" s="69" cm="1">
        <f t="array" ref="I62">INDEX('Research Goals'!$D$83:$D$94, COLUMN()-COLUMN($D$3)+1)</f>
        <v>161560.51199266964</v>
      </c>
      <c r="J62" s="69" cm="1">
        <f t="array" ref="J62">INDEX('Research Goals'!$D$83:$D$94, COLUMN()-COLUMN($D$3)+1)</f>
        <v>155154.93093968678</v>
      </c>
      <c r="K62" s="69" cm="1">
        <f t="array" ref="K62">INDEX('Research Goals'!$D$83:$D$94, COLUMN()-COLUMN($D$3)+1)</f>
        <v>172671.52907364213</v>
      </c>
      <c r="L62" s="69" cm="1">
        <f t="array" ref="L62">INDEX('Research Goals'!$D$83:$D$94, COLUMN()-COLUMN($D$3)+1)</f>
        <v>152142.4468819059</v>
      </c>
      <c r="M62" s="69" cm="1">
        <f t="array" ref="M62">INDEX('Research Goals'!$D$83:$D$94, COLUMN()-COLUMN($D$3)+1)</f>
        <v>157549.11388993694</v>
      </c>
      <c r="N62" s="69" cm="1">
        <f t="array" ref="N62">INDEX('Research Goals'!$D$83:$D$94, COLUMN()-COLUMN($D$3)+1)</f>
        <v>136474.25508163945</v>
      </c>
      <c r="O62" s="69" cm="1">
        <f t="array" ref="O62">INDEX('Research Goals'!$D$83:$D$94, COLUMN()-COLUMN($D$3)+1)</f>
        <v>188469.72675774741</v>
      </c>
      <c r="P62" s="68">
        <f>SUM(D62:O62)</f>
        <v>1863557.1742183692</v>
      </c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</row>
    <row r="63" spans="1:30">
      <c r="A63" s="757"/>
      <c r="B63" s="579"/>
      <c r="C63" s="229" t="s">
        <v>14</v>
      </c>
      <c r="D63" s="69" cm="1">
        <f t="array" ref="D63">INDEX('Research Goals'!$F$83:$F$94, COLUMN()-COLUMN($D$3)+1)</f>
        <v>21072.80547620331</v>
      </c>
      <c r="E63" s="69" cm="1">
        <f t="array" ref="E63">INDEX('Research Goals'!$F$83:$F$94, COLUMN()-COLUMN($D$3)+1)</f>
        <v>23996.783269552092</v>
      </c>
      <c r="F63" s="69" cm="1">
        <f t="array" ref="F63">INDEX('Research Goals'!$F$83:$F$94, COLUMN()-COLUMN($D$3)+1)</f>
        <v>22993.567977340888</v>
      </c>
      <c r="G63" s="69" cm="1">
        <f t="array" ref="G63">INDEX('Research Goals'!$F$83:$F$94, COLUMN()-COLUMN($D$3)+1)</f>
        <v>42924.605562442732</v>
      </c>
      <c r="H63" s="69" cm="1">
        <f t="array" ref="H63">INDEX('Research Goals'!$F$83:$F$94, COLUMN()-COLUMN($D$3)+1)</f>
        <v>48682.579636716437</v>
      </c>
      <c r="I63" s="69" cm="1">
        <f t="array" ref="I63">INDEX('Research Goals'!$F$83:$F$94, COLUMN()-COLUMN($D$3)+1)</f>
        <v>46651.34096911551</v>
      </c>
      <c r="J63" s="69" cm="1">
        <f t="array" ref="J63">INDEX('Research Goals'!$F$83:$F$94, COLUMN()-COLUMN($D$3)+1)</f>
        <v>36554.417694101961</v>
      </c>
      <c r="K63" s="69" cm="1">
        <f t="array" ref="K63">INDEX('Research Goals'!$F$83:$F$94, COLUMN()-COLUMN($D$3)+1)</f>
        <v>40681.318727090969</v>
      </c>
      <c r="L63" s="69" cm="1">
        <f t="array" ref="L63">INDEX('Research Goals'!$F$83:$F$94, COLUMN()-COLUMN($D$3)+1)</f>
        <v>43931.831348029969</v>
      </c>
      <c r="M63" s="69" cm="1">
        <f t="array" ref="M63">INDEX('Research Goals'!$F$83:$F$94, COLUMN()-COLUMN($D$3)+1)</f>
        <v>45493.03131569019</v>
      </c>
      <c r="N63" s="69" cm="1">
        <f t="array" ref="N63">INDEX('Research Goals'!$F$83:$F$94, COLUMN()-COLUMN($D$3)+1)</f>
        <v>32153.260579806727</v>
      </c>
      <c r="O63" s="69" cm="1">
        <f t="array" ref="O63">INDEX('Research Goals'!$F$83:$F$94, COLUMN()-COLUMN($D$3)+1)</f>
        <v>44403.365544818393</v>
      </c>
      <c r="P63" s="68">
        <f>SUM(D63:O63)</f>
        <v>449538.9081009092</v>
      </c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</row>
    <row r="64" spans="1:30">
      <c r="A64" s="757"/>
      <c r="B64" s="233" t="s">
        <v>43</v>
      </c>
      <c r="C64" s="229" t="s">
        <v>55</v>
      </c>
      <c r="D64" s="69" cm="1">
        <f t="array" ref="D64">INDEX('Research Goals'!$E$83:$E$94, COLUMN()-COLUMN($D$3)+1)</f>
        <v>85524.629439982746</v>
      </c>
      <c r="E64" s="69" cm="1">
        <f t="array" ref="E64">INDEX('Research Goals'!$E$83:$E$94, COLUMN()-COLUMN($D$3)+1)</f>
        <v>97391.683285721971</v>
      </c>
      <c r="F64" s="69" cm="1">
        <f t="array" ref="F64">INDEX('Research Goals'!$E$83:$E$94, COLUMN()-COLUMN($D$3)+1)</f>
        <v>123409.04198600467</v>
      </c>
      <c r="G64" s="69" cm="1">
        <f t="array" ref="G64">INDEX('Research Goals'!$E$83:$E$94, COLUMN()-COLUMN($D$3)+1)</f>
        <v>104634.67821915592</v>
      </c>
      <c r="H64" s="69" cm="1">
        <f t="array" ref="H64">INDEX('Research Goals'!$E$83:$E$94, COLUMN()-COLUMN($D$3)+1)</f>
        <v>118670.53845739234</v>
      </c>
      <c r="I64" s="69" cm="1">
        <f t="array" ref="I64">INDEX('Research Goals'!$E$83:$E$94, COLUMN()-COLUMN($D$3)+1)</f>
        <v>113719.11254244596</v>
      </c>
      <c r="J64" s="69" cm="1">
        <f t="array" ref="J64">INDEX('Research Goals'!$E$83:$E$94, COLUMN()-COLUMN($D$3)+1)</f>
        <v>117891.43635454848</v>
      </c>
      <c r="K64" s="69" cm="1">
        <f t="array" ref="K64">INDEX('Research Goals'!$E$83:$E$94, COLUMN()-COLUMN($D$3)+1)</f>
        <v>131201.08047317562</v>
      </c>
      <c r="L64" s="69" cm="1">
        <f t="array" ref="L64">INDEX('Research Goals'!$E$83:$E$94, COLUMN()-COLUMN($D$3)+1)</f>
        <v>107089.93073896405</v>
      </c>
      <c r="M64" s="69" cm="1">
        <f t="array" ref="M64">INDEX('Research Goals'!$E$83:$E$94, COLUMN()-COLUMN($D$3)+1)</f>
        <v>110895.57214466663</v>
      </c>
      <c r="N64" s="69" cm="1">
        <f t="array" ref="N64">INDEX('Research Goals'!$E$83:$E$94, COLUMN()-COLUMN($D$3)+1)</f>
        <v>103697.29056981005</v>
      </c>
      <c r="O64" s="69" cm="1">
        <f t="array" ref="O64">INDEX('Research Goals'!$E$83:$E$94, COLUMN()-COLUMN($D$3)+1)</f>
        <v>143205.03165611462</v>
      </c>
      <c r="P64" s="68">
        <f t="shared" ref="P64:P67" si="5">SUM(D64:O64)</f>
        <v>1357330.025867983</v>
      </c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</row>
    <row r="65" spans="1:30">
      <c r="A65" s="757" t="s">
        <v>57</v>
      </c>
      <c r="B65" s="579" t="s">
        <v>49</v>
      </c>
      <c r="C65" s="230" t="s">
        <v>58</v>
      </c>
      <c r="D65" s="231" cm="1">
        <f t="array" ref="D65">INDEX('Shop Goals'!$H$88:$H$99, COLUMN()-COLUMN($D$3)+1)</f>
        <v>332896.38856204884</v>
      </c>
      <c r="E65" s="231" cm="1">
        <f t="array" ref="E65">INDEX('Shop Goals'!$H$88:$H$99, COLUMN()-COLUMN($D$3)+1)</f>
        <v>379087.75348214171</v>
      </c>
      <c r="F65" s="231" cm="1">
        <f t="array" ref="F65">INDEX('Shop Goals'!$H$88:$H$99, COLUMN()-COLUMN($D$3)+1)</f>
        <v>404741.36395626352</v>
      </c>
      <c r="G65" s="231" cm="1">
        <f t="array" ref="G65">INDEX('Shop Goals'!$H$88:$H$99, COLUMN()-COLUMN($D$3)+1)</f>
        <v>407280.41414026741</v>
      </c>
      <c r="H65" s="231" cm="1">
        <f t="array" ref="H65">INDEX('Shop Goals'!$H$88:$H$99, COLUMN()-COLUMN($D$3)+1)</f>
        <v>461913.64920092904</v>
      </c>
      <c r="I65" s="231" cm="1">
        <f t="array" ref="I65">INDEX('Shop Goals'!$H$88:$H$99, COLUMN()-COLUMN($D$3)+1)</f>
        <v>442640.70038944203</v>
      </c>
      <c r="J65" s="231" cm="1">
        <f t="array" ref="J65">INDEX('Shop Goals'!$H$88:$H$99, COLUMN()-COLUMN($D$3)+1)</f>
        <v>386645.41901487426</v>
      </c>
      <c r="K65" s="231" cm="1">
        <f t="array" ref="K65">INDEX('Shop Goals'!$H$88:$H$99, COLUMN()-COLUMN($D$3)+1)</f>
        <v>430296.70604906516</v>
      </c>
      <c r="L65" s="231" cm="1">
        <f t="array" ref="L65">INDEX('Shop Goals'!$H$88:$H$99, COLUMN()-COLUMN($D$3)+1)</f>
        <v>416837.24826166598</v>
      </c>
      <c r="M65" s="231" cm="1">
        <f t="array" ref="M65">INDEX('Shop Goals'!$H$88:$H$99, COLUMN()-COLUMN($D$3)+1)</f>
        <v>431650.34114983369</v>
      </c>
      <c r="N65" s="231" cm="1">
        <f t="array" ref="N65">INDEX('Shop Goals'!$H$88:$H$99, COLUMN()-COLUMN($D$3)+1)</f>
        <v>340093.25531068968</v>
      </c>
      <c r="O65" s="231" cm="1">
        <f t="array" ref="O65">INDEX('Shop Goals'!$H$88:$H$99, COLUMN()-COLUMN($D$3)+1)</f>
        <v>469665.74657040823</v>
      </c>
      <c r="P65" s="232">
        <f t="shared" si="5"/>
        <v>4903748.9860876296</v>
      </c>
      <c r="Q65" s="47"/>
      <c r="R65" s="231" cm="1">
        <f t="array" ref="R65">INDEX('Shop Goals'!$N$88:$N$99, COLUMN()-COLUMN($R$2)+1)</f>
        <v>137780.35403026553</v>
      </c>
      <c r="S65" s="231" cm="1">
        <f t="array" ref="S65">INDEX('Shop Goals'!$N$88:$N$99, COLUMN()-COLUMN($R$2)+1)</f>
        <v>156898.20219714451</v>
      </c>
      <c r="T65" s="231" cm="1">
        <f t="array" ref="T65">INDEX('Shop Goals'!$N$88:$N$99, COLUMN()-COLUMN($R$2)+1)</f>
        <v>166549.80054396804</v>
      </c>
      <c r="U65" s="231" cm="1">
        <f t="array" ref="U65">INDEX('Shop Goals'!$N$88:$N$99, COLUMN()-COLUMN($R$2)+1)</f>
        <v>168566.68194037749</v>
      </c>
      <c r="V65" s="231" cm="1">
        <f t="array" ref="V65">INDEX('Shop Goals'!$N$88:$N$99, COLUMN()-COLUMN($R$2)+1)</f>
        <v>191178.48166878949</v>
      </c>
      <c r="W65" s="231" cm="1">
        <f t="array" ref="W65">INDEX('Shop Goals'!$N$88:$N$99, COLUMN()-COLUMN($R$2)+1)</f>
        <v>183201.7243301952</v>
      </c>
      <c r="X65" s="231" cm="1">
        <f t="array" ref="X65">INDEX('Shop Goals'!$N$88:$N$99, COLUMN()-COLUMN($R$2)+1)</f>
        <v>159103.37601452784</v>
      </c>
      <c r="Y65" s="231" cm="1">
        <f t="array" ref="Y65">INDEX('Shop Goals'!$N$88:$N$99, COLUMN()-COLUMN($R$2)+1)</f>
        <v>177065.74358172715</v>
      </c>
      <c r="Z65" s="231" cm="1">
        <f t="array" ref="Z65">INDEX('Shop Goals'!$N$88:$N$99, COLUMN()-COLUMN($R$2)+1)</f>
        <v>172522.09880249042</v>
      </c>
      <c r="AA65" s="231" cm="1">
        <f t="array" ref="AA65">INDEX('Shop Goals'!$N$88:$N$99, COLUMN()-COLUMN($R$2)+1)</f>
        <v>178652.99493876536</v>
      </c>
      <c r="AB65" s="231" cm="1">
        <f t="array" ref="AB65">INDEX('Shop Goals'!$N$88:$N$99, COLUMN()-COLUMN($R$2)+1)</f>
        <v>139947.30680520457</v>
      </c>
      <c r="AC65" s="231" cm="1">
        <f t="array" ref="AC65">INDEX('Shop Goals'!$N$88:$N$99, COLUMN()-COLUMN($R$2)+1)</f>
        <v>193265.98015341006</v>
      </c>
      <c r="AD65" s="232">
        <f>SUM(R65:AC65)</f>
        <v>2024732.7450068656</v>
      </c>
    </row>
    <row r="66" spans="1:30">
      <c r="A66" s="757"/>
      <c r="B66" s="579"/>
      <c r="C66" s="229" t="s">
        <v>60</v>
      </c>
      <c r="D66" s="69" cm="1">
        <f t="array" ref="D66">INDEX('Shop Goals'!$D$88:$D$99, COLUMN()-COLUMN($D$3)+1)</f>
        <v>4237.6769255645986</v>
      </c>
      <c r="E66" s="69" cm="1">
        <f t="array" ref="E66">INDEX('Shop Goals'!$D$88:$D$99, COLUMN()-COLUMN($D$3)+1)</f>
        <v>4825.6799439443757</v>
      </c>
      <c r="F66" s="69" cm="1">
        <f t="array" ref="F66">INDEX('Shop Goals'!$D$88:$D$99, COLUMN()-COLUMN($D$3)+1)</f>
        <v>5974.2319226924365</v>
      </c>
      <c r="G66" s="69" cm="1">
        <f t="array" ref="G66">INDEX('Shop Goals'!$D$88:$D$99, COLUMN()-COLUMN($D$3)+1)</f>
        <v>5184.5645448175501</v>
      </c>
      <c r="H66" s="69" cm="1">
        <f t="array" ref="H66">INDEX('Shop Goals'!$D$88:$D$99, COLUMN()-COLUMN($D$3)+1)</f>
        <v>5880.0301837977686</v>
      </c>
      <c r="I66" s="69" cm="1">
        <f t="array" ref="I66">INDEX('Shop Goals'!$D$88:$D$99, COLUMN()-COLUMN($D$3)+1)</f>
        <v>5634.6909933703446</v>
      </c>
      <c r="J66" s="69" cm="1">
        <f t="array" ref="J66">INDEX('Shop Goals'!$D$88:$D$99, COLUMN()-COLUMN($D$3)+1)</f>
        <v>5707.1246251249586</v>
      </c>
      <c r="K66" s="69" cm="1">
        <f t="array" ref="K66">INDEX('Shop Goals'!$D$88:$D$99, COLUMN()-COLUMN($D$3)+1)</f>
        <v>6351.4445184938359</v>
      </c>
      <c r="L66" s="69" cm="1">
        <f t="array" ref="L66">INDEX('Shop Goals'!$D$88:$D$99, COLUMN()-COLUMN($D$3)+1)</f>
        <v>5306.2203417237106</v>
      </c>
      <c r="M66" s="69" cm="1">
        <f t="array" ref="M66">INDEX('Shop Goals'!$D$88:$D$99, COLUMN()-COLUMN($D$3)+1)</f>
        <v>5494.7868269282599</v>
      </c>
      <c r="N66" s="69" cm="1">
        <f t="array" ref="N66">INDEX('Shop Goals'!$D$88:$D$99, COLUMN()-COLUMN($D$3)+1)</f>
        <v>5019.986004665112</v>
      </c>
      <c r="O66" s="69" cm="1">
        <f t="array" ref="O66">INDEX('Shop Goals'!$D$88:$D$99, COLUMN()-COLUMN($D$3)+1)</f>
        <v>6932.5558147284237</v>
      </c>
      <c r="P66" s="68">
        <f t="shared" si="5"/>
        <v>66548.99264585138</v>
      </c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</row>
    <row r="67" spans="1:30">
      <c r="A67" s="757"/>
      <c r="B67" s="579"/>
      <c r="C67" s="229" t="s">
        <v>203</v>
      </c>
      <c r="D67" s="69" cm="1">
        <f t="array" ref="D67">INDEX('Shop Goals'!$E$88:$E$99, COLUMN()-COLUMN($D$3)+1)</f>
        <v>20181.291435347383</v>
      </c>
      <c r="E67" s="69" cm="1">
        <f t="array" ref="E67">INDEX('Shop Goals'!$E$88:$E$99, COLUMN()-COLUMN($D$3)+1)</f>
        <v>22981.566323505631</v>
      </c>
      <c r="F67" s="69" cm="1">
        <f t="array" ref="F67">INDEX('Shop Goals'!$E$88:$E$99, COLUMN()-COLUMN($D$3)+1)</f>
        <v>29726.905198267243</v>
      </c>
      <c r="G67" s="69" cm="1">
        <f t="array" ref="G67">INDEX('Shop Goals'!$E$88:$E$99, COLUMN()-COLUMN($D$3)+1)</f>
        <v>24690.699617312563</v>
      </c>
      <c r="H67" s="69" cm="1">
        <f t="array" ref="H67">INDEX('Shop Goals'!$E$88:$E$99, COLUMN()-COLUMN($D$3)+1)</f>
        <v>28002.748881582495</v>
      </c>
      <c r="I67" s="69" cm="1">
        <f t="array" ref="I67">INDEX('Shop Goals'!$E$88:$E$99, COLUMN()-COLUMN($D$3)+1)</f>
        <v>26834.358324799225</v>
      </c>
      <c r="J67" s="69" cm="1">
        <f t="array" ref="J67">INDEX('Shop Goals'!$E$88:$E$99, COLUMN()-COLUMN($D$3)+1)</f>
        <v>28397.818310563147</v>
      </c>
      <c r="K67" s="69" cm="1">
        <f t="array" ref="K67">INDEX('Shop Goals'!$E$88:$E$99, COLUMN()-COLUMN($D$3)+1)</f>
        <v>31603.859963345552</v>
      </c>
      <c r="L67" s="69" cm="1">
        <f t="array" ref="L67">INDEX('Shop Goals'!$E$88:$E$99, COLUMN()-COLUMN($D$3)+1)</f>
        <v>25270.066835552203</v>
      </c>
      <c r="M67" s="69" cm="1">
        <f t="array" ref="M67">INDEX('Shop Goals'!$E$88:$E$99, COLUMN()-COLUMN($D$3)+1)</f>
        <v>26168.086023823638</v>
      </c>
      <c r="N67" s="69" cm="1">
        <f t="array" ref="N67">INDEX('Shop Goals'!$E$88:$E$99, COLUMN()-COLUMN($D$3)+1)</f>
        <v>24978.71692769077</v>
      </c>
      <c r="O67" s="69" cm="1">
        <f t="array" ref="O67">INDEX('Shop Goals'!$E$88:$E$99, COLUMN()-COLUMN($D$3)+1)</f>
        <v>34495.38487170943</v>
      </c>
      <c r="P67" s="68">
        <f t="shared" si="5"/>
        <v>323331.5027134993</v>
      </c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</row>
    <row r="68" spans="1:30">
      <c r="A68" s="757"/>
      <c r="B68" s="579"/>
      <c r="C68" s="229" t="s">
        <v>7</v>
      </c>
      <c r="D68" s="69" cm="1">
        <f t="array" ref="D68">INDEX('Shop Goals'!$G$88:$G$99, COLUMN()-COLUMN($D$3)+1)</f>
        <v>308477.42020113685</v>
      </c>
      <c r="E68" s="69" cm="1">
        <f t="array" ref="E68">INDEX('Shop Goals'!$G$88:$G$99, COLUMN()-COLUMN($D$3)+1)</f>
        <v>351280.50721469172</v>
      </c>
      <c r="F68" s="69" cm="1">
        <f t="array" ref="F68">INDEX('Shop Goals'!$G$88:$G$99, COLUMN()-COLUMN($D$3)+1)</f>
        <v>369040.22683530382</v>
      </c>
      <c r="G68" s="69" cm="1">
        <f t="array" ref="G68">INDEX('Shop Goals'!$G$88:$G$99, COLUMN()-COLUMN($D$3)+1)</f>
        <v>377405.14997813728</v>
      </c>
      <c r="H68" s="69" cm="1">
        <f t="array" ref="H68">INDEX('Shop Goals'!$G$88:$G$99, COLUMN()-COLUMN($D$3)+1)</f>
        <v>428030.87013554876</v>
      </c>
      <c r="I68" s="69" cm="1">
        <f t="array" ref="I68">INDEX('Shop Goals'!$G$88:$G$99, COLUMN()-COLUMN($D$3)+1)</f>
        <v>410171.65107127244</v>
      </c>
      <c r="J68" s="69" cm="1">
        <f t="array" ref="J68">INDEX('Shop Goals'!$G$88:$G$99, COLUMN()-COLUMN($D$3)+1)</f>
        <v>352540.47607918613</v>
      </c>
      <c r="K68" s="69" cm="1">
        <f t="array" ref="K68">INDEX('Shop Goals'!$G$88:$G$99, COLUMN()-COLUMN($D$3)+1)</f>
        <v>392341.40156722575</v>
      </c>
      <c r="L68" s="69" cm="1">
        <f t="array" ref="L68">INDEX('Shop Goals'!$G$88:$G$99, COLUMN()-COLUMN($D$3)+1)</f>
        <v>386260.96108439006</v>
      </c>
      <c r="M68" s="69" cm="1">
        <f t="array" ref="M68">INDEX('Shop Goals'!$G$88:$G$99, COLUMN()-COLUMN($D$3)+1)</f>
        <v>399987.46829908178</v>
      </c>
      <c r="N68" s="69" cm="1">
        <f t="array" ref="N68">INDEX('Shop Goals'!$G$88:$G$99, COLUMN()-COLUMN($D$3)+1)</f>
        <v>310094.55237833381</v>
      </c>
      <c r="O68" s="69" cm="1">
        <f t="array" ref="O68">INDEX('Shop Goals'!$G$88:$G$99, COLUMN()-COLUMN($D$3)+1)</f>
        <v>428237.80588397034</v>
      </c>
      <c r="P68" s="68">
        <f>SUM(D68:O68)</f>
        <v>4513868.4907282786</v>
      </c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</row>
    <row r="69" spans="1:30">
      <c r="A69" s="757"/>
      <c r="B69" s="233" t="s">
        <v>66</v>
      </c>
      <c r="C69" s="229" t="s">
        <v>67</v>
      </c>
      <c r="D69" s="69" cm="1">
        <f t="array" ref="D69">INDEX('Lead Goals'!$J$254:$J$265, COLUMN()-COLUMN($D$3)+1)</f>
        <v>885.61921944638152</v>
      </c>
      <c r="E69" s="69" cm="1">
        <f t="array" ref="E69">INDEX('Lead Goals'!$J$254:$J$265, COLUMN()-COLUMN($D$3)+1)</f>
        <v>1008.5041829102332</v>
      </c>
      <c r="F69" s="69" cm="1">
        <f t="array" ref="F69">INDEX('Lead Goals'!$J$254:$J$265, COLUMN()-COLUMN($D$3)+1)</f>
        <v>1224.9198774493366</v>
      </c>
      <c r="G69" s="69" cm="1">
        <f t="array" ref="G69">INDEX('Lead Goals'!$J$254:$J$265, COLUMN()-COLUMN($D$3)+1)</f>
        <v>1083.5063847485155</v>
      </c>
      <c r="H69" s="69" cm="1">
        <f t="array" ref="H69">INDEX('Lead Goals'!$J$254:$J$265, COLUMN()-COLUMN($D$3)+1)</f>
        <v>1228.8496346385195</v>
      </c>
      <c r="I69" s="69" cm="1">
        <f t="array" ref="I69">INDEX('Lead Goals'!$J$254:$J$265, COLUMN()-COLUMN($D$3)+1)</f>
        <v>1177.5769429863606</v>
      </c>
      <c r="J69" s="69" cm="1">
        <f t="array" ref="J69">INDEX('Lead Goals'!$J$254:$J$265, COLUMN()-COLUMN($D$3)+1)</f>
        <v>1170.1538351469942</v>
      </c>
      <c r="K69" s="69" cm="1">
        <f t="array" ref="K69">INDEX('Lead Goals'!$J$254:$J$265, COLUMN()-COLUMN($D$3)+1)</f>
        <v>1302.2612348992095</v>
      </c>
      <c r="L69" s="69" cm="1">
        <f t="array" ref="L69">INDEX('Lead Goals'!$J$254:$J$265, COLUMN()-COLUMN($D$3)+1)</f>
        <v>1108.9308599479332</v>
      </c>
      <c r="M69" s="69" cm="1">
        <f t="array" ref="M69">INDEX('Lead Goals'!$J$254:$J$265, COLUMN()-COLUMN($D$3)+1)</f>
        <v>1148.3387965070303</v>
      </c>
      <c r="N69" s="69" cm="1">
        <f t="array" ref="N69">INDEX('Lead Goals'!$J$254:$J$265, COLUMN()-COLUMN($D$3)+1)</f>
        <v>1029.2671461707396</v>
      </c>
      <c r="O69" s="69" cm="1">
        <f t="array" ref="O69">INDEX('Lead Goals'!$J$254:$J$265, COLUMN()-COLUMN($D$3)+1)</f>
        <v>1421.4087315111756</v>
      </c>
      <c r="P69" s="68">
        <f t="shared" ref="P69" si="6">SUM(D69:O69)</f>
        <v>13789.33684636243</v>
      </c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</row>
    <row r="70" spans="1:30">
      <c r="D70" s="257"/>
      <c r="E70" s="257"/>
      <c r="F70" s="257"/>
      <c r="G70" s="257"/>
      <c r="H70" s="257"/>
      <c r="I70" s="257"/>
    </row>
    <row r="71" spans="1:30">
      <c r="A71" s="762" t="s">
        <v>320</v>
      </c>
      <c r="B71" s="763"/>
      <c r="C71" s="763"/>
      <c r="D71" s="763"/>
      <c r="E71" s="763"/>
      <c r="F71" s="763"/>
      <c r="G71" s="763"/>
      <c r="H71" s="763"/>
      <c r="I71" s="763"/>
      <c r="J71" s="763"/>
      <c r="K71" s="763"/>
      <c r="L71" s="763"/>
      <c r="M71" s="763"/>
      <c r="N71" s="763"/>
      <c r="O71" s="763"/>
      <c r="P71" s="764"/>
      <c r="R71" s="761" t="s">
        <v>321</v>
      </c>
      <c r="S71" s="761"/>
      <c r="T71" s="761"/>
      <c r="U71" s="761"/>
      <c r="V71" s="761"/>
      <c r="W71" s="761"/>
      <c r="X71" s="761"/>
      <c r="Y71" s="761"/>
      <c r="Z71" s="761"/>
      <c r="AA71" s="761"/>
      <c r="AB71" s="761"/>
      <c r="AC71" s="761"/>
      <c r="AD71" s="761"/>
    </row>
    <row r="72" spans="1:30">
      <c r="A72" s="758" t="s">
        <v>95</v>
      </c>
      <c r="B72" s="759"/>
      <c r="C72" s="760"/>
      <c r="D72" s="234" t="s">
        <v>252</v>
      </c>
      <c r="E72" s="234" t="s">
        <v>253</v>
      </c>
      <c r="F72" s="234" t="s">
        <v>230</v>
      </c>
      <c r="G72" s="234" t="s">
        <v>254</v>
      </c>
      <c r="H72" s="234" t="s">
        <v>78</v>
      </c>
      <c r="I72" s="234" t="s">
        <v>255</v>
      </c>
      <c r="J72" s="234" t="s">
        <v>256</v>
      </c>
      <c r="K72" s="234" t="s">
        <v>236</v>
      </c>
      <c r="L72" s="234" t="s">
        <v>257</v>
      </c>
      <c r="M72" s="234" t="s">
        <v>258</v>
      </c>
      <c r="N72" s="234" t="s">
        <v>259</v>
      </c>
      <c r="O72" s="234" t="s">
        <v>260</v>
      </c>
      <c r="P72" s="234" t="s">
        <v>24</v>
      </c>
      <c r="R72" s="234" t="s">
        <v>252</v>
      </c>
      <c r="S72" s="234" t="s">
        <v>253</v>
      </c>
      <c r="T72" s="234" t="s">
        <v>230</v>
      </c>
      <c r="U72" s="234" t="s">
        <v>254</v>
      </c>
      <c r="V72" s="234" t="s">
        <v>78</v>
      </c>
      <c r="W72" s="234" t="s">
        <v>255</v>
      </c>
      <c r="X72" s="234" t="s">
        <v>256</v>
      </c>
      <c r="Y72" s="234" t="s">
        <v>236</v>
      </c>
      <c r="Z72" s="234" t="s">
        <v>257</v>
      </c>
      <c r="AA72" s="234" t="s">
        <v>258</v>
      </c>
      <c r="AB72" s="234" t="s">
        <v>259</v>
      </c>
      <c r="AC72" s="234" t="s">
        <v>260</v>
      </c>
      <c r="AD72" s="234" t="s">
        <v>24</v>
      </c>
    </row>
    <row r="73" spans="1:30">
      <c r="A73" s="757" t="s">
        <v>42</v>
      </c>
      <c r="B73" s="579" t="s">
        <v>43</v>
      </c>
      <c r="C73" s="229" t="s">
        <v>44</v>
      </c>
      <c r="D73" s="69" cm="1">
        <f t="array" ref="D73">INDEX('Consideration Goals'!$D$96:$D$107, COLUMN()-COLUMN($D$3)+1)</f>
        <v>0</v>
      </c>
      <c r="E73" s="69" cm="1">
        <f t="array" ref="E73">INDEX('Consideration Goals'!$D$96:$D$107, COLUMN()-COLUMN($D$3)+1)</f>
        <v>0</v>
      </c>
      <c r="F73" s="69" cm="1">
        <f t="array" ref="F73">INDEX('Consideration Goals'!$D$96:$D$107, COLUMN()-COLUMN($D$3)+1)</f>
        <v>0</v>
      </c>
      <c r="G73" s="69" cm="1">
        <f t="array" ref="G73">INDEX('Consideration Goals'!$D$96:$D$107, COLUMN()-COLUMN($D$3)+1)</f>
        <v>0</v>
      </c>
      <c r="H73" s="69" cm="1">
        <f t="array" ref="H73">INDEX('Consideration Goals'!$D$96:$D$107, COLUMN()-COLUMN($D$3)+1)</f>
        <v>0</v>
      </c>
      <c r="I73" s="69" cm="1">
        <f t="array" ref="I73">INDEX('Consideration Goals'!$D$96:$D$107, COLUMN()-COLUMN($D$3)+1)</f>
        <v>0</v>
      </c>
      <c r="J73" s="69" cm="1">
        <f t="array" ref="J73">INDEX('Consideration Goals'!$D$96:$D$107, COLUMN()-COLUMN($D$3)+1)</f>
        <v>0</v>
      </c>
      <c r="K73" s="69" cm="1">
        <f t="array" ref="K73">INDEX('Consideration Goals'!$D$96:$D$107, COLUMN()-COLUMN($D$3)+1)</f>
        <v>0</v>
      </c>
      <c r="L73" s="69" cm="1">
        <f t="array" ref="L73">INDEX('Consideration Goals'!$D$96:$D$107, COLUMN()-COLUMN($D$3)+1)</f>
        <v>0</v>
      </c>
      <c r="M73" s="69" cm="1">
        <f t="array" ref="M73">INDEX('Consideration Goals'!$D$96:$D$107, COLUMN()-COLUMN($D$3)+1)</f>
        <v>0</v>
      </c>
      <c r="N73" s="69" cm="1">
        <f t="array" ref="N73">INDEX('Consideration Goals'!$D$96:$D$107, COLUMN()-COLUMN($D$3)+1)</f>
        <v>0</v>
      </c>
      <c r="O73" s="69" cm="1">
        <f t="array" ref="O73">INDEX('Consideration Goals'!$D$96:$D$107, COLUMN()-COLUMN($D$3)+1)</f>
        <v>0</v>
      </c>
      <c r="P73" s="68">
        <f>SUM(D73:O73)</f>
        <v>0</v>
      </c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</row>
    <row r="74" spans="1:30">
      <c r="A74" s="757"/>
      <c r="B74" s="579"/>
      <c r="C74" s="229" t="s">
        <v>46</v>
      </c>
      <c r="D74" s="69" cm="1">
        <f t="array" ref="D74">INDEX('Consideration Goals'!$E$96:$E$107, COLUMN()-COLUMN($D$3)+1)</f>
        <v>12425.230288836845</v>
      </c>
      <c r="E74" s="69" cm="1">
        <f t="array" ref="E74">INDEX('Consideration Goals'!$E$96:$E$107, COLUMN()-COLUMN($D$3)+1)</f>
        <v>18637.845433255268</v>
      </c>
      <c r="F74" s="69" cm="1">
        <f t="array" ref="F74">INDEX('Consideration Goals'!$E$96:$E$107, COLUMN()-COLUMN($D$3)+1)</f>
        <v>18862.743710691826</v>
      </c>
      <c r="G74" s="69" cm="1">
        <f t="array" ref="G74">INDEX('Consideration Goals'!$E$96:$E$107, COLUMN()-COLUMN($D$3)+1)</f>
        <v>11182.707259953162</v>
      </c>
      <c r="H74" s="69" cm="1">
        <f t="array" ref="H74">INDEX('Consideration Goals'!$E$96:$E$107, COLUMN()-COLUMN($D$3)+1)</f>
        <v>11182.707259953162</v>
      </c>
      <c r="I74" s="69" cm="1">
        <f t="array" ref="I74">INDEX('Consideration Goals'!$E$96:$E$107, COLUMN()-COLUMN($D$3)+1)</f>
        <v>11182.707259953162</v>
      </c>
      <c r="J74" s="69" cm="1">
        <f t="array" ref="J74">INDEX('Consideration Goals'!$E$96:$E$107, COLUMN()-COLUMN($D$3)+1)</f>
        <v>35569.74528301887</v>
      </c>
      <c r="K74" s="69" cm="1">
        <f t="array" ref="K74">INDEX('Consideration Goals'!$E$96:$E$107, COLUMN()-COLUMN($D$3)+1)</f>
        <v>64672.264150943403</v>
      </c>
      <c r="L74" s="69" cm="1">
        <f t="array" ref="L74">INDEX('Consideration Goals'!$E$96:$E$107, COLUMN()-COLUMN($D$3)+1)</f>
        <v>74551.381733021073</v>
      </c>
      <c r="M74" s="69" cm="1">
        <f t="array" ref="M74">INDEX('Consideration Goals'!$E$96:$E$107, COLUMN()-COLUMN($D$3)+1)</f>
        <v>90082.919594067134</v>
      </c>
      <c r="N74" s="69" cm="1">
        <f t="array" ref="N74">INDEX('Consideration Goals'!$E$96:$E$107, COLUMN()-COLUMN($D$3)+1)</f>
        <v>59282.908805031446</v>
      </c>
      <c r="O74" s="69" cm="1">
        <f t="array" ref="O74">INDEX('Consideration Goals'!$E$96:$E$107, COLUMN()-COLUMN($D$3)+1)</f>
        <v>59282.908805031446</v>
      </c>
      <c r="P74" s="68">
        <f>SUM(D74:O74)</f>
        <v>466916.06958375679</v>
      </c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</row>
    <row r="75" spans="1:30">
      <c r="A75" s="757" t="s">
        <v>48</v>
      </c>
      <c r="B75" s="579" t="s">
        <v>49</v>
      </c>
      <c r="C75" s="230" t="s">
        <v>50</v>
      </c>
      <c r="D75" s="231" cm="1">
        <f t="array" ref="D75">INDEX('Research Goals'!$G$102:$G$113, COLUMN()-COLUMN($D$3)+1)</f>
        <v>2913.9734582357532</v>
      </c>
      <c r="E75" s="231" cm="1">
        <f t="array" ref="E75">INDEX('Research Goals'!$G$102:$G$113, COLUMN()-COLUMN($D$3)+1)</f>
        <v>4370.9601873536303</v>
      </c>
      <c r="F75" s="231" cm="1">
        <f t="array" ref="F75">INDEX('Research Goals'!$G$102:$G$113, COLUMN()-COLUMN($D$3)+1)</f>
        <v>4905.117924528302</v>
      </c>
      <c r="G75" s="231" cm="1">
        <f t="array" ref="G75">INDEX('Research Goals'!$G$102:$G$113, COLUMN()-COLUMN($D$3)+1)</f>
        <v>2503.4051522248242</v>
      </c>
      <c r="H75" s="231" cm="1">
        <f t="array" ref="H75">INDEX('Research Goals'!$G$102:$G$113, COLUMN()-COLUMN($D$3)+1)</f>
        <v>2503.4051522248242</v>
      </c>
      <c r="I75" s="231" cm="1">
        <f t="array" ref="I75">INDEX('Research Goals'!$G$102:$G$113, COLUMN()-COLUMN($D$3)+1)</f>
        <v>2503.4051522248242</v>
      </c>
      <c r="J75" s="231" cm="1">
        <f t="array" ref="J75">INDEX('Research Goals'!$G$102:$G$113, COLUMN()-COLUMN($D$3)+1)</f>
        <v>9161.5471698113215</v>
      </c>
      <c r="K75" s="231" cm="1">
        <f t="array" ref="K75">INDEX('Research Goals'!$G$102:$G$113, COLUMN()-COLUMN($D$3)+1)</f>
        <v>16657.358490566039</v>
      </c>
      <c r="L75" s="231" cm="1">
        <f t="array" ref="L75">INDEX('Research Goals'!$G$102:$G$113, COLUMN()-COLUMN($D$3)+1)</f>
        <v>16689.367681498828</v>
      </c>
      <c r="M75" s="231" cm="1">
        <f t="array" ref="M75">INDEX('Research Goals'!$G$102:$G$113, COLUMN()-COLUMN($D$3)+1)</f>
        <v>20166.319281811087</v>
      </c>
      <c r="N75" s="231" cm="1">
        <f t="array" ref="N75">INDEX('Research Goals'!$G$102:$G$113, COLUMN()-COLUMN($D$3)+1)</f>
        <v>15269.245283018869</v>
      </c>
      <c r="O75" s="231" cm="1">
        <f t="array" ref="O75">INDEX('Research Goals'!$G$102:$G$113, COLUMN()-COLUMN($D$3)+1)</f>
        <v>15269.245283018869</v>
      </c>
      <c r="P75" s="232">
        <f>SUM(D75:O75)</f>
        <v>112913.35021651717</v>
      </c>
      <c r="Q75" s="47"/>
      <c r="R75" s="231" cm="1">
        <f t="array" ref="R75">INDEX('Research Goals'!$L$102:$L$113, COLUMN()-COLUMN($R$3)+1)</f>
        <v>1927.84204460808</v>
      </c>
      <c r="S75" s="231" cm="1">
        <f t="array" ref="S75">INDEX('Research Goals'!$L$102:$L$113, COLUMN()-COLUMN($R$3)+1)</f>
        <v>2891.7630669121199</v>
      </c>
      <c r="T75" s="231" cm="1">
        <f t="array" ref="T75">INDEX('Research Goals'!$L$102:$L$113, COLUMN()-COLUMN($R$3)+1)</f>
        <v>3322.9206322019986</v>
      </c>
      <c r="U75" s="231" cm="1">
        <f t="array" ref="U75">INDEX('Research Goals'!$L$102:$L$113, COLUMN()-COLUMN($R$3)+1)</f>
        <v>1705.4307777519864</v>
      </c>
      <c r="V75" s="231" cm="1">
        <f t="array" ref="V75">INDEX('Research Goals'!$L$102:$L$113, COLUMN()-COLUMN($R$3)+1)</f>
        <v>1705.4307777519864</v>
      </c>
      <c r="W75" s="231" cm="1">
        <f t="array" ref="W75">INDEX('Research Goals'!$L$102:$L$113, COLUMN()-COLUMN($R$3)+1)</f>
        <v>1705.4307777519864</v>
      </c>
      <c r="X75" s="231" cm="1">
        <f t="array" ref="X75">INDEX('Research Goals'!$L$102:$L$113, COLUMN()-COLUMN($R$3)+1)</f>
        <v>6244.175449478772</v>
      </c>
      <c r="Y75" s="231" cm="1">
        <f t="array" ref="Y75">INDEX('Research Goals'!$L$102:$L$113, COLUMN()-COLUMN($R$3)+1)</f>
        <v>11353.046271779584</v>
      </c>
      <c r="Z75" s="231" cm="1">
        <f t="array" ref="Z75">INDEX('Research Goals'!$L$102:$L$113, COLUMN()-COLUMN($R$3)+1)</f>
        <v>11369.538518346575</v>
      </c>
      <c r="AA75" s="231" cm="1">
        <f t="array" ref="AA75">INDEX('Research Goals'!$L$102:$L$113, COLUMN()-COLUMN($R$3)+1)</f>
        <v>13738.192376335446</v>
      </c>
      <c r="AB75" s="231" cm="1">
        <f t="array" ref="AB75">INDEX('Research Goals'!$L$102:$L$113, COLUMN()-COLUMN($R$3)+1)</f>
        <v>10406.959082464618</v>
      </c>
      <c r="AC75" s="231" cm="1">
        <f t="array" ref="AC75">INDEX('Research Goals'!$L$102:$L$113, COLUMN()-COLUMN($R$3)+1)</f>
        <v>10406.959082464618</v>
      </c>
      <c r="AD75" s="232">
        <f>SUM(R75:AC75)</f>
        <v>76777.688857847766</v>
      </c>
    </row>
    <row r="76" spans="1:30">
      <c r="A76" s="757"/>
      <c r="B76" s="579"/>
      <c r="C76" s="229" t="s">
        <v>52</v>
      </c>
      <c r="D76" s="69" cm="1">
        <f t="array" ref="D76">INDEX('Research Goals'!$D$102:$D$113, COLUMN()-COLUMN($D$3)+1)</f>
        <v>2393.4894613583137</v>
      </c>
      <c r="E76" s="69" cm="1">
        <f t="array" ref="E76">INDEX('Research Goals'!$D$102:$D$113, COLUMN()-COLUMN($D$3)+1)</f>
        <v>3590.2341920374706</v>
      </c>
      <c r="F76" s="69" cm="1">
        <f t="array" ref="F76">INDEX('Research Goals'!$D$102:$D$113, COLUMN()-COLUMN($D$3)+1)</f>
        <v>4183.6556603773588</v>
      </c>
      <c r="G76" s="69" cm="1">
        <f t="array" ref="G76">INDEX('Research Goals'!$D$102:$D$113, COLUMN()-COLUMN($D$3)+1)</f>
        <v>2154.1405152224825</v>
      </c>
      <c r="H76" s="69" cm="1">
        <f t="array" ref="H76">INDEX('Research Goals'!$D$102:$D$113, COLUMN()-COLUMN($D$3)+1)</f>
        <v>2154.1405152224825</v>
      </c>
      <c r="I76" s="69" cm="1">
        <f t="array" ref="I76">INDEX('Research Goals'!$D$102:$D$113, COLUMN()-COLUMN($D$3)+1)</f>
        <v>2154.1405152224825</v>
      </c>
      <c r="J76" s="69" cm="1">
        <f t="array" ref="J76">INDEX('Research Goals'!$D$102:$D$113, COLUMN()-COLUMN($D$3)+1)</f>
        <v>7889.1792452830196</v>
      </c>
      <c r="K76" s="69" cm="1">
        <f t="array" ref="K76">INDEX('Research Goals'!$D$102:$D$113, COLUMN()-COLUMN($D$3)+1)</f>
        <v>14343.962264150945</v>
      </c>
      <c r="L76" s="69" cm="1">
        <f t="array" ref="L76">INDEX('Research Goals'!$D$102:$D$113, COLUMN()-COLUMN($D$3)+1)</f>
        <v>14360.936768149882</v>
      </c>
      <c r="M76" s="69" cm="1">
        <f t="array" ref="M76">INDEX('Research Goals'!$D$102:$D$113, COLUMN()-COLUMN($D$3)+1)</f>
        <v>17352.798594847776</v>
      </c>
      <c r="N76" s="69" cm="1">
        <f t="array" ref="N76">INDEX('Research Goals'!$D$102:$D$113, COLUMN()-COLUMN($D$3)+1)</f>
        <v>13148.632075471698</v>
      </c>
      <c r="O76" s="69" cm="1">
        <f t="array" ref="O76">INDEX('Research Goals'!$D$102:$D$113, COLUMN()-COLUMN($D$3)+1)</f>
        <v>13148.632075471698</v>
      </c>
      <c r="P76" s="68">
        <f>SUM(D76:O76)</f>
        <v>96873.941882815619</v>
      </c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</row>
    <row r="77" spans="1:30">
      <c r="A77" s="757"/>
      <c r="B77" s="579"/>
      <c r="C77" s="229" t="s">
        <v>14</v>
      </c>
      <c r="D77" s="69" cm="1">
        <f t="array" ref="D77">INDEX('Research Goals'!$F$102:$F$113, COLUMN()-COLUMN($D$3)+1)</f>
        <v>520.48399687743949</v>
      </c>
      <c r="E77" s="69" cm="1">
        <f t="array" ref="E77">INDEX('Research Goals'!$F$102:$F$113, COLUMN()-COLUMN($D$3)+1)</f>
        <v>780.72599531615924</v>
      </c>
      <c r="F77" s="69" cm="1">
        <f t="array" ref="F77">INDEX('Research Goals'!$F$102:$F$113, COLUMN()-COLUMN($D$3)+1)</f>
        <v>721.46226415094338</v>
      </c>
      <c r="G77" s="69" cm="1">
        <f t="array" ref="G77">INDEX('Research Goals'!$F$102:$F$113, COLUMN()-COLUMN($D$3)+1)</f>
        <v>349.26463700234189</v>
      </c>
      <c r="H77" s="69" cm="1">
        <f t="array" ref="H77">INDEX('Research Goals'!$F$102:$F$113, COLUMN()-COLUMN($D$3)+1)</f>
        <v>349.26463700234189</v>
      </c>
      <c r="I77" s="69" cm="1">
        <f t="array" ref="I77">INDEX('Research Goals'!$F$102:$F$113, COLUMN()-COLUMN($D$3)+1)</f>
        <v>349.26463700234189</v>
      </c>
      <c r="J77" s="69" cm="1">
        <f t="array" ref="J77">INDEX('Research Goals'!$F$102:$F$113, COLUMN()-COLUMN($D$3)+1)</f>
        <v>1272.367924528302</v>
      </c>
      <c r="K77" s="69" cm="1">
        <f t="array" ref="K77">INDEX('Research Goals'!$F$102:$F$113, COLUMN()-COLUMN($D$3)+1)</f>
        <v>2313.3962264150946</v>
      </c>
      <c r="L77" s="69" cm="1">
        <f t="array" ref="L77">INDEX('Research Goals'!$F$102:$F$113, COLUMN()-COLUMN($D$3)+1)</f>
        <v>2328.430913348946</v>
      </c>
      <c r="M77" s="69" cm="1">
        <f t="array" ref="M77">INDEX('Research Goals'!$F$102:$F$113, COLUMN()-COLUMN($D$3)+1)</f>
        <v>2813.5206869633098</v>
      </c>
      <c r="N77" s="69" cm="1">
        <f t="array" ref="N77">INDEX('Research Goals'!$F$102:$F$113, COLUMN()-COLUMN($D$3)+1)</f>
        <v>2120.6132075471701</v>
      </c>
      <c r="O77" s="69" cm="1">
        <f t="array" ref="O77">INDEX('Research Goals'!$F$102:$F$113, COLUMN()-COLUMN($D$3)+1)</f>
        <v>2120.6132075471701</v>
      </c>
      <c r="P77" s="68">
        <f>SUM(D77:O77)</f>
        <v>16039.40833370156</v>
      </c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</row>
    <row r="78" spans="1:30">
      <c r="A78" s="757"/>
      <c r="B78" s="233" t="s">
        <v>43</v>
      </c>
      <c r="C78" s="229" t="s">
        <v>55</v>
      </c>
      <c r="D78" s="69" cm="1">
        <f t="array" ref="D78">INDEX('Research Goals'!$E$102:$E$113, COLUMN()-COLUMN($D$3)+1)</f>
        <v>1433.3645589383293</v>
      </c>
      <c r="E78" s="69" cm="1">
        <f t="array" ref="E78">INDEX('Research Goals'!$E$102:$E$113, COLUMN()-COLUMN($D$3)+1)</f>
        <v>2150.0468384074939</v>
      </c>
      <c r="F78" s="69" cm="1">
        <f t="array" ref="F78">INDEX('Research Goals'!$E$102:$E$113, COLUMN()-COLUMN($D$3)+1)</f>
        <v>2623.5141509433965</v>
      </c>
      <c r="G78" s="69" cm="1">
        <f t="array" ref="G78">INDEX('Research Goals'!$E$102:$E$113, COLUMN()-COLUMN($D$3)+1)</f>
        <v>1290.0281030444964</v>
      </c>
      <c r="H78" s="69" cm="1">
        <f t="array" ref="H78">INDEX('Research Goals'!$E$102:$E$113, COLUMN()-COLUMN($D$3)+1)</f>
        <v>1290.0281030444964</v>
      </c>
      <c r="I78" s="69" cm="1">
        <f t="array" ref="I78">INDEX('Research Goals'!$E$102:$E$113, COLUMN()-COLUMN($D$3)+1)</f>
        <v>1290.0281030444964</v>
      </c>
      <c r="J78" s="69" cm="1">
        <f t="array" ref="J78">INDEX('Research Goals'!$E$102:$E$113, COLUMN()-COLUMN($D$3)+1)</f>
        <v>4947.198113207548</v>
      </c>
      <c r="K78" s="69" cm="1">
        <f t="array" ref="K78">INDEX('Research Goals'!$E$102:$E$113, COLUMN()-COLUMN($D$3)+1)</f>
        <v>8994.9056603773588</v>
      </c>
      <c r="L78" s="69" cm="1">
        <f t="array" ref="L78">INDEX('Research Goals'!$E$102:$E$113, COLUMN()-COLUMN($D$3)+1)</f>
        <v>8600.1873536299754</v>
      </c>
      <c r="M78" s="69" cm="1">
        <f t="array" ref="M78">INDEX('Research Goals'!$E$102:$E$113, COLUMN()-COLUMN($D$3)+1)</f>
        <v>10391.893052302888</v>
      </c>
      <c r="N78" s="69" cm="1">
        <f t="array" ref="N78">INDEX('Research Goals'!$E$102:$E$113, COLUMN()-COLUMN($D$3)+1)</f>
        <v>8245.3301886792451</v>
      </c>
      <c r="O78" s="69" cm="1">
        <f t="array" ref="O78">INDEX('Research Goals'!$E$102:$E$113, COLUMN()-COLUMN($D$3)+1)</f>
        <v>8245.3301886792451</v>
      </c>
      <c r="P78" s="68">
        <f t="shared" ref="P78:P81" si="7">SUM(D78:O78)</f>
        <v>59501.854414298978</v>
      </c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</row>
    <row r="79" spans="1:30">
      <c r="A79" s="757" t="s">
        <v>57</v>
      </c>
      <c r="B79" s="579" t="s">
        <v>49</v>
      </c>
      <c r="C79" s="230" t="s">
        <v>58</v>
      </c>
      <c r="D79" s="231" cm="1">
        <f t="array" ref="D79">INDEX('Shop Goals'!$H$108:$H$119, COLUMN()-COLUMN($D$3)+1)</f>
        <v>4463.53106488497</v>
      </c>
      <c r="E79" s="231" cm="1">
        <f t="array" ref="E79">INDEX('Shop Goals'!$H$108:$H$119, COLUMN()-COLUMN($D$3)+1)</f>
        <v>6695.2965973274559</v>
      </c>
      <c r="F79" s="231" cm="1">
        <f t="array" ref="F79">INDEX('Shop Goals'!$H$108:$H$119, COLUMN()-COLUMN($D$3)+1)</f>
        <v>7225.701040988939</v>
      </c>
      <c r="G79" s="231" cm="1">
        <f t="array" ref="G79">INDEX('Shop Goals'!$H$108:$H$119, COLUMN()-COLUMN($D$3)+1)</f>
        <v>4017.1779583964735</v>
      </c>
      <c r="H79" s="231" cm="1">
        <f t="array" ref="H79">INDEX('Shop Goals'!$H$108:$H$119, COLUMN()-COLUMN($D$3)+1)</f>
        <v>4017.1779583964735</v>
      </c>
      <c r="I79" s="231" cm="1">
        <f t="array" ref="I79">INDEX('Shop Goals'!$H$108:$H$119, COLUMN()-COLUMN($D$3)+1)</f>
        <v>4017.1779583964735</v>
      </c>
      <c r="J79" s="231" cm="1">
        <f t="array" ref="J79">INDEX('Shop Goals'!$H$108:$H$119, COLUMN()-COLUMN($D$3)+1)</f>
        <v>13625.607677293428</v>
      </c>
      <c r="K79" s="231" cm="1">
        <f t="array" ref="K79">INDEX('Shop Goals'!$H$108:$H$119, COLUMN()-COLUMN($D$3)+1)</f>
        <v>24773.832140533505</v>
      </c>
      <c r="L79" s="231" cm="1">
        <f t="array" ref="L79">INDEX('Shop Goals'!$H$108:$H$119, COLUMN()-COLUMN($D$3)+1)</f>
        <v>26781.186389309823</v>
      </c>
      <c r="M79" s="231" cm="1">
        <f t="array" ref="M79">INDEX('Shop Goals'!$H$108:$H$119, COLUMN()-COLUMN($D$3)+1)</f>
        <v>32360.600220416032</v>
      </c>
      <c r="N79" s="231" cm="1">
        <f t="array" ref="N79">INDEX('Shop Goals'!$H$108:$H$119, COLUMN()-COLUMN($D$3)+1)</f>
        <v>22709.346128822381</v>
      </c>
      <c r="O79" s="231" cm="1">
        <f t="array" ref="O79">INDEX('Shop Goals'!$H$108:$H$119, COLUMN()-COLUMN($D$3)+1)</f>
        <v>22709.346128822381</v>
      </c>
      <c r="P79" s="232">
        <f t="shared" si="7"/>
        <v>173395.98126358836</v>
      </c>
      <c r="Q79" s="47"/>
      <c r="R79" s="231" cm="1">
        <f t="array" ref="R79">INDEX('Shop Goals'!$N$108:$N$119, COLUMN()-COLUMN($R$2)+1)</f>
        <v>1807.8026254610395</v>
      </c>
      <c r="S79" s="231" cm="1">
        <f t="array" ref="S79">INDEX('Shop Goals'!$N$108:$N$119, COLUMN()-COLUMN($R$2)+1)</f>
        <v>2711.7039381915592</v>
      </c>
      <c r="T79" s="231" cm="1">
        <f t="array" ref="T79">INDEX('Shop Goals'!$N$108:$N$119, COLUMN()-COLUMN($R$2)+1)</f>
        <v>2912.6894368479238</v>
      </c>
      <c r="U79" s="231" cm="1">
        <f t="array" ref="U79">INDEX('Shop Goals'!$N$108:$N$119, COLUMN()-COLUMN($R$2)+1)</f>
        <v>1627.0223629149357</v>
      </c>
      <c r="V79" s="231" cm="1">
        <f t="array" ref="V79">INDEX('Shop Goals'!$N$108:$N$119, COLUMN()-COLUMN($R$2)+1)</f>
        <v>1627.0223629149357</v>
      </c>
      <c r="W79" s="231" cm="1">
        <f t="array" ref="W79">INDEX('Shop Goals'!$N$108:$N$119, COLUMN()-COLUMN($R$2)+1)</f>
        <v>1627.0223629149357</v>
      </c>
      <c r="X79" s="231" cm="1">
        <f t="array" ref="X79">INDEX('Shop Goals'!$N$108:$N$119, COLUMN()-COLUMN($R$2)+1)</f>
        <v>5492.500080913228</v>
      </c>
      <c r="Y79" s="231" cm="1">
        <f t="array" ref="Y79">INDEX('Shop Goals'!$N$108:$N$119, COLUMN()-COLUMN($R$2)+1)</f>
        <v>9986.3637834785986</v>
      </c>
      <c r="Z79" s="231" cm="1">
        <f t="array" ref="Z79">INDEX('Shop Goals'!$N$108:$N$119, COLUMN()-COLUMN($R$2)+1)</f>
        <v>10846.815752766237</v>
      </c>
      <c r="AA79" s="231" cm="1">
        <f t="array" ref="AA79">INDEX('Shop Goals'!$N$108:$N$119, COLUMN()-COLUMN($R$2)+1)</f>
        <v>13106.569034592538</v>
      </c>
      <c r="AB79" s="231" cm="1">
        <f t="array" ref="AB79">INDEX('Shop Goals'!$N$108:$N$119, COLUMN()-COLUMN($R$2)+1)</f>
        <v>9154.1668015220475</v>
      </c>
      <c r="AC79" s="231" cm="1">
        <f t="array" ref="AC79">INDEX('Shop Goals'!$N$108:$N$119, COLUMN()-COLUMN($R$2)+1)</f>
        <v>9154.1668015220475</v>
      </c>
      <c r="AD79" s="232">
        <f>SUM(R79:AC79)</f>
        <v>70053.845344040034</v>
      </c>
    </row>
    <row r="80" spans="1:30">
      <c r="A80" s="757"/>
      <c r="B80" s="579"/>
      <c r="C80" s="229" t="s">
        <v>60</v>
      </c>
      <c r="D80" s="69" cm="1">
        <f t="array" ref="D80">INDEX('Shop Goals'!$D$108:$D$119, COLUMN()-COLUMN($D$3)+1)</f>
        <v>87.291178766588601</v>
      </c>
      <c r="E80" s="69" cm="1">
        <f t="array" ref="E80">INDEX('Shop Goals'!$D$108:$D$119, COLUMN()-COLUMN($D$3)+1)</f>
        <v>130.93676814988291</v>
      </c>
      <c r="F80" s="69" cm="1">
        <f t="array" ref="F80">INDEX('Shop Goals'!$D$108:$D$119, COLUMN()-COLUMN($D$3)+1)</f>
        <v>177.14622641509433</v>
      </c>
      <c r="G80" s="69" cm="1">
        <f t="array" ref="G80">INDEX('Shop Goals'!$D$108:$D$119, COLUMN()-COLUMN($D$3)+1)</f>
        <v>78.562060889929739</v>
      </c>
      <c r="H80" s="69" cm="1">
        <f t="array" ref="H80">INDEX('Shop Goals'!$D$108:$D$119, COLUMN()-COLUMN($D$3)+1)</f>
        <v>78.562060889929739</v>
      </c>
      <c r="I80" s="69" cm="1">
        <f t="array" ref="I80">INDEX('Shop Goals'!$D$108:$D$119, COLUMN()-COLUMN($D$3)+1)</f>
        <v>78.562060889929739</v>
      </c>
      <c r="J80" s="69" cm="1">
        <f t="array" ref="J80">INDEX('Shop Goals'!$D$108:$D$119, COLUMN()-COLUMN($D$3)+1)</f>
        <v>334.04716981132071</v>
      </c>
      <c r="K80" s="69" cm="1">
        <f t="array" ref="K80">INDEX('Shop Goals'!$D$108:$D$119, COLUMN()-COLUMN($D$3)+1)</f>
        <v>607.35849056603774</v>
      </c>
      <c r="L80" s="69" cm="1">
        <f t="array" ref="L80">INDEX('Shop Goals'!$D$108:$D$119, COLUMN()-COLUMN($D$3)+1)</f>
        <v>523.74707259953163</v>
      </c>
      <c r="M80" s="69" cm="1">
        <f t="array" ref="M80">INDEX('Shop Goals'!$D$108:$D$119, COLUMN()-COLUMN($D$3)+1)</f>
        <v>632.86104605776734</v>
      </c>
      <c r="N80" s="69" cm="1">
        <f t="array" ref="N80">INDEX('Shop Goals'!$D$108:$D$119, COLUMN()-COLUMN($D$3)+1)</f>
        <v>556.74528301886789</v>
      </c>
      <c r="O80" s="69" cm="1">
        <f t="array" ref="O80">INDEX('Shop Goals'!$D$108:$D$119, COLUMN()-COLUMN($D$3)+1)</f>
        <v>556.74528301886789</v>
      </c>
      <c r="P80" s="68">
        <f t="shared" si="7"/>
        <v>3842.5647010737484</v>
      </c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</row>
    <row r="81" spans="1:30">
      <c r="A81" s="757"/>
      <c r="B81" s="579"/>
      <c r="C81" s="229" t="s">
        <v>203</v>
      </c>
      <c r="D81" s="69" cm="1">
        <f t="array" ref="D81">INDEX('Shop Goals'!$E$108:$E$119, COLUMN()-COLUMN($D$3)+1)</f>
        <v>422.35753317720531</v>
      </c>
      <c r="E81" s="69" cm="1">
        <f t="array" ref="E81">INDEX('Shop Goals'!$E$108:$E$119, COLUMN()-COLUMN($D$3)+1)</f>
        <v>633.53629976580794</v>
      </c>
      <c r="F81" s="69" cm="1">
        <f t="array" ref="F81">INDEX('Shop Goals'!$E$108:$E$119, COLUMN()-COLUMN($D$3)+1)</f>
        <v>745.2358490566038</v>
      </c>
      <c r="G81" s="69" cm="1">
        <f t="array" ref="G81">INDEX('Shop Goals'!$E$108:$E$119, COLUMN()-COLUMN($D$3)+1)</f>
        <v>380.12177985948477</v>
      </c>
      <c r="H81" s="69" cm="1">
        <f t="array" ref="H81">INDEX('Shop Goals'!$E$108:$E$119, COLUMN()-COLUMN($D$3)+1)</f>
        <v>380.12177985948477</v>
      </c>
      <c r="I81" s="69" cm="1">
        <f t="array" ref="I81">INDEX('Shop Goals'!$E$108:$E$119, COLUMN()-COLUMN($D$3)+1)</f>
        <v>380.12177985948477</v>
      </c>
      <c r="J81" s="69" cm="1">
        <f t="array" ref="J81">INDEX('Shop Goals'!$E$108:$E$119, COLUMN()-COLUMN($D$3)+1)</f>
        <v>1405.3018867924529</v>
      </c>
      <c r="K81" s="69" cm="1">
        <f t="array" ref="K81">INDEX('Shop Goals'!$E$108:$E$119, COLUMN()-COLUMN($D$3)+1)</f>
        <v>2555.0943396226417</v>
      </c>
      <c r="L81" s="69" cm="1">
        <f t="array" ref="L81">INDEX('Shop Goals'!$E$108:$E$119, COLUMN()-COLUMN($D$3)+1)</f>
        <v>2534.1451990632318</v>
      </c>
      <c r="M81" s="69" cm="1">
        <f t="array" ref="M81">INDEX('Shop Goals'!$E$108:$E$119, COLUMN()-COLUMN($D$3)+1)</f>
        <v>3062.0921155347382</v>
      </c>
      <c r="N81" s="69" cm="1">
        <f t="array" ref="N81">INDEX('Shop Goals'!$E$108:$E$119, COLUMN()-COLUMN($D$3)+1)</f>
        <v>2342.1698113207549</v>
      </c>
      <c r="O81" s="69" cm="1">
        <f t="array" ref="O81">INDEX('Shop Goals'!$E$108:$E$119, COLUMN()-COLUMN($D$3)+1)</f>
        <v>2342.1698113207549</v>
      </c>
      <c r="P81" s="68">
        <f t="shared" si="7"/>
        <v>17182.468185232647</v>
      </c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</row>
    <row r="82" spans="1:30">
      <c r="A82" s="757"/>
      <c r="B82" s="579"/>
      <c r="C82" s="229" t="s">
        <v>7</v>
      </c>
      <c r="D82" s="69" cm="1">
        <f t="array" ref="D82">INDEX('Shop Goals'!$G$108:$G$119, COLUMN()-COLUMN($D$3)+1)</f>
        <v>3953.8823529411761</v>
      </c>
      <c r="E82" s="69" cm="1">
        <f t="array" ref="E82">INDEX('Shop Goals'!$G$108:$G$119, COLUMN()-COLUMN($D$3)+1)</f>
        <v>5930.8235294117649</v>
      </c>
      <c r="F82" s="69" cm="1">
        <f t="array" ref="F82">INDEX('Shop Goals'!$G$108:$G$119, COLUMN()-COLUMN($D$3)+1)</f>
        <v>6303.3189655172409</v>
      </c>
      <c r="G82" s="69" cm="1">
        <f t="array" ref="G82">INDEX('Shop Goals'!$G$108:$G$119, COLUMN()-COLUMN($D$3)+1)</f>
        <v>3558.4941176470588</v>
      </c>
      <c r="H82" s="69" cm="1">
        <f t="array" ref="H82">INDEX('Shop Goals'!$G$108:$G$119, COLUMN()-COLUMN($D$3)+1)</f>
        <v>3558.4941176470588</v>
      </c>
      <c r="I82" s="69" cm="1">
        <f t="array" ref="I82">INDEX('Shop Goals'!$G$108:$G$119, COLUMN()-COLUMN($D$3)+1)</f>
        <v>3558.4941176470588</v>
      </c>
      <c r="J82" s="69" cm="1">
        <f t="array" ref="J82">INDEX('Shop Goals'!$G$108:$G$119, COLUMN()-COLUMN($D$3)+1)</f>
        <v>11886.258620689654</v>
      </c>
      <c r="K82" s="69" cm="1">
        <f t="array" ref="K82">INDEX('Shop Goals'!$G$108:$G$119, COLUMN()-COLUMN($D$3)+1)</f>
        <v>21611.379310344826</v>
      </c>
      <c r="L82" s="69" cm="1">
        <f t="array" ref="L82">INDEX('Shop Goals'!$G$108:$G$119, COLUMN()-COLUMN($D$3)+1)</f>
        <v>23723.294117647059</v>
      </c>
      <c r="M82" s="69" cm="1">
        <f t="array" ref="M82">INDEX('Shop Goals'!$G$108:$G$119, COLUMN()-COLUMN($D$3)+1)</f>
        <v>28665.647058823528</v>
      </c>
      <c r="N82" s="69" cm="1">
        <f t="array" ref="N82">INDEX('Shop Goals'!$G$108:$G$119, COLUMN()-COLUMN($D$3)+1)</f>
        <v>19810.431034482757</v>
      </c>
      <c r="O82" s="69" cm="1">
        <f t="array" ref="O82">INDEX('Shop Goals'!$G$108:$G$119, COLUMN()-COLUMN($D$3)+1)</f>
        <v>19810.431034482757</v>
      </c>
      <c r="P82" s="68">
        <f>SUM(D82:O82)</f>
        <v>152370.94837728195</v>
      </c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</row>
    <row r="83" spans="1:30">
      <c r="A83" s="757"/>
      <c r="B83" s="233" t="s">
        <v>66</v>
      </c>
      <c r="C83" s="229" t="s">
        <v>67</v>
      </c>
      <c r="D83" s="69" cm="1">
        <f t="array" ref="D83">INDEX('Lead Goals'!$E$254:$E$265, COLUMN()-COLUMN($D$3)+1)</f>
        <v>8.4748250664725493</v>
      </c>
      <c r="E83" s="69" cm="1">
        <f t="array" ref="E83">INDEX('Lead Goals'!$E$254:$E$265, COLUMN()-COLUMN($D$3)+1)</f>
        <v>12.712237599708821</v>
      </c>
      <c r="F83" s="69" cm="1">
        <f t="array" ref="F83">INDEX('Lead Goals'!$E$254:$E$265, COLUMN()-COLUMN($D$3)+1)</f>
        <v>14.632148706732689</v>
      </c>
      <c r="G83" s="69" cm="1">
        <f t="array" ref="G83">INDEX('Lead Goals'!$E$254:$E$265, COLUMN()-COLUMN($D$3)+1)</f>
        <v>7.6273425598252942</v>
      </c>
      <c r="H83" s="69" cm="1">
        <f t="array" ref="H83">INDEX('Lead Goals'!$E$254:$E$265, COLUMN()-COLUMN($D$3)+1)</f>
        <v>7.6273425598252942</v>
      </c>
      <c r="I83" s="69" cm="1">
        <f t="array" ref="I83">INDEX('Lead Goals'!$E$254:$E$265, COLUMN()-COLUMN($D$3)+1)</f>
        <v>7.6273425598252942</v>
      </c>
      <c r="J83" s="69" cm="1">
        <f t="array" ref="J83">INDEX('Lead Goals'!$E$254:$E$265, COLUMN()-COLUMN($D$3)+1)</f>
        <v>27.59205184698164</v>
      </c>
      <c r="K83" s="69" cm="1">
        <f t="array" ref="K83">INDEX('Lead Goals'!$E$254:$E$265, COLUMN()-COLUMN($D$3)+1)</f>
        <v>50.167366994512079</v>
      </c>
      <c r="L83" s="69" cm="1">
        <f t="array" ref="L83">INDEX('Lead Goals'!$E$254:$E$265, COLUMN()-COLUMN($D$3)+1)</f>
        <v>50.848950398835292</v>
      </c>
      <c r="M83" s="69" cm="1">
        <f t="array" ref="M83">INDEX('Lead Goals'!$E$254:$E$265, COLUMN()-COLUMN($D$3)+1)</f>
        <v>61.44248173192598</v>
      </c>
      <c r="N83" s="69" cm="1">
        <f t="array" ref="N83">INDEX('Lead Goals'!$E$254:$E$265, COLUMN()-COLUMN($D$3)+1)</f>
        <v>45.986753078302741</v>
      </c>
      <c r="O83" s="69" cm="1">
        <f t="array" ref="O83">INDEX('Lead Goals'!$E$254:$E$265, COLUMN()-COLUMN($D$3)+1)</f>
        <v>45.986753078302741</v>
      </c>
      <c r="P83" s="68">
        <f t="shared" ref="P83" si="8">SUM(D83:O83)</f>
        <v>340.72559618125041</v>
      </c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</row>
    <row r="85" spans="1:30">
      <c r="A85" s="762" t="s">
        <v>320</v>
      </c>
      <c r="B85" s="763"/>
      <c r="C85" s="763"/>
      <c r="D85" s="763"/>
      <c r="E85" s="763"/>
      <c r="F85" s="763"/>
      <c r="G85" s="763"/>
      <c r="H85" s="763"/>
      <c r="I85" s="763"/>
      <c r="J85" s="763"/>
      <c r="K85" s="763"/>
      <c r="L85" s="763"/>
      <c r="M85" s="763"/>
      <c r="N85" s="763"/>
      <c r="O85" s="763"/>
      <c r="P85" s="764"/>
      <c r="R85" s="761" t="s">
        <v>321</v>
      </c>
      <c r="S85" s="761"/>
      <c r="T85" s="761"/>
      <c r="U85" s="761"/>
      <c r="V85" s="761"/>
      <c r="W85" s="761"/>
      <c r="X85" s="761"/>
      <c r="Y85" s="761"/>
      <c r="Z85" s="761"/>
      <c r="AA85" s="761"/>
      <c r="AB85" s="761"/>
      <c r="AC85" s="761"/>
      <c r="AD85" s="761"/>
    </row>
    <row r="86" spans="1:30">
      <c r="A86" s="758" t="s">
        <v>88</v>
      </c>
      <c r="B86" s="759"/>
      <c r="C86" s="760"/>
      <c r="D86" s="234" t="s">
        <v>252</v>
      </c>
      <c r="E86" s="234" t="s">
        <v>253</v>
      </c>
      <c r="F86" s="234" t="s">
        <v>230</v>
      </c>
      <c r="G86" s="234" t="s">
        <v>254</v>
      </c>
      <c r="H86" s="234" t="s">
        <v>78</v>
      </c>
      <c r="I86" s="234" t="s">
        <v>255</v>
      </c>
      <c r="J86" s="234" t="s">
        <v>256</v>
      </c>
      <c r="K86" s="234" t="s">
        <v>236</v>
      </c>
      <c r="L86" s="234" t="s">
        <v>257</v>
      </c>
      <c r="M86" s="234" t="s">
        <v>258</v>
      </c>
      <c r="N86" s="234" t="s">
        <v>259</v>
      </c>
      <c r="O86" s="234" t="s">
        <v>260</v>
      </c>
      <c r="P86" s="234" t="s">
        <v>24</v>
      </c>
      <c r="R86" s="234" t="s">
        <v>252</v>
      </c>
      <c r="S86" s="234" t="s">
        <v>253</v>
      </c>
      <c r="T86" s="234" t="s">
        <v>230</v>
      </c>
      <c r="U86" s="234" t="s">
        <v>254</v>
      </c>
      <c r="V86" s="234" t="s">
        <v>78</v>
      </c>
      <c r="W86" s="234" t="s">
        <v>255</v>
      </c>
      <c r="X86" s="234" t="s">
        <v>256</v>
      </c>
      <c r="Y86" s="234" t="s">
        <v>236</v>
      </c>
      <c r="Z86" s="234" t="s">
        <v>257</v>
      </c>
      <c r="AA86" s="234" t="s">
        <v>258</v>
      </c>
      <c r="AB86" s="234" t="s">
        <v>259</v>
      </c>
      <c r="AC86" s="234" t="s">
        <v>260</v>
      </c>
      <c r="AD86" s="234" t="s">
        <v>24</v>
      </c>
    </row>
    <row r="87" spans="1:30">
      <c r="A87" s="757" t="s">
        <v>42</v>
      </c>
      <c r="B87" s="579" t="s">
        <v>43</v>
      </c>
      <c r="C87" s="229" t="s">
        <v>44</v>
      </c>
      <c r="D87" s="69" cm="1">
        <f t="array" ref="D87">INDEX('Consideration Goals'!$D$114:$D$125, COLUMN()-COLUMN($D$3)+1)</f>
        <v>0</v>
      </c>
      <c r="E87" s="69" cm="1">
        <f t="array" ref="E87">INDEX('Consideration Goals'!$D$114:$D$125, COLUMN()-COLUMN($D$3)+1)</f>
        <v>0</v>
      </c>
      <c r="F87" s="69" cm="1">
        <f t="array" ref="F87">INDEX('Consideration Goals'!$D$114:$D$125, COLUMN()-COLUMN($D$3)+1)</f>
        <v>0</v>
      </c>
      <c r="G87" s="69" cm="1">
        <f t="array" ref="G87">INDEX('Consideration Goals'!$D$114:$D$125, COLUMN()-COLUMN($D$3)+1)</f>
        <v>0</v>
      </c>
      <c r="H87" s="69" cm="1">
        <f t="array" ref="H87">INDEX('Consideration Goals'!$D$114:$D$125, COLUMN()-COLUMN($D$3)+1)</f>
        <v>0</v>
      </c>
      <c r="I87" s="69" cm="1">
        <f t="array" ref="I87">INDEX('Consideration Goals'!$D$114:$D$125, COLUMN()-COLUMN($D$3)+1)</f>
        <v>0</v>
      </c>
      <c r="J87" s="69" cm="1">
        <f t="array" ref="J87">INDEX('Consideration Goals'!$D$114:$D$125, COLUMN()-COLUMN($D$3)+1)</f>
        <v>0</v>
      </c>
      <c r="K87" s="69" cm="1">
        <f t="array" ref="K87">INDEX('Consideration Goals'!$D$114:$D$125, COLUMN()-COLUMN($D$3)+1)</f>
        <v>0</v>
      </c>
      <c r="L87" s="69" cm="1">
        <f t="array" ref="L87">INDEX('Consideration Goals'!$D$114:$D$125, COLUMN()-COLUMN($D$3)+1)</f>
        <v>0</v>
      </c>
      <c r="M87" s="69" cm="1">
        <f t="array" ref="M87">INDEX('Consideration Goals'!$D$114:$D$125, COLUMN()-COLUMN($D$3)+1)</f>
        <v>0</v>
      </c>
      <c r="N87" s="69" cm="1">
        <f t="array" ref="N87">INDEX('Consideration Goals'!$D$114:$D$125, COLUMN()-COLUMN($D$3)+1)</f>
        <v>0</v>
      </c>
      <c r="O87" s="69" cm="1">
        <f t="array" ref="O87">INDEX('Consideration Goals'!$D$114:$D$125, COLUMN()-COLUMN($D$3)+1)</f>
        <v>0</v>
      </c>
      <c r="P87" s="68">
        <f>SUM(D87:O87)</f>
        <v>0</v>
      </c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</row>
    <row r="88" spans="1:30">
      <c r="A88" s="757"/>
      <c r="B88" s="579"/>
      <c r="C88" s="229" t="s">
        <v>46</v>
      </c>
      <c r="D88" s="69" cm="1">
        <f t="array" ref="D88">INDEX('Consideration Goals'!$E$114:$E$125, COLUMN()-COLUMN($D$3)+1)</f>
        <v>237248.51823118699</v>
      </c>
      <c r="E88" s="69" cm="1">
        <f t="array" ref="E88">INDEX('Consideration Goals'!$E$114:$E$125, COLUMN()-COLUMN($D$3)+1)</f>
        <v>292324.06710628397</v>
      </c>
      <c r="F88" s="69" cm="1">
        <f t="array" ref="F88">INDEX('Consideration Goals'!$E$114:$E$125, COLUMN()-COLUMN($D$3)+1)</f>
        <v>320479.43895441503</v>
      </c>
      <c r="G88" s="69" cm="1">
        <f t="array" ref="G88">INDEX('Consideration Goals'!$E$114:$E$125, COLUMN()-COLUMN($D$3)+1)</f>
        <v>296560.64778898371</v>
      </c>
      <c r="H88" s="69" cm="1">
        <f t="array" ref="H88">INDEX('Consideration Goals'!$E$114:$E$125, COLUMN()-COLUMN($D$3)+1)</f>
        <v>330453.29325058183</v>
      </c>
      <c r="I88" s="69" cm="1">
        <f t="array" ref="I88">INDEX('Consideration Goals'!$E$114:$E$125, COLUMN()-COLUMN($D$3)+1)</f>
        <v>321980.13188518235</v>
      </c>
      <c r="J88" s="69" cm="1">
        <f t="array" ref="J88">INDEX('Consideration Goals'!$E$114:$E$125, COLUMN()-COLUMN($D$3)+1)</f>
        <v>310464.45648708957</v>
      </c>
      <c r="K88" s="69" cm="1">
        <f t="array" ref="K88">INDEX('Consideration Goals'!$E$114:$E$125, COLUMN()-COLUMN($D$3)+1)</f>
        <v>300449.47401976411</v>
      </c>
      <c r="L88" s="69" cm="1">
        <f t="array" ref="L88">INDEX('Consideration Goals'!$E$114:$E$125, COLUMN()-COLUMN($D$3)+1)</f>
        <v>302915.51881303341</v>
      </c>
      <c r="M88" s="69" cm="1">
        <f t="array" ref="M88">INDEX('Consideration Goals'!$E$114:$E$125, COLUMN()-COLUMN($D$3)+1)</f>
        <v>290205.77676493407</v>
      </c>
      <c r="N88" s="69" cm="1">
        <f t="array" ref="N88">INDEX('Consideration Goals'!$E$114:$E$125, COLUMN()-COLUMN($D$3)+1)</f>
        <v>248371.56518967164</v>
      </c>
      <c r="O88" s="69" cm="1">
        <f t="array" ref="O88">INDEX('Consideration Goals'!$E$114:$E$125, COLUMN()-COLUMN($D$3)+1)</f>
        <v>312467.45298055466</v>
      </c>
      <c r="P88" s="68">
        <f>SUM(D88:O88)</f>
        <v>3563920.3414716814</v>
      </c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</row>
    <row r="89" spans="1:30">
      <c r="A89" s="757" t="s">
        <v>48</v>
      </c>
      <c r="B89" s="579" t="s">
        <v>49</v>
      </c>
      <c r="C89" s="230" t="s">
        <v>50</v>
      </c>
      <c r="D89" s="231" cm="1">
        <f t="array" ref="D89">INDEX('Research Goals'!$G$121:$G$132, COLUMN()-COLUMN($D$3)+1)</f>
        <v>53629.123351435221</v>
      </c>
      <c r="E89" s="231" cm="1">
        <f t="array" ref="E89">INDEX('Research Goals'!$G$121:$G$132, COLUMN()-COLUMN($D$3)+1)</f>
        <v>66078.74127230412</v>
      </c>
      <c r="F89" s="231" cm="1">
        <f t="array" ref="F89">INDEX('Research Goals'!$G$121:$G$132, COLUMN()-COLUMN($D$3)+1)</f>
        <v>75384.890022314314</v>
      </c>
      <c r="G89" s="231" cm="1">
        <f t="array" ref="G89">INDEX('Research Goals'!$G$121:$G$132, COLUMN()-COLUMN($D$3)+1)</f>
        <v>80227.792862684248</v>
      </c>
      <c r="H89" s="231" cm="1">
        <f t="array" ref="H89">INDEX('Research Goals'!$G$121:$G$132, COLUMN()-COLUMN($D$3)+1)</f>
        <v>89396.683475562444</v>
      </c>
      <c r="I89" s="231" cm="1">
        <f t="array" ref="I89">INDEX('Research Goals'!$G$121:$G$132, COLUMN()-COLUMN($D$3)+1)</f>
        <v>87104.460822342895</v>
      </c>
      <c r="J89" s="231" cm="1">
        <f t="array" ref="J89">INDEX('Research Goals'!$G$121:$G$132, COLUMN()-COLUMN($D$3)+1)</f>
        <v>84345.051004144087</v>
      </c>
      <c r="K89" s="231" cm="1">
        <f t="array" ref="K89">INDEX('Research Goals'!$G$121:$G$132, COLUMN()-COLUMN($D$3)+1)</f>
        <v>81624.242907236214</v>
      </c>
      <c r="L89" s="231" cm="1">
        <f t="array" ref="L89">INDEX('Research Goals'!$G$121:$G$132, COLUMN()-COLUMN($D$3)+1)</f>
        <v>81946.959852598913</v>
      </c>
      <c r="M89" s="231" cm="1">
        <f t="array" ref="M89">INDEX('Research Goals'!$G$121:$G$132, COLUMN()-COLUMN($D$3)+1)</f>
        <v>78508.625872769582</v>
      </c>
      <c r="N89" s="231" cm="1">
        <f t="array" ref="N89">INDEX('Research Goals'!$G$121:$G$132, COLUMN()-COLUMN($D$3)+1)</f>
        <v>67476.040803315263</v>
      </c>
      <c r="O89" s="231" cm="1">
        <f t="array" ref="O89">INDEX('Research Goals'!$G$121:$G$132, COLUMN()-COLUMN($D$3)+1)</f>
        <v>84889.212623525658</v>
      </c>
      <c r="P89" s="232">
        <f>SUM(D89:O89)</f>
        <v>930611.82487023296</v>
      </c>
      <c r="Q89" s="47"/>
      <c r="R89" s="231" cm="1">
        <f t="array" ref="R89">INDEX('Research Goals'!$L$121:$L$132, COLUMN()-COLUMN($R$3)+1)</f>
        <v>35828.019712354333</v>
      </c>
      <c r="S89" s="231" cm="1">
        <f t="array" ref="S89">INDEX('Research Goals'!$L$121:$L$132, COLUMN()-COLUMN($R$3)+1)</f>
        <v>44145.23857415087</v>
      </c>
      <c r="T89" s="231" cm="1">
        <f t="array" ref="T89">INDEX('Research Goals'!$L$121:$L$132, COLUMN()-COLUMN($R$3)+1)</f>
        <v>50860.005157558408</v>
      </c>
      <c r="U89" s="231" cm="1">
        <f t="array" ref="U89">INDEX('Research Goals'!$L$121:$L$132, COLUMN()-COLUMN($R$3)+1)</f>
        <v>48064.532455875218</v>
      </c>
      <c r="V89" s="231" cm="1">
        <f t="array" ref="V89">INDEX('Research Goals'!$L$121:$L$132, COLUMN()-COLUMN($R$3)+1)</f>
        <v>53557.621879403814</v>
      </c>
      <c r="W89" s="231" cm="1">
        <f t="array" ref="W89">INDEX('Research Goals'!$L$121:$L$132, COLUMN()-COLUMN($R$3)+1)</f>
        <v>52184.349523521669</v>
      </c>
      <c r="X89" s="231" cm="1">
        <f t="array" ref="X89">INDEX('Research Goals'!$L$121:$L$132, COLUMN()-COLUMN($R$3)+1)</f>
        <v>52083.882689947211</v>
      </c>
      <c r="Y89" s="231" cm="1">
        <f t="array" ref="Y89">INDEX('Research Goals'!$L$121:$L$132, COLUMN()-COLUMN($R$3)+1)</f>
        <v>50403.757441884401</v>
      </c>
      <c r="Z89" s="231" cm="1">
        <f t="array" ref="Z89">INDEX('Research Goals'!$L$121:$L$132, COLUMN()-COLUMN($R$3)+1)</f>
        <v>49094.486722786831</v>
      </c>
      <c r="AA89" s="231" cm="1">
        <f t="array" ref="AA89">INDEX('Research Goals'!$L$121:$L$132, COLUMN()-COLUMN($R$3)+1)</f>
        <v>47034.578188963605</v>
      </c>
      <c r="AB89" s="231" cm="1">
        <f t="array" ref="AB89">INDEX('Research Goals'!$L$121:$L$132, COLUMN()-COLUMN($R$3)+1)</f>
        <v>41667.106151957771</v>
      </c>
      <c r="AC89" s="231" cm="1">
        <f t="array" ref="AC89">INDEX('Research Goals'!$L$121:$L$132, COLUMN()-COLUMN($R$3)+1)</f>
        <v>52419.907739559771</v>
      </c>
      <c r="AD89" s="232">
        <f>SUM(R89:AC89)</f>
        <v>577343.48623796401</v>
      </c>
    </row>
    <row r="90" spans="1:30">
      <c r="A90" s="757"/>
      <c r="B90" s="579"/>
      <c r="C90" s="229" t="s">
        <v>52</v>
      </c>
      <c r="D90" s="69" cm="1">
        <f t="array" ref="D90">INDEX('Research Goals'!$D$121:$D$132, COLUMN()-COLUMN($D$3)+1)</f>
        <v>44741.784328937159</v>
      </c>
      <c r="E90" s="69" cm="1">
        <f t="array" ref="E90">INDEX('Research Goals'!$D$121:$D$132, COLUMN()-COLUMN($D$3)+1)</f>
        <v>55128.269976726144</v>
      </c>
      <c r="F90" s="69" cm="1">
        <f t="array" ref="F90">INDEX('Research Goals'!$D$121:$D$132, COLUMN()-COLUMN($D$3)+1)</f>
        <v>63881.925406439274</v>
      </c>
      <c r="G90" s="69" cm="1">
        <f t="array" ref="G90">INDEX('Research Goals'!$D$121:$D$132, COLUMN()-COLUMN($D$3)+1)</f>
        <v>55927.230411171447</v>
      </c>
      <c r="H90" s="69" cm="1">
        <f t="array" ref="H90">INDEX('Research Goals'!$D$121:$D$132, COLUMN()-COLUMN($D$3)+1)</f>
        <v>62318.913886733899</v>
      </c>
      <c r="I90" s="69" cm="1">
        <f t="array" ref="I90">INDEX('Research Goals'!$D$121:$D$132, COLUMN()-COLUMN($D$3)+1)</f>
        <v>60720.993017843291</v>
      </c>
      <c r="J90" s="69" cm="1">
        <f t="array" ref="J90">INDEX('Research Goals'!$D$121:$D$132, COLUMN()-COLUMN($D$3)+1)</f>
        <v>61885.615237488048</v>
      </c>
      <c r="K90" s="69" cm="1">
        <f t="array" ref="K90">INDEX('Research Goals'!$D$121:$D$132, COLUMN()-COLUMN($D$3)+1)</f>
        <v>59889.305068536822</v>
      </c>
      <c r="L90" s="69" cm="1">
        <f t="array" ref="L90">INDEX('Research Goals'!$D$121:$D$132, COLUMN()-COLUMN($D$3)+1)</f>
        <v>57125.671062839414</v>
      </c>
      <c r="M90" s="69" cm="1">
        <f t="array" ref="M90">INDEX('Research Goals'!$D$121:$D$132, COLUMN()-COLUMN($D$3)+1)</f>
        <v>54728.789759503488</v>
      </c>
      <c r="N90" s="69" cm="1">
        <f t="array" ref="N90">INDEX('Research Goals'!$D$121:$D$132, COLUMN()-COLUMN($D$3)+1)</f>
        <v>49508.492189990437</v>
      </c>
      <c r="O90" s="69" cm="1">
        <f t="array" ref="O90">INDEX('Research Goals'!$D$121:$D$132, COLUMN()-COLUMN($D$3)+1)</f>
        <v>62284.877271278288</v>
      </c>
      <c r="P90" s="68">
        <f>SUM(D90:O90)</f>
        <v>688141.86761748767</v>
      </c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</row>
    <row r="91" spans="1:30">
      <c r="A91" s="757"/>
      <c r="B91" s="579"/>
      <c r="C91" s="229" t="s">
        <v>14</v>
      </c>
      <c r="D91" s="69" cm="1">
        <f t="array" ref="D91">INDEX('Research Goals'!$F$121:$F$132, COLUMN()-COLUMN($D$3)+1)</f>
        <v>8887.3390224980612</v>
      </c>
      <c r="E91" s="69" cm="1">
        <f t="array" ref="E91">INDEX('Research Goals'!$F$121:$F$132, COLUMN()-COLUMN($D$3)+1)</f>
        <v>10950.471295577969</v>
      </c>
      <c r="F91" s="69" cm="1">
        <f t="array" ref="F91">INDEX('Research Goals'!$F$121:$F$132, COLUMN()-COLUMN($D$3)+1)</f>
        <v>11502.96461587504</v>
      </c>
      <c r="G91" s="69" cm="1">
        <f t="array" ref="G91">INDEX('Research Goals'!$F$121:$F$132, COLUMN()-COLUMN($D$3)+1)</f>
        <v>24300.5624515128</v>
      </c>
      <c r="H91" s="69" cm="1">
        <f t="array" ref="H91">INDEX('Research Goals'!$F$121:$F$132, COLUMN()-COLUMN($D$3)+1)</f>
        <v>27077.769588828549</v>
      </c>
      <c r="I91" s="69" cm="1">
        <f t="array" ref="I91">INDEX('Research Goals'!$F$121:$F$132, COLUMN()-COLUMN($D$3)+1)</f>
        <v>26383.467804499611</v>
      </c>
      <c r="J91" s="69" cm="1">
        <f t="array" ref="J91">INDEX('Research Goals'!$F$121:$F$132, COLUMN()-COLUMN($D$3)+1)</f>
        <v>22459.435766656039</v>
      </c>
      <c r="K91" s="69" cm="1">
        <f t="array" ref="K91">INDEX('Research Goals'!$F$121:$F$132, COLUMN()-COLUMN($D$3)+1)</f>
        <v>21734.937838699392</v>
      </c>
      <c r="L91" s="69" cm="1">
        <f t="array" ref="L91">INDEX('Research Goals'!$F$121:$F$132, COLUMN()-COLUMN($D$3)+1)</f>
        <v>24821.288789759503</v>
      </c>
      <c r="M91" s="69" cm="1">
        <f t="array" ref="M91">INDEX('Research Goals'!$F$121:$F$132, COLUMN()-COLUMN($D$3)+1)</f>
        <v>23779.836113266098</v>
      </c>
      <c r="N91" s="69" cm="1">
        <f t="array" ref="N91">INDEX('Research Goals'!$F$121:$F$132, COLUMN()-COLUMN($D$3)+1)</f>
        <v>17967.548613324831</v>
      </c>
      <c r="O91" s="69" cm="1">
        <f t="array" ref="O91">INDEX('Research Goals'!$F$121:$F$132, COLUMN()-COLUMN($D$3)+1)</f>
        <v>22604.335352247366</v>
      </c>
      <c r="P91" s="68">
        <f>SUM(D91:O91)</f>
        <v>242469.95725274523</v>
      </c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</row>
    <row r="92" spans="1:30">
      <c r="A92" s="757"/>
      <c r="B92" s="233" t="s">
        <v>43</v>
      </c>
      <c r="C92" s="229" t="s">
        <v>55</v>
      </c>
      <c r="D92" s="69" cm="1">
        <f t="array" ref="D92">INDEX('Research Goals'!$E$121:$E$132, COLUMN()-COLUMN($D$3)+1)</f>
        <v>29428.67339022498</v>
      </c>
      <c r="E92" s="69" cm="1">
        <f t="array" ref="E92">INDEX('Research Goals'!$E$121:$E$132, COLUMN()-COLUMN($D$3)+1)</f>
        <v>36260.329712955783</v>
      </c>
      <c r="F92" s="69" cm="1">
        <f t="array" ref="F92">INDEX('Research Goals'!$E$121:$E$132, COLUMN()-COLUMN($D$3)+1)</f>
        <v>46603.251514185526</v>
      </c>
      <c r="G92" s="69" cm="1">
        <f t="array" ref="G92">INDEX('Research Goals'!$E$121:$E$132, COLUMN()-COLUMN($D$3)+1)</f>
        <v>36785.841737781222</v>
      </c>
      <c r="H92" s="69" cm="1">
        <f t="array" ref="H92">INDEX('Research Goals'!$E$121:$E$132, COLUMN()-COLUMN($D$3)+1)</f>
        <v>40989.937936384791</v>
      </c>
      <c r="I92" s="69" cm="1">
        <f t="array" ref="I92">INDEX('Research Goals'!$E$121:$E$132, COLUMN()-COLUMN($D$3)+1)</f>
        <v>39938.913886733906</v>
      </c>
      <c r="J92" s="69" cm="1">
        <f t="array" ref="J92">INDEX('Research Goals'!$E$121:$E$132, COLUMN()-COLUMN($D$3)+1)</f>
        <v>45146.89990436723</v>
      </c>
      <c r="K92" s="69" cm="1">
        <f t="array" ref="K92">INDEX('Research Goals'!$E$121:$E$132, COLUMN()-COLUMN($D$3)+1)</f>
        <v>43690.548294548935</v>
      </c>
      <c r="L92" s="69" cm="1">
        <f t="array" ref="L92">INDEX('Research Goals'!$E$121:$E$132, COLUMN()-COLUMN($D$3)+1)</f>
        <v>37574.109775019402</v>
      </c>
      <c r="M92" s="69" cm="1">
        <f t="array" ref="M92">INDEX('Research Goals'!$E$121:$E$132, COLUMN()-COLUMN($D$3)+1)</f>
        <v>35997.573700543056</v>
      </c>
      <c r="N92" s="69" cm="1">
        <f t="array" ref="N92">INDEX('Research Goals'!$E$121:$E$132, COLUMN()-COLUMN($D$3)+1)</f>
        <v>36117.519923493783</v>
      </c>
      <c r="O92" s="69" cm="1">
        <f t="array" ref="O92">INDEX('Research Goals'!$E$121:$E$132, COLUMN()-COLUMN($D$3)+1)</f>
        <v>45438.170226330883</v>
      </c>
      <c r="P92" s="68">
        <f t="shared" ref="P92:P95" si="9">SUM(D92:O92)</f>
        <v>473971.77000256948</v>
      </c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</row>
    <row r="93" spans="1:30">
      <c r="A93" s="757" t="s">
        <v>57</v>
      </c>
      <c r="B93" s="579" t="s">
        <v>49</v>
      </c>
      <c r="C93" s="230" t="s">
        <v>58</v>
      </c>
      <c r="D93" s="231" cm="1">
        <f t="array" ref="D93">INDEX('Shop Goals'!$H$128:$H$139, COLUMN()-COLUMN($D$3)+1)</f>
        <v>169965.47082283063</v>
      </c>
      <c r="E93" s="231" cm="1">
        <f t="array" ref="E93">INDEX('Shop Goals'!$H$128:$H$139, COLUMN()-COLUMN($D$3)+1)</f>
        <v>209421.74083527343</v>
      </c>
      <c r="F93" s="231" cm="1">
        <f t="array" ref="F93">INDEX('Shop Goals'!$H$128:$H$139, COLUMN()-COLUMN($D$3)+1)</f>
        <v>204987.08400102353</v>
      </c>
      <c r="G93" s="231" cm="1">
        <f t="array" ref="G93">INDEX('Shop Goals'!$H$128:$H$139, COLUMN()-COLUMN($D$3)+1)</f>
        <v>212456.83852853827</v>
      </c>
      <c r="H93" s="231" cm="1">
        <f t="array" ref="H93">INDEX('Shop Goals'!$H$128:$H$139, COLUMN()-COLUMN($D$3)+1)</f>
        <v>236737.62007465694</v>
      </c>
      <c r="I93" s="231" cm="1">
        <f t="array" ref="I93">INDEX('Shop Goals'!$H$128:$H$139, COLUMN()-COLUMN($D$3)+1)</f>
        <v>230667.42468812724</v>
      </c>
      <c r="J93" s="231" cm="1">
        <f t="array" ref="J93">INDEX('Shop Goals'!$H$128:$H$139, COLUMN()-COLUMN($D$3)+1)</f>
        <v>198581.23762599155</v>
      </c>
      <c r="K93" s="231" cm="1">
        <f t="array" ref="K93">INDEX('Shop Goals'!$H$128:$H$139, COLUMN()-COLUMN($D$3)+1)</f>
        <v>192175.39125095954</v>
      </c>
      <c r="L93" s="231" cm="1">
        <f t="array" ref="L93">INDEX('Shop Goals'!$H$128:$H$139, COLUMN()-COLUMN($D$3)+1)</f>
        <v>217009.48506843552</v>
      </c>
      <c r="M93" s="231" cm="1">
        <f t="array" ref="M93">INDEX('Shop Goals'!$H$128:$H$139, COLUMN()-COLUMN($D$3)+1)</f>
        <v>207904.19198864102</v>
      </c>
      <c r="N93" s="231" cm="1">
        <f t="array" ref="N93">INDEX('Shop Goals'!$H$128:$H$139, COLUMN()-COLUMN($D$3)+1)</f>
        <v>158864.99010079325</v>
      </c>
      <c r="O93" s="231" cm="1">
        <f t="array" ref="O93">INDEX('Shop Goals'!$H$128:$H$139, COLUMN()-COLUMN($D$3)+1)</f>
        <v>199862.40690099794</v>
      </c>
      <c r="P93" s="232">
        <f t="shared" si="9"/>
        <v>2438633.8818862685</v>
      </c>
      <c r="Q93" s="47"/>
      <c r="R93" s="231" cm="1">
        <f t="array" ref="R93">INDEX('Shop Goals'!$N$128:$N$139, COLUMN()-COLUMN($R$2)+1)</f>
        <v>68271.929659283836</v>
      </c>
      <c r="S93" s="231" cm="1">
        <f t="array" ref="S93">INDEX('Shop Goals'!$N$128:$N$139, COLUMN()-COLUMN($R$2)+1)</f>
        <v>84120.770473046156</v>
      </c>
      <c r="T93" s="231" cm="1">
        <f t="array" ref="T93">INDEX('Shop Goals'!$N$128:$N$139, COLUMN()-COLUMN($R$2)+1)</f>
        <v>82371.408154860721</v>
      </c>
      <c r="U93" s="231" cm="1">
        <f t="array" ref="U93">INDEX('Shop Goals'!$N$128:$N$139, COLUMN()-COLUMN($R$2)+1)</f>
        <v>85339.912074104795</v>
      </c>
      <c r="V93" s="231" cm="1">
        <f t="array" ref="V93">INDEX('Shop Goals'!$N$128:$N$139, COLUMN()-COLUMN($R$2)+1)</f>
        <v>95093.044882573915</v>
      </c>
      <c r="W93" s="231" cm="1">
        <f t="array" ref="W93">INDEX('Shop Goals'!$N$128:$N$139, COLUMN()-COLUMN($R$2)+1)</f>
        <v>92654.761680456621</v>
      </c>
      <c r="X93" s="231" cm="1">
        <f t="array" ref="X93">INDEX('Shop Goals'!$N$128:$N$139, COLUMN()-COLUMN($R$2)+1)</f>
        <v>79797.301650021313</v>
      </c>
      <c r="Y93" s="231" cm="1">
        <f t="array" ref="Y93">INDEX('Shop Goals'!$N$128:$N$139, COLUMN()-COLUMN($R$2)+1)</f>
        <v>77223.195145181919</v>
      </c>
      <c r="Z93" s="231" cm="1">
        <f t="array" ref="Z93">INDEX('Shop Goals'!$N$128:$N$139, COLUMN()-COLUMN($R$2)+1)</f>
        <v>87168.624475692748</v>
      </c>
      <c r="AA93" s="231" cm="1">
        <f t="array" ref="AA93">INDEX('Shop Goals'!$N$128:$N$139, COLUMN()-COLUMN($R$2)+1)</f>
        <v>83511.199672516814</v>
      </c>
      <c r="AB93" s="231" cm="1">
        <f t="array" ref="AB93">INDEX('Shop Goals'!$N$128:$N$139, COLUMN()-COLUMN($R$2)+1)</f>
        <v>63837.841320017054</v>
      </c>
      <c r="AC93" s="231" cm="1">
        <f t="array" ref="AC93">INDEX('Shop Goals'!$N$128:$N$139, COLUMN()-COLUMN($R$2)+1)</f>
        <v>80312.1229509892</v>
      </c>
      <c r="AD93" s="232">
        <f>SUM(R93:AC93)</f>
        <v>979702.11213874503</v>
      </c>
    </row>
    <row r="94" spans="1:30">
      <c r="A94" s="757"/>
      <c r="B94" s="579"/>
      <c r="C94" s="229" t="s">
        <v>60</v>
      </c>
      <c r="D94" s="69" cm="1">
        <f t="array" ref="D94">INDEX('Shop Goals'!$D$128:$D$139, COLUMN()-COLUMN($D$3)+1)</f>
        <v>1701.7222653219549</v>
      </c>
      <c r="E94" s="69" cm="1">
        <f t="array" ref="E94">INDEX('Shop Goals'!$D$128:$D$139, COLUMN()-COLUMN($D$3)+1)</f>
        <v>2096.7649340574085</v>
      </c>
      <c r="F94" s="69" cm="1">
        <f t="array" ref="F94">INDEX('Shop Goals'!$D$128:$D$139, COLUMN()-COLUMN($D$3)+1)</f>
        <v>2388.0140261396236</v>
      </c>
      <c r="G94" s="69" cm="1">
        <f t="array" ref="G94">INDEX('Shop Goals'!$D$128:$D$139, COLUMN()-COLUMN($D$3)+1)</f>
        <v>2127.1528316524436</v>
      </c>
      <c r="H94" s="69" cm="1">
        <f t="array" ref="H94">INDEX('Shop Goals'!$D$128:$D$139, COLUMN()-COLUMN($D$3)+1)</f>
        <v>2370.2560124127231</v>
      </c>
      <c r="I94" s="69" cm="1">
        <f t="array" ref="I94">INDEX('Shop Goals'!$D$128:$D$139, COLUMN()-COLUMN($D$3)+1)</f>
        <v>2309.4802172226532</v>
      </c>
      <c r="J94" s="69" cm="1">
        <f t="array" ref="J94">INDEX('Shop Goals'!$D$128:$D$139, COLUMN()-COLUMN($D$3)+1)</f>
        <v>2313.3885878227607</v>
      </c>
      <c r="K94" s="69" cm="1">
        <f t="array" ref="K94">INDEX('Shop Goals'!$D$128:$D$139, COLUMN()-COLUMN($D$3)+1)</f>
        <v>2238.7631495058972</v>
      </c>
      <c r="L94" s="69" cm="1">
        <f t="array" ref="L94">INDEX('Shop Goals'!$D$128:$D$139, COLUMN()-COLUMN($D$3)+1)</f>
        <v>2172.7346780449961</v>
      </c>
      <c r="M94" s="69" cm="1">
        <f t="array" ref="M94">INDEX('Shop Goals'!$D$128:$D$139, COLUMN()-COLUMN($D$3)+1)</f>
        <v>2081.5709852598911</v>
      </c>
      <c r="N94" s="69" cm="1">
        <f t="array" ref="N94">INDEX('Shop Goals'!$D$128:$D$139, COLUMN()-COLUMN($D$3)+1)</f>
        <v>1850.7108702582084</v>
      </c>
      <c r="O94" s="69" cm="1">
        <f t="array" ref="O94">INDEX('Shop Goals'!$D$128:$D$139, COLUMN()-COLUMN($D$3)+1)</f>
        <v>2328.3136754861334</v>
      </c>
      <c r="P94" s="68">
        <f t="shared" si="9"/>
        <v>25978.872233184695</v>
      </c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</row>
    <row r="95" spans="1:30">
      <c r="A95" s="757"/>
      <c r="B95" s="579"/>
      <c r="C95" s="229" t="s">
        <v>203</v>
      </c>
      <c r="D95" s="69" cm="1">
        <f t="array" ref="D95">INDEX('Shop Goals'!$E$128:$E$139, COLUMN()-COLUMN($D$3)+1)</f>
        <v>14581.505042668736</v>
      </c>
      <c r="E95" s="69" cm="1">
        <f t="array" ref="E95">INDEX('Shop Goals'!$E$128:$E$139, COLUMN()-COLUMN($D$3)+1)</f>
        <v>17966.497284716836</v>
      </c>
      <c r="F95" s="69" cm="1">
        <f t="array" ref="F95">INDEX('Shop Goals'!$E$128:$E$139, COLUMN()-COLUMN($D$3)+1)</f>
        <v>17180.235894166402</v>
      </c>
      <c r="G95" s="69" cm="1">
        <f t="array" ref="G95">INDEX('Shop Goals'!$E$128:$E$139, COLUMN()-COLUMN($D$3)+1)</f>
        <v>18226.881303335918</v>
      </c>
      <c r="H95" s="69" cm="1">
        <f t="array" ref="H95">INDEX('Shop Goals'!$E$128:$E$139, COLUMN()-COLUMN($D$3)+1)</f>
        <v>20309.953452288595</v>
      </c>
      <c r="I95" s="69" cm="1">
        <f t="array" ref="I95">INDEX('Shop Goals'!$E$128:$E$139, COLUMN()-COLUMN($D$3)+1)</f>
        <v>19789.185415050426</v>
      </c>
      <c r="J95" s="69" cm="1">
        <f t="array" ref="J95">INDEX('Shop Goals'!$E$128:$E$139, COLUMN()-COLUMN($D$3)+1)</f>
        <v>16643.353522473702</v>
      </c>
      <c r="K95" s="69" cm="1">
        <f t="array" ref="K95">INDEX('Shop Goals'!$E$128:$E$139, COLUMN()-COLUMN($D$3)+1)</f>
        <v>16106.471150781003</v>
      </c>
      <c r="L95" s="69" cm="1">
        <f t="array" ref="L95">INDEX('Shop Goals'!$E$128:$E$139, COLUMN()-COLUMN($D$3)+1)</f>
        <v>18617.457331264548</v>
      </c>
      <c r="M95" s="69" cm="1">
        <f t="array" ref="M95">INDEX('Shop Goals'!$E$128:$E$139, COLUMN()-COLUMN($D$3)+1)</f>
        <v>17836.305275407292</v>
      </c>
      <c r="N95" s="69" cm="1">
        <f t="array" ref="N95">INDEX('Shop Goals'!$E$128:$E$139, COLUMN()-COLUMN($D$3)+1)</f>
        <v>13314.682817978961</v>
      </c>
      <c r="O95" s="69" cm="1">
        <f t="array" ref="O95">INDEX('Shop Goals'!$E$128:$E$139, COLUMN()-COLUMN($D$3)+1)</f>
        <v>16750.729996812242</v>
      </c>
      <c r="P95" s="68">
        <f t="shared" si="9"/>
        <v>207323.25848694466</v>
      </c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</row>
    <row r="96" spans="1:30">
      <c r="A96" s="757"/>
      <c r="B96" s="579"/>
      <c r="C96" s="229" t="s">
        <v>7</v>
      </c>
      <c r="D96" s="69" cm="1">
        <f t="array" ref="D96">INDEX('Shop Goals'!$G$128:$G$139, COLUMN()-COLUMN($D$3)+1)</f>
        <v>153682.24351483994</v>
      </c>
      <c r="E96" s="69" cm="1">
        <f t="array" ref="E96">INDEX('Shop Goals'!$G$128:$G$139, COLUMN()-COLUMN($D$3)+1)</f>
        <v>189358.4786164992</v>
      </c>
      <c r="F96" s="69" cm="1">
        <f t="array" ref="F96">INDEX('Shop Goals'!$G$128:$G$139, COLUMN()-COLUMN($D$3)+1)</f>
        <v>185418.8340807175</v>
      </c>
      <c r="G96" s="69" cm="1">
        <f t="array" ref="G96">INDEX('Shop Goals'!$G$128:$G$139, COLUMN()-COLUMN($D$3)+1)</f>
        <v>192102.80439354992</v>
      </c>
      <c r="H96" s="69" cm="1">
        <f t="array" ref="H96">INDEX('Shop Goals'!$G$128:$G$139, COLUMN()-COLUMN($D$3)+1)</f>
        <v>214057.41060995561</v>
      </c>
      <c r="I96" s="69" cm="1">
        <f t="array" ref="I96">INDEX('Shop Goals'!$G$128:$G$139, COLUMN()-COLUMN($D$3)+1)</f>
        <v>208568.75905585417</v>
      </c>
      <c r="J96" s="69" cm="1">
        <f t="array" ref="J96">INDEX('Shop Goals'!$G$128:$G$139, COLUMN()-COLUMN($D$3)+1)</f>
        <v>179624.49551569507</v>
      </c>
      <c r="K96" s="69" cm="1">
        <f t="array" ref="K96">INDEX('Shop Goals'!$G$128:$G$139, COLUMN()-COLUMN($D$3)+1)</f>
        <v>173830.15695067265</v>
      </c>
      <c r="L96" s="69" cm="1">
        <f t="array" ref="L96">INDEX('Shop Goals'!$G$128:$G$139, COLUMN()-COLUMN($D$3)+1)</f>
        <v>196219.29305912598</v>
      </c>
      <c r="M96" s="69" cm="1">
        <f t="array" ref="M96">INDEX('Shop Goals'!$G$128:$G$139, COLUMN()-COLUMN($D$3)+1)</f>
        <v>187986.31572797382</v>
      </c>
      <c r="N96" s="69" cm="1">
        <f t="array" ref="N96">INDEX('Shop Goals'!$G$128:$G$139, COLUMN()-COLUMN($D$3)+1)</f>
        <v>143699.59641255607</v>
      </c>
      <c r="O96" s="69" cm="1">
        <f t="array" ref="O96">INDEX('Shop Goals'!$G$128:$G$139, COLUMN()-COLUMN($D$3)+1)</f>
        <v>180783.36322869957</v>
      </c>
      <c r="P96" s="68">
        <f>SUM(D96:O96)</f>
        <v>2205331.7511661397</v>
      </c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</row>
    <row r="97" spans="1:30">
      <c r="A97" s="757"/>
      <c r="B97" s="233" t="s">
        <v>66</v>
      </c>
      <c r="C97" s="229" t="s">
        <v>67</v>
      </c>
      <c r="D97" s="69" cm="1">
        <f t="array" ref="D97">INDEX('Lead Goals'!$F$254:$F$265, COLUMN()-COLUMN($D$3)+1)</f>
        <v>237.29510186123139</v>
      </c>
      <c r="E97" s="69" cm="1">
        <f t="array" ref="E97">INDEX('Lead Goals'!$F$254:$F$265, COLUMN()-COLUMN($D$3)+1)</f>
        <v>292.38146479330288</v>
      </c>
      <c r="F97" s="69" cm="1">
        <f t="array" ref="F97">INDEX('Lead Goals'!$F$254:$F$265, COLUMN()-COLUMN($D$3)+1)</f>
        <v>334.44911329674721</v>
      </c>
      <c r="G97" s="69" cm="1">
        <f t="array" ref="G97">INDEX('Lead Goals'!$F$254:$F$265, COLUMN()-COLUMN($D$3)+1)</f>
        <v>296.61887732653923</v>
      </c>
      <c r="H97" s="69" cm="1">
        <f t="array" ref="H97">INDEX('Lead Goals'!$F$254:$F$265, COLUMN()-COLUMN($D$3)+1)</f>
        <v>330.51817759242942</v>
      </c>
      <c r="I97" s="69" cm="1">
        <f t="array" ref="I97">INDEX('Lead Goals'!$F$254:$F$265, COLUMN()-COLUMN($D$3)+1)</f>
        <v>322.04335252595683</v>
      </c>
      <c r="J97" s="69" cm="1">
        <f t="array" ref="J97">INDEX('Lead Goals'!$F$254:$F$265, COLUMN()-COLUMN($D$3)+1)</f>
        <v>323.99757850622382</v>
      </c>
      <c r="K97" s="69" cm="1">
        <f t="array" ref="K97">INDEX('Lead Goals'!$F$254:$F$265, COLUMN()-COLUMN($D$3)+1)</f>
        <v>313.54604371570048</v>
      </c>
      <c r="L97" s="69" cm="1">
        <f t="array" ref="L97">INDEX('Lead Goals'!$F$254:$F$265, COLUMN()-COLUMN($D$3)+1)</f>
        <v>302.97499612639365</v>
      </c>
      <c r="M97" s="69" cm="1">
        <f t="array" ref="M97">INDEX('Lead Goals'!$F$254:$F$265, COLUMN()-COLUMN($D$3)+1)</f>
        <v>290.26275852668482</v>
      </c>
      <c r="N97" s="69" cm="1">
        <f t="array" ref="N97">INDEX('Lead Goals'!$F$254:$F$265, COLUMN()-COLUMN($D$3)+1)</f>
        <v>259.19806280497909</v>
      </c>
      <c r="O97" s="69" cm="1">
        <f t="array" ref="O97">INDEX('Lead Goals'!$F$254:$F$265, COLUMN()-COLUMN($D$3)+1)</f>
        <v>326.08788546432851</v>
      </c>
      <c r="P97" s="68">
        <f t="shared" ref="P97" si="10">SUM(D97:O97)</f>
        <v>3629.3734125405172</v>
      </c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</row>
    <row r="98" spans="1:30">
      <c r="D98" s="257"/>
      <c r="E98" s="257"/>
      <c r="F98" s="257"/>
      <c r="G98" s="257"/>
      <c r="H98" s="257"/>
      <c r="I98" s="257"/>
    </row>
    <row r="99" spans="1:30">
      <c r="A99" s="762" t="s">
        <v>320</v>
      </c>
      <c r="B99" s="763"/>
      <c r="C99" s="763"/>
      <c r="D99" s="763"/>
      <c r="E99" s="763"/>
      <c r="F99" s="763"/>
      <c r="G99" s="763"/>
      <c r="H99" s="763"/>
      <c r="I99" s="763"/>
      <c r="J99" s="763"/>
      <c r="K99" s="763"/>
      <c r="L99" s="763"/>
      <c r="M99" s="763"/>
      <c r="N99" s="763"/>
      <c r="O99" s="763"/>
      <c r="P99" s="764"/>
      <c r="R99" s="761" t="s">
        <v>321</v>
      </c>
      <c r="S99" s="761"/>
      <c r="T99" s="761"/>
      <c r="U99" s="761"/>
      <c r="V99" s="761"/>
      <c r="W99" s="761"/>
      <c r="X99" s="761"/>
      <c r="Y99" s="761"/>
      <c r="Z99" s="761"/>
      <c r="AA99" s="761"/>
      <c r="AB99" s="761"/>
      <c r="AC99" s="761"/>
      <c r="AD99" s="761"/>
    </row>
    <row r="100" spans="1:30">
      <c r="A100" s="758" t="s">
        <v>93</v>
      </c>
      <c r="B100" s="759"/>
      <c r="C100" s="760"/>
      <c r="D100" s="234" t="s">
        <v>252</v>
      </c>
      <c r="E100" s="234" t="s">
        <v>253</v>
      </c>
      <c r="F100" s="234" t="s">
        <v>230</v>
      </c>
      <c r="G100" s="234" t="s">
        <v>254</v>
      </c>
      <c r="H100" s="234" t="s">
        <v>78</v>
      </c>
      <c r="I100" s="234" t="s">
        <v>255</v>
      </c>
      <c r="J100" s="234" t="s">
        <v>256</v>
      </c>
      <c r="K100" s="234" t="s">
        <v>236</v>
      </c>
      <c r="L100" s="234" t="s">
        <v>257</v>
      </c>
      <c r="M100" s="234" t="s">
        <v>258</v>
      </c>
      <c r="N100" s="234" t="s">
        <v>259</v>
      </c>
      <c r="O100" s="234" t="s">
        <v>260</v>
      </c>
      <c r="P100" s="234" t="s">
        <v>24</v>
      </c>
      <c r="R100" s="234" t="s">
        <v>252</v>
      </c>
      <c r="S100" s="234" t="s">
        <v>253</v>
      </c>
      <c r="T100" s="234" t="s">
        <v>230</v>
      </c>
      <c r="U100" s="234" t="s">
        <v>254</v>
      </c>
      <c r="V100" s="234" t="s">
        <v>78</v>
      </c>
      <c r="W100" s="234" t="s">
        <v>255</v>
      </c>
      <c r="X100" s="234" t="s">
        <v>256</v>
      </c>
      <c r="Y100" s="234" t="s">
        <v>236</v>
      </c>
      <c r="Z100" s="234" t="s">
        <v>257</v>
      </c>
      <c r="AA100" s="234" t="s">
        <v>258</v>
      </c>
      <c r="AB100" s="234" t="s">
        <v>259</v>
      </c>
      <c r="AC100" s="234" t="s">
        <v>260</v>
      </c>
      <c r="AD100" s="234" t="s">
        <v>24</v>
      </c>
    </row>
    <row r="101" spans="1:30">
      <c r="A101" s="757" t="s">
        <v>42</v>
      </c>
      <c r="B101" s="579" t="s">
        <v>43</v>
      </c>
      <c r="C101" s="229" t="s">
        <v>44</v>
      </c>
      <c r="D101" s="69" cm="1">
        <f t="array" ref="D101">INDEX('Consideration Goals'!$D$132:$D$143, COLUMN()-COLUMN($D$3)+1)</f>
        <v>0</v>
      </c>
      <c r="E101" s="69" cm="1">
        <f t="array" ref="E101">INDEX('Consideration Goals'!$D$132:$D$143, COLUMN()-COLUMN($D$3)+1)</f>
        <v>0</v>
      </c>
      <c r="F101" s="69" cm="1">
        <f t="array" ref="F101">INDEX('Consideration Goals'!$D$132:$D$143, COLUMN()-COLUMN($D$3)+1)</f>
        <v>0</v>
      </c>
      <c r="G101" s="69" cm="1">
        <f t="array" ref="G101">INDEX('Consideration Goals'!$D$132:$D$143, COLUMN()-COLUMN($D$3)+1)</f>
        <v>0</v>
      </c>
      <c r="H101" s="69" cm="1">
        <f t="array" ref="H101">INDEX('Consideration Goals'!$D$132:$D$143, COLUMN()-COLUMN($D$3)+1)</f>
        <v>0</v>
      </c>
      <c r="I101" s="69" cm="1">
        <f t="array" ref="I101">INDEX('Consideration Goals'!$D$132:$D$143, COLUMN()-COLUMN($D$3)+1)</f>
        <v>0</v>
      </c>
      <c r="J101" s="69" cm="1">
        <f t="array" ref="J101">INDEX('Consideration Goals'!$D$132:$D$143, COLUMN()-COLUMN($D$3)+1)</f>
        <v>0</v>
      </c>
      <c r="K101" s="69" cm="1">
        <f t="array" ref="K101">INDEX('Consideration Goals'!$D$132:$D$143, COLUMN()-COLUMN($D$3)+1)</f>
        <v>0</v>
      </c>
      <c r="L101" s="69" cm="1">
        <f t="array" ref="L101">INDEX('Consideration Goals'!$D$132:$D$143, COLUMN()-COLUMN($D$3)+1)</f>
        <v>0</v>
      </c>
      <c r="M101" s="69" cm="1">
        <f t="array" ref="M101">INDEX('Consideration Goals'!$D$132:$D$143, COLUMN()-COLUMN($D$3)+1)</f>
        <v>0</v>
      </c>
      <c r="N101" s="69" cm="1">
        <f t="array" ref="N101">INDEX('Consideration Goals'!$D$132:$D$143, COLUMN()-COLUMN($D$3)+1)</f>
        <v>0</v>
      </c>
      <c r="O101" s="69" cm="1">
        <f t="array" ref="O101">INDEX('Consideration Goals'!$D$132:$D$143, COLUMN()-COLUMN($D$3)+1)</f>
        <v>0</v>
      </c>
      <c r="P101" s="68">
        <f>SUM(D101:O101)</f>
        <v>0</v>
      </c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</row>
    <row r="102" spans="1:30">
      <c r="A102" s="757"/>
      <c r="B102" s="579"/>
      <c r="C102" s="229" t="s">
        <v>46</v>
      </c>
      <c r="D102" s="69" cm="1">
        <f t="array" ref="D102">INDEX('Consideration Goals'!$E$132:$E$143, COLUMN()-COLUMN($D$3)+1)</f>
        <v>5612.929864253395</v>
      </c>
      <c r="E102" s="69" cm="1">
        <f t="array" ref="E102">INDEX('Consideration Goals'!$E$132:$E$143, COLUMN()-COLUMN($D$3)+1)</f>
        <v>11225.85972850679</v>
      </c>
      <c r="F102" s="69" cm="1">
        <f t="array" ref="F102">INDEX('Consideration Goals'!$E$132:$E$143, COLUMN()-COLUMN($D$3)+1)</f>
        <v>49968.921389396717</v>
      </c>
      <c r="G102" s="69" cm="1">
        <f t="array" ref="G102">INDEX('Consideration Goals'!$E$132:$E$143, COLUMN()-COLUMN($D$3)+1)</f>
        <v>44903.43891402716</v>
      </c>
      <c r="H102" s="69" cm="1">
        <f t="array" ref="H102">INDEX('Consideration Goals'!$E$132:$E$143, COLUMN()-COLUMN($D$3)+1)</f>
        <v>49393.782805429873</v>
      </c>
      <c r="I102" s="69" cm="1">
        <f t="array" ref="I102">INDEX('Consideration Goals'!$E$132:$E$143, COLUMN()-COLUMN($D$3)+1)</f>
        <v>46774.415535444954</v>
      </c>
      <c r="J102" s="69" cm="1">
        <f t="array" ref="J102">INDEX('Consideration Goals'!$E$132:$E$143, COLUMN()-COLUMN($D$3)+1)</f>
        <v>62461.151736745887</v>
      </c>
      <c r="K102" s="69" cm="1">
        <f t="array" ref="K102">INDEX('Consideration Goals'!$E$132:$E$143, COLUMN()-COLUMN($D$3)+1)</f>
        <v>60379.113345521029</v>
      </c>
      <c r="L102" s="69" cm="1">
        <f t="array" ref="L102">INDEX('Consideration Goals'!$E$132:$E$143, COLUMN()-COLUMN($D$3)+1)</f>
        <v>56129.29864253394</v>
      </c>
      <c r="M102" s="69" cm="1">
        <f t="array" ref="M102">INDEX('Consideration Goals'!$E$132:$E$143, COLUMN()-COLUMN($D$3)+1)</f>
        <v>46774.415535444954</v>
      </c>
      <c r="N102" s="69" cm="1">
        <f t="array" ref="N102">INDEX('Consideration Goals'!$E$132:$E$143, COLUMN()-COLUMN($D$3)+1)</f>
        <v>51218.144424131628</v>
      </c>
      <c r="O102" s="69" cm="1">
        <f t="array" ref="O102">INDEX('Consideration Goals'!$E$132:$E$143, COLUMN()-COLUMN($D$3)+1)</f>
        <v>56215.036563071299</v>
      </c>
      <c r="P102" s="68">
        <f>SUM(D102:O102)</f>
        <v>541056.50848450756</v>
      </c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</row>
    <row r="103" spans="1:30">
      <c r="A103" s="757" t="s">
        <v>48</v>
      </c>
      <c r="B103" s="579" t="s">
        <v>49</v>
      </c>
      <c r="C103" s="230" t="s">
        <v>50</v>
      </c>
      <c r="D103" s="231" cm="1">
        <f t="array" ref="D103">INDEX('Research Goals'!$G$140:$G$151, COLUMN()-COLUMN($D$3)+1)</f>
        <v>2282.1266968325795</v>
      </c>
      <c r="E103" s="231" cm="1">
        <f t="array" ref="E103">INDEX('Research Goals'!$G$140:$G$151, COLUMN()-COLUMN($D$3)+1)</f>
        <v>4564.2533936651589</v>
      </c>
      <c r="F103" s="231" cm="1">
        <f t="array" ref="F103">INDEX('Research Goals'!$G$140:$G$151, COLUMN()-COLUMN($D$3)+1)</f>
        <v>21304.058500914078</v>
      </c>
      <c r="G103" s="231" cm="1">
        <f t="array" ref="G103">INDEX('Research Goals'!$G$140:$G$151, COLUMN()-COLUMN($D$3)+1)</f>
        <v>18545.158371040725</v>
      </c>
      <c r="H103" s="231" cm="1">
        <f t="array" ref="H103">INDEX('Research Goals'!$G$140:$G$151, COLUMN()-COLUMN($D$3)+1)</f>
        <v>20399.674208144799</v>
      </c>
      <c r="I103" s="231" cm="1">
        <f t="array" ref="I103">INDEX('Research Goals'!$G$140:$G$151, COLUMN()-COLUMN($D$3)+1)</f>
        <v>19317.873303167424</v>
      </c>
      <c r="J103" s="231" cm="1">
        <f t="array" ref="J103">INDEX('Research Goals'!$G$140:$G$151, COLUMN()-COLUMN($D$3)+1)</f>
        <v>27385.283363802559</v>
      </c>
      <c r="K103" s="231" cm="1">
        <f t="array" ref="K103">INDEX('Research Goals'!$G$140:$G$151, COLUMN()-COLUMN($D$3)+1)</f>
        <v>26472.440585009143</v>
      </c>
      <c r="L103" s="231" cm="1">
        <f t="array" ref="L103">INDEX('Research Goals'!$G$140:$G$151, COLUMN()-COLUMN($D$3)+1)</f>
        <v>23181.447963800907</v>
      </c>
      <c r="M103" s="231" cm="1">
        <f t="array" ref="M103">INDEX('Research Goals'!$G$140:$G$151, COLUMN()-COLUMN($D$3)+1)</f>
        <v>19317.873303167424</v>
      </c>
      <c r="N103" s="231" cm="1">
        <f t="array" ref="N103">INDEX('Research Goals'!$G$140:$G$151, COLUMN()-COLUMN($D$3)+1)</f>
        <v>22455.932358318096</v>
      </c>
      <c r="O103" s="231" cm="1">
        <f t="array" ref="O103">INDEX('Research Goals'!$G$140:$G$151, COLUMN()-COLUMN($D$3)+1)</f>
        <v>24646.755027422303</v>
      </c>
      <c r="P103" s="232">
        <f>SUM(D103:O103)</f>
        <v>229872.87707528521</v>
      </c>
      <c r="Q103" s="47"/>
      <c r="R103" s="231" cm="1">
        <f t="array" ref="R103">INDEX('Research Goals'!$L$140:$L$151, COLUMN()-COLUMN($R$3)+1)</f>
        <v>1493.4533309058509</v>
      </c>
      <c r="S103" s="231" cm="1">
        <f t="array" ref="S103">INDEX('Research Goals'!$L$140:$L$151, COLUMN()-COLUMN($R$3)+1)</f>
        <v>2986.9066618117017</v>
      </c>
      <c r="T103" s="231" cm="1">
        <f t="array" ref="T103">INDEX('Research Goals'!$L$140:$L$151, COLUMN()-COLUMN($R$3)+1)</f>
        <v>14092.757533732933</v>
      </c>
      <c r="U103" s="231" cm="1">
        <f t="array" ref="U103">INDEX('Research Goals'!$L$140:$L$151, COLUMN()-COLUMN($R$3)+1)</f>
        <v>12019.262252496683</v>
      </c>
      <c r="V103" s="231" cm="1">
        <f t="array" ref="V103">INDEX('Research Goals'!$L$140:$L$151, COLUMN()-COLUMN($R$3)+1)</f>
        <v>13221.188477746349</v>
      </c>
      <c r="W103" s="231" cm="1">
        <f t="array" ref="W103">INDEX('Research Goals'!$L$140:$L$151, COLUMN()-COLUMN($R$3)+1)</f>
        <v>12520.06484635071</v>
      </c>
      <c r="X103" s="231" cm="1">
        <f t="array" ref="X103">INDEX('Research Goals'!$L$140:$L$151, COLUMN()-COLUMN($R$3)+1)</f>
        <v>17803.69954412775</v>
      </c>
      <c r="Y103" s="231" cm="1">
        <f t="array" ref="Y103">INDEX('Research Goals'!$L$140:$L$151, COLUMN()-COLUMN($R$3)+1)</f>
        <v>17210.242892656828</v>
      </c>
      <c r="Z103" s="231" cm="1">
        <f t="array" ref="Z103">INDEX('Research Goals'!$L$140:$L$151, COLUMN()-COLUMN($R$3)+1)</f>
        <v>15024.077815620853</v>
      </c>
      <c r="AA103" s="231" cm="1">
        <f t="array" ref="AA103">INDEX('Research Goals'!$L$140:$L$151, COLUMN()-COLUMN($R$3)+1)</f>
        <v>12520.06484635071</v>
      </c>
      <c r="AB103" s="231" cm="1">
        <f t="array" ref="AB103">INDEX('Research Goals'!$L$140:$L$151, COLUMN()-COLUMN($R$3)+1)</f>
        <v>14599.033626184755</v>
      </c>
      <c r="AC103" s="231" cm="1">
        <f t="array" ref="AC103">INDEX('Research Goals'!$L$140:$L$151, COLUMN()-COLUMN($R$3)+1)</f>
        <v>16023.329589714976</v>
      </c>
      <c r="AD103" s="232">
        <f>SUM(R103:AC103)</f>
        <v>149514.08141770007</v>
      </c>
    </row>
    <row r="104" spans="1:30">
      <c r="A104" s="757"/>
      <c r="B104" s="579"/>
      <c r="C104" s="229" t="s">
        <v>52</v>
      </c>
      <c r="D104" s="69" cm="1">
        <f t="array" ref="D104">INDEX('Research Goals'!$D$140:$D$151, COLUMN()-COLUMN($D$3)+1)</f>
        <v>1841.9457013574663</v>
      </c>
      <c r="E104" s="69" cm="1">
        <f t="array" ref="E104">INDEX('Research Goals'!$D$140:$D$151, COLUMN()-COLUMN($D$3)+1)</f>
        <v>3683.8914027149326</v>
      </c>
      <c r="F104" s="69" cm="1">
        <f t="array" ref="F104">INDEX('Research Goals'!$D$140:$D$151, COLUMN()-COLUMN($D$3)+1)</f>
        <v>17495.429616087753</v>
      </c>
      <c r="G104" s="69" cm="1">
        <f t="array" ref="G104">INDEX('Research Goals'!$D$140:$D$151, COLUMN()-COLUMN($D$3)+1)</f>
        <v>14735.56561085973</v>
      </c>
      <c r="H104" s="69" cm="1">
        <f t="array" ref="H104">INDEX('Research Goals'!$D$140:$D$151, COLUMN()-COLUMN($D$3)+1)</f>
        <v>16209.122171945703</v>
      </c>
      <c r="I104" s="69" cm="1">
        <f t="array" ref="I104">INDEX('Research Goals'!$D$140:$D$151, COLUMN()-COLUMN($D$3)+1)</f>
        <v>15349.547511312219</v>
      </c>
      <c r="J104" s="69" cm="1">
        <f t="array" ref="J104">INDEX('Research Goals'!$D$140:$D$151, COLUMN()-COLUMN($D$3)+1)</f>
        <v>21869.287020109688</v>
      </c>
      <c r="K104" s="69" cm="1">
        <f t="array" ref="K104">INDEX('Research Goals'!$D$140:$D$151, COLUMN()-COLUMN($D$3)+1)</f>
        <v>21140.310786106034</v>
      </c>
      <c r="L104" s="69" cm="1">
        <f t="array" ref="L104">INDEX('Research Goals'!$D$140:$D$151, COLUMN()-COLUMN($D$3)+1)</f>
        <v>18419.457013574662</v>
      </c>
      <c r="M104" s="69" cm="1">
        <f t="array" ref="M104">INDEX('Research Goals'!$D$140:$D$151, COLUMN()-COLUMN($D$3)+1)</f>
        <v>15349.547511312219</v>
      </c>
      <c r="N104" s="69" cm="1">
        <f t="array" ref="N104">INDEX('Research Goals'!$D$140:$D$151, COLUMN()-COLUMN($D$3)+1)</f>
        <v>17932.815356489944</v>
      </c>
      <c r="O104" s="69" cm="1">
        <f t="array" ref="O104">INDEX('Research Goals'!$D$140:$D$151, COLUMN()-COLUMN($D$3)+1)</f>
        <v>19682.358318098719</v>
      </c>
      <c r="P104" s="68">
        <f>SUM(D104:O104)</f>
        <v>183709.27801996906</v>
      </c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</row>
    <row r="105" spans="1:30">
      <c r="A105" s="757"/>
      <c r="B105" s="579"/>
      <c r="C105" s="229" t="s">
        <v>14</v>
      </c>
      <c r="D105" s="69" cm="1">
        <f t="array" ref="D105">INDEX('Research Goals'!$F$140:$F$151, COLUMN()-COLUMN($D$3)+1)</f>
        <v>440.18099547511315</v>
      </c>
      <c r="E105" s="69" cm="1">
        <f t="array" ref="E105">INDEX('Research Goals'!$F$140:$F$151, COLUMN()-COLUMN($D$3)+1)</f>
        <v>880.3619909502263</v>
      </c>
      <c r="F105" s="69" cm="1">
        <f t="array" ref="F105">INDEX('Research Goals'!$F$140:$F$151, COLUMN()-COLUMN($D$3)+1)</f>
        <v>3808.6288848263252</v>
      </c>
      <c r="G105" s="69" cm="1">
        <f t="array" ref="G105">INDEX('Research Goals'!$F$140:$F$151, COLUMN()-COLUMN($D$3)+1)</f>
        <v>3809.5927601809958</v>
      </c>
      <c r="H105" s="69" cm="1">
        <f t="array" ref="H105">INDEX('Research Goals'!$F$140:$F$151, COLUMN()-COLUMN($D$3)+1)</f>
        <v>4190.5520361990957</v>
      </c>
      <c r="I105" s="69" cm="1">
        <f t="array" ref="I105">INDEX('Research Goals'!$F$140:$F$151, COLUMN()-COLUMN($D$3)+1)</f>
        <v>3968.325791855204</v>
      </c>
      <c r="J105" s="69" cm="1">
        <f t="array" ref="J105">INDEX('Research Goals'!$F$140:$F$151, COLUMN()-COLUMN($D$3)+1)</f>
        <v>5515.9963436928701</v>
      </c>
      <c r="K105" s="69" cm="1">
        <f t="array" ref="K105">INDEX('Research Goals'!$F$140:$F$151, COLUMN()-COLUMN($D$3)+1)</f>
        <v>5332.1297989031082</v>
      </c>
      <c r="L105" s="69" cm="1">
        <f t="array" ref="L105">INDEX('Research Goals'!$F$140:$F$151, COLUMN()-COLUMN($D$3)+1)</f>
        <v>4761.9909502262444</v>
      </c>
      <c r="M105" s="69" cm="1">
        <f t="array" ref="M105">INDEX('Research Goals'!$F$140:$F$151, COLUMN()-COLUMN($D$3)+1)</f>
        <v>3968.325791855204</v>
      </c>
      <c r="N105" s="69" cm="1">
        <f t="array" ref="N105">INDEX('Research Goals'!$F$140:$F$151, COLUMN()-COLUMN($D$3)+1)</f>
        <v>4523.1170018281537</v>
      </c>
      <c r="O105" s="69" cm="1">
        <f t="array" ref="O105">INDEX('Research Goals'!$F$140:$F$151, COLUMN()-COLUMN($D$3)+1)</f>
        <v>4964.3967093235833</v>
      </c>
      <c r="P105" s="68">
        <f>SUM(D105:O105)</f>
        <v>46163.599055316125</v>
      </c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</row>
    <row r="106" spans="1:30">
      <c r="A106" s="757"/>
      <c r="B106" s="233" t="s">
        <v>43</v>
      </c>
      <c r="C106" s="229" t="s">
        <v>55</v>
      </c>
      <c r="D106" s="69" cm="1">
        <f t="array" ref="D106">INDEX('Research Goals'!$E$140:$E$151, COLUMN()-COLUMN($D$3)+1)</f>
        <v>1072.8619909502265</v>
      </c>
      <c r="E106" s="69" cm="1">
        <f t="array" ref="E106">INDEX('Research Goals'!$E$140:$E$151, COLUMN()-COLUMN($D$3)+1)</f>
        <v>2145.7239819004531</v>
      </c>
      <c r="F106" s="69" cm="1">
        <f t="array" ref="F106">INDEX('Research Goals'!$E$140:$E$151, COLUMN()-COLUMN($D$3)+1)</f>
        <v>9962.6325411334565</v>
      </c>
      <c r="G106" s="69" cm="1">
        <f t="array" ref="G106">INDEX('Research Goals'!$E$140:$E$151, COLUMN()-COLUMN($D$3)+1)</f>
        <v>8582.8959276018122</v>
      </c>
      <c r="H106" s="69" cm="1">
        <f t="array" ref="H106">INDEX('Research Goals'!$E$140:$E$151, COLUMN()-COLUMN($D$3)+1)</f>
        <v>9441.1855203619925</v>
      </c>
      <c r="I106" s="69" cm="1">
        <f t="array" ref="I106">INDEX('Research Goals'!$E$140:$E$151, COLUMN()-COLUMN($D$3)+1)</f>
        <v>8940.5165912518878</v>
      </c>
      <c r="J106" s="69" cm="1">
        <f t="array" ref="J106">INDEX('Research Goals'!$E$140:$E$151, COLUMN()-COLUMN($D$3)+1)</f>
        <v>12453.29067641682</v>
      </c>
      <c r="K106" s="69" cm="1">
        <f t="array" ref="K106">INDEX('Research Goals'!$E$140:$E$151, COLUMN()-COLUMN($D$3)+1)</f>
        <v>12038.180987202926</v>
      </c>
      <c r="L106" s="69" cm="1">
        <f t="array" ref="L106">INDEX('Research Goals'!$E$140:$E$151, COLUMN()-COLUMN($D$3)+1)</f>
        <v>10728.619909502264</v>
      </c>
      <c r="M106" s="69" cm="1">
        <f t="array" ref="M106">INDEX('Research Goals'!$E$140:$E$151, COLUMN()-COLUMN($D$3)+1)</f>
        <v>8940.5165912518878</v>
      </c>
      <c r="N106" s="69" cm="1">
        <f t="array" ref="N106">INDEX('Research Goals'!$E$140:$E$151, COLUMN()-COLUMN($D$3)+1)</f>
        <v>10211.698354661792</v>
      </c>
      <c r="O106" s="69" cm="1">
        <f t="array" ref="O106">INDEX('Research Goals'!$E$140:$E$151, COLUMN()-COLUMN($D$3)+1)</f>
        <v>11207.961608775136</v>
      </c>
      <c r="P106" s="68">
        <f t="shared" ref="P106:P109" si="11">SUM(D106:O106)</f>
        <v>105726.08468101066</v>
      </c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</row>
    <row r="107" spans="1:30">
      <c r="A107" s="757" t="s">
        <v>57</v>
      </c>
      <c r="B107" s="579" t="s">
        <v>49</v>
      </c>
      <c r="C107" s="230" t="s">
        <v>58</v>
      </c>
      <c r="D107" s="231" cm="1">
        <f t="array" ref="D107">INDEX('Shop Goals'!$H$148:$H$159, COLUMN()-COLUMN($D$3)+1)</f>
        <v>3605.8688684837389</v>
      </c>
      <c r="E107" s="231" cm="1">
        <f t="array" ref="E107">INDEX('Shop Goals'!$H$148:$H$159, COLUMN()-COLUMN($D$3)+1)</f>
        <v>7211.7377369674778</v>
      </c>
      <c r="F107" s="231" cm="1">
        <f t="array" ref="F107">INDEX('Shop Goals'!$H$148:$H$159, COLUMN()-COLUMN($D$3)+1)</f>
        <v>32688.36510838339</v>
      </c>
      <c r="G107" s="231" cm="1">
        <f t="array" ref="G107">INDEX('Shop Goals'!$H$148:$H$159, COLUMN()-COLUMN($D$3)+1)</f>
        <v>28846.950947869911</v>
      </c>
      <c r="H107" s="231" cm="1">
        <f t="array" ref="H107">INDEX('Shop Goals'!$H$148:$H$159, COLUMN()-COLUMN($D$3)+1)</f>
        <v>31731.646042656903</v>
      </c>
      <c r="I107" s="231" cm="1">
        <f t="array" ref="I107">INDEX('Shop Goals'!$H$148:$H$159, COLUMN()-COLUMN($D$3)+1)</f>
        <v>30048.907237364496</v>
      </c>
      <c r="J107" s="231" cm="1">
        <f t="array" ref="J107">INDEX('Shop Goals'!$H$148:$H$159, COLUMN()-COLUMN($D$3)+1)</f>
        <v>40860.456385479236</v>
      </c>
      <c r="K107" s="231" cm="1">
        <f t="array" ref="K107">INDEX('Shop Goals'!$H$148:$H$159, COLUMN()-COLUMN($D$3)+1)</f>
        <v>39498.441172629929</v>
      </c>
      <c r="L107" s="231" cm="1">
        <f t="array" ref="L107">INDEX('Shop Goals'!$H$148:$H$159, COLUMN()-COLUMN($D$3)+1)</f>
        <v>36058.688684837391</v>
      </c>
      <c r="M107" s="231" cm="1">
        <f t="array" ref="M107">INDEX('Shop Goals'!$H$148:$H$159, COLUMN()-COLUMN($D$3)+1)</f>
        <v>30048.907237364496</v>
      </c>
      <c r="N107" s="231" cm="1">
        <f t="array" ref="N107">INDEX('Shop Goals'!$H$148:$H$159, COLUMN()-COLUMN($D$3)+1)</f>
        <v>33505.574236092973</v>
      </c>
      <c r="O107" s="231" cm="1">
        <f t="array" ref="O107">INDEX('Shop Goals'!$H$148:$H$159, COLUMN()-COLUMN($D$3)+1)</f>
        <v>36774.410746931317</v>
      </c>
      <c r="P107" s="232">
        <f t="shared" si="11"/>
        <v>350879.95440506126</v>
      </c>
      <c r="Q107" s="47"/>
      <c r="R107" s="231" cm="1">
        <f t="array" ref="R107">INDEX('Shop Goals'!$N$148:$N$159, COLUMN()-COLUMN($R$2)+1)</f>
        <v>1330.7761544935017</v>
      </c>
      <c r="S107" s="231" cm="1">
        <f t="array" ref="S107">INDEX('Shop Goals'!$N$148:$N$159, COLUMN()-COLUMN($R$2)+1)</f>
        <v>2661.5523089870035</v>
      </c>
      <c r="T107" s="231" cm="1">
        <f t="array" ref="T107">INDEX('Shop Goals'!$N$148:$N$159, COLUMN()-COLUMN($R$2)+1)</f>
        <v>12086.192846412814</v>
      </c>
      <c r="U107" s="231" cm="1">
        <f t="array" ref="U107">INDEX('Shop Goals'!$N$148:$N$159, COLUMN()-COLUMN($R$2)+1)</f>
        <v>10646.209235948014</v>
      </c>
      <c r="V107" s="231" cm="1">
        <f t="array" ref="V107">INDEX('Shop Goals'!$N$148:$N$159, COLUMN()-COLUMN($R$2)+1)</f>
        <v>11710.830159542813</v>
      </c>
      <c r="W107" s="231" cm="1">
        <f t="array" ref="W107">INDEX('Shop Goals'!$N$148:$N$159, COLUMN()-COLUMN($R$2)+1)</f>
        <v>11089.801287445849</v>
      </c>
      <c r="X107" s="231" cm="1">
        <f t="array" ref="X107">INDEX('Shop Goals'!$N$148:$N$159, COLUMN()-COLUMN($R$2)+1)</f>
        <v>15107.741058016016</v>
      </c>
      <c r="Y107" s="231" cm="1">
        <f t="array" ref="Y107">INDEX('Shop Goals'!$N$148:$N$159, COLUMN()-COLUMN($R$2)+1)</f>
        <v>14604.149689415482</v>
      </c>
      <c r="Z107" s="231" cm="1">
        <f t="array" ref="Z107">INDEX('Shop Goals'!$N$148:$N$159, COLUMN()-COLUMN($R$2)+1)</f>
        <v>13307.761544935016</v>
      </c>
      <c r="AA107" s="231" cm="1">
        <f t="array" ref="AA107">INDEX('Shop Goals'!$N$148:$N$159, COLUMN()-COLUMN($R$2)+1)</f>
        <v>11089.801287445849</v>
      </c>
      <c r="AB107" s="231" cm="1">
        <f t="array" ref="AB107">INDEX('Shop Goals'!$N$148:$N$159, COLUMN()-COLUMN($R$2)+1)</f>
        <v>12388.347667573133</v>
      </c>
      <c r="AC107" s="231" cm="1">
        <f t="array" ref="AC107">INDEX('Shop Goals'!$N$148:$N$159, COLUMN()-COLUMN($R$2)+1)</f>
        <v>13596.966952214418</v>
      </c>
      <c r="AD107" s="232">
        <f>SUM(R107:AC107)</f>
        <v>129620.1301924299</v>
      </c>
    </row>
    <row r="108" spans="1:30">
      <c r="A108" s="757"/>
      <c r="B108" s="579"/>
      <c r="C108" s="229" t="s">
        <v>60</v>
      </c>
      <c r="D108" s="69" cm="1">
        <f t="array" ref="D108">INDEX('Shop Goals'!$D$148:$D$159, COLUMN()-COLUMN($D$3)+1)</f>
        <v>59.083710407239813</v>
      </c>
      <c r="E108" s="69" cm="1">
        <f t="array" ref="E108">INDEX('Shop Goals'!$D$148:$D$159, COLUMN()-COLUMN($D$3)+1)</f>
        <v>118.16742081447963</v>
      </c>
      <c r="F108" s="69" cm="1">
        <f t="array" ref="F108">INDEX('Shop Goals'!$D$148:$D$159, COLUMN()-COLUMN($D$3)+1)</f>
        <v>506.10603290676414</v>
      </c>
      <c r="G108" s="69" cm="1">
        <f t="array" ref="G108">INDEX('Shop Goals'!$D$148:$D$159, COLUMN()-COLUMN($D$3)+1)</f>
        <v>472.66968325791851</v>
      </c>
      <c r="H108" s="69" cm="1">
        <f t="array" ref="H108">INDEX('Shop Goals'!$D$148:$D$159, COLUMN()-COLUMN($D$3)+1)</f>
        <v>519.93665158371039</v>
      </c>
      <c r="I108" s="69" cm="1">
        <f t="array" ref="I108">INDEX('Shop Goals'!$D$148:$D$159, COLUMN()-COLUMN($D$3)+1)</f>
        <v>492.36425339366514</v>
      </c>
      <c r="J108" s="69" cm="1">
        <f t="array" ref="J108">INDEX('Shop Goals'!$D$148:$D$159, COLUMN()-COLUMN($D$3)+1)</f>
        <v>632.63254113345522</v>
      </c>
      <c r="K108" s="69" cm="1">
        <f t="array" ref="K108">INDEX('Shop Goals'!$D$148:$D$159, COLUMN()-COLUMN($D$3)+1)</f>
        <v>611.54478976233997</v>
      </c>
      <c r="L108" s="69" cm="1">
        <f t="array" ref="L108">INDEX('Shop Goals'!$D$148:$D$159, COLUMN()-COLUMN($D$3)+1)</f>
        <v>590.83710407239812</v>
      </c>
      <c r="M108" s="69" cm="1">
        <f t="array" ref="M108">INDEX('Shop Goals'!$D$148:$D$159, COLUMN()-COLUMN($D$3)+1)</f>
        <v>492.36425339366514</v>
      </c>
      <c r="N108" s="69" cm="1">
        <f t="array" ref="N108">INDEX('Shop Goals'!$D$148:$D$159, COLUMN()-COLUMN($D$3)+1)</f>
        <v>518.7586837294333</v>
      </c>
      <c r="O108" s="69" cm="1">
        <f t="array" ref="O108">INDEX('Shop Goals'!$D$148:$D$159, COLUMN()-COLUMN($D$3)+1)</f>
        <v>569.36928702010971</v>
      </c>
      <c r="P108" s="68">
        <f t="shared" si="11"/>
        <v>5583.8344114751781</v>
      </c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</row>
    <row r="109" spans="1:30">
      <c r="A109" s="757"/>
      <c r="B109" s="579"/>
      <c r="C109" s="229" t="s">
        <v>203</v>
      </c>
      <c r="D109" s="69" cm="1">
        <f t="array" ref="D109">INDEX('Shop Goals'!$E$148:$E$159, COLUMN()-COLUMN($D$3)+1)</f>
        <v>317.33031674208144</v>
      </c>
      <c r="E109" s="69" cm="1">
        <f t="array" ref="E109">INDEX('Shop Goals'!$E$148:$E$159, COLUMN()-COLUMN($D$3)+1)</f>
        <v>634.66063348416287</v>
      </c>
      <c r="F109" s="69" cm="1">
        <f t="array" ref="F109">INDEX('Shop Goals'!$E$148:$E$159, COLUMN()-COLUMN($D$3)+1)</f>
        <v>2666.5447897623399</v>
      </c>
      <c r="G109" s="69" cm="1">
        <f t="array" ref="G109">INDEX('Shop Goals'!$E$148:$E$159, COLUMN()-COLUMN($D$3)+1)</f>
        <v>2538.6425339366515</v>
      </c>
      <c r="H109" s="69" cm="1">
        <f t="array" ref="H109">INDEX('Shop Goals'!$E$148:$E$159, COLUMN()-COLUMN($D$3)+1)</f>
        <v>2792.5067873303165</v>
      </c>
      <c r="I109" s="69" cm="1">
        <f t="array" ref="I109">INDEX('Shop Goals'!$E$148:$E$159, COLUMN()-COLUMN($D$3)+1)</f>
        <v>2644.4193061840119</v>
      </c>
      <c r="J109" s="69" cm="1">
        <f t="array" ref="J109">INDEX('Shop Goals'!$E$148:$E$159, COLUMN()-COLUMN($D$3)+1)</f>
        <v>3333.1809872029248</v>
      </c>
      <c r="K109" s="69" cm="1">
        <f t="array" ref="K109">INDEX('Shop Goals'!$E$148:$E$159, COLUMN()-COLUMN($D$3)+1)</f>
        <v>3222.0749542961607</v>
      </c>
      <c r="L109" s="69" cm="1">
        <f t="array" ref="L109">INDEX('Shop Goals'!$E$148:$E$159, COLUMN()-COLUMN($D$3)+1)</f>
        <v>3173.3031674208141</v>
      </c>
      <c r="M109" s="69" cm="1">
        <f t="array" ref="M109">INDEX('Shop Goals'!$E$148:$E$159, COLUMN()-COLUMN($D$3)+1)</f>
        <v>2644.4193061840119</v>
      </c>
      <c r="N109" s="69" cm="1">
        <f t="array" ref="N109">INDEX('Shop Goals'!$E$148:$E$159, COLUMN()-COLUMN($D$3)+1)</f>
        <v>2733.2084095063983</v>
      </c>
      <c r="O109" s="69" cm="1">
        <f t="array" ref="O109">INDEX('Shop Goals'!$E$148:$E$159, COLUMN()-COLUMN($D$3)+1)</f>
        <v>2999.8628884826326</v>
      </c>
      <c r="P109" s="68">
        <f t="shared" si="11"/>
        <v>29700.154080532506</v>
      </c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</row>
    <row r="110" spans="1:30">
      <c r="A110" s="757"/>
      <c r="B110" s="579"/>
      <c r="C110" s="229" t="s">
        <v>7</v>
      </c>
      <c r="D110" s="69" cm="1">
        <f t="array" ref="D110">INDEX('Shop Goals'!$G$148:$G$159, COLUMN()-COLUMN($D$3)+1)</f>
        <v>3229.4548413344178</v>
      </c>
      <c r="E110" s="69" cm="1">
        <f t="array" ref="E110">INDEX('Shop Goals'!$G$148:$G$159, COLUMN()-COLUMN($D$3)+1)</f>
        <v>6458.9096826688356</v>
      </c>
      <c r="F110" s="69" cm="1">
        <f t="array" ref="F110">INDEX('Shop Goals'!$G$148:$G$159, COLUMN()-COLUMN($D$3)+1)</f>
        <v>29515.714285714286</v>
      </c>
      <c r="G110" s="69" cm="1">
        <f t="array" ref="G110">INDEX('Shop Goals'!$G$148:$G$159, COLUMN()-COLUMN($D$3)+1)</f>
        <v>25835.638730675342</v>
      </c>
      <c r="H110" s="69" cm="1">
        <f t="array" ref="H110">INDEX('Shop Goals'!$G$148:$G$159, COLUMN()-COLUMN($D$3)+1)</f>
        <v>28419.202603742877</v>
      </c>
      <c r="I110" s="69" cm="1">
        <f t="array" ref="I110">INDEX('Shop Goals'!$G$148:$G$159, COLUMN()-COLUMN($D$3)+1)</f>
        <v>26912.123677786818</v>
      </c>
      <c r="J110" s="69" cm="1">
        <f t="array" ref="J110">INDEX('Shop Goals'!$G$148:$G$159, COLUMN()-COLUMN($D$3)+1)</f>
        <v>36894.642857142855</v>
      </c>
      <c r="K110" s="69" cm="1">
        <f t="array" ref="K110">INDEX('Shop Goals'!$G$148:$G$159, COLUMN()-COLUMN($D$3)+1)</f>
        <v>35664.821428571428</v>
      </c>
      <c r="L110" s="69" cm="1">
        <f t="array" ref="L110">INDEX('Shop Goals'!$G$148:$G$159, COLUMN()-COLUMN($D$3)+1)</f>
        <v>32294.548413344179</v>
      </c>
      <c r="M110" s="69" cm="1">
        <f t="array" ref="M110">INDEX('Shop Goals'!$G$148:$G$159, COLUMN()-COLUMN($D$3)+1)</f>
        <v>26912.123677786818</v>
      </c>
      <c r="N110" s="69" cm="1">
        <f t="array" ref="N110">INDEX('Shop Goals'!$G$148:$G$159, COLUMN()-COLUMN($D$3)+1)</f>
        <v>30253.607142857141</v>
      </c>
      <c r="O110" s="69" cm="1">
        <f t="array" ref="O110">INDEX('Shop Goals'!$G$148:$G$159, COLUMN()-COLUMN($D$3)+1)</f>
        <v>33205.178571428572</v>
      </c>
      <c r="P110" s="68">
        <f>SUM(D110:O110)</f>
        <v>315595.96591305354</v>
      </c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</row>
    <row r="111" spans="1:30">
      <c r="A111" s="757"/>
      <c r="B111" s="233" t="s">
        <v>66</v>
      </c>
      <c r="C111" s="229" t="s">
        <v>67</v>
      </c>
      <c r="D111" s="69" cm="1">
        <f t="array" ref="D111">INDEX('Lead Goals'!$I$254:$I$265, COLUMN()-COLUMN($D$3)+1)</f>
        <v>6.3561187998544124</v>
      </c>
      <c r="E111" s="69" cm="1">
        <f t="array" ref="E111">INDEX('Lead Goals'!$I$254:$I$265, COLUMN()-COLUMN($D$3)+1)</f>
        <v>12.712237599708821</v>
      </c>
      <c r="F111" s="69" cm="1">
        <f t="array" ref="F111">INDEX('Lead Goals'!$I$254:$I$265, COLUMN()-COLUMN($D$3)+1)</f>
        <v>50.167366994512079</v>
      </c>
      <c r="G111" s="69" cm="1">
        <f t="array" ref="G111">INDEX('Lead Goals'!$I$254:$I$265, COLUMN()-COLUMN($D$3)+1)</f>
        <v>50.848950398835292</v>
      </c>
      <c r="H111" s="69" cm="1">
        <f t="array" ref="H111">INDEX('Lead Goals'!$I$254:$I$265, COLUMN()-COLUMN($D$3)+1)</f>
        <v>55.933845438718826</v>
      </c>
      <c r="I111" s="69" cm="1">
        <f t="array" ref="I111">INDEX('Lead Goals'!$I$254:$I$265, COLUMN()-COLUMN($D$3)+1)</f>
        <v>52.967656665453433</v>
      </c>
      <c r="J111" s="69" cm="1">
        <f t="array" ref="J111">INDEX('Lead Goals'!$I$254:$I$265, COLUMN()-COLUMN($D$3)+1)</f>
        <v>62.709208743140096</v>
      </c>
      <c r="K111" s="69" cm="1">
        <f t="array" ref="K111">INDEX('Lead Goals'!$I$254:$I$265, COLUMN()-COLUMN($D$3)+1)</f>
        <v>60.618901785035426</v>
      </c>
      <c r="L111" s="69" cm="1">
        <f t="array" ref="L111">INDEX('Lead Goals'!$I$254:$I$265, COLUMN()-COLUMN($D$3)+1)</f>
        <v>63.561187998544113</v>
      </c>
      <c r="M111" s="69" cm="1">
        <f t="array" ref="M111">INDEX('Lead Goals'!$I$254:$I$265, COLUMN()-COLUMN($D$3)+1)</f>
        <v>52.96765666545344</v>
      </c>
      <c r="N111" s="69" cm="1">
        <f t="array" ref="N111">INDEX('Lead Goals'!$I$254:$I$265, COLUMN()-COLUMN($D$3)+1)</f>
        <v>51.421551169374887</v>
      </c>
      <c r="O111" s="69" cm="1">
        <f t="array" ref="O111">INDEX('Lead Goals'!$I$254:$I$265, COLUMN()-COLUMN($D$3)+1)</f>
        <v>56.438287868826094</v>
      </c>
      <c r="P111" s="68">
        <f t="shared" ref="P111" si="12">SUM(D111:O111)</f>
        <v>576.70297012745698</v>
      </c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</row>
    <row r="112" spans="1:30">
      <c r="D112" s="257"/>
      <c r="E112" s="257"/>
      <c r="F112" s="257"/>
      <c r="G112" s="257"/>
      <c r="H112" s="257"/>
      <c r="I112" s="257"/>
    </row>
    <row r="113" spans="1:30">
      <c r="A113" s="762" t="s">
        <v>320</v>
      </c>
      <c r="B113" s="763"/>
      <c r="C113" s="763"/>
      <c r="D113" s="763"/>
      <c r="E113" s="763"/>
      <c r="F113" s="763"/>
      <c r="G113" s="763"/>
      <c r="H113" s="763"/>
      <c r="I113" s="763"/>
      <c r="J113" s="763"/>
      <c r="K113" s="763"/>
      <c r="L113" s="763"/>
      <c r="M113" s="763"/>
      <c r="N113" s="763"/>
      <c r="O113" s="763"/>
      <c r="P113" s="764"/>
      <c r="R113" s="761" t="s">
        <v>321</v>
      </c>
      <c r="S113" s="761"/>
      <c r="T113" s="761"/>
      <c r="U113" s="761"/>
      <c r="V113" s="761"/>
      <c r="W113" s="761"/>
      <c r="X113" s="761"/>
      <c r="Y113" s="761"/>
      <c r="Z113" s="761"/>
      <c r="AA113" s="761"/>
      <c r="AB113" s="761"/>
      <c r="AC113" s="761"/>
      <c r="AD113" s="761"/>
    </row>
    <row r="114" spans="1:30">
      <c r="A114" s="758" t="s">
        <v>89</v>
      </c>
      <c r="B114" s="759"/>
      <c r="C114" s="760"/>
      <c r="D114" s="234" t="s">
        <v>252</v>
      </c>
      <c r="E114" s="234" t="s">
        <v>253</v>
      </c>
      <c r="F114" s="234" t="s">
        <v>230</v>
      </c>
      <c r="G114" s="234" t="s">
        <v>254</v>
      </c>
      <c r="H114" s="234" t="s">
        <v>78</v>
      </c>
      <c r="I114" s="234" t="s">
        <v>255</v>
      </c>
      <c r="J114" s="234" t="s">
        <v>256</v>
      </c>
      <c r="K114" s="234" t="s">
        <v>236</v>
      </c>
      <c r="L114" s="234" t="s">
        <v>257</v>
      </c>
      <c r="M114" s="234" t="s">
        <v>258</v>
      </c>
      <c r="N114" s="234" t="s">
        <v>259</v>
      </c>
      <c r="O114" s="234" t="s">
        <v>260</v>
      </c>
      <c r="P114" s="234" t="s">
        <v>24</v>
      </c>
      <c r="R114" s="234" t="s">
        <v>252</v>
      </c>
      <c r="S114" s="234" t="s">
        <v>253</v>
      </c>
      <c r="T114" s="234" t="s">
        <v>230</v>
      </c>
      <c r="U114" s="234" t="s">
        <v>254</v>
      </c>
      <c r="V114" s="234" t="s">
        <v>78</v>
      </c>
      <c r="W114" s="234" t="s">
        <v>255</v>
      </c>
      <c r="X114" s="234" t="s">
        <v>256</v>
      </c>
      <c r="Y114" s="234" t="s">
        <v>236</v>
      </c>
      <c r="Z114" s="234" t="s">
        <v>257</v>
      </c>
      <c r="AA114" s="234" t="s">
        <v>258</v>
      </c>
      <c r="AB114" s="234" t="s">
        <v>259</v>
      </c>
      <c r="AC114" s="234" t="s">
        <v>260</v>
      </c>
      <c r="AD114" s="234" t="s">
        <v>24</v>
      </c>
    </row>
    <row r="115" spans="1:30">
      <c r="A115" s="757" t="s">
        <v>42</v>
      </c>
      <c r="B115" s="579" t="s">
        <v>43</v>
      </c>
      <c r="C115" s="229" t="s">
        <v>44</v>
      </c>
      <c r="D115" s="69" cm="1">
        <f t="array" ref="D115">INDEX('Consideration Goals'!$D$150:$D$161, COLUMN()-COLUMN($D$3)+1)</f>
        <v>0</v>
      </c>
      <c r="E115" s="69" cm="1">
        <f t="array" ref="E115">INDEX('Consideration Goals'!$D$150:$D$161, COLUMN()-COLUMN($D$3)+1)</f>
        <v>0</v>
      </c>
      <c r="F115" s="69" cm="1">
        <f t="array" ref="F115">INDEX('Consideration Goals'!$D$150:$D$161, COLUMN()-COLUMN($D$3)+1)</f>
        <v>0</v>
      </c>
      <c r="G115" s="69" cm="1">
        <f t="array" ref="G115">INDEX('Consideration Goals'!$D$150:$D$161, COLUMN()-COLUMN($D$3)+1)</f>
        <v>0</v>
      </c>
      <c r="H115" s="69" cm="1">
        <f t="array" ref="H115">INDEX('Consideration Goals'!$D$150:$D$161, COLUMN()-COLUMN($D$3)+1)</f>
        <v>0</v>
      </c>
      <c r="I115" s="69" cm="1">
        <f t="array" ref="I115">INDEX('Consideration Goals'!$D$150:$D$161, COLUMN()-COLUMN($D$3)+1)</f>
        <v>0</v>
      </c>
      <c r="J115" s="69" cm="1">
        <f t="array" ref="J115">INDEX('Consideration Goals'!$D$150:$D$161, COLUMN()-COLUMN($D$3)+1)</f>
        <v>0</v>
      </c>
      <c r="K115" s="69" cm="1">
        <f t="array" ref="K115">INDEX('Consideration Goals'!$D$150:$D$161, COLUMN()-COLUMN($D$3)+1)</f>
        <v>0</v>
      </c>
      <c r="L115" s="69" cm="1">
        <f t="array" ref="L115">INDEX('Consideration Goals'!$D$150:$D$161, COLUMN()-COLUMN($D$3)+1)</f>
        <v>0</v>
      </c>
      <c r="M115" s="69" cm="1">
        <f t="array" ref="M115">INDEX('Consideration Goals'!$D$150:$D$161, COLUMN()-COLUMN($D$3)+1)</f>
        <v>0</v>
      </c>
      <c r="N115" s="69" cm="1">
        <f t="array" ref="N115">INDEX('Consideration Goals'!$D$150:$D$161, COLUMN()-COLUMN($D$3)+1)</f>
        <v>0</v>
      </c>
      <c r="O115" s="69" cm="1">
        <f t="array" ref="O115">INDEX('Consideration Goals'!$D$150:$D$161, COLUMN()-COLUMN($D$3)+1)</f>
        <v>0</v>
      </c>
      <c r="P115" s="68">
        <f>SUM(D115:O115)</f>
        <v>0</v>
      </c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</row>
    <row r="116" spans="1:30">
      <c r="A116" s="757"/>
      <c r="B116" s="579"/>
      <c r="C116" s="229" t="s">
        <v>46</v>
      </c>
      <c r="D116" s="69" cm="1">
        <f t="array" ref="D116">INDEX('Consideration Goals'!$E$150:$E$161, COLUMN()-COLUMN($D$3)+1)</f>
        <v>37644.595635430036</v>
      </c>
      <c r="E116" s="69" cm="1">
        <f t="array" ref="E116">INDEX('Consideration Goals'!$E$150:$E$161, COLUMN()-COLUMN($D$3)+1)</f>
        <v>37644.595635430036</v>
      </c>
      <c r="F116" s="69" cm="1">
        <f t="array" ref="F116">INDEX('Consideration Goals'!$E$150:$E$161, COLUMN()-COLUMN($D$3)+1)</f>
        <v>50794.308510638293</v>
      </c>
      <c r="G116" s="69" cm="1">
        <f t="array" ref="G116">INDEX('Consideration Goals'!$E$150:$E$161, COLUMN()-COLUMN($D$3)+1)</f>
        <v>44160.006418485238</v>
      </c>
      <c r="H116" s="69" cm="1">
        <f t="array" ref="H116">INDEX('Consideration Goals'!$E$150:$E$161, COLUMN()-COLUMN($D$3)+1)</f>
        <v>46331.810012836962</v>
      </c>
      <c r="I116" s="69" cm="1">
        <f t="array" ref="I116">INDEX('Consideration Goals'!$E$150:$E$161, COLUMN()-COLUMN($D$3)+1)</f>
        <v>43436.071887034661</v>
      </c>
      <c r="J116" s="69" cm="1">
        <f t="array" ref="J116">INDEX('Consideration Goals'!$E$150:$E$161, COLUMN()-COLUMN($D$3)+1)</f>
        <v>37066.117021276594</v>
      </c>
      <c r="K116" s="69" cm="1">
        <f t="array" ref="K116">INDEX('Consideration Goals'!$E$150:$E$161, COLUMN()-COLUMN($D$3)+1)</f>
        <v>41184.574468085106</v>
      </c>
      <c r="L116" s="69" cm="1">
        <f t="array" ref="L116">INDEX('Consideration Goals'!$E$150:$E$161, COLUMN()-COLUMN($D$3)+1)</f>
        <v>49951.482670089856</v>
      </c>
      <c r="M116" s="69" cm="1">
        <f t="array" ref="M116">INDEX('Consideration Goals'!$E$150:$E$161, COLUMN()-COLUMN($D$3)+1)</f>
        <v>53571.155327342742</v>
      </c>
      <c r="N116" s="69" cm="1">
        <f t="array" ref="N116">INDEX('Consideration Goals'!$E$150:$E$161, COLUMN()-COLUMN($D$3)+1)</f>
        <v>46675.851063829781</v>
      </c>
      <c r="O116" s="69" cm="1">
        <f t="array" ref="O116">INDEX('Consideration Goals'!$E$150:$E$161, COLUMN()-COLUMN($D$3)+1)</f>
        <v>59031.223404255317</v>
      </c>
      <c r="P116" s="68">
        <f>SUM(D116:O116)</f>
        <v>547491.79205473466</v>
      </c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</row>
    <row r="117" spans="1:30">
      <c r="A117" s="757" t="s">
        <v>48</v>
      </c>
      <c r="B117" s="579" t="s">
        <v>49</v>
      </c>
      <c r="C117" s="230" t="s">
        <v>50</v>
      </c>
      <c r="D117" s="231" cm="1">
        <f t="array" ref="D117">INDEX('Research Goals'!$G$159:$G$170, COLUMN()-COLUMN($D$3)+1)</f>
        <v>25212.100984167733</v>
      </c>
      <c r="E117" s="231" cm="1">
        <f t="array" ref="E117">INDEX('Research Goals'!$G$159:$G$170, COLUMN()-COLUMN($D$3)+1)</f>
        <v>25212.100984167733</v>
      </c>
      <c r="F117" s="231" cm="1">
        <f t="array" ref="F117">INDEX('Research Goals'!$G$159:$G$170, COLUMN()-COLUMN($D$3)+1)</f>
        <v>34743.449848024313</v>
      </c>
      <c r="G117" s="231" cm="1">
        <f t="array" ref="G117">INDEX('Research Goals'!$G$159:$G$170, COLUMN()-COLUMN($D$3)+1)</f>
        <v>37756.442019683353</v>
      </c>
      <c r="H117" s="231" cm="1">
        <f t="array" ref="H117">INDEX('Research Goals'!$G$159:$G$170, COLUMN()-COLUMN($D$3)+1)</f>
        <v>39613.316217372696</v>
      </c>
      <c r="I117" s="231" cm="1">
        <f t="array" ref="I117">INDEX('Research Goals'!$G$159:$G$170, COLUMN()-COLUMN($D$3)+1)</f>
        <v>37137.483953786905</v>
      </c>
      <c r="J117" s="231" cm="1">
        <f t="array" ref="J117">INDEX('Research Goals'!$G$159:$G$170, COLUMN()-COLUMN($D$3)+1)</f>
        <v>31434.893617021276</v>
      </c>
      <c r="K117" s="231" cm="1">
        <f t="array" ref="K117">INDEX('Research Goals'!$G$159:$G$170, COLUMN()-COLUMN($D$3)+1)</f>
        <v>34927.659574468082</v>
      </c>
      <c r="L117" s="231" cm="1">
        <f t="array" ref="L117">INDEX('Research Goals'!$G$159:$G$170, COLUMN()-COLUMN($D$3)+1)</f>
        <v>42708.106546854935</v>
      </c>
      <c r="M117" s="231" cm="1">
        <f t="array" ref="M117">INDEX('Research Goals'!$G$159:$G$170, COLUMN()-COLUMN($D$3)+1)</f>
        <v>45802.896876337181</v>
      </c>
      <c r="N117" s="231" cm="1">
        <f t="array" ref="N117">INDEX('Research Goals'!$G$159:$G$170, COLUMN()-COLUMN($D$3)+1)</f>
        <v>39584.680851063829</v>
      </c>
      <c r="O117" s="231" cm="1">
        <f t="array" ref="O117">INDEX('Research Goals'!$G$159:$G$170, COLUMN()-COLUMN($D$3)+1)</f>
        <v>50062.978723404252</v>
      </c>
      <c r="P117" s="232">
        <f>SUM(D117:O117)</f>
        <v>444196.11019635224</v>
      </c>
      <c r="Q117" s="47"/>
      <c r="R117" s="231" cm="1">
        <f t="array" ref="R117">INDEX('Research Goals'!$L$159:$L$170, COLUMN()-COLUMN($R$3)+1)</f>
        <v>15623.082040293053</v>
      </c>
      <c r="S117" s="231" cm="1">
        <f t="array" ref="S117">INDEX('Research Goals'!$L$159:$L$170, COLUMN()-COLUMN($R$3)+1)</f>
        <v>15623.082040293053</v>
      </c>
      <c r="T117" s="231" cm="1">
        <f t="array" ref="T117">INDEX('Research Goals'!$L$159:$L$170, COLUMN()-COLUMN($R$3)+1)</f>
        <v>21361.448683225404</v>
      </c>
      <c r="U117" s="231" cm="1">
        <f t="array" ref="U117">INDEX('Research Goals'!$L$159:$L$170, COLUMN()-COLUMN($R$3)+1)</f>
        <v>20360.880807098445</v>
      </c>
      <c r="V117" s="231" cm="1">
        <f t="array" ref="V117">INDEX('Research Goals'!$L$159:$L$170, COLUMN()-COLUMN($R$3)+1)</f>
        <v>21362.235600890173</v>
      </c>
      <c r="W117" s="231" cm="1">
        <f t="array" ref="W117">INDEX('Research Goals'!$L$159:$L$170, COLUMN()-COLUMN($R$3)+1)</f>
        <v>20027.09587583454</v>
      </c>
      <c r="X117" s="231" cm="1">
        <f t="array" ref="X117">INDEX('Research Goals'!$L$159:$L$170, COLUMN()-COLUMN($R$3)+1)</f>
        <v>17100.020603965386</v>
      </c>
      <c r="Y117" s="231" cm="1">
        <f t="array" ref="Y117">INDEX('Research Goals'!$L$159:$L$170, COLUMN()-COLUMN($R$3)+1)</f>
        <v>19000.022893294874</v>
      </c>
      <c r="Z117" s="231" cm="1">
        <f t="array" ref="Z117">INDEX('Research Goals'!$L$159:$L$170, COLUMN()-COLUMN($R$3)+1)</f>
        <v>23031.160257209718</v>
      </c>
      <c r="AA117" s="231" cm="1">
        <f t="array" ref="AA117">INDEX('Research Goals'!$L$159:$L$170, COLUMN()-COLUMN($R$3)+1)</f>
        <v>24700.084913529263</v>
      </c>
      <c r="AB117" s="231" cm="1">
        <f t="array" ref="AB117">INDEX('Research Goals'!$L$159:$L$170, COLUMN()-COLUMN($R$3)+1)</f>
        <v>21533.359279067525</v>
      </c>
      <c r="AC117" s="231" cm="1">
        <f t="array" ref="AC117">INDEX('Research Goals'!$L$159:$L$170, COLUMN()-COLUMN($R$3)+1)</f>
        <v>27233.366147055985</v>
      </c>
      <c r="AD117" s="232">
        <f>SUM(R117:AC117)</f>
        <v>246955.8391417574</v>
      </c>
    </row>
    <row r="118" spans="1:30">
      <c r="A118" s="757"/>
      <c r="B118" s="579"/>
      <c r="C118" s="229" t="s">
        <v>52</v>
      </c>
      <c r="D118" s="69" cm="1">
        <f t="array" ref="D118">INDEX('Research Goals'!$D$159:$D$170, COLUMN()-COLUMN($D$3)+1)</f>
        <v>18606.743688489514</v>
      </c>
      <c r="E118" s="69" cm="1">
        <f t="array" ref="E118">INDEX('Research Goals'!$D$159:$D$170, COLUMN()-COLUMN($D$3)+1)</f>
        <v>18606.743688489514</v>
      </c>
      <c r="F118" s="69" cm="1">
        <f t="array" ref="F118">INDEX('Research Goals'!$D$159:$D$170, COLUMN()-COLUMN($D$3)+1)</f>
        <v>25307.044072948327</v>
      </c>
      <c r="G118" s="69" cm="1">
        <f t="array" ref="G118">INDEX('Research Goals'!$D$159:$D$170, COLUMN()-COLUMN($D$3)+1)</f>
        <v>21827.14163457424</v>
      </c>
      <c r="H118" s="69" cm="1">
        <f t="array" ref="H118">INDEX('Research Goals'!$D$159:$D$170, COLUMN()-COLUMN($D$3)+1)</f>
        <v>22900.60761660248</v>
      </c>
      <c r="I118" s="69" cm="1">
        <f t="array" ref="I118">INDEX('Research Goals'!$D$159:$D$170, COLUMN()-COLUMN($D$3)+1)</f>
        <v>21469.319640564827</v>
      </c>
      <c r="J118" s="69" cm="1">
        <f t="array" ref="J118">INDEX('Research Goals'!$D$159:$D$170, COLUMN()-COLUMN($D$3)+1)</f>
        <v>18467.30243161094</v>
      </c>
      <c r="K118" s="69" cm="1">
        <f t="array" ref="K118">INDEX('Research Goals'!$D$159:$D$170, COLUMN()-COLUMN($D$3)+1)</f>
        <v>20519.224924012156</v>
      </c>
      <c r="L118" s="69" cm="1">
        <f t="array" ref="L118">INDEX('Research Goals'!$D$159:$D$170, COLUMN()-COLUMN($D$3)+1)</f>
        <v>24689.717586649549</v>
      </c>
      <c r="M118" s="69" cm="1">
        <f t="array" ref="M118">INDEX('Research Goals'!$D$159:$D$170, COLUMN()-COLUMN($D$3)+1)</f>
        <v>26478.827556696619</v>
      </c>
      <c r="N118" s="69" cm="1">
        <f t="array" ref="N118">INDEX('Research Goals'!$D$159:$D$170, COLUMN()-COLUMN($D$3)+1)</f>
        <v>23255.121580547111</v>
      </c>
      <c r="O118" s="69" cm="1">
        <f t="array" ref="O118">INDEX('Research Goals'!$D$159:$D$170, COLUMN()-COLUMN($D$3)+1)</f>
        <v>29410.889057750759</v>
      </c>
      <c r="P118" s="68">
        <f>SUM(D118:O118)</f>
        <v>271538.68347893603</v>
      </c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</row>
    <row r="119" spans="1:30">
      <c r="A119" s="757"/>
      <c r="B119" s="579"/>
      <c r="C119" s="229" t="s">
        <v>14</v>
      </c>
      <c r="D119" s="69" cm="1">
        <f t="array" ref="D119">INDEX('Research Goals'!$F$159:$F$170, COLUMN()-COLUMN($D$3)+1)</f>
        <v>6605.35729567822</v>
      </c>
      <c r="E119" s="69" cm="1">
        <f t="array" ref="E119">INDEX('Research Goals'!$F$159:$F$170, COLUMN()-COLUMN($D$3)+1)</f>
        <v>6605.35729567822</v>
      </c>
      <c r="F119" s="69" cm="1">
        <f t="array" ref="F119">INDEX('Research Goals'!$F$159:$F$170, COLUMN()-COLUMN($D$3)+1)</f>
        <v>9436.4057750759875</v>
      </c>
      <c r="G119" s="69" cm="1">
        <f t="array" ref="G119">INDEX('Research Goals'!$F$159:$F$170, COLUMN()-COLUMN($D$3)+1)</f>
        <v>15929.300385109113</v>
      </c>
      <c r="H119" s="69" cm="1">
        <f t="array" ref="H119">INDEX('Research Goals'!$F$159:$F$170, COLUMN()-COLUMN($D$3)+1)</f>
        <v>16712.708600770216</v>
      </c>
      <c r="I119" s="69" cm="1">
        <f t="array" ref="I119">INDEX('Research Goals'!$F$159:$F$170, COLUMN()-COLUMN($D$3)+1)</f>
        <v>15668.164313222078</v>
      </c>
      <c r="J119" s="69" cm="1">
        <f t="array" ref="J119">INDEX('Research Goals'!$F$159:$F$170, COLUMN()-COLUMN($D$3)+1)</f>
        <v>12967.591185410334</v>
      </c>
      <c r="K119" s="69" cm="1">
        <f t="array" ref="K119">INDEX('Research Goals'!$F$159:$F$170, COLUMN()-COLUMN($D$3)+1)</f>
        <v>14408.434650455927</v>
      </c>
      <c r="L119" s="69" cm="1">
        <f t="array" ref="L119">INDEX('Research Goals'!$F$159:$F$170, COLUMN()-COLUMN($D$3)+1)</f>
        <v>18018.38896020539</v>
      </c>
      <c r="M119" s="69" cm="1">
        <f t="array" ref="M119">INDEX('Research Goals'!$F$159:$F$170, COLUMN()-COLUMN($D$3)+1)</f>
        <v>19324.069319640563</v>
      </c>
      <c r="N119" s="69" cm="1">
        <f t="array" ref="N119">INDEX('Research Goals'!$F$159:$F$170, COLUMN()-COLUMN($D$3)+1)</f>
        <v>16329.559270516716</v>
      </c>
      <c r="O119" s="69" cm="1">
        <f t="array" ref="O119">INDEX('Research Goals'!$F$159:$F$170, COLUMN()-COLUMN($D$3)+1)</f>
        <v>20652.089665653493</v>
      </c>
      <c r="P119" s="68">
        <f>SUM(D119:O119)</f>
        <v>172657.42671741627</v>
      </c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</row>
    <row r="120" spans="1:30">
      <c r="A120" s="757"/>
      <c r="B120" s="233" t="s">
        <v>43</v>
      </c>
      <c r="C120" s="229" t="s">
        <v>55</v>
      </c>
      <c r="D120" s="69" cm="1">
        <f t="array" ref="D120">INDEX('Research Goals'!$E$159:$E$170, COLUMN()-COLUMN($D$3)+1)</f>
        <v>10114.634146341461</v>
      </c>
      <c r="E120" s="69" cm="1">
        <f t="array" ref="E120">INDEX('Research Goals'!$E$159:$E$170, COLUMN()-COLUMN($D$3)+1)</f>
        <v>10114.634146341461</v>
      </c>
      <c r="F120" s="69" cm="1">
        <f t="array" ref="F120">INDEX('Research Goals'!$E$159:$E$170, COLUMN()-COLUMN($D$3)+1)</f>
        <v>14434.217325227963</v>
      </c>
      <c r="G120" s="69" cm="1">
        <f t="array" ref="G120">INDEX('Research Goals'!$E$159:$E$170, COLUMN()-COLUMN($D$3)+1)</f>
        <v>11865.243902439022</v>
      </c>
      <c r="H120" s="69" cm="1">
        <f t="array" ref="H120">INDEX('Research Goals'!$E$159:$E$170, COLUMN()-COLUMN($D$3)+1)</f>
        <v>12448.780487804876</v>
      </c>
      <c r="I120" s="69" cm="1">
        <f t="array" ref="I120">INDEX('Research Goals'!$E$159:$E$170, COLUMN()-COLUMN($D$3)+1)</f>
        <v>11670.731707317073</v>
      </c>
      <c r="J120" s="69" cm="1">
        <f t="array" ref="J120">INDEX('Research Goals'!$E$159:$E$170, COLUMN()-COLUMN($D$3)+1)</f>
        <v>10533.077507598784</v>
      </c>
      <c r="K120" s="69" cm="1">
        <f t="array" ref="K120">INDEX('Research Goals'!$E$159:$E$170, COLUMN()-COLUMN($D$3)+1)</f>
        <v>11703.419452887538</v>
      </c>
      <c r="L120" s="69" cm="1">
        <f t="array" ref="L120">INDEX('Research Goals'!$E$159:$E$170, COLUMN()-COLUMN($D$3)+1)</f>
        <v>13421.341463414632</v>
      </c>
      <c r="M120" s="69" cm="1">
        <f t="array" ref="M120">INDEX('Research Goals'!$E$159:$E$170, COLUMN()-COLUMN($D$3)+1)</f>
        <v>14393.902439024389</v>
      </c>
      <c r="N120" s="69" cm="1">
        <f t="array" ref="N120">INDEX('Research Goals'!$E$159:$E$170, COLUMN()-COLUMN($D$3)+1)</f>
        <v>13263.875379939209</v>
      </c>
      <c r="O120" s="69" cm="1">
        <f t="array" ref="O120">INDEX('Research Goals'!$E$159:$E$170, COLUMN()-COLUMN($D$3)+1)</f>
        <v>16774.901215805472</v>
      </c>
      <c r="P120" s="68">
        <f t="shared" ref="P120:P123" si="13">SUM(D120:O120)</f>
        <v>150738.75917414186</v>
      </c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</row>
    <row r="121" spans="1:30">
      <c r="A121" s="757" t="s">
        <v>57</v>
      </c>
      <c r="B121" s="579" t="s">
        <v>49</v>
      </c>
      <c r="C121" s="230" t="s">
        <v>58</v>
      </c>
      <c r="D121" s="231" cm="1">
        <f t="array" ref="D121">INDEX('Shop Goals'!$H$168:$H$179, COLUMN()-COLUMN($D$3)+1)</f>
        <v>65877.002864831098</v>
      </c>
      <c r="E121" s="231" cm="1">
        <f t="array" ref="E121">INDEX('Shop Goals'!$H$168:$H$179, COLUMN()-COLUMN($D$3)+1)</f>
        <v>65877.002864831098</v>
      </c>
      <c r="F121" s="231" cm="1">
        <f t="array" ref="F121">INDEX('Shop Goals'!$H$168:$H$179, COLUMN()-COLUMN($D$3)+1)</f>
        <v>92800.344248685375</v>
      </c>
      <c r="G121" s="231" cm="1">
        <f t="array" ref="G121">INDEX('Shop Goals'!$H$168:$H$179, COLUMN()-COLUMN($D$3)+1)</f>
        <v>77278.791822205705</v>
      </c>
      <c r="H121" s="231" cm="1">
        <f t="array" ref="H121">INDEX('Shop Goals'!$H$168:$H$179, COLUMN()-COLUMN($D$3)+1)</f>
        <v>81079.388141330579</v>
      </c>
      <c r="I121" s="231" cm="1">
        <f t="array" ref="I121">INDEX('Shop Goals'!$H$168:$H$179, COLUMN()-COLUMN($D$3)+1)</f>
        <v>76011.926382497419</v>
      </c>
      <c r="J121" s="231" cm="1">
        <f t="array" ref="J121">INDEX('Shop Goals'!$H$168:$H$179, COLUMN()-COLUMN($D$3)+1)</f>
        <v>67719.170127419056</v>
      </c>
      <c r="K121" s="231" cm="1">
        <f t="array" ref="K121">INDEX('Shop Goals'!$H$168:$H$179, COLUMN()-COLUMN($D$3)+1)</f>
        <v>75243.52236379894</v>
      </c>
      <c r="L121" s="231" cm="1">
        <f t="array" ref="L121">INDEX('Shop Goals'!$H$168:$H$179, COLUMN()-COLUMN($D$3)+1)</f>
        <v>87413.715339872026</v>
      </c>
      <c r="M121" s="231" cm="1">
        <f t="array" ref="M121">INDEX('Shop Goals'!$H$168:$H$179, COLUMN()-COLUMN($D$3)+1)</f>
        <v>93748.042538413487</v>
      </c>
      <c r="N121" s="231" cm="1">
        <f t="array" ref="N121">INDEX('Shop Goals'!$H$168:$H$179, COLUMN()-COLUMN($D$3)+1)</f>
        <v>85275.992012305476</v>
      </c>
      <c r="O121" s="231" cm="1">
        <f t="array" ref="O121">INDEX('Shop Goals'!$H$168:$H$179, COLUMN()-COLUMN($D$3)+1)</f>
        <v>107849.04872144517</v>
      </c>
      <c r="P121" s="232">
        <f t="shared" si="13"/>
        <v>976173.94742763543</v>
      </c>
      <c r="Q121" s="47"/>
      <c r="R121" s="231" cm="1">
        <f t="array" ref="R121">INDEX('Shop Goals'!$N$168:$N$179, COLUMN()-COLUMN($R$2)+1)</f>
        <v>25457.123445914804</v>
      </c>
      <c r="S121" s="231" cm="1">
        <f t="array" ref="S121">INDEX('Shop Goals'!$N$168:$N$179, COLUMN()-COLUMN($R$2)+1)</f>
        <v>25457.123445914804</v>
      </c>
      <c r="T121" s="231" cm="1">
        <f t="array" ref="T121">INDEX('Shop Goals'!$N$168:$N$179, COLUMN()-COLUMN($R$2)+1)</f>
        <v>36030.692711630487</v>
      </c>
      <c r="U121" s="231" cm="1">
        <f t="array" ref="U121">INDEX('Shop Goals'!$N$168:$N$179, COLUMN()-COLUMN($R$2)+1)</f>
        <v>29863.164042323137</v>
      </c>
      <c r="V121" s="231" cm="1">
        <f t="array" ref="V121">INDEX('Shop Goals'!$N$168:$N$179, COLUMN()-COLUMN($R$2)+1)</f>
        <v>31331.844241125913</v>
      </c>
      <c r="W121" s="231" cm="1">
        <f t="array" ref="W121">INDEX('Shop Goals'!$N$168:$N$179, COLUMN()-COLUMN($R$2)+1)</f>
        <v>29373.603976055547</v>
      </c>
      <c r="X121" s="231" cm="1">
        <f t="array" ref="X121">INDEX('Shop Goals'!$N$168:$N$179, COLUMN()-COLUMN($R$2)+1)</f>
        <v>26292.667654433055</v>
      </c>
      <c r="Y121" s="231" cm="1">
        <f t="array" ref="Y121">INDEX('Shop Goals'!$N$168:$N$179, COLUMN()-COLUMN($R$2)+1)</f>
        <v>29214.075171592285</v>
      </c>
      <c r="Z121" s="231" cm="1">
        <f t="array" ref="Z121">INDEX('Shop Goals'!$N$168:$N$179, COLUMN()-COLUMN($R$2)+1)</f>
        <v>33779.644572463876</v>
      </c>
      <c r="AA121" s="231" cm="1">
        <f t="array" ref="AA121">INDEX('Shop Goals'!$N$168:$N$179, COLUMN()-COLUMN($R$2)+1)</f>
        <v>36227.444903801836</v>
      </c>
      <c r="AB121" s="231" cm="1">
        <f t="array" ref="AB121">INDEX('Shop Goals'!$N$168:$N$179, COLUMN()-COLUMN($R$2)+1)</f>
        <v>33109.28519447126</v>
      </c>
      <c r="AC121" s="231" cm="1">
        <f t="array" ref="AC121">INDEX('Shop Goals'!$N$168:$N$179, COLUMN()-COLUMN($R$2)+1)</f>
        <v>41873.507745948948</v>
      </c>
      <c r="AD121" s="232">
        <f>SUM(R121:AC121)</f>
        <v>378010.17710567598</v>
      </c>
    </row>
    <row r="122" spans="1:30">
      <c r="A122" s="757"/>
      <c r="B122" s="579"/>
      <c r="C122" s="229" t="s">
        <v>60</v>
      </c>
      <c r="D122" s="69" cm="1">
        <f t="array" ref="D122">INDEX('Shop Goals'!$D$168:$D$179, COLUMN()-COLUMN($D$3)+1)</f>
        <v>649.72186563970911</v>
      </c>
      <c r="E122" s="69" cm="1">
        <f t="array" ref="E122">INDEX('Shop Goals'!$D$168:$D$179, COLUMN()-COLUMN($D$3)+1)</f>
        <v>649.72186563970911</v>
      </c>
      <c r="F122" s="69" cm="1">
        <f t="array" ref="F122">INDEX('Shop Goals'!$D$168:$D$179, COLUMN()-COLUMN($D$3)+1)</f>
        <v>790.32674772036478</v>
      </c>
      <c r="G122" s="69" cm="1">
        <f t="array" ref="G122">INDEX('Shop Goals'!$D$168:$D$179, COLUMN()-COLUMN($D$3)+1)</f>
        <v>762.1737270004279</v>
      </c>
      <c r="H122" s="69" cm="1">
        <f t="array" ref="H122">INDEX('Shop Goals'!$D$168:$D$179, COLUMN()-COLUMN($D$3)+1)</f>
        <v>799.65768078733424</v>
      </c>
      <c r="I122" s="69" cm="1">
        <f t="array" ref="I122">INDEX('Shop Goals'!$D$168:$D$179, COLUMN()-COLUMN($D$3)+1)</f>
        <v>749.6790757381259</v>
      </c>
      <c r="J122" s="69" cm="1">
        <f t="array" ref="J122">INDEX('Shop Goals'!$D$168:$D$179, COLUMN()-COLUMN($D$3)+1)</f>
        <v>576.72492401215811</v>
      </c>
      <c r="K122" s="69" cm="1">
        <f t="array" ref="K122">INDEX('Shop Goals'!$D$168:$D$179, COLUMN()-COLUMN($D$3)+1)</f>
        <v>640.80547112462011</v>
      </c>
      <c r="L122" s="69" cm="1">
        <f t="array" ref="L122">INDEX('Shop Goals'!$D$168:$D$179, COLUMN()-COLUMN($D$3)+1)</f>
        <v>862.1309370988447</v>
      </c>
      <c r="M122" s="69" cm="1">
        <f t="array" ref="M122">INDEX('Shop Goals'!$D$168:$D$179, COLUMN()-COLUMN($D$3)+1)</f>
        <v>924.60419341035526</v>
      </c>
      <c r="N122" s="69" cm="1">
        <f t="array" ref="N122">INDEX('Shop Goals'!$D$168:$D$179, COLUMN()-COLUMN($D$3)+1)</f>
        <v>726.24620060790278</v>
      </c>
      <c r="O122" s="69" cm="1">
        <f t="array" ref="O122">INDEX('Shop Goals'!$D$168:$D$179, COLUMN()-COLUMN($D$3)+1)</f>
        <v>918.48784194528878</v>
      </c>
      <c r="P122" s="68">
        <f t="shared" si="13"/>
        <v>9050.28053072484</v>
      </c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</row>
    <row r="123" spans="1:30">
      <c r="A123" s="757"/>
      <c r="B123" s="579"/>
      <c r="C123" s="229" t="s">
        <v>203</v>
      </c>
      <c r="D123" s="69" cm="1">
        <f t="array" ref="D123">INDEX('Shop Goals'!$E$168:$E$179, COLUMN()-COLUMN($D$3)+1)</f>
        <v>4514.7881899871627</v>
      </c>
      <c r="E123" s="69" cm="1">
        <f t="array" ref="E123">INDEX('Shop Goals'!$E$168:$E$179, COLUMN()-COLUMN($D$3)+1)</f>
        <v>4514.7881899871627</v>
      </c>
      <c r="F123" s="69" cm="1">
        <f t="array" ref="F123">INDEX('Shop Goals'!$E$168:$E$179, COLUMN()-COLUMN($D$3)+1)</f>
        <v>5075.1291793313067</v>
      </c>
      <c r="G123" s="69" cm="1">
        <f t="array" ref="G123">INDEX('Shop Goals'!$E$168:$E$179, COLUMN()-COLUMN($D$3)+1)</f>
        <v>5296.1938382541721</v>
      </c>
      <c r="H123" s="69" cm="1">
        <f t="array" ref="H123">INDEX('Shop Goals'!$E$168:$E$179, COLUMN()-COLUMN($D$3)+1)</f>
        <v>5556.6623876765079</v>
      </c>
      <c r="I123" s="69" cm="1">
        <f t="array" ref="I123">INDEX('Shop Goals'!$E$168:$E$179, COLUMN()-COLUMN($D$3)+1)</f>
        <v>5209.3709884467262</v>
      </c>
      <c r="J123" s="69" cm="1">
        <f t="array" ref="J123">INDEX('Shop Goals'!$E$168:$E$179, COLUMN()-COLUMN($D$3)+1)</f>
        <v>3703.4726443768996</v>
      </c>
      <c r="K123" s="69" cm="1">
        <f t="array" ref="K123">INDEX('Shop Goals'!$E$168:$E$179, COLUMN()-COLUMN($D$3)+1)</f>
        <v>4114.9696048632213</v>
      </c>
      <c r="L123" s="69" cm="1">
        <f t="array" ref="L123">INDEX('Shop Goals'!$E$168:$E$179, COLUMN()-COLUMN($D$3)+1)</f>
        <v>5990.7766367137356</v>
      </c>
      <c r="M123" s="69" cm="1">
        <f t="array" ref="M123">INDEX('Shop Goals'!$E$168:$E$179, COLUMN()-COLUMN($D$3)+1)</f>
        <v>6424.8908857509623</v>
      </c>
      <c r="N123" s="69" cm="1">
        <f t="array" ref="N123">INDEX('Shop Goals'!$E$168:$E$179, COLUMN()-COLUMN($D$3)+1)</f>
        <v>4663.632218844984</v>
      </c>
      <c r="O123" s="69" cm="1">
        <f t="array" ref="O123">INDEX('Shop Goals'!$E$168:$E$179, COLUMN()-COLUMN($D$3)+1)</f>
        <v>5898.1231003039511</v>
      </c>
      <c r="P123" s="68">
        <f t="shared" si="13"/>
        <v>60962.797864536784</v>
      </c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</row>
    <row r="124" spans="1:30">
      <c r="A124" s="757"/>
      <c r="B124" s="579"/>
      <c r="C124" s="229" t="s">
        <v>7</v>
      </c>
      <c r="D124" s="69" cm="1">
        <f t="array" ref="D124">INDEX('Shop Goals'!$G$168:$G$179, COLUMN()-COLUMN($D$3)+1)</f>
        <v>60712.492809204225</v>
      </c>
      <c r="E124" s="69" cm="1">
        <f t="array" ref="E124">INDEX('Shop Goals'!$G$168:$G$179, COLUMN()-COLUMN($D$3)+1)</f>
        <v>60712.492809204225</v>
      </c>
      <c r="F124" s="69" cm="1">
        <f t="array" ref="F124">INDEX('Shop Goals'!$G$168:$G$179, COLUMN()-COLUMN($D$3)+1)</f>
        <v>86934.888321633698</v>
      </c>
      <c r="G124" s="69" cm="1">
        <f t="array" ref="G124">INDEX('Shop Goals'!$G$168:$G$179, COLUMN()-COLUMN($D$3)+1)</f>
        <v>71220.424256951112</v>
      </c>
      <c r="H124" s="69" cm="1">
        <f t="array" ref="H124">INDEX('Shop Goals'!$G$168:$G$179, COLUMN()-COLUMN($D$3)+1)</f>
        <v>74723.068072866736</v>
      </c>
      <c r="I124" s="69" cm="1">
        <f t="array" ref="I124">INDEX('Shop Goals'!$G$168:$G$179, COLUMN()-COLUMN($D$3)+1)</f>
        <v>70052.87631831257</v>
      </c>
      <c r="J124" s="69" cm="1">
        <f t="array" ref="J124">INDEX('Shop Goals'!$G$168:$G$179, COLUMN()-COLUMN($D$3)+1)</f>
        <v>63438.972559029993</v>
      </c>
      <c r="K124" s="69" cm="1">
        <f t="array" ref="K124">INDEX('Shop Goals'!$G$168:$G$179, COLUMN()-COLUMN($D$3)+1)</f>
        <v>70487.7472878111</v>
      </c>
      <c r="L124" s="69" cm="1">
        <f t="array" ref="L124">INDEX('Shop Goals'!$G$168:$G$179, COLUMN()-COLUMN($D$3)+1)</f>
        <v>80560.807766059443</v>
      </c>
      <c r="M124" s="69" cm="1">
        <f t="array" ref="M124">INDEX('Shop Goals'!$G$168:$G$179, COLUMN()-COLUMN($D$3)+1)</f>
        <v>86398.547459252164</v>
      </c>
      <c r="N124" s="69" cm="1">
        <f t="array" ref="N124">INDEX('Shop Goals'!$G$168:$G$179, COLUMN()-COLUMN($D$3)+1)</f>
        <v>79886.113592852591</v>
      </c>
      <c r="O124" s="69" cm="1">
        <f t="array" ref="O124">INDEX('Shop Goals'!$G$168:$G$179, COLUMN()-COLUMN($D$3)+1)</f>
        <v>101032.43777919593</v>
      </c>
      <c r="P124" s="68">
        <f>SUM(D124:O124)</f>
        <v>906160.86903237388</v>
      </c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</row>
    <row r="125" spans="1:30">
      <c r="A125" s="757"/>
      <c r="B125" s="233" t="s">
        <v>66</v>
      </c>
      <c r="C125" s="229" t="s">
        <v>67</v>
      </c>
      <c r="D125" s="69" cm="1">
        <f t="array" ref="D125">INDEX('Lead Goals'!$G$254:$G$265, COLUMN()-COLUMN($D$3)+1)</f>
        <v>110.17272586414315</v>
      </c>
      <c r="E125" s="69" cm="1">
        <f t="array" ref="E125">INDEX('Lead Goals'!$G$254:$G$265, COLUMN()-COLUMN($D$3)+1)</f>
        <v>110.17272586414312</v>
      </c>
      <c r="F125" s="69" cm="1">
        <f t="array" ref="F125">INDEX('Lead Goals'!$G$254:$G$265, COLUMN()-COLUMN($D$3)+1)</f>
        <v>154.68271489974558</v>
      </c>
      <c r="G125" s="69" cm="1">
        <f t="array" ref="G125">INDEX('Lead Goals'!$G$254:$G$265, COLUMN()-COLUMN($D$3)+1)</f>
        <v>129.24108226370637</v>
      </c>
      <c r="H125" s="69" cm="1">
        <f t="array" ref="H125">INDEX('Lead Goals'!$G$254:$G$265, COLUMN()-COLUMN($D$3)+1)</f>
        <v>135.59720106356079</v>
      </c>
      <c r="I125" s="69" cm="1">
        <f t="array" ref="I125">INDEX('Lead Goals'!$G$254:$G$265, COLUMN()-COLUMN($D$3)+1)</f>
        <v>127.12237599708823</v>
      </c>
      <c r="J125" s="69" cm="1">
        <f t="array" ref="J125">INDEX('Lead Goals'!$G$254:$G$265, COLUMN()-COLUMN($D$3)+1)</f>
        <v>112.87657573765216</v>
      </c>
      <c r="K125" s="69" cm="1">
        <f t="array" ref="K125">INDEX('Lead Goals'!$G$254:$G$265, COLUMN()-COLUMN($D$3)+1)</f>
        <v>125.41841748628019</v>
      </c>
      <c r="L125" s="69" cm="1">
        <f t="array" ref="L125">INDEX('Lead Goals'!$G$254:$G$265, COLUMN()-COLUMN($D$3)+1)</f>
        <v>146.19073239665147</v>
      </c>
      <c r="M125" s="69" cm="1">
        <f t="array" ref="M125">INDEX('Lead Goals'!$G$254:$G$265, COLUMN()-COLUMN($D$3)+1)</f>
        <v>156.78426372974215</v>
      </c>
      <c r="N125" s="69" cm="1">
        <f t="array" ref="N125">INDEX('Lead Goals'!$G$254:$G$265, COLUMN()-COLUMN($D$3)+1)</f>
        <v>142.14087315111757</v>
      </c>
      <c r="O125" s="69" cm="1">
        <f t="array" ref="O125">INDEX('Lead Goals'!$G$254:$G$265, COLUMN()-COLUMN($D$3)+1)</f>
        <v>179.76639839700161</v>
      </c>
      <c r="P125" s="68">
        <f t="shared" ref="P125" si="14">SUM(D125:O125)</f>
        <v>1630.1660868508325</v>
      </c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</row>
    <row r="126" spans="1:30">
      <c r="D126" s="257"/>
      <c r="E126" s="257"/>
      <c r="F126" s="257"/>
      <c r="G126" s="257"/>
      <c r="H126" s="257"/>
      <c r="I126" s="257"/>
    </row>
    <row r="127" spans="1:30">
      <c r="A127" s="762" t="s">
        <v>320</v>
      </c>
      <c r="B127" s="763"/>
      <c r="C127" s="763"/>
      <c r="D127" s="763"/>
      <c r="E127" s="763"/>
      <c r="F127" s="763"/>
      <c r="G127" s="763"/>
      <c r="H127" s="763"/>
      <c r="I127" s="763"/>
      <c r="J127" s="763"/>
      <c r="K127" s="763"/>
      <c r="L127" s="763"/>
      <c r="M127" s="763"/>
      <c r="N127" s="763"/>
      <c r="O127" s="763"/>
      <c r="P127" s="764"/>
      <c r="R127" s="761" t="s">
        <v>321</v>
      </c>
      <c r="S127" s="761"/>
      <c r="T127" s="761"/>
      <c r="U127" s="761"/>
      <c r="V127" s="761"/>
      <c r="W127" s="761"/>
      <c r="X127" s="761"/>
      <c r="Y127" s="761"/>
      <c r="Z127" s="761"/>
      <c r="AA127" s="761"/>
      <c r="AB127" s="761"/>
      <c r="AC127" s="761"/>
      <c r="AD127" s="761"/>
    </row>
    <row r="128" spans="1:30">
      <c r="A128" s="758" t="s">
        <v>92</v>
      </c>
      <c r="B128" s="759"/>
      <c r="C128" s="760"/>
      <c r="D128" s="234" t="s">
        <v>252</v>
      </c>
      <c r="E128" s="234" t="s">
        <v>253</v>
      </c>
      <c r="F128" s="234" t="s">
        <v>230</v>
      </c>
      <c r="G128" s="234" t="s">
        <v>254</v>
      </c>
      <c r="H128" s="234" t="s">
        <v>78</v>
      </c>
      <c r="I128" s="234" t="s">
        <v>255</v>
      </c>
      <c r="J128" s="234" t="s">
        <v>256</v>
      </c>
      <c r="K128" s="234" t="s">
        <v>236</v>
      </c>
      <c r="L128" s="234" t="s">
        <v>257</v>
      </c>
      <c r="M128" s="234" t="s">
        <v>258</v>
      </c>
      <c r="N128" s="234" t="s">
        <v>259</v>
      </c>
      <c r="O128" s="234" t="s">
        <v>260</v>
      </c>
      <c r="P128" s="234" t="s">
        <v>24</v>
      </c>
      <c r="R128" s="234" t="s">
        <v>252</v>
      </c>
      <c r="S128" s="234" t="s">
        <v>253</v>
      </c>
      <c r="T128" s="234" t="s">
        <v>230</v>
      </c>
      <c r="U128" s="234" t="s">
        <v>254</v>
      </c>
      <c r="V128" s="234" t="s">
        <v>78</v>
      </c>
      <c r="W128" s="234" t="s">
        <v>255</v>
      </c>
      <c r="X128" s="234" t="s">
        <v>256</v>
      </c>
      <c r="Y128" s="234" t="s">
        <v>236</v>
      </c>
      <c r="Z128" s="234" t="s">
        <v>257</v>
      </c>
      <c r="AA128" s="234" t="s">
        <v>258</v>
      </c>
      <c r="AB128" s="234" t="s">
        <v>259</v>
      </c>
      <c r="AC128" s="234" t="s">
        <v>260</v>
      </c>
      <c r="AD128" s="234" t="s">
        <v>24</v>
      </c>
    </row>
    <row r="129" spans="1:30">
      <c r="A129" s="757" t="s">
        <v>42</v>
      </c>
      <c r="B129" s="579" t="s">
        <v>43</v>
      </c>
      <c r="C129" s="229" t="s">
        <v>44</v>
      </c>
      <c r="D129" s="69" cm="1">
        <f t="array" ref="D129">INDEX('Consideration Goals'!$D$168:$D$179, COLUMN()-COLUMN($D$3)+1)</f>
        <v>0</v>
      </c>
      <c r="E129" s="69" cm="1">
        <f t="array" ref="E129">INDEX('Consideration Goals'!$D$168:$D$179, COLUMN()-COLUMN($D$3)+1)</f>
        <v>0</v>
      </c>
      <c r="F129" s="69" cm="1">
        <f t="array" ref="F129">INDEX('Consideration Goals'!$D$168:$D$179, COLUMN()-COLUMN($D$3)+1)</f>
        <v>0</v>
      </c>
      <c r="G129" s="69" cm="1">
        <f t="array" ref="G129">INDEX('Consideration Goals'!$D$168:$D$179, COLUMN()-COLUMN($D$3)+1)</f>
        <v>0</v>
      </c>
      <c r="H129" s="69" cm="1">
        <f t="array" ref="H129">INDEX('Consideration Goals'!$D$168:$D$179, COLUMN()-COLUMN($D$3)+1)</f>
        <v>0</v>
      </c>
      <c r="I129" s="69" cm="1">
        <f t="array" ref="I129">INDEX('Consideration Goals'!$D$168:$D$179, COLUMN()-COLUMN($D$3)+1)</f>
        <v>0</v>
      </c>
      <c r="J129" s="69" cm="1">
        <f t="array" ref="J129">INDEX('Consideration Goals'!$D$168:$D$179, COLUMN()-COLUMN($D$3)+1)</f>
        <v>0</v>
      </c>
      <c r="K129" s="69" cm="1">
        <f t="array" ref="K129">INDEX('Consideration Goals'!$D$168:$D$179, COLUMN()-COLUMN($D$3)+1)</f>
        <v>0</v>
      </c>
      <c r="L129" s="69" cm="1">
        <f t="array" ref="L129">INDEX('Consideration Goals'!$D$168:$D$179, COLUMN()-COLUMN($D$3)+1)</f>
        <v>0</v>
      </c>
      <c r="M129" s="69" cm="1">
        <f t="array" ref="M129">INDEX('Consideration Goals'!$D$168:$D$179, COLUMN()-COLUMN($D$3)+1)</f>
        <v>0</v>
      </c>
      <c r="N129" s="69" cm="1">
        <f t="array" ref="N129">INDEX('Consideration Goals'!$D$168:$D$179, COLUMN()-COLUMN($D$3)+1)</f>
        <v>0</v>
      </c>
      <c r="O129" s="69" cm="1">
        <f t="array" ref="O129">INDEX('Consideration Goals'!$D$168:$D$179, COLUMN()-COLUMN($D$3)+1)</f>
        <v>0</v>
      </c>
      <c r="P129" s="68">
        <f>SUM(D129:O129)</f>
        <v>0</v>
      </c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</row>
    <row r="130" spans="1:30">
      <c r="A130" s="757"/>
      <c r="B130" s="579"/>
      <c r="C130" s="229" t="s">
        <v>46</v>
      </c>
      <c r="D130" s="69" cm="1">
        <f t="array" ref="D130">INDEX('Consideration Goals'!$E$168:$E$179, COLUMN()-COLUMN($D$3)+1)</f>
        <v>31186.849183477429</v>
      </c>
      <c r="E130" s="69" cm="1">
        <f t="array" ref="E130">INDEX('Consideration Goals'!$E$168:$E$179, COLUMN()-COLUMN($D$3)+1)</f>
        <v>34022.01729106628</v>
      </c>
      <c r="F130" s="69" cm="1">
        <f t="array" ref="F130">INDEX('Consideration Goals'!$E$168:$E$179, COLUMN()-COLUMN($D$3)+1)</f>
        <v>46242.273534635875</v>
      </c>
      <c r="G130" s="69" cm="1">
        <f t="array" ref="G130">INDEX('Consideration Goals'!$E$168:$E$179, COLUMN()-COLUMN($D$3)+1)</f>
        <v>36857.185398655136</v>
      </c>
      <c r="H130" s="69" cm="1">
        <f t="array" ref="H130">INDEX('Consideration Goals'!$E$168:$E$179, COLUMN()-COLUMN($D$3)+1)</f>
        <v>39692.353506243999</v>
      </c>
      <c r="I130" s="69" cm="1">
        <f t="array" ref="I130">INDEX('Consideration Goals'!$E$168:$E$179, COLUMN()-COLUMN($D$3)+1)</f>
        <v>38274.769452449567</v>
      </c>
      <c r="J130" s="69" cm="1">
        <f t="array" ref="J130">INDEX('Consideration Goals'!$E$168:$E$179, COLUMN()-COLUMN($D$3)+1)</f>
        <v>46242.273534635875</v>
      </c>
      <c r="K130" s="69" cm="1">
        <f t="array" ref="K130">INDEX('Consideration Goals'!$E$168:$E$179, COLUMN()-COLUMN($D$3)+1)</f>
        <v>46242.273534635875</v>
      </c>
      <c r="L130" s="69" cm="1">
        <f t="array" ref="L130">INDEX('Consideration Goals'!$E$168:$E$179, COLUMN()-COLUMN($D$3)+1)</f>
        <v>39692.353506243999</v>
      </c>
      <c r="M130" s="69" cm="1">
        <f t="array" ref="M130">INDEX('Consideration Goals'!$E$168:$E$179, COLUMN()-COLUMN($D$3)+1)</f>
        <v>45362.689721421717</v>
      </c>
      <c r="N130" s="69" cm="1">
        <f t="array" ref="N130">INDEX('Consideration Goals'!$E$168:$E$179, COLUMN()-COLUMN($D$3)+1)</f>
        <v>40461.989342806395</v>
      </c>
      <c r="O130" s="69" cm="1">
        <f t="array" ref="O130">INDEX('Consideration Goals'!$E$168:$E$179, COLUMN()-COLUMN($D$3)+1)</f>
        <v>56357.770870337481</v>
      </c>
      <c r="P130" s="68">
        <f>SUM(D130:O130)</f>
        <v>500634.79887660965</v>
      </c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</row>
    <row r="131" spans="1:30">
      <c r="A131" s="757" t="s">
        <v>48</v>
      </c>
      <c r="B131" s="579" t="s">
        <v>49</v>
      </c>
      <c r="C131" s="230" t="s">
        <v>50</v>
      </c>
      <c r="D131" s="231" cm="1">
        <f t="array" ref="D131">INDEX('Research Goals'!$G$178:$G$189, COLUMN()-COLUMN($D$3)+1)</f>
        <v>16739.442843419791</v>
      </c>
      <c r="E131" s="231" cm="1">
        <f t="array" ref="E131">INDEX('Research Goals'!$G$178:$G$189, COLUMN()-COLUMN($D$3)+1)</f>
        <v>18261.21037463977</v>
      </c>
      <c r="F131" s="231" cm="1">
        <f t="array" ref="F131">INDEX('Research Goals'!$G$178:$G$189, COLUMN()-COLUMN($D$3)+1)</f>
        <v>27194.031971580815</v>
      </c>
      <c r="G131" s="231" cm="1">
        <f t="array" ref="G131">INDEX('Research Goals'!$G$178:$G$189, COLUMN()-COLUMN($D$3)+1)</f>
        <v>27991.959654178674</v>
      </c>
      <c r="H131" s="231" cm="1">
        <f t="array" ref="H131">INDEX('Research Goals'!$G$178:$G$189, COLUMN()-COLUMN($D$3)+1)</f>
        <v>30145.187319884724</v>
      </c>
      <c r="I131" s="231" cm="1">
        <f t="array" ref="I131">INDEX('Research Goals'!$G$178:$G$189, COLUMN()-COLUMN($D$3)+1)</f>
        <v>29068.573487031696</v>
      </c>
      <c r="J131" s="231" cm="1">
        <f t="array" ref="J131">INDEX('Research Goals'!$G$178:$G$189, COLUMN()-COLUMN($D$3)+1)</f>
        <v>37202.699822380106</v>
      </c>
      <c r="K131" s="231" cm="1">
        <f t="array" ref="K131">INDEX('Research Goals'!$G$178:$G$189, COLUMN()-COLUMN($D$3)+1)</f>
        <v>37202.699822380106</v>
      </c>
      <c r="L131" s="231" cm="1">
        <f t="array" ref="L131">INDEX('Research Goals'!$G$178:$G$189, COLUMN()-COLUMN($D$3)+1)</f>
        <v>30145.187319884724</v>
      </c>
      <c r="M131" s="231" cm="1">
        <f t="array" ref="M131">INDEX('Research Goals'!$G$178:$G$189, COLUMN()-COLUMN($D$3)+1)</f>
        <v>34451.642651296832</v>
      </c>
      <c r="N131" s="231" cm="1">
        <f t="array" ref="N131">INDEX('Research Goals'!$G$178:$G$189, COLUMN()-COLUMN($D$3)+1)</f>
        <v>32552.362344582594</v>
      </c>
      <c r="O131" s="231" cm="1">
        <f t="array" ref="O131">INDEX('Research Goals'!$G$178:$G$189, COLUMN()-COLUMN($D$3)+1)</f>
        <v>45340.790408525754</v>
      </c>
      <c r="P131" s="232">
        <f>SUM(D131:O131)</f>
        <v>366295.78801978554</v>
      </c>
      <c r="Q131" s="47"/>
      <c r="R131" s="231" cm="1">
        <f t="array" ref="R131">INDEX('Research Goals'!$L$178:$L$189, COLUMN()-COLUMN($R$3)+1)</f>
        <v>10224.566119175939</v>
      </c>
      <c r="S131" s="231" cm="1">
        <f t="array" ref="S131">INDEX('Research Goals'!$L$178:$L$189, COLUMN()-COLUMN($R$3)+1)</f>
        <v>11154.072130010114</v>
      </c>
      <c r="T131" s="231" cm="1">
        <f t="array" ref="T131">INDEX('Research Goals'!$L$178:$L$189, COLUMN()-COLUMN($R$3)+1)</f>
        <v>16126.457369191983</v>
      </c>
      <c r="U131" s="231" cm="1">
        <f t="array" ref="U131">INDEX('Research Goals'!$L$178:$L$189, COLUMN()-COLUMN($R$3)+1)</f>
        <v>14124.411025607911</v>
      </c>
      <c r="V131" s="231" cm="1">
        <f t="array" ref="V131">INDEX('Research Goals'!$L$178:$L$189, COLUMN()-COLUMN($R$3)+1)</f>
        <v>15210.904181423903</v>
      </c>
      <c r="W131" s="231" cm="1">
        <f t="array" ref="W131">INDEX('Research Goals'!$L$178:$L$189, COLUMN()-COLUMN($R$3)+1)</f>
        <v>14667.657603515905</v>
      </c>
      <c r="X131" s="231" cm="1">
        <f t="array" ref="X131">INDEX('Research Goals'!$L$178:$L$189, COLUMN()-COLUMN($R$3)+1)</f>
        <v>18614.709762586637</v>
      </c>
      <c r="Y131" s="231" cm="1">
        <f t="array" ref="Y131">INDEX('Research Goals'!$L$178:$L$189, COLUMN()-COLUMN($R$3)+1)</f>
        <v>18614.709762586637</v>
      </c>
      <c r="Z131" s="231" cm="1">
        <f t="array" ref="Z131">INDEX('Research Goals'!$L$178:$L$189, COLUMN()-COLUMN($R$3)+1)</f>
        <v>15210.904181423903</v>
      </c>
      <c r="AA131" s="231" cm="1">
        <f t="array" ref="AA131">INDEX('Research Goals'!$L$178:$L$189, COLUMN()-COLUMN($R$3)+1)</f>
        <v>17383.890493055889</v>
      </c>
      <c r="AB131" s="231" cm="1">
        <f t="array" ref="AB131">INDEX('Research Goals'!$L$178:$L$189, COLUMN()-COLUMN($R$3)+1)</f>
        <v>16287.871042263307</v>
      </c>
      <c r="AC131" s="231" cm="1">
        <f t="array" ref="AC131">INDEX('Research Goals'!$L$178:$L$189, COLUMN()-COLUMN($R$3)+1)</f>
        <v>22686.677523152466</v>
      </c>
      <c r="AD131" s="232">
        <f>SUM(R131:AC131)</f>
        <v>190306.83119399459</v>
      </c>
    </row>
    <row r="132" spans="1:30">
      <c r="A132" s="757"/>
      <c r="B132" s="579"/>
      <c r="C132" s="229" t="s">
        <v>52</v>
      </c>
      <c r="D132" s="69" cm="1">
        <f t="array" ref="D132">INDEX('Research Goals'!$D$178:$D$189, COLUMN()-COLUMN($D$3)+1)</f>
        <v>12058.895292987512</v>
      </c>
      <c r="E132" s="69" cm="1">
        <f t="array" ref="E132">INDEX('Research Goals'!$D$178:$D$189, COLUMN()-COLUMN($D$3)+1)</f>
        <v>13155.158501440921</v>
      </c>
      <c r="F132" s="69" cm="1">
        <f t="array" ref="F132">INDEX('Research Goals'!$D$178:$D$189, COLUMN()-COLUMN($D$3)+1)</f>
        <v>18627.921847246889</v>
      </c>
      <c r="G132" s="69" cm="1">
        <f t="array" ref="G132">INDEX('Research Goals'!$D$178:$D$189, COLUMN()-COLUMN($D$3)+1)</f>
        <v>14251.421709894332</v>
      </c>
      <c r="H132" s="69" cm="1">
        <f t="array" ref="H132">INDEX('Research Goals'!$D$178:$D$189, COLUMN()-COLUMN($D$3)+1)</f>
        <v>15347.684918347742</v>
      </c>
      <c r="I132" s="69" cm="1">
        <f t="array" ref="I132">INDEX('Research Goals'!$D$178:$D$189, COLUMN()-COLUMN($D$3)+1)</f>
        <v>14799.553314121036</v>
      </c>
      <c r="J132" s="69" cm="1">
        <f t="array" ref="J132">INDEX('Research Goals'!$D$178:$D$189, COLUMN()-COLUMN($D$3)+1)</f>
        <v>18627.921847246889</v>
      </c>
      <c r="K132" s="69" cm="1">
        <f t="array" ref="K132">INDEX('Research Goals'!$D$178:$D$189, COLUMN()-COLUMN($D$3)+1)</f>
        <v>18627.921847246889</v>
      </c>
      <c r="L132" s="69" cm="1">
        <f t="array" ref="L132">INDEX('Research Goals'!$D$178:$D$189, COLUMN()-COLUMN($D$3)+1)</f>
        <v>15347.684918347742</v>
      </c>
      <c r="M132" s="69" cm="1">
        <f t="array" ref="M132">INDEX('Research Goals'!$D$178:$D$189, COLUMN()-COLUMN($D$3)+1)</f>
        <v>17540.211335254564</v>
      </c>
      <c r="N132" s="69" cm="1">
        <f t="array" ref="N132">INDEX('Research Goals'!$D$178:$D$189, COLUMN()-COLUMN($D$3)+1)</f>
        <v>16299.431616341029</v>
      </c>
      <c r="O132" s="69" cm="1">
        <f t="array" ref="O132">INDEX('Research Goals'!$D$178:$D$189, COLUMN()-COLUMN($D$3)+1)</f>
        <v>22702.779751332149</v>
      </c>
      <c r="P132" s="68">
        <f>SUM(D132:O132)</f>
        <v>197386.58689980771</v>
      </c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</row>
    <row r="133" spans="1:30">
      <c r="A133" s="757"/>
      <c r="B133" s="579"/>
      <c r="C133" s="229" t="s">
        <v>14</v>
      </c>
      <c r="D133" s="69" cm="1">
        <f t="array" ref="D133">INDEX('Research Goals'!$F$178:$F$189, COLUMN()-COLUMN($D$3)+1)</f>
        <v>4680.5475504322767</v>
      </c>
      <c r="E133" s="69" cm="1">
        <f t="array" ref="E133">INDEX('Research Goals'!$F$178:$F$189, COLUMN()-COLUMN($D$3)+1)</f>
        <v>5106.0518731988477</v>
      </c>
      <c r="F133" s="69" cm="1">
        <f t="array" ref="F133">INDEX('Research Goals'!$F$178:$F$189, COLUMN()-COLUMN($D$3)+1)</f>
        <v>8566.1101243339253</v>
      </c>
      <c r="G133" s="69" cm="1">
        <f t="array" ref="G133">INDEX('Research Goals'!$F$178:$F$189, COLUMN()-COLUMN($D$3)+1)</f>
        <v>13740.53794428434</v>
      </c>
      <c r="H133" s="69" cm="1">
        <f t="array" ref="H133">INDEX('Research Goals'!$F$178:$F$189, COLUMN()-COLUMN($D$3)+1)</f>
        <v>14797.502401536984</v>
      </c>
      <c r="I133" s="69" cm="1">
        <f t="array" ref="I133">INDEX('Research Goals'!$F$178:$F$189, COLUMN()-COLUMN($D$3)+1)</f>
        <v>14269.020172910661</v>
      </c>
      <c r="J133" s="69" cm="1">
        <f t="array" ref="J133">INDEX('Research Goals'!$F$178:$F$189, COLUMN()-COLUMN($D$3)+1)</f>
        <v>18574.777975133213</v>
      </c>
      <c r="K133" s="69" cm="1">
        <f t="array" ref="K133">INDEX('Research Goals'!$F$178:$F$189, COLUMN()-COLUMN($D$3)+1)</f>
        <v>18574.777975133213</v>
      </c>
      <c r="L133" s="69" cm="1">
        <f t="array" ref="L133">INDEX('Research Goals'!$F$178:$F$189, COLUMN()-COLUMN($D$3)+1)</f>
        <v>14797.502401536984</v>
      </c>
      <c r="M133" s="69" cm="1">
        <f t="array" ref="M133">INDEX('Research Goals'!$F$178:$F$189, COLUMN()-COLUMN($D$3)+1)</f>
        <v>16911.431316042264</v>
      </c>
      <c r="N133" s="69" cm="1">
        <f t="array" ref="N133">INDEX('Research Goals'!$F$178:$F$189, COLUMN()-COLUMN($D$3)+1)</f>
        <v>16252.930728241563</v>
      </c>
      <c r="O133" s="69" cm="1">
        <f t="array" ref="O133">INDEX('Research Goals'!$F$178:$F$189, COLUMN()-COLUMN($D$3)+1)</f>
        <v>22638.010657193605</v>
      </c>
      <c r="P133" s="68">
        <f>SUM(D133:O133)</f>
        <v>168909.20111997786</v>
      </c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</row>
    <row r="134" spans="1:30">
      <c r="A134" s="757"/>
      <c r="B134" s="233" t="s">
        <v>43</v>
      </c>
      <c r="C134" s="229" t="s">
        <v>55</v>
      </c>
      <c r="D134" s="69" cm="1">
        <f t="array" ref="D134">INDEX('Research Goals'!$E$178:$E$189, COLUMN()-COLUMN($D$3)+1)</f>
        <v>6087.0893371757929</v>
      </c>
      <c r="E134" s="69" cm="1">
        <f t="array" ref="E134">INDEX('Research Goals'!$E$178:$E$189, COLUMN()-COLUMN($D$3)+1)</f>
        <v>6640.4610951008644</v>
      </c>
      <c r="F134" s="69" cm="1">
        <f t="array" ref="F134">INDEX('Research Goals'!$E$178:$E$189, COLUMN()-COLUMN($D$3)+1)</f>
        <v>9514.4582593250434</v>
      </c>
      <c r="G134" s="69" cm="1">
        <f t="array" ref="G134">INDEX('Research Goals'!$E$178:$E$189, COLUMN()-COLUMN($D$3)+1)</f>
        <v>7193.8328530259369</v>
      </c>
      <c r="H134" s="69" cm="1">
        <f t="array" ref="H134">INDEX('Research Goals'!$E$178:$E$189, COLUMN()-COLUMN($D$3)+1)</f>
        <v>7747.2046109510093</v>
      </c>
      <c r="I134" s="69" cm="1">
        <f t="array" ref="I134">INDEX('Research Goals'!$E$178:$E$189, COLUMN()-COLUMN($D$3)+1)</f>
        <v>7470.5187319884726</v>
      </c>
      <c r="J134" s="69" cm="1">
        <f t="array" ref="J134">INDEX('Research Goals'!$E$178:$E$189, COLUMN()-COLUMN($D$3)+1)</f>
        <v>9514.4582593250434</v>
      </c>
      <c r="K134" s="69" cm="1">
        <f t="array" ref="K134">INDEX('Research Goals'!$E$178:$E$189, COLUMN()-COLUMN($D$3)+1)</f>
        <v>9514.4582593250434</v>
      </c>
      <c r="L134" s="69" cm="1">
        <f t="array" ref="L134">INDEX('Research Goals'!$E$178:$E$189, COLUMN()-COLUMN($D$3)+1)</f>
        <v>7747.2046109510093</v>
      </c>
      <c r="M134" s="69" cm="1">
        <f t="array" ref="M134">INDEX('Research Goals'!$E$178:$E$189, COLUMN()-COLUMN($D$3)+1)</f>
        <v>8853.948126801155</v>
      </c>
      <c r="N134" s="69" cm="1">
        <f t="array" ref="N134">INDEX('Research Goals'!$E$178:$E$189, COLUMN()-COLUMN($D$3)+1)</f>
        <v>8325.1509769094137</v>
      </c>
      <c r="O134" s="69" cm="1">
        <f t="array" ref="O134">INDEX('Research Goals'!$E$178:$E$189, COLUMN()-COLUMN($D$3)+1)</f>
        <v>11595.746003552398</v>
      </c>
      <c r="P134" s="68">
        <f t="shared" ref="P134:P137" si="15">SUM(D134:O134)</f>
        <v>100204.53112443119</v>
      </c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</row>
    <row r="135" spans="1:30">
      <c r="A135" s="757" t="s">
        <v>57</v>
      </c>
      <c r="B135" s="579" t="s">
        <v>49</v>
      </c>
      <c r="C135" s="230" t="s">
        <v>58</v>
      </c>
      <c r="D135" s="231" cm="1">
        <f t="array" ref="D135">INDEX('Shop Goals'!$H$188:$H$199, COLUMN()-COLUMN($D$3)+1)</f>
        <v>35050.024355745161</v>
      </c>
      <c r="E135" s="231" cm="1">
        <f t="array" ref="E135">INDEX('Shop Goals'!$H$188:$H$199, COLUMN()-COLUMN($D$3)+1)</f>
        <v>38236.390206267446</v>
      </c>
      <c r="F135" s="231" cm="1">
        <f t="array" ref="F135">INDEX('Shop Goals'!$H$188:$H$199, COLUMN()-COLUMN($D$3)+1)</f>
        <v>54820.723943906894</v>
      </c>
      <c r="G135" s="231" cm="1">
        <f t="array" ref="G135">INDEX('Shop Goals'!$H$188:$H$199, COLUMN()-COLUMN($D$3)+1)</f>
        <v>41422.756056789738</v>
      </c>
      <c r="H135" s="231" cm="1">
        <f t="array" ref="H135">INDEX('Shop Goals'!$H$188:$H$199, COLUMN()-COLUMN($D$3)+1)</f>
        <v>44609.121907312016</v>
      </c>
      <c r="I135" s="231" cm="1">
        <f t="array" ref="I135">INDEX('Shop Goals'!$H$188:$H$199, COLUMN()-COLUMN($D$3)+1)</f>
        <v>43015.938982050873</v>
      </c>
      <c r="J135" s="231" cm="1">
        <f t="array" ref="J135">INDEX('Shop Goals'!$H$188:$H$199, COLUMN()-COLUMN($D$3)+1)</f>
        <v>54820.723943906894</v>
      </c>
      <c r="K135" s="231" cm="1">
        <f t="array" ref="K135">INDEX('Shop Goals'!$H$188:$H$199, COLUMN()-COLUMN($D$3)+1)</f>
        <v>54820.723943906894</v>
      </c>
      <c r="L135" s="231" cm="1">
        <f t="array" ref="L135">INDEX('Shop Goals'!$H$188:$H$199, COLUMN()-COLUMN($D$3)+1)</f>
        <v>44609.121907312016</v>
      </c>
      <c r="M135" s="231" cm="1">
        <f t="array" ref="M135">INDEX('Shop Goals'!$H$188:$H$199, COLUMN()-COLUMN($D$3)+1)</f>
        <v>50981.853608356592</v>
      </c>
      <c r="N135" s="231" cm="1">
        <f t="array" ref="N135">INDEX('Shop Goals'!$H$188:$H$199, COLUMN()-COLUMN($D$3)+1)</f>
        <v>47968.133450918533</v>
      </c>
      <c r="O135" s="231" cm="1">
        <f t="array" ref="O135">INDEX('Shop Goals'!$H$188:$H$199, COLUMN()-COLUMN($D$3)+1)</f>
        <v>66812.757306636529</v>
      </c>
      <c r="P135" s="232">
        <f t="shared" si="15"/>
        <v>577168.26961310965</v>
      </c>
      <c r="Q135" s="47"/>
      <c r="R135" s="231" cm="1">
        <f t="array" ref="R135">INDEX('Shop Goals'!$N$188:$N$199, COLUMN()-COLUMN($R$2)+1)</f>
        <v>7717.7847278695917</v>
      </c>
      <c r="S135" s="231" cm="1">
        <f t="array" ref="S135">INDEX('Shop Goals'!$N$188:$N$199, COLUMN()-COLUMN($R$2)+1)</f>
        <v>8419.4015213122821</v>
      </c>
      <c r="T135" s="231" cm="1">
        <f t="array" ref="T135">INDEX('Shop Goals'!$N$188:$N$199, COLUMN()-COLUMN($R$2)+1)</f>
        <v>12041.055873098307</v>
      </c>
      <c r="U135" s="231" cm="1">
        <f t="array" ref="U135">INDEX('Shop Goals'!$N$188:$N$199, COLUMN()-COLUMN($R$2)+1)</f>
        <v>9121.0183147549724</v>
      </c>
      <c r="V135" s="231" cm="1">
        <f t="array" ref="V135">INDEX('Shop Goals'!$N$188:$N$199, COLUMN()-COLUMN($R$2)+1)</f>
        <v>9822.6351081976627</v>
      </c>
      <c r="W135" s="231" cm="1">
        <f t="array" ref="W135">INDEX('Shop Goals'!$N$188:$N$199, COLUMN()-COLUMN($R$2)+1)</f>
        <v>9471.8267114763148</v>
      </c>
      <c r="X135" s="231" cm="1">
        <f t="array" ref="X135">INDEX('Shop Goals'!$N$188:$N$199, COLUMN()-COLUMN($R$2)+1)</f>
        <v>12041.055873098307</v>
      </c>
      <c r="Y135" s="231" cm="1">
        <f t="array" ref="Y135">INDEX('Shop Goals'!$N$188:$N$199, COLUMN()-COLUMN($R$2)+1)</f>
        <v>12041.055873098307</v>
      </c>
      <c r="Z135" s="231" cm="1">
        <f t="array" ref="Z135">INDEX('Shop Goals'!$N$188:$N$199, COLUMN()-COLUMN($R$2)+1)</f>
        <v>9822.6351081976627</v>
      </c>
      <c r="AA135" s="231" cm="1">
        <f t="array" ref="AA135">INDEX('Shop Goals'!$N$188:$N$199, COLUMN()-COLUMN($R$2)+1)</f>
        <v>11225.868695083042</v>
      </c>
      <c r="AB135" s="231" cm="1">
        <f t="array" ref="AB135">INDEX('Shop Goals'!$N$188:$N$199, COLUMN()-COLUMN($R$2)+1)</f>
        <v>10535.923888961019</v>
      </c>
      <c r="AC135" s="231" cm="1">
        <f t="array" ref="AC135">INDEX('Shop Goals'!$N$188:$N$199, COLUMN()-COLUMN($R$2)+1)</f>
        <v>14675.03684533856</v>
      </c>
      <c r="AD135" s="232">
        <f>SUM(R135:AC135)</f>
        <v>126935.29854048601</v>
      </c>
    </row>
    <row r="136" spans="1:30">
      <c r="A136" s="757"/>
      <c r="B136" s="579"/>
      <c r="C136" s="229" t="s">
        <v>60</v>
      </c>
      <c r="D136" s="69" cm="1">
        <f t="array" ref="D136">INDEX('Shop Goals'!$D$188:$D$199, COLUMN()-COLUMN($D$3)+1)</f>
        <v>271.77713736791549</v>
      </c>
      <c r="E136" s="69" cm="1">
        <f t="array" ref="E136">INDEX('Shop Goals'!$D$188:$D$199, COLUMN()-COLUMN($D$3)+1)</f>
        <v>296.48414985590779</v>
      </c>
      <c r="F136" s="69" cm="1">
        <f t="array" ref="F136">INDEX('Shop Goals'!$D$188:$D$199, COLUMN()-COLUMN($D$3)+1)</f>
        <v>410.37300177619892</v>
      </c>
      <c r="G136" s="69" cm="1">
        <f t="array" ref="G136">INDEX('Shop Goals'!$D$188:$D$199, COLUMN()-COLUMN($D$3)+1)</f>
        <v>321.19116234390009</v>
      </c>
      <c r="H136" s="69" cm="1">
        <f t="array" ref="H136">INDEX('Shop Goals'!$D$188:$D$199, COLUMN()-COLUMN($D$3)+1)</f>
        <v>345.89817483189239</v>
      </c>
      <c r="I136" s="69" cm="1">
        <f t="array" ref="I136">INDEX('Shop Goals'!$D$188:$D$199, COLUMN()-COLUMN($D$3)+1)</f>
        <v>333.54466858789624</v>
      </c>
      <c r="J136" s="69" cm="1">
        <f t="array" ref="J136">INDEX('Shop Goals'!$D$188:$D$199, COLUMN()-COLUMN($D$3)+1)</f>
        <v>410.37300177619892</v>
      </c>
      <c r="K136" s="69" cm="1">
        <f t="array" ref="K136">INDEX('Shop Goals'!$D$188:$D$199, COLUMN()-COLUMN($D$3)+1)</f>
        <v>410.37300177619892</v>
      </c>
      <c r="L136" s="69" cm="1">
        <f t="array" ref="L136">INDEX('Shop Goals'!$D$188:$D$199, COLUMN()-COLUMN($D$3)+1)</f>
        <v>345.89817483189239</v>
      </c>
      <c r="M136" s="69" cm="1">
        <f t="array" ref="M136">INDEX('Shop Goals'!$D$188:$D$199, COLUMN()-COLUMN($D$3)+1)</f>
        <v>395.31219980787705</v>
      </c>
      <c r="N136" s="69" cm="1">
        <f t="array" ref="N136">INDEX('Shop Goals'!$D$188:$D$199, COLUMN()-COLUMN($D$3)+1)</f>
        <v>359.07637655417409</v>
      </c>
      <c r="O136" s="69" cm="1">
        <f t="array" ref="O136">INDEX('Shop Goals'!$D$188:$D$199, COLUMN()-COLUMN($D$3)+1)</f>
        <v>500.14209591474247</v>
      </c>
      <c r="P136" s="68">
        <f t="shared" si="15"/>
        <v>4400.4431454247951</v>
      </c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</row>
    <row r="137" spans="1:30">
      <c r="A137" s="757"/>
      <c r="B137" s="579"/>
      <c r="C137" s="229" t="s">
        <v>203</v>
      </c>
      <c r="D137" s="69" cm="1">
        <f t="array" ref="D137">INDEX('Shop Goals'!$E$188:$E$199, COLUMN()-COLUMN($D$3)+1)</f>
        <v>1801.6330451488952</v>
      </c>
      <c r="E137" s="69" cm="1">
        <f t="array" ref="E137">INDEX('Shop Goals'!$E$188:$E$199, COLUMN()-COLUMN($D$3)+1)</f>
        <v>1965.4178674351585</v>
      </c>
      <c r="F137" s="69" cm="1">
        <f t="array" ref="F137">INDEX('Shop Goals'!$E$188:$E$199, COLUMN()-COLUMN($D$3)+1)</f>
        <v>2627.6376554174067</v>
      </c>
      <c r="G137" s="69" cm="1">
        <f t="array" ref="G137">INDEX('Shop Goals'!$E$188:$E$199, COLUMN()-COLUMN($D$3)+1)</f>
        <v>2129.2026897214218</v>
      </c>
      <c r="H137" s="69" cm="1">
        <f t="array" ref="H137">INDEX('Shop Goals'!$E$188:$E$199, COLUMN()-COLUMN($D$3)+1)</f>
        <v>2292.9875120076849</v>
      </c>
      <c r="I137" s="69" cm="1">
        <f t="array" ref="I137">INDEX('Shop Goals'!$E$188:$E$199, COLUMN()-COLUMN($D$3)+1)</f>
        <v>2211.0951008645534</v>
      </c>
      <c r="J137" s="69" cm="1">
        <f t="array" ref="J137">INDEX('Shop Goals'!$E$188:$E$199, COLUMN()-COLUMN($D$3)+1)</f>
        <v>2627.6376554174067</v>
      </c>
      <c r="K137" s="69" cm="1">
        <f t="array" ref="K137">INDEX('Shop Goals'!$E$188:$E$199, COLUMN()-COLUMN($D$3)+1)</f>
        <v>2627.6376554174067</v>
      </c>
      <c r="L137" s="69" cm="1">
        <f t="array" ref="L137">INDEX('Shop Goals'!$E$188:$E$199, COLUMN()-COLUMN($D$3)+1)</f>
        <v>2292.9875120076849</v>
      </c>
      <c r="M137" s="69" cm="1">
        <f t="array" ref="M137">INDEX('Shop Goals'!$E$188:$E$199, COLUMN()-COLUMN($D$3)+1)</f>
        <v>2620.5571565802111</v>
      </c>
      <c r="N137" s="69" cm="1">
        <f t="array" ref="N137">INDEX('Shop Goals'!$E$188:$E$199, COLUMN()-COLUMN($D$3)+1)</f>
        <v>2299.182948490231</v>
      </c>
      <c r="O137" s="69" cm="1">
        <f t="array" ref="O137">INDEX('Shop Goals'!$E$188:$E$199, COLUMN()-COLUMN($D$3)+1)</f>
        <v>3202.4333925399642</v>
      </c>
      <c r="P137" s="68">
        <f t="shared" si="15"/>
        <v>28698.410191048024</v>
      </c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</row>
    <row r="138" spans="1:30">
      <c r="A138" s="757"/>
      <c r="B138" s="579"/>
      <c r="C138" s="229" t="s">
        <v>7</v>
      </c>
      <c r="D138" s="69" cm="1">
        <f t="array" ref="D138">INDEX('Shop Goals'!$G$188:$G$199, COLUMN()-COLUMN($D$3)+1)</f>
        <v>32976.61417322835</v>
      </c>
      <c r="E138" s="69" cm="1">
        <f t="array" ref="E138">INDEX('Shop Goals'!$G$188:$G$199, COLUMN()-COLUMN($D$3)+1)</f>
        <v>35974.488188976378</v>
      </c>
      <c r="F138" s="69" cm="1">
        <f t="array" ref="F138">INDEX('Shop Goals'!$G$188:$G$199, COLUMN()-COLUMN($D$3)+1)</f>
        <v>51782.71328671329</v>
      </c>
      <c r="G138" s="69" cm="1">
        <f t="array" ref="G138">INDEX('Shop Goals'!$G$188:$G$199, COLUMN()-COLUMN($D$3)+1)</f>
        <v>38972.362204724413</v>
      </c>
      <c r="H138" s="69" cm="1">
        <f t="array" ref="H138">INDEX('Shop Goals'!$G$188:$G$199, COLUMN()-COLUMN($D$3)+1)</f>
        <v>41970.236220472441</v>
      </c>
      <c r="I138" s="69" cm="1">
        <f t="array" ref="I138">INDEX('Shop Goals'!$G$188:$G$199, COLUMN()-COLUMN($D$3)+1)</f>
        <v>40471.299212598424</v>
      </c>
      <c r="J138" s="69" cm="1">
        <f t="array" ref="J138">INDEX('Shop Goals'!$G$188:$G$199, COLUMN()-COLUMN($D$3)+1)</f>
        <v>51782.71328671329</v>
      </c>
      <c r="K138" s="69" cm="1">
        <f t="array" ref="K138">INDEX('Shop Goals'!$G$188:$G$199, COLUMN()-COLUMN($D$3)+1)</f>
        <v>51782.71328671329</v>
      </c>
      <c r="L138" s="69" cm="1">
        <f t="array" ref="L138">INDEX('Shop Goals'!$G$188:$G$199, COLUMN()-COLUMN($D$3)+1)</f>
        <v>41970.236220472441</v>
      </c>
      <c r="M138" s="69" cm="1">
        <f t="array" ref="M138">INDEX('Shop Goals'!$G$188:$G$199, COLUMN()-COLUMN($D$3)+1)</f>
        <v>47965.984251968504</v>
      </c>
      <c r="N138" s="69" cm="1">
        <f t="array" ref="N138">INDEX('Shop Goals'!$G$188:$G$199, COLUMN()-COLUMN($D$3)+1)</f>
        <v>45309.874125874128</v>
      </c>
      <c r="O138" s="69" cm="1">
        <f t="array" ref="O138">INDEX('Shop Goals'!$G$188:$G$199, COLUMN()-COLUMN($D$3)+1)</f>
        <v>63110.181818181823</v>
      </c>
      <c r="P138" s="68">
        <f>SUM(D138:O138)</f>
        <v>544069.41627663677</v>
      </c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</row>
    <row r="139" spans="1:30">
      <c r="A139" s="757"/>
      <c r="B139" s="233" t="s">
        <v>66</v>
      </c>
      <c r="C139" s="229" t="s">
        <v>67</v>
      </c>
      <c r="D139" s="69" cm="1">
        <f t="array" ref="D139">INDEX('Lead Goals'!$H$254:$H$265, COLUMN()-COLUMN($D$3)+1)</f>
        <v>46.611537865599026</v>
      </c>
      <c r="E139" s="69" cm="1">
        <f t="array" ref="E139">INDEX('Lead Goals'!$H$254:$H$265, COLUMN()-COLUMN($D$3)+1)</f>
        <v>50.848950398835285</v>
      </c>
      <c r="F139" s="69" cm="1">
        <f t="array" ref="F139">INDEX('Lead Goals'!$H$254:$H$265, COLUMN()-COLUMN($D$3)+1)</f>
        <v>66.889822659349434</v>
      </c>
      <c r="G139" s="69" cm="1">
        <f t="array" ref="G139">INDEX('Lead Goals'!$H$254:$H$265, COLUMN()-COLUMN($D$3)+1)</f>
        <v>55.086362932071573</v>
      </c>
      <c r="H139" s="69" cm="1">
        <f t="array" ref="H139">INDEX('Lead Goals'!$H$254:$H$265, COLUMN()-COLUMN($D$3)+1)</f>
        <v>59.323775465307847</v>
      </c>
      <c r="I139" s="69" cm="1">
        <f t="array" ref="I139">INDEX('Lead Goals'!$H$254:$H$265, COLUMN()-COLUMN($D$3)+1)</f>
        <v>57.205069198689706</v>
      </c>
      <c r="J139" s="69" cm="1">
        <f t="array" ref="J139">INDEX('Lead Goals'!$H$254:$H$265, COLUMN()-COLUMN($D$3)+1)</f>
        <v>66.889822659349434</v>
      </c>
      <c r="K139" s="69" cm="1">
        <f t="array" ref="K139">INDEX('Lead Goals'!$H$254:$H$265, COLUMN()-COLUMN($D$3)+1)</f>
        <v>66.889822659349434</v>
      </c>
      <c r="L139" s="69" cm="1">
        <f t="array" ref="L139">INDEX('Lead Goals'!$H$254:$H$265, COLUMN()-COLUMN($D$3)+1)</f>
        <v>59.32377546530784</v>
      </c>
      <c r="M139" s="69" cm="1">
        <f t="array" ref="M139">INDEX('Lead Goals'!$H$254:$H$265, COLUMN()-COLUMN($D$3)+1)</f>
        <v>67.798600531780394</v>
      </c>
      <c r="N139" s="69" cm="1">
        <f t="array" ref="N139">INDEX('Lead Goals'!$H$254:$H$265, COLUMN()-COLUMN($D$3)+1)</f>
        <v>58.528594826930764</v>
      </c>
      <c r="O139" s="69" cm="1">
        <f t="array" ref="O139">INDEX('Lead Goals'!$H$254:$H$265, COLUMN()-COLUMN($D$3)+1)</f>
        <v>81.521971366082127</v>
      </c>
      <c r="P139" s="68">
        <f t="shared" ref="P139" si="16">SUM(D139:O139)</f>
        <v>736.9181060286528</v>
      </c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</row>
  </sheetData>
  <mergeCells count="90">
    <mergeCell ref="A117:A120"/>
    <mergeCell ref="B117:B119"/>
    <mergeCell ref="A121:A125"/>
    <mergeCell ref="B121:B124"/>
    <mergeCell ref="A114:C114"/>
    <mergeCell ref="A115:A116"/>
    <mergeCell ref="B115:B116"/>
    <mergeCell ref="A127:P127"/>
    <mergeCell ref="A135:A139"/>
    <mergeCell ref="B135:B138"/>
    <mergeCell ref="R127:AD127"/>
    <mergeCell ref="A128:C128"/>
    <mergeCell ref="A129:A130"/>
    <mergeCell ref="B129:B130"/>
    <mergeCell ref="A131:A134"/>
    <mergeCell ref="B131:B133"/>
    <mergeCell ref="A89:A92"/>
    <mergeCell ref="B89:B91"/>
    <mergeCell ref="A93:A97"/>
    <mergeCell ref="B93:B96"/>
    <mergeCell ref="A99:P99"/>
    <mergeCell ref="A107:A111"/>
    <mergeCell ref="B107:B110"/>
    <mergeCell ref="A113:P113"/>
    <mergeCell ref="R99:AD99"/>
    <mergeCell ref="A100:C100"/>
    <mergeCell ref="A101:A102"/>
    <mergeCell ref="B101:B102"/>
    <mergeCell ref="A103:A106"/>
    <mergeCell ref="B103:B105"/>
    <mergeCell ref="R113:AD113"/>
    <mergeCell ref="R85:AD85"/>
    <mergeCell ref="A86:C86"/>
    <mergeCell ref="A87:A88"/>
    <mergeCell ref="B87:B88"/>
    <mergeCell ref="A61:A64"/>
    <mergeCell ref="B61:B63"/>
    <mergeCell ref="A65:A69"/>
    <mergeCell ref="B65:B68"/>
    <mergeCell ref="A75:A78"/>
    <mergeCell ref="B75:B77"/>
    <mergeCell ref="A79:A83"/>
    <mergeCell ref="B79:B82"/>
    <mergeCell ref="A85:P85"/>
    <mergeCell ref="A57:P57"/>
    <mergeCell ref="A71:P71"/>
    <mergeCell ref="R71:AD71"/>
    <mergeCell ref="A72:C72"/>
    <mergeCell ref="A73:A74"/>
    <mergeCell ref="B73:B74"/>
    <mergeCell ref="R57:AD57"/>
    <mergeCell ref="A58:C58"/>
    <mergeCell ref="A59:A60"/>
    <mergeCell ref="B59:B60"/>
    <mergeCell ref="R43:AD43"/>
    <mergeCell ref="A44:C44"/>
    <mergeCell ref="A45:A46"/>
    <mergeCell ref="B45:B46"/>
    <mergeCell ref="A43:P43"/>
    <mergeCell ref="A47:A50"/>
    <mergeCell ref="B47:B49"/>
    <mergeCell ref="A51:A55"/>
    <mergeCell ref="B51:B54"/>
    <mergeCell ref="A33:A36"/>
    <mergeCell ref="B33:B35"/>
    <mergeCell ref="A37:A41"/>
    <mergeCell ref="B37:B40"/>
    <mergeCell ref="R29:AD29"/>
    <mergeCell ref="A30:C30"/>
    <mergeCell ref="A31:A32"/>
    <mergeCell ref="B31:B32"/>
    <mergeCell ref="A29:P29"/>
    <mergeCell ref="A19:A22"/>
    <mergeCell ref="B19:B21"/>
    <mergeCell ref="A23:A27"/>
    <mergeCell ref="B23:B26"/>
    <mergeCell ref="R15:AD15"/>
    <mergeCell ref="A16:C16"/>
    <mergeCell ref="A17:A18"/>
    <mergeCell ref="B17:B18"/>
    <mergeCell ref="A15:P15"/>
    <mergeCell ref="A5:A8"/>
    <mergeCell ref="B9:B12"/>
    <mergeCell ref="A2:C2"/>
    <mergeCell ref="A9:A13"/>
    <mergeCell ref="R1:AD1"/>
    <mergeCell ref="A3:A4"/>
    <mergeCell ref="B3:B4"/>
    <mergeCell ref="B5:B7"/>
    <mergeCell ref="A1:P1"/>
  </mergeCells>
  <phoneticPr fontId="2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4379-2577-9D47-96EB-94275AA7285D}">
  <sheetPr>
    <tabColor theme="5" tint="0.39997558519241921"/>
  </sheetPr>
  <dimension ref="B1:G29"/>
  <sheetViews>
    <sheetView zoomScaleNormal="100" workbookViewId="0">
      <selection activeCell="F14" sqref="F14"/>
    </sheetView>
  </sheetViews>
  <sheetFormatPr baseColWidth="10" defaultColWidth="11" defaultRowHeight="16"/>
  <cols>
    <col min="1" max="1" width="4" customWidth="1"/>
    <col min="2" max="2" width="17.6640625" customWidth="1"/>
    <col min="3" max="7" width="21.33203125" customWidth="1"/>
  </cols>
  <sheetData>
    <row r="1" spans="2:7" ht="17" thickBot="1"/>
    <row r="2" spans="2:7" ht="40" customHeight="1" thickBot="1">
      <c r="B2" s="467"/>
      <c r="C2" s="468">
        <v>2025</v>
      </c>
      <c r="D2" s="469" t="s">
        <v>324</v>
      </c>
      <c r="E2" s="469" t="s">
        <v>325</v>
      </c>
      <c r="F2" s="468" t="s">
        <v>326</v>
      </c>
      <c r="G2" s="470" t="s">
        <v>327</v>
      </c>
    </row>
    <row r="3" spans="2:7" ht="40" customHeight="1">
      <c r="B3" s="471" t="s">
        <v>328</v>
      </c>
      <c r="C3" s="472">
        <v>0.17369999999999999</v>
      </c>
      <c r="D3" s="472">
        <v>0.16980000000000001</v>
      </c>
      <c r="E3" s="486">
        <f>(C3*D6)+C3</f>
        <v>0.18271832169921504</v>
      </c>
      <c r="F3" s="484">
        <f>(E3-C3)/C3</f>
        <v>5.1918950484830417E-2</v>
      </c>
      <c r="G3" s="482">
        <f>E3-C3</f>
        <v>9.0183216992150428E-3</v>
      </c>
    </row>
    <row r="4" spans="2:7" ht="40" customHeight="1">
      <c r="B4" s="473" t="s">
        <v>329</v>
      </c>
      <c r="C4" s="474">
        <v>4.8500000000000001E-2</v>
      </c>
      <c r="D4" s="474">
        <v>4.7E-2</v>
      </c>
      <c r="E4" s="487">
        <f>(C4*D6)+C4</f>
        <v>5.1018069098514272E-2</v>
      </c>
      <c r="F4" s="485">
        <f>(E4-C4)/C4</f>
        <v>5.1918950484830327E-2</v>
      </c>
      <c r="G4" s="483">
        <f>E4-C4</f>
        <v>2.5180690985142709E-3</v>
      </c>
    </row>
    <row r="5" spans="2:7" ht="40" customHeight="1">
      <c r="B5" s="473" t="s">
        <v>330</v>
      </c>
      <c r="C5" s="475">
        <v>73634</v>
      </c>
      <c r="D5" s="475">
        <v>77457</v>
      </c>
      <c r="E5" s="476"/>
      <c r="F5" s="476"/>
      <c r="G5" s="477"/>
    </row>
    <row r="6" spans="2:7" ht="40" customHeight="1" thickBot="1">
      <c r="B6" s="481" t="s">
        <v>331</v>
      </c>
      <c r="C6" s="478"/>
      <c r="D6" s="479">
        <f>(D5-C5)/C5</f>
        <v>5.1918950484830376E-2</v>
      </c>
      <c r="E6" s="479"/>
      <c r="F6" s="478"/>
      <c r="G6" s="480"/>
    </row>
    <row r="7" spans="2:7">
      <c r="E7" s="46"/>
      <c r="F7" s="46"/>
      <c r="G7" s="235"/>
    </row>
    <row r="8" spans="2:7">
      <c r="E8" s="46"/>
      <c r="F8" s="46"/>
      <c r="G8" s="235"/>
    </row>
    <row r="9" spans="2:7">
      <c r="E9" s="46"/>
      <c r="F9" s="46"/>
      <c r="G9" s="235"/>
    </row>
    <row r="10" spans="2:7">
      <c r="E10" s="46"/>
      <c r="F10" s="46"/>
      <c r="G10" s="235"/>
    </row>
    <row r="11" spans="2:7">
      <c r="E11" s="46"/>
      <c r="F11" s="46"/>
      <c r="G11" s="235"/>
    </row>
    <row r="12" spans="2:7">
      <c r="E12" s="46"/>
      <c r="F12" s="46"/>
      <c r="G12" s="235"/>
    </row>
    <row r="13" spans="2:7">
      <c r="E13" s="46"/>
      <c r="F13" s="46"/>
      <c r="G13" s="235"/>
    </row>
    <row r="14" spans="2:7">
      <c r="E14" s="46"/>
      <c r="F14" s="46"/>
      <c r="G14" s="235"/>
    </row>
    <row r="18" spans="7:7">
      <c r="G18" s="235"/>
    </row>
    <row r="19" spans="7:7">
      <c r="G19" s="235"/>
    </row>
    <row r="20" spans="7:7">
      <c r="G20" s="235"/>
    </row>
    <row r="21" spans="7:7">
      <c r="G21" s="235"/>
    </row>
    <row r="22" spans="7:7">
      <c r="G22" s="235"/>
    </row>
    <row r="23" spans="7:7">
      <c r="G23" s="235"/>
    </row>
    <row r="24" spans="7:7">
      <c r="G24" s="235"/>
    </row>
    <row r="25" spans="7:7">
      <c r="G25" s="235"/>
    </row>
    <row r="26" spans="7:7">
      <c r="G26" s="235"/>
    </row>
    <row r="27" spans="7:7">
      <c r="G27" s="235"/>
    </row>
    <row r="28" spans="7:7">
      <c r="G28" s="235"/>
    </row>
    <row r="29" spans="7:7">
      <c r="G29" s="23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7CFB-DC7F-5E43-BCB7-90E983854320}">
  <sheetPr>
    <tabColor theme="5" tint="0.39997558519241921"/>
  </sheetPr>
  <dimension ref="B1:BP405"/>
  <sheetViews>
    <sheetView topLeftCell="S39" zoomScale="80" zoomScaleNormal="80" workbookViewId="0">
      <selection activeCell="AA54" sqref="AA54"/>
    </sheetView>
  </sheetViews>
  <sheetFormatPr baseColWidth="10" defaultColWidth="11" defaultRowHeight="16"/>
  <cols>
    <col min="1" max="1" width="3.5" customWidth="1"/>
    <col min="2" max="2" width="12.6640625" bestFit="1" customWidth="1"/>
    <col min="4" max="4" width="24" customWidth="1"/>
    <col min="5" max="16" width="13" customWidth="1"/>
    <col min="17" max="17" width="13.1640625" customWidth="1"/>
    <col min="18" max="18" width="3.6640625" customWidth="1"/>
    <col min="19" max="19" width="12.6640625" bestFit="1" customWidth="1"/>
    <col min="21" max="21" width="24" customWidth="1"/>
    <col min="22" max="33" width="13" customWidth="1"/>
    <col min="34" max="34" width="13.1640625" customWidth="1"/>
    <col min="35" max="35" width="3.5" customWidth="1"/>
    <col min="36" max="36" width="12.6640625" bestFit="1" customWidth="1"/>
    <col min="38" max="38" width="24" customWidth="1"/>
    <col min="39" max="50" width="13" customWidth="1"/>
    <col min="51" max="51" width="13.1640625" customWidth="1"/>
    <col min="52" max="52" width="3.83203125" customWidth="1"/>
    <col min="53" max="53" width="12.6640625" bestFit="1" customWidth="1"/>
    <col min="55" max="55" width="24" customWidth="1"/>
    <col min="56" max="67" width="13" customWidth="1"/>
    <col min="68" max="68" width="13.1640625" customWidth="1"/>
    <col min="69" max="69" width="4.5" customWidth="1"/>
  </cols>
  <sheetData>
    <row r="1" spans="2:68" ht="50" customHeight="1">
      <c r="B1" s="771" t="s">
        <v>332</v>
      </c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3"/>
      <c r="S1" s="771" t="s">
        <v>333</v>
      </c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3"/>
      <c r="AJ1" s="771" t="s">
        <v>334</v>
      </c>
      <c r="AK1" s="772"/>
      <c r="AL1" s="772"/>
      <c r="AM1" s="772"/>
      <c r="AN1" s="772"/>
      <c r="AO1" s="772"/>
      <c r="AP1" s="772"/>
      <c r="AQ1" s="772"/>
      <c r="AR1" s="772"/>
      <c r="AS1" s="772"/>
      <c r="AT1" s="772"/>
      <c r="AU1" s="772"/>
      <c r="AV1" s="772"/>
      <c r="AW1" s="772"/>
      <c r="AX1" s="772"/>
      <c r="AY1" s="773"/>
      <c r="BA1" s="771" t="s">
        <v>335</v>
      </c>
      <c r="BB1" s="772"/>
      <c r="BC1" s="772"/>
      <c r="BD1" s="772"/>
      <c r="BE1" s="772"/>
      <c r="BF1" s="772"/>
      <c r="BG1" s="772"/>
      <c r="BH1" s="772"/>
      <c r="BI1" s="772"/>
      <c r="BJ1" s="772"/>
      <c r="BK1" s="772"/>
      <c r="BL1" s="772"/>
      <c r="BM1" s="772"/>
      <c r="BN1" s="772"/>
      <c r="BO1" s="772"/>
      <c r="BP1" s="773"/>
    </row>
    <row r="2" spans="2:68">
      <c r="B2" s="765" t="s">
        <v>282</v>
      </c>
      <c r="C2" s="766"/>
      <c r="D2" s="767"/>
      <c r="E2" s="234" t="s">
        <v>252</v>
      </c>
      <c r="F2" s="234" t="s">
        <v>253</v>
      </c>
      <c r="G2" s="234" t="s">
        <v>230</v>
      </c>
      <c r="H2" s="234" t="s">
        <v>254</v>
      </c>
      <c r="I2" s="234" t="s">
        <v>78</v>
      </c>
      <c r="J2" s="234" t="s">
        <v>255</v>
      </c>
      <c r="K2" s="234" t="s">
        <v>256</v>
      </c>
      <c r="L2" s="234" t="s">
        <v>236</v>
      </c>
      <c r="M2" s="234" t="s">
        <v>257</v>
      </c>
      <c r="N2" s="234" t="s">
        <v>258</v>
      </c>
      <c r="O2" s="234" t="s">
        <v>259</v>
      </c>
      <c r="P2" s="234" t="s">
        <v>260</v>
      </c>
      <c r="Q2" s="234" t="s">
        <v>24</v>
      </c>
      <c r="S2" s="765" t="s">
        <v>282</v>
      </c>
      <c r="T2" s="766"/>
      <c r="U2" s="767"/>
      <c r="V2" s="234" t="s">
        <v>252</v>
      </c>
      <c r="W2" s="234" t="s">
        <v>253</v>
      </c>
      <c r="X2" s="234" t="s">
        <v>230</v>
      </c>
      <c r="Y2" s="234" t="s">
        <v>254</v>
      </c>
      <c r="Z2" s="234" t="s">
        <v>78</v>
      </c>
      <c r="AA2" s="234" t="s">
        <v>255</v>
      </c>
      <c r="AB2" s="234" t="s">
        <v>256</v>
      </c>
      <c r="AC2" s="234" t="s">
        <v>236</v>
      </c>
      <c r="AD2" s="234" t="s">
        <v>257</v>
      </c>
      <c r="AE2" s="234" t="s">
        <v>258</v>
      </c>
      <c r="AF2" s="234" t="s">
        <v>259</v>
      </c>
      <c r="AG2" s="234" t="s">
        <v>260</v>
      </c>
      <c r="AH2" s="234" t="s">
        <v>24</v>
      </c>
      <c r="AJ2" s="765" t="s">
        <v>282</v>
      </c>
      <c r="AK2" s="766"/>
      <c r="AL2" s="767"/>
      <c r="AM2" s="234" t="s">
        <v>252</v>
      </c>
      <c r="AN2" s="234" t="s">
        <v>253</v>
      </c>
      <c r="AO2" s="234" t="s">
        <v>230</v>
      </c>
      <c r="AP2" s="234" t="s">
        <v>254</v>
      </c>
      <c r="AQ2" s="234" t="s">
        <v>78</v>
      </c>
      <c r="AR2" s="234" t="s">
        <v>255</v>
      </c>
      <c r="AS2" s="234" t="s">
        <v>256</v>
      </c>
      <c r="AT2" s="234" t="s">
        <v>236</v>
      </c>
      <c r="AU2" s="234" t="s">
        <v>257</v>
      </c>
      <c r="AV2" s="234" t="s">
        <v>258</v>
      </c>
      <c r="AW2" s="234" t="s">
        <v>259</v>
      </c>
      <c r="AX2" s="234" t="s">
        <v>260</v>
      </c>
      <c r="AY2" s="234" t="s">
        <v>24</v>
      </c>
      <c r="BA2" s="765" t="s">
        <v>282</v>
      </c>
      <c r="BB2" s="766"/>
      <c r="BC2" s="767"/>
      <c r="BD2" s="234" t="s">
        <v>252</v>
      </c>
      <c r="BE2" s="234" t="s">
        <v>253</v>
      </c>
      <c r="BF2" s="234" t="s">
        <v>230</v>
      </c>
      <c r="BG2" s="234" t="s">
        <v>254</v>
      </c>
      <c r="BH2" s="234" t="s">
        <v>78</v>
      </c>
      <c r="BI2" s="234" t="s">
        <v>255</v>
      </c>
      <c r="BJ2" s="234" t="s">
        <v>256</v>
      </c>
      <c r="BK2" s="234" t="s">
        <v>236</v>
      </c>
      <c r="BL2" s="234" t="s">
        <v>257</v>
      </c>
      <c r="BM2" s="234" t="s">
        <v>258</v>
      </c>
      <c r="BN2" s="234" t="s">
        <v>259</v>
      </c>
      <c r="BO2" s="234" t="s">
        <v>260</v>
      </c>
      <c r="BP2" s="234" t="s">
        <v>24</v>
      </c>
    </row>
    <row r="3" spans="2:68">
      <c r="B3" s="287"/>
      <c r="C3" s="288"/>
      <c r="D3" s="289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1"/>
      <c r="S3" s="287"/>
      <c r="T3" s="288"/>
      <c r="U3" s="289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1"/>
      <c r="AJ3" s="287"/>
      <c r="AK3" s="288"/>
      <c r="AL3" s="289"/>
      <c r="AM3" s="290"/>
      <c r="AN3" s="290"/>
      <c r="AO3" s="290"/>
      <c r="AP3" s="290"/>
      <c r="AQ3" s="290"/>
      <c r="AR3" s="290"/>
      <c r="AS3" s="290"/>
      <c r="AT3" s="290"/>
      <c r="AU3" s="290"/>
      <c r="AV3" s="290"/>
      <c r="AW3" s="290"/>
      <c r="AX3" s="290"/>
      <c r="AY3" s="291"/>
      <c r="BA3" s="287"/>
      <c r="BB3" s="288"/>
      <c r="BC3" s="289"/>
      <c r="BD3" s="290"/>
      <c r="BE3" s="290"/>
      <c r="BF3" s="290"/>
      <c r="BG3" s="290"/>
      <c r="BH3" s="290"/>
      <c r="BI3" s="290"/>
      <c r="BJ3" s="290"/>
      <c r="BK3" s="290"/>
      <c r="BL3" s="290"/>
      <c r="BM3" s="290"/>
      <c r="BN3" s="290"/>
      <c r="BO3" s="290"/>
      <c r="BP3" s="291"/>
    </row>
    <row r="4" spans="2:68" s="47" customFormat="1">
      <c r="B4" s="768" t="s">
        <v>48</v>
      </c>
      <c r="C4" s="768" t="s">
        <v>49</v>
      </c>
      <c r="D4" s="343" t="s">
        <v>50</v>
      </c>
      <c r="E4" s="344">
        <f>E5+E13</f>
        <v>503735</v>
      </c>
      <c r="F4" s="344">
        <f t="shared" ref="F4:Q4" si="0">F5+F13</f>
        <v>505757</v>
      </c>
      <c r="G4" s="344">
        <f t="shared" si="0"/>
        <v>678860</v>
      </c>
      <c r="H4" s="344">
        <f t="shared" si="0"/>
        <v>585459</v>
      </c>
      <c r="I4" s="344">
        <f t="shared" si="0"/>
        <v>610646</v>
      </c>
      <c r="J4" s="344">
        <f t="shared" si="0"/>
        <v>571546</v>
      </c>
      <c r="K4" s="344">
        <f t="shared" si="0"/>
        <v>672374</v>
      </c>
      <c r="L4" s="344">
        <f t="shared" si="0"/>
        <v>752312</v>
      </c>
      <c r="M4" s="344">
        <f t="shared" si="0"/>
        <v>666310</v>
      </c>
      <c r="N4" s="344">
        <f t="shared" si="0"/>
        <v>649532</v>
      </c>
      <c r="O4" s="344">
        <f t="shared" si="0"/>
        <v>651405</v>
      </c>
      <c r="P4" s="344">
        <f t="shared" si="0"/>
        <v>745573</v>
      </c>
      <c r="Q4" s="344">
        <f t="shared" si="0"/>
        <v>7593509</v>
      </c>
      <c r="S4" s="768" t="s">
        <v>48</v>
      </c>
      <c r="T4" s="768" t="s">
        <v>49</v>
      </c>
      <c r="U4" s="343" t="s">
        <v>50</v>
      </c>
      <c r="V4" s="344">
        <v>491592.90461007151</v>
      </c>
      <c r="W4" s="344">
        <v>542704.09896356496</v>
      </c>
      <c r="X4" s="344">
        <v>663497.87256026117</v>
      </c>
      <c r="Y4" s="344" cm="1">
        <f t="array" ref="Y4">INDEX('Research Goals'!$G$7:$G$18, COLUMN()-COLUMN($V$3)+1)</f>
        <v>666996.0122449284</v>
      </c>
      <c r="Z4" s="344" cm="1">
        <f t="array" ref="Z4">INDEX('Research Goals'!$G$7:$G$18, COLUMN()-COLUMN($V$3)+1)</f>
        <v>742967.98552015203</v>
      </c>
      <c r="AA4" s="344" cm="1">
        <f t="array" ref="AA4">INDEX('Research Goals'!$G$7:$G$18, COLUMN()-COLUMN($V$3)+1)</f>
        <v>697480.19966288609</v>
      </c>
      <c r="AB4" s="344" cm="1">
        <f t="array" ref="AB4">INDEX('Research Goals'!$G$7:$G$18, COLUMN()-COLUMN($V$3)+1)</f>
        <v>685190.13505102973</v>
      </c>
      <c r="AC4" s="344" cm="1">
        <f t="array" ref="AC4">INDEX('Research Goals'!$G$7:$G$18, COLUMN()-COLUMN($V$3)+1)</f>
        <v>727906.53186776116</v>
      </c>
      <c r="AD4" s="344" cm="1">
        <f t="array" ref="AD4">INDEX('Research Goals'!$G$7:$G$18, COLUMN()-COLUMN($V$3)+1)</f>
        <v>731832.18714377959</v>
      </c>
      <c r="AE4" s="344" cm="1">
        <f t="array" ref="AE4">INDEX('Research Goals'!$G$7:$G$18, COLUMN()-COLUMN($V$3)+1)</f>
        <v>759690.74516388471</v>
      </c>
      <c r="AF4" s="344" cm="1">
        <f t="array" ref="AF4">INDEX('Research Goals'!$G$7:$G$18, COLUMN()-COLUMN($V$3)+1)</f>
        <v>656810.71149111318</v>
      </c>
      <c r="AG4" s="344" cm="1">
        <f t="array" ref="AG4">INDEX('Research Goals'!$G$7:$G$18, COLUMN()-COLUMN($V$3)+1)</f>
        <v>843268.91894505045</v>
      </c>
      <c r="AH4" s="345">
        <f>SUM(V4:AG4)</f>
        <v>8209938.3032244835</v>
      </c>
      <c r="AJ4" s="757" t="s">
        <v>48</v>
      </c>
      <c r="AK4" s="757" t="s">
        <v>49</v>
      </c>
      <c r="AL4" s="343" t="s">
        <v>50</v>
      </c>
      <c r="AM4" s="344">
        <f>AM5+AM13</f>
        <v>650084.28571428568</v>
      </c>
      <c r="AN4" s="344">
        <f t="shared" ref="AN4:AY4" si="1">AN5+AN13</f>
        <v>585779.71428571432</v>
      </c>
      <c r="AO4" s="344">
        <f t="shared" si="1"/>
        <v>652640</v>
      </c>
      <c r="AP4" s="344">
        <f t="shared" si="1"/>
        <v>645401.28571428568</v>
      </c>
      <c r="AQ4" s="344">
        <f t="shared" si="1"/>
        <v>617527.42857142852</v>
      </c>
      <c r="AR4" s="344">
        <f>AR5+AR13</f>
        <v>607157</v>
      </c>
      <c r="AS4" s="344">
        <f t="shared" ref="AS4" si="2">AS5+AS13</f>
        <v>771537.71428571432</v>
      </c>
      <c r="AT4" s="344">
        <f t="shared" si="1"/>
        <v>638076.28571428568</v>
      </c>
      <c r="AU4" s="344">
        <f t="shared" si="1"/>
        <v>0</v>
      </c>
      <c r="AV4" s="344">
        <f t="shared" si="1"/>
        <v>0</v>
      </c>
      <c r="AW4" s="344">
        <f t="shared" si="1"/>
        <v>0</v>
      </c>
      <c r="AX4" s="344">
        <f t="shared" si="1"/>
        <v>0</v>
      </c>
      <c r="AY4" s="344">
        <f t="shared" si="1"/>
        <v>5168203.7142857146</v>
      </c>
      <c r="BA4" s="757" t="s">
        <v>48</v>
      </c>
      <c r="BB4" s="757" t="s">
        <v>49</v>
      </c>
      <c r="BC4" s="343" t="s">
        <v>50</v>
      </c>
      <c r="BD4" s="463">
        <f>AM4/V4</f>
        <v>1.3224037198623291</v>
      </c>
      <c r="BE4" s="463">
        <f>AN4/W4</f>
        <v>1.0793721945428705</v>
      </c>
      <c r="BF4" s="463">
        <f t="shared" ref="BF4:BP12" si="3">AO4/X4</f>
        <v>0.98363540712140718</v>
      </c>
      <c r="BG4" s="463">
        <f t="shared" si="3"/>
        <v>0.96762390458983305</v>
      </c>
      <c r="BH4" s="463">
        <f t="shared" si="3"/>
        <v>0.83116290419848637</v>
      </c>
      <c r="BI4" s="463">
        <f t="shared" si="3"/>
        <v>0.87050069707134037</v>
      </c>
      <c r="BJ4" s="463">
        <f t="shared" si="3"/>
        <v>1.1260198809316684</v>
      </c>
      <c r="BK4" s="463">
        <f t="shared" si="3"/>
        <v>0.87659096021164029</v>
      </c>
      <c r="BL4" s="463">
        <f t="shared" si="3"/>
        <v>0</v>
      </c>
      <c r="BM4" s="463">
        <f t="shared" si="3"/>
        <v>0</v>
      </c>
      <c r="BN4" s="463">
        <f t="shared" si="3"/>
        <v>0</v>
      </c>
      <c r="BO4" s="463">
        <f t="shared" si="3"/>
        <v>0</v>
      </c>
      <c r="BP4" s="463">
        <f t="shared" si="3"/>
        <v>0.62950579205398938</v>
      </c>
    </row>
    <row r="5" spans="2:68">
      <c r="B5" s="769"/>
      <c r="C5" s="769"/>
      <c r="D5" s="182" t="s">
        <v>52</v>
      </c>
      <c r="E5" s="341">
        <f>SUM(E6:E12)</f>
        <v>388144</v>
      </c>
      <c r="F5" s="341">
        <f t="shared" ref="F5:Q5" si="4">SUM(F6:F12)</f>
        <v>390088</v>
      </c>
      <c r="G5" s="341">
        <f t="shared" si="4"/>
        <v>549080</v>
      </c>
      <c r="H5" s="341">
        <f t="shared" si="4"/>
        <v>470834</v>
      </c>
      <c r="I5" s="341">
        <f t="shared" si="4"/>
        <v>497400</v>
      </c>
      <c r="J5" s="341">
        <f t="shared" si="4"/>
        <v>466532</v>
      </c>
      <c r="K5" s="341">
        <f t="shared" si="4"/>
        <v>554903</v>
      </c>
      <c r="L5" s="341">
        <f t="shared" si="4"/>
        <v>631397</v>
      </c>
      <c r="M5" s="341">
        <f t="shared" si="4"/>
        <v>563828</v>
      </c>
      <c r="N5" s="341">
        <f t="shared" si="4"/>
        <v>539960</v>
      </c>
      <c r="O5" s="341">
        <f t="shared" si="4"/>
        <v>534952</v>
      </c>
      <c r="P5" s="341">
        <f t="shared" si="4"/>
        <v>628015</v>
      </c>
      <c r="Q5" s="341">
        <f t="shared" si="4"/>
        <v>6215133</v>
      </c>
      <c r="S5" s="769"/>
      <c r="T5" s="769"/>
      <c r="U5" s="182" t="s">
        <v>52</v>
      </c>
      <c r="V5" s="341">
        <v>425822.27317913715</v>
      </c>
      <c r="W5" s="341">
        <v>470206.22528552811</v>
      </c>
      <c r="X5" s="341">
        <v>572833.79185897217</v>
      </c>
      <c r="Y5" s="341" cm="1">
        <f t="array" ref="Y5">INDEX('Research Goals'!$D$7:$D$18, COLUMN()-COLUMN($V$3)+1)</f>
        <v>513271.84218083817</v>
      </c>
      <c r="Z5" s="341" cm="1">
        <f t="array" ref="Z5">INDEX('Research Goals'!$D$7:$D$18, COLUMN()-COLUMN($V$3)+1)</f>
        <v>573036.37174983986</v>
      </c>
      <c r="AA5" s="341" cm="1">
        <f t="array" ref="AA5">INDEX('Research Goals'!$D$7:$D$18, COLUMN()-COLUMN($V$3)+1)</f>
        <v>537617.09907879913</v>
      </c>
      <c r="AB5" s="341" cm="1">
        <f t="array" ref="AB5">INDEX('Research Goals'!$D$7:$D$18, COLUMN()-COLUMN($V$3)+1)</f>
        <v>537083.64229447895</v>
      </c>
      <c r="AC5" s="341" cm="1">
        <f t="array" ref="AC5">INDEX('Research Goals'!$D$7:$D$18, COLUMN()-COLUMN($V$3)+1)</f>
        <v>572833.79185897217</v>
      </c>
      <c r="AD5" s="341" cm="1">
        <f t="array" ref="AD5">INDEX('Research Goals'!$D$7:$D$18, COLUMN()-COLUMN($V$3)+1)</f>
        <v>562489.69006119249</v>
      </c>
      <c r="AE5" s="341" cm="1">
        <f t="array" ref="AE5">INDEX('Research Goals'!$D$7:$D$18, COLUMN()-COLUMN($V$3)+1)</f>
        <v>583143.60836812691</v>
      </c>
      <c r="AF5" s="341" cm="1">
        <f t="array" ref="AF5">INDEX('Research Goals'!$D$7:$D$18, COLUMN()-COLUMN($V$3)+1)</f>
        <v>513388.77572266373</v>
      </c>
      <c r="AG5" s="341" cm="1">
        <f t="array" ref="AG5">INDEX('Research Goals'!$D$7:$D$18, COLUMN()-COLUMN($V$3)+1)</f>
        <v>660130.66870250204</v>
      </c>
      <c r="AH5" s="342">
        <f>SUM(V5:AG5)</f>
        <v>6521857.7803410515</v>
      </c>
      <c r="AJ5" s="757"/>
      <c r="AK5" s="757"/>
      <c r="AL5" s="182" t="s">
        <v>52</v>
      </c>
      <c r="AM5" s="341">
        <f>SUM(AM6:AM12)</f>
        <v>545057</v>
      </c>
      <c r="AN5" s="341">
        <f t="shared" ref="AN5:AY5" si="5">SUM(AN6:AN12)</f>
        <v>495716</v>
      </c>
      <c r="AO5" s="341">
        <f t="shared" si="5"/>
        <v>562891</v>
      </c>
      <c r="AP5" s="341">
        <f t="shared" si="5"/>
        <v>553147</v>
      </c>
      <c r="AQ5" s="341">
        <f t="shared" si="5"/>
        <v>521388</v>
      </c>
      <c r="AR5" s="341">
        <f>SUM(AR6:AR12)</f>
        <v>513704</v>
      </c>
      <c r="AS5" s="341">
        <f t="shared" ref="AS5" si="6">SUM(AS6:AS12)</f>
        <v>671022</v>
      </c>
      <c r="AT5" s="341">
        <f t="shared" si="5"/>
        <v>556483</v>
      </c>
      <c r="AU5" s="341">
        <f t="shared" si="5"/>
        <v>0</v>
      </c>
      <c r="AV5" s="341">
        <f t="shared" si="5"/>
        <v>0</v>
      </c>
      <c r="AW5" s="341">
        <f t="shared" si="5"/>
        <v>0</v>
      </c>
      <c r="AX5" s="341">
        <f t="shared" si="5"/>
        <v>0</v>
      </c>
      <c r="AY5" s="341">
        <f t="shared" si="5"/>
        <v>4419408</v>
      </c>
      <c r="BA5" s="757"/>
      <c r="BB5" s="757"/>
      <c r="BC5" s="182" t="s">
        <v>52</v>
      </c>
      <c r="BD5" s="464">
        <f>AM5/V5</f>
        <v>1.2800105450818036</v>
      </c>
      <c r="BE5" s="464">
        <f t="shared" ref="BE5:BE12" si="7">AN5/W5</f>
        <v>1.0542523117361564</v>
      </c>
      <c r="BF5" s="464">
        <f t="shared" si="3"/>
        <v>0.98264279796290366</v>
      </c>
      <c r="BG5" s="464">
        <f t="shared" si="3"/>
        <v>1.0776881849776456</v>
      </c>
      <c r="BH5" s="464">
        <f t="shared" si="3"/>
        <v>0.90986894672649665</v>
      </c>
      <c r="BI5" s="464">
        <f t="shared" si="3"/>
        <v>0.95552020365465684</v>
      </c>
      <c r="BJ5" s="464">
        <f t="shared" si="3"/>
        <v>1.2493808173589536</v>
      </c>
      <c r="BK5" s="464">
        <f t="shared" si="3"/>
        <v>0.97145630706262942</v>
      </c>
      <c r="BL5" s="464">
        <f t="shared" si="3"/>
        <v>0</v>
      </c>
      <c r="BM5" s="464">
        <f t="shared" si="3"/>
        <v>0</v>
      </c>
      <c r="BN5" s="464">
        <f t="shared" si="3"/>
        <v>0</v>
      </c>
      <c r="BO5" s="464">
        <f t="shared" si="3"/>
        <v>0</v>
      </c>
      <c r="BP5" s="464">
        <f t="shared" si="3"/>
        <v>0.67763023188293037</v>
      </c>
    </row>
    <row r="6" spans="2:68">
      <c r="B6" s="769"/>
      <c r="C6" s="769"/>
      <c r="D6" s="292" t="s">
        <v>99</v>
      </c>
      <c r="E6" s="69">
        <v>60115</v>
      </c>
      <c r="F6" s="69">
        <v>64812</v>
      </c>
      <c r="G6" s="69">
        <v>90339</v>
      </c>
      <c r="H6" s="69">
        <v>77386</v>
      </c>
      <c r="I6" s="69">
        <v>79014</v>
      </c>
      <c r="J6" s="69">
        <v>79838</v>
      </c>
      <c r="K6" s="69">
        <v>96752</v>
      </c>
      <c r="L6" s="69">
        <v>109725</v>
      </c>
      <c r="M6" s="69">
        <v>96465</v>
      </c>
      <c r="N6" s="69">
        <v>93175</v>
      </c>
      <c r="O6" s="69">
        <v>86600</v>
      </c>
      <c r="P6" s="69">
        <v>98684</v>
      </c>
      <c r="Q6" s="69">
        <f>SUM(E6:P6)</f>
        <v>1032905</v>
      </c>
      <c r="S6" s="769"/>
      <c r="T6" s="769"/>
      <c r="U6" s="292" t="s">
        <v>99</v>
      </c>
      <c r="V6" s="69">
        <v>51415.073232155883</v>
      </c>
      <c r="W6" s="69">
        <v>63414.785938891146</v>
      </c>
      <c r="X6" s="69">
        <v>76466.239191051078</v>
      </c>
      <c r="Y6" s="69">
        <f>Y$5*'Region OP Sales Goals'!V16</f>
        <v>46096.659231485384</v>
      </c>
      <c r="Z6" s="69">
        <f>Z$5*'Region OP Sales Goals'!W16</f>
        <v>61952.162314547582</v>
      </c>
      <c r="AA6" s="69">
        <f>AA$5*'Region OP Sales Goals'!X16</f>
        <v>62350.858828073746</v>
      </c>
      <c r="AB6" s="69">
        <f>AB$5*'Region OP Sales Goals'!Y16</f>
        <v>64431.784445183031</v>
      </c>
      <c r="AC6" s="69">
        <f>AC$5*'Region OP Sales Goals'!Z16</f>
        <v>68571.436736020871</v>
      </c>
      <c r="AD6" s="69">
        <f>AD$5*'Region OP Sales Goals'!AA16</f>
        <v>68690.580618782711</v>
      </c>
      <c r="AE6" s="69">
        <f>AE$5*'Region OP Sales Goals'!AB16</f>
        <v>72296.166651487074</v>
      </c>
      <c r="AF6" s="69">
        <f>AF$5*'Region OP Sales Goals'!AC16</f>
        <v>63591.501885052618</v>
      </c>
      <c r="AG6" s="69">
        <f>AG$5*'Region OP Sales Goals'!AD16</f>
        <v>80744.08636224053</v>
      </c>
      <c r="AH6" s="69">
        <f>AH$5*'Region OP Sales Goals'!AE16</f>
        <v>765832.25900460803</v>
      </c>
      <c r="AJ6" s="757"/>
      <c r="AK6" s="757"/>
      <c r="AL6" s="292" t="s">
        <v>99</v>
      </c>
      <c r="AM6" s="69">
        <v>83522</v>
      </c>
      <c r="AN6" s="69">
        <v>80122</v>
      </c>
      <c r="AO6" s="69">
        <v>88809</v>
      </c>
      <c r="AP6" s="69">
        <v>85669</v>
      </c>
      <c r="AQ6" s="69">
        <v>81204</v>
      </c>
      <c r="AR6" s="69">
        <v>82934</v>
      </c>
      <c r="AS6" s="69">
        <v>111959</v>
      </c>
      <c r="AT6" s="69">
        <v>89720</v>
      </c>
      <c r="AU6" s="69"/>
      <c r="AV6" s="69"/>
      <c r="AW6" s="69"/>
      <c r="AX6" s="69"/>
      <c r="AY6" s="69">
        <f>SUM(AM6:AX6)</f>
        <v>703939</v>
      </c>
      <c r="BA6" s="757"/>
      <c r="BB6" s="757"/>
      <c r="BC6" s="292" t="s">
        <v>99</v>
      </c>
      <c r="BD6" s="465">
        <f>AM6/V6</f>
        <v>1.6244652540485713</v>
      </c>
      <c r="BE6" s="465">
        <f t="shared" si="7"/>
        <v>1.2634592834107892</v>
      </c>
      <c r="BF6" s="465">
        <f t="shared" si="3"/>
        <v>1.1614145136405951</v>
      </c>
      <c r="BG6" s="465">
        <f t="shared" si="3"/>
        <v>1.858464396948869</v>
      </c>
      <c r="BH6" s="465">
        <f t="shared" si="3"/>
        <v>1.3107532806959299</v>
      </c>
      <c r="BI6" s="465">
        <f t="shared" si="3"/>
        <v>1.3301180057307984</v>
      </c>
      <c r="BJ6" s="465">
        <f t="shared" si="3"/>
        <v>1.7376361831985569</v>
      </c>
      <c r="BK6" s="465">
        <f t="shared" si="3"/>
        <v>1.3084165108774759</v>
      </c>
      <c r="BL6" s="465">
        <f t="shared" si="3"/>
        <v>0</v>
      </c>
      <c r="BM6" s="465">
        <f t="shared" si="3"/>
        <v>0</v>
      </c>
      <c r="BN6" s="465">
        <f t="shared" si="3"/>
        <v>0</v>
      </c>
      <c r="BO6" s="465">
        <f t="shared" si="3"/>
        <v>0</v>
      </c>
      <c r="BP6" s="465">
        <f>AY6/AH6</f>
        <v>0.91918170294229451</v>
      </c>
    </row>
    <row r="7" spans="2:68">
      <c r="B7" s="769"/>
      <c r="C7" s="769"/>
      <c r="D7" s="292" t="s">
        <v>100</v>
      </c>
      <c r="E7" s="69">
        <v>89651</v>
      </c>
      <c r="F7" s="69">
        <v>90328</v>
      </c>
      <c r="G7" s="69">
        <v>126692</v>
      </c>
      <c r="H7" s="69">
        <v>109825</v>
      </c>
      <c r="I7" s="69">
        <v>117802</v>
      </c>
      <c r="J7" s="69">
        <v>110008</v>
      </c>
      <c r="K7" s="69">
        <v>132194</v>
      </c>
      <c r="L7" s="69">
        <v>148706</v>
      </c>
      <c r="M7" s="69">
        <v>129014</v>
      </c>
      <c r="N7" s="69">
        <v>119754</v>
      </c>
      <c r="O7" s="69">
        <v>108034</v>
      </c>
      <c r="P7" s="69">
        <v>128216</v>
      </c>
      <c r="Q7" s="69">
        <f t="shared" ref="Q7:Q12" si="8">SUM(E7:P7)</f>
        <v>1410224</v>
      </c>
      <c r="S7" s="769"/>
      <c r="T7" s="769"/>
      <c r="U7" s="292" t="s">
        <v>100</v>
      </c>
      <c r="V7" s="69">
        <v>82176.228157377336</v>
      </c>
      <c r="W7" s="69">
        <v>91428.988249963804</v>
      </c>
      <c r="X7" s="69">
        <v>113505.95505353708</v>
      </c>
      <c r="Y7" s="69">
        <f>Y$5*'Region OP Sales Goals'!V17</f>
        <v>111074.2379267895</v>
      </c>
      <c r="Z7" s="69">
        <f>Z$5*'Region OP Sales Goals'!W17</f>
        <v>102943.7021816084</v>
      </c>
      <c r="AA7" s="69">
        <f>AA$5*'Region OP Sales Goals'!X17</f>
        <v>96389.337882175227</v>
      </c>
      <c r="AB7" s="69">
        <f>AB$5*'Region OP Sales Goals'!Y17</f>
        <v>99294.308040168762</v>
      </c>
      <c r="AC7" s="69">
        <f>AC$5*'Region OP Sales Goals'!Z17</f>
        <v>105573.78306215236</v>
      </c>
      <c r="AD7" s="69">
        <f>AD$5*'Region OP Sales Goals'!AA17</f>
        <v>107988.35710408863</v>
      </c>
      <c r="AE7" s="69">
        <f>AE$5*'Region OP Sales Goals'!AB17</f>
        <v>111769.191603891</v>
      </c>
      <c r="AF7" s="69">
        <f>AF$5*'Region OP Sales Goals'!AC17</f>
        <v>98479.036532674523</v>
      </c>
      <c r="AG7" s="69">
        <f>AG$5*'Region OP Sales Goals'!AD17</f>
        <v>126696.82293452437</v>
      </c>
      <c r="AH7" s="69">
        <f>AH$5*'Region OP Sales Goals'!AE17</f>
        <v>1268821.4338886424</v>
      </c>
      <c r="AJ7" s="757"/>
      <c r="AK7" s="757"/>
      <c r="AL7" s="292" t="s">
        <v>100</v>
      </c>
      <c r="AM7" s="69">
        <v>113394</v>
      </c>
      <c r="AN7" s="69">
        <v>102752</v>
      </c>
      <c r="AO7" s="69">
        <v>121714</v>
      </c>
      <c r="AP7" s="69">
        <v>117798</v>
      </c>
      <c r="AQ7" s="69">
        <v>111564</v>
      </c>
      <c r="AR7" s="69">
        <v>109234</v>
      </c>
      <c r="AS7" s="69">
        <v>143347</v>
      </c>
      <c r="AT7" s="69">
        <v>120637</v>
      </c>
      <c r="AU7" s="69"/>
      <c r="AV7" s="69"/>
      <c r="AW7" s="69"/>
      <c r="AX7" s="69"/>
      <c r="AY7" s="69">
        <f t="shared" ref="AY7:AY12" si="9">SUM(AM7:AX7)</f>
        <v>940440</v>
      </c>
      <c r="BA7" s="757"/>
      <c r="BB7" s="757"/>
      <c r="BC7" s="292" t="s">
        <v>100</v>
      </c>
      <c r="BD7" s="465">
        <f t="shared" ref="BD7:BD12" si="10">AM7/V7</f>
        <v>1.3798881080649854</v>
      </c>
      <c r="BE7" s="465">
        <f t="shared" si="7"/>
        <v>1.1238448764092135</v>
      </c>
      <c r="BF7" s="465">
        <f t="shared" si="3"/>
        <v>1.0723137825023494</v>
      </c>
      <c r="BG7" s="465">
        <f t="shared" si="3"/>
        <v>1.0605339473734874</v>
      </c>
      <c r="BH7" s="465">
        <f t="shared" si="3"/>
        <v>1.0837379813986492</v>
      </c>
      <c r="BI7" s="465">
        <f t="shared" si="3"/>
        <v>1.1332581216972968</v>
      </c>
      <c r="BJ7" s="465">
        <f t="shared" si="3"/>
        <v>1.4436577768587708</v>
      </c>
      <c r="BK7" s="465">
        <f t="shared" si="3"/>
        <v>1.1426795223297035</v>
      </c>
      <c r="BL7" s="465">
        <f t="shared" si="3"/>
        <v>0</v>
      </c>
      <c r="BM7" s="465">
        <f t="shared" si="3"/>
        <v>0</v>
      </c>
      <c r="BN7" s="465">
        <f t="shared" si="3"/>
        <v>0</v>
      </c>
      <c r="BO7" s="465">
        <f t="shared" si="3"/>
        <v>0</v>
      </c>
      <c r="BP7" s="465">
        <f t="shared" si="3"/>
        <v>0.74119176653390095</v>
      </c>
    </row>
    <row r="8" spans="2:68">
      <c r="B8" s="769"/>
      <c r="C8" s="769"/>
      <c r="D8" s="292" t="s">
        <v>101</v>
      </c>
      <c r="E8" s="69">
        <v>39360</v>
      </c>
      <c r="F8" s="69">
        <v>37809</v>
      </c>
      <c r="G8" s="69">
        <v>52304</v>
      </c>
      <c r="H8" s="69">
        <v>45060</v>
      </c>
      <c r="I8" s="69">
        <v>48799</v>
      </c>
      <c r="J8" s="69">
        <v>43249</v>
      </c>
      <c r="K8" s="69">
        <v>51205</v>
      </c>
      <c r="L8" s="69">
        <v>58131</v>
      </c>
      <c r="M8" s="69">
        <v>51351</v>
      </c>
      <c r="N8" s="69">
        <v>46957</v>
      </c>
      <c r="O8" s="69">
        <v>50777</v>
      </c>
      <c r="P8" s="69">
        <v>59455</v>
      </c>
      <c r="Q8" s="69">
        <f t="shared" si="8"/>
        <v>584457</v>
      </c>
      <c r="S8" s="769"/>
      <c r="T8" s="769"/>
      <c r="U8" s="292" t="s">
        <v>101</v>
      </c>
      <c r="V8" s="69">
        <v>36473.940839905452</v>
      </c>
      <c r="W8" s="69">
        <v>42336.57583988471</v>
      </c>
      <c r="X8" s="69">
        <v>50388.157617224402</v>
      </c>
      <c r="Y8" s="69">
        <f>Y$5*'Region OP Sales Goals'!V18</f>
        <v>41163.8063985958</v>
      </c>
      <c r="Z8" s="69">
        <f>Z$5*'Region OP Sales Goals'!W18</f>
        <v>45386.509089920939</v>
      </c>
      <c r="AA8" s="69">
        <f>AA$5*'Region OP Sales Goals'!X18</f>
        <v>42627.627974295312</v>
      </c>
      <c r="AB8" s="69">
        <f>AB$5*'Region OP Sales Goals'!Y18</f>
        <v>44445.154426068177</v>
      </c>
      <c r="AC8" s="69">
        <f>AC$5*'Region OP Sales Goals'!Z18</f>
        <v>47868.858158615665</v>
      </c>
      <c r="AD8" s="69">
        <f>AD$5*'Region OP Sales Goals'!AA18</f>
        <v>48236.410071102982</v>
      </c>
      <c r="AE8" s="69">
        <f>AE$5*'Region OP Sales Goals'!AB18</f>
        <v>51408.712842979607</v>
      </c>
      <c r="AF8" s="69">
        <f>AF$5*'Region OP Sales Goals'!AC18</f>
        <v>44811.778639286778</v>
      </c>
      <c r="AG8" s="69">
        <f>AG$5*'Region OP Sales Goals'!AD18</f>
        <v>58119.653695361187</v>
      </c>
      <c r="AH8" s="69">
        <f>AH$5*'Region OP Sales Goals'!AE18</f>
        <v>547448.07947493356</v>
      </c>
      <c r="AJ8" s="757"/>
      <c r="AK8" s="757"/>
      <c r="AL8" s="292" t="s">
        <v>101</v>
      </c>
      <c r="AM8" s="69">
        <v>49113</v>
      </c>
      <c r="AN8" s="69">
        <v>45815</v>
      </c>
      <c r="AO8" s="69">
        <v>50667</v>
      </c>
      <c r="AP8" s="69">
        <v>50404</v>
      </c>
      <c r="AQ8" s="69">
        <v>51383</v>
      </c>
      <c r="AR8" s="69">
        <v>48754</v>
      </c>
      <c r="AS8" s="69">
        <v>62039</v>
      </c>
      <c r="AT8" s="69">
        <v>46802</v>
      </c>
      <c r="AU8" s="69"/>
      <c r="AV8" s="69"/>
      <c r="AW8" s="69"/>
      <c r="AX8" s="69"/>
      <c r="AY8" s="69">
        <f t="shared" si="9"/>
        <v>404977</v>
      </c>
      <c r="BA8" s="757"/>
      <c r="BB8" s="757"/>
      <c r="BC8" s="292" t="s">
        <v>101</v>
      </c>
      <c r="BD8" s="465">
        <f>AM8/V8</f>
        <v>1.3465229933768603</v>
      </c>
      <c r="BE8" s="465">
        <f t="shared" si="7"/>
        <v>1.082161206736949</v>
      </c>
      <c r="BF8" s="465">
        <f t="shared" si="3"/>
        <v>1.0055338872457658</v>
      </c>
      <c r="BG8" s="465">
        <f t="shared" si="3"/>
        <v>1.2244737406431736</v>
      </c>
      <c r="BH8" s="465">
        <f t="shared" si="3"/>
        <v>1.1321205580759397</v>
      </c>
      <c r="BI8" s="465">
        <f t="shared" si="3"/>
        <v>1.1437183422309805</v>
      </c>
      <c r="BJ8" s="465">
        <f t="shared" si="3"/>
        <v>1.3958552017902901</v>
      </c>
      <c r="BK8" s="465">
        <f t="shared" si="3"/>
        <v>0.97771289728531685</v>
      </c>
      <c r="BL8" s="465">
        <f t="shared" si="3"/>
        <v>0</v>
      </c>
      <c r="BM8" s="465">
        <f t="shared" si="3"/>
        <v>0</v>
      </c>
      <c r="BN8" s="465">
        <f t="shared" si="3"/>
        <v>0</v>
      </c>
      <c r="BO8" s="465">
        <f t="shared" si="3"/>
        <v>0</v>
      </c>
      <c r="BP8" s="465">
        <f t="shared" si="3"/>
        <v>0.7397541706391958</v>
      </c>
    </row>
    <row r="9" spans="2:68">
      <c r="B9" s="769"/>
      <c r="C9" s="769"/>
      <c r="D9" s="292" t="s">
        <v>102</v>
      </c>
      <c r="E9" s="69">
        <v>22229</v>
      </c>
      <c r="F9" s="69">
        <v>23360</v>
      </c>
      <c r="G9" s="69">
        <v>31309</v>
      </c>
      <c r="H9" s="69">
        <v>26297</v>
      </c>
      <c r="I9" s="69">
        <v>27004</v>
      </c>
      <c r="J9" s="69">
        <v>26291</v>
      </c>
      <c r="K9" s="69">
        <v>30961</v>
      </c>
      <c r="L9" s="69">
        <v>35952</v>
      </c>
      <c r="M9" s="69">
        <v>31795</v>
      </c>
      <c r="N9" s="69">
        <v>32676</v>
      </c>
      <c r="O9" s="69">
        <v>33700</v>
      </c>
      <c r="P9" s="69">
        <v>38282</v>
      </c>
      <c r="Q9" s="69">
        <f t="shared" si="8"/>
        <v>359856</v>
      </c>
      <c r="S9" s="769"/>
      <c r="T9" s="769"/>
      <c r="U9" s="292" t="s">
        <v>102</v>
      </c>
      <c r="V9" s="69">
        <v>22411.698588375639</v>
      </c>
      <c r="W9" s="69">
        <v>26122.568071418227</v>
      </c>
      <c r="X9" s="69">
        <v>31382.098165113446</v>
      </c>
      <c r="Y9" s="69">
        <f>Y$5*'Region OP Sales Goals'!V19</f>
        <v>25004.460911543731</v>
      </c>
      <c r="Z9" s="69">
        <f>Z$5*'Region OP Sales Goals'!W19</f>
        <v>29497.004976503558</v>
      </c>
      <c r="AA9" s="69">
        <f>AA$5*'Region OP Sales Goals'!X19</f>
        <v>31573.075197379178</v>
      </c>
      <c r="AB9" s="69">
        <f>AB$5*'Region OP Sales Goals'!Y19</f>
        <v>32398.418524135941</v>
      </c>
      <c r="AC9" s="69">
        <f>AC$5*'Region OP Sales Goals'!Z19</f>
        <v>35222.486629431485</v>
      </c>
      <c r="AD9" s="69">
        <f>AD$5*'Region OP Sales Goals'!AA19</f>
        <v>33419.215658610578</v>
      </c>
      <c r="AE9" s="69">
        <f>AE$5*'Region OP Sales Goals'!AB19</f>
        <v>35039.769450190084</v>
      </c>
      <c r="AF9" s="69">
        <f>AF$5*'Region OP Sales Goals'!AC19</f>
        <v>30078.093328584313</v>
      </c>
      <c r="AG9" s="69">
        <f>AG$5*'Region OP Sales Goals'!AD19</f>
        <v>38411.259016657386</v>
      </c>
      <c r="AH9" s="69">
        <f>AH$5*'Region OP Sales Goals'!AE19</f>
        <v>373862.83439918596</v>
      </c>
      <c r="AJ9" s="757"/>
      <c r="AK9" s="757"/>
      <c r="AL9" s="292" t="s">
        <v>102</v>
      </c>
      <c r="AM9" s="69">
        <v>33525</v>
      </c>
      <c r="AN9" s="69">
        <v>31540</v>
      </c>
      <c r="AO9" s="69">
        <v>33211</v>
      </c>
      <c r="AP9" s="69">
        <v>34413</v>
      </c>
      <c r="AQ9" s="69">
        <v>30681</v>
      </c>
      <c r="AR9" s="69">
        <v>31971</v>
      </c>
      <c r="AS9" s="69">
        <v>41623</v>
      </c>
      <c r="AT9" s="69">
        <v>33596</v>
      </c>
      <c r="AU9" s="69"/>
      <c r="AV9" s="69"/>
      <c r="AW9" s="69"/>
      <c r="AX9" s="69"/>
      <c r="AY9" s="69">
        <f t="shared" si="9"/>
        <v>270560</v>
      </c>
      <c r="BA9" s="757"/>
      <c r="BB9" s="757"/>
      <c r="BC9" s="292" t="s">
        <v>102</v>
      </c>
      <c r="BD9" s="465">
        <f>AM9/V9</f>
        <v>1.4958705547373612</v>
      </c>
      <c r="BE9" s="465">
        <f t="shared" si="7"/>
        <v>1.207385120550579</v>
      </c>
      <c r="BF9" s="465">
        <f t="shared" si="3"/>
        <v>1.0582785072324989</v>
      </c>
      <c r="BG9" s="465">
        <f t="shared" si="3"/>
        <v>1.3762744224616599</v>
      </c>
      <c r="BH9" s="465">
        <f t="shared" si="3"/>
        <v>1.0401394997369928</v>
      </c>
      <c r="BI9" s="465">
        <f t="shared" si="3"/>
        <v>1.0126032956920792</v>
      </c>
      <c r="BJ9" s="465">
        <f t="shared" si="3"/>
        <v>1.2847232024301432</v>
      </c>
      <c r="BK9" s="465">
        <f t="shared" si="3"/>
        <v>0.9538224928142236</v>
      </c>
      <c r="BL9" s="465">
        <f t="shared" si="3"/>
        <v>0</v>
      </c>
      <c r="BM9" s="465">
        <f t="shared" si="3"/>
        <v>0</v>
      </c>
      <c r="BN9" s="465">
        <f t="shared" si="3"/>
        <v>0</v>
      </c>
      <c r="BO9" s="465">
        <f t="shared" si="3"/>
        <v>0</v>
      </c>
      <c r="BP9" s="465">
        <f t="shared" si="3"/>
        <v>0.72368787455110861</v>
      </c>
    </row>
    <row r="10" spans="2:68">
      <c r="B10" s="769"/>
      <c r="C10" s="769"/>
      <c r="D10" s="292" t="s">
        <v>103</v>
      </c>
      <c r="E10" s="69">
        <v>50421</v>
      </c>
      <c r="F10" s="69">
        <v>49084</v>
      </c>
      <c r="G10" s="69">
        <v>70537</v>
      </c>
      <c r="H10" s="69">
        <v>63150</v>
      </c>
      <c r="I10" s="69">
        <v>68775</v>
      </c>
      <c r="J10" s="69">
        <v>63986</v>
      </c>
      <c r="K10" s="69">
        <v>73412</v>
      </c>
      <c r="L10" s="69">
        <v>85234</v>
      </c>
      <c r="M10" s="69">
        <v>76275</v>
      </c>
      <c r="N10" s="69">
        <v>76075</v>
      </c>
      <c r="O10" s="69">
        <v>76550</v>
      </c>
      <c r="P10" s="69">
        <v>91388</v>
      </c>
      <c r="Q10" s="69">
        <f t="shared" si="8"/>
        <v>844887</v>
      </c>
      <c r="S10" s="769"/>
      <c r="T10" s="769"/>
      <c r="U10" s="292" t="s">
        <v>103</v>
      </c>
      <c r="V10" s="69">
        <v>55370.078865398638</v>
      </c>
      <c r="W10" s="69">
        <v>60802.529131749332</v>
      </c>
      <c r="X10" s="69">
        <v>72930.228130193223</v>
      </c>
      <c r="Y10" s="69">
        <f>Y$5*'Region OP Sales Goals'!V20</f>
        <v>59109.184807900994</v>
      </c>
      <c r="Z10" s="69">
        <f>Z$5*'Region OP Sales Goals'!W20</f>
        <v>74798.995427523347</v>
      </c>
      <c r="AA10" s="69">
        <f>AA$5*'Region OP Sales Goals'!X20</f>
        <v>67440.724854855289</v>
      </c>
      <c r="AB10" s="69">
        <f>AB$5*'Region OP Sales Goals'!Y20</f>
        <v>66257.047460627306</v>
      </c>
      <c r="AC10" s="69">
        <f>AC$5*'Region OP Sales Goals'!Z20</f>
        <v>70632.326911147175</v>
      </c>
      <c r="AD10" s="69">
        <f>AD$5*'Region OP Sales Goals'!AA20</f>
        <v>69817.975845820169</v>
      </c>
      <c r="AE10" s="69">
        <f>AE$5*'Region OP Sales Goals'!AB20</f>
        <v>72807.696132511759</v>
      </c>
      <c r="AF10" s="69">
        <f>AF$5*'Region OP Sales Goals'!AC20</f>
        <v>64049.543915437156</v>
      </c>
      <c r="AG10" s="69">
        <f>AG$5*'Region OP Sales Goals'!AD20</f>
        <v>82252.381873365826</v>
      </c>
      <c r="AH10" s="69">
        <f>AH$5*'Region OP Sales Goals'!AE20</f>
        <v>805275.72311584547</v>
      </c>
      <c r="AJ10" s="757"/>
      <c r="AK10" s="757"/>
      <c r="AL10" s="292" t="s">
        <v>103</v>
      </c>
      <c r="AM10" s="69">
        <v>76456</v>
      </c>
      <c r="AN10" s="69">
        <v>64910</v>
      </c>
      <c r="AO10" s="69">
        <v>78892</v>
      </c>
      <c r="AP10" s="69">
        <v>78224</v>
      </c>
      <c r="AQ10" s="69">
        <v>73784</v>
      </c>
      <c r="AR10" s="69">
        <v>72868</v>
      </c>
      <c r="AS10" s="69">
        <v>95594</v>
      </c>
      <c r="AT10" s="69">
        <v>77747</v>
      </c>
      <c r="AU10" s="69"/>
      <c r="AV10" s="69"/>
      <c r="AW10" s="69"/>
      <c r="AX10" s="69"/>
      <c r="AY10" s="69">
        <f t="shared" si="9"/>
        <v>618475</v>
      </c>
      <c r="BA10" s="757"/>
      <c r="BB10" s="757"/>
      <c r="BC10" s="292" t="s">
        <v>103</v>
      </c>
      <c r="BD10" s="465">
        <f t="shared" si="10"/>
        <v>1.3808179718482969</v>
      </c>
      <c r="BE10" s="465">
        <f t="shared" si="7"/>
        <v>1.0675542765556747</v>
      </c>
      <c r="BF10" s="465">
        <f t="shared" si="3"/>
        <v>1.0817462391474215</v>
      </c>
      <c r="BG10" s="465">
        <f t="shared" si="3"/>
        <v>1.3233814720033827</v>
      </c>
      <c r="BH10" s="465">
        <f t="shared" si="3"/>
        <v>0.98643036017098884</v>
      </c>
      <c r="BI10" s="465">
        <f t="shared" si="3"/>
        <v>1.0804747451458327</v>
      </c>
      <c r="BJ10" s="465">
        <f t="shared" si="3"/>
        <v>1.4427748241695486</v>
      </c>
      <c r="BK10" s="465">
        <f t="shared" si="3"/>
        <v>1.1007282840589807</v>
      </c>
      <c r="BL10" s="465">
        <f t="shared" si="3"/>
        <v>0</v>
      </c>
      <c r="BM10" s="465">
        <f t="shared" si="3"/>
        <v>0</v>
      </c>
      <c r="BN10" s="465">
        <f t="shared" si="3"/>
        <v>0</v>
      </c>
      <c r="BO10" s="465">
        <f t="shared" si="3"/>
        <v>0</v>
      </c>
      <c r="BP10" s="465">
        <f t="shared" si="3"/>
        <v>0.76802886545112869</v>
      </c>
    </row>
    <row r="11" spans="2:68">
      <c r="B11" s="769"/>
      <c r="C11" s="769"/>
      <c r="D11" s="292" t="s">
        <v>104</v>
      </c>
      <c r="E11" s="69">
        <v>69553</v>
      </c>
      <c r="F11" s="69">
        <v>69236</v>
      </c>
      <c r="G11" s="69">
        <v>99093</v>
      </c>
      <c r="H11" s="69">
        <v>82023</v>
      </c>
      <c r="I11" s="69">
        <v>86230</v>
      </c>
      <c r="J11" s="69">
        <v>78456</v>
      </c>
      <c r="K11" s="69">
        <v>95182</v>
      </c>
      <c r="L11" s="69">
        <v>108165</v>
      </c>
      <c r="M11" s="69">
        <v>97005</v>
      </c>
      <c r="N11" s="69">
        <v>94772</v>
      </c>
      <c r="O11" s="69">
        <v>100850</v>
      </c>
      <c r="P11" s="69">
        <v>122681</v>
      </c>
      <c r="Q11" s="69">
        <f t="shared" si="8"/>
        <v>1103246</v>
      </c>
      <c r="S11" s="769"/>
      <c r="T11" s="769"/>
      <c r="U11" s="292" t="s">
        <v>104</v>
      </c>
      <c r="V11" s="156">
        <v>115134.60843440035</v>
      </c>
      <c r="W11" s="156">
        <v>112687.35399084208</v>
      </c>
      <c r="X11" s="156">
        <v>143296.8482412645</v>
      </c>
      <c r="Y11" s="156">
        <f>Y$5*'Region OP Sales Goals'!V21</f>
        <v>138545.12525477802</v>
      </c>
      <c r="Z11" s="156">
        <f>Z$5*'Region OP Sales Goals'!W21</f>
        <v>158472.44793966808</v>
      </c>
      <c r="AA11" s="156">
        <f>AA$5*'Region OP Sales Goals'!X21</f>
        <v>145936.0024866267</v>
      </c>
      <c r="AB11" s="69">
        <f>AB$5*'Region OP Sales Goals'!Y21</f>
        <v>140819.0416415261</v>
      </c>
      <c r="AC11" s="69">
        <f>AC$5*'Region OP Sales Goals'!Z21</f>
        <v>150444.98278422066</v>
      </c>
      <c r="AD11" s="69">
        <f>AD$5*'Region OP Sales Goals'!AA21</f>
        <v>145272.92782682765</v>
      </c>
      <c r="AE11" s="69">
        <f>AE$5*'Region OP Sales Goals'!AB21</f>
        <v>149537.11828621264</v>
      </c>
      <c r="AF11" s="69">
        <f>AF$5*'Region OP Sales Goals'!AC21</f>
        <v>131610.74339715572</v>
      </c>
      <c r="AG11" s="69">
        <f>AG$5*'Region OP Sales Goals'!AD21</f>
        <v>170437.3927571578</v>
      </c>
      <c r="AH11" s="69">
        <f>AH$5*'Region OP Sales Goals'!AE21</f>
        <v>1681957.7174675518</v>
      </c>
      <c r="AJ11" s="757"/>
      <c r="AK11" s="757"/>
      <c r="AL11" s="292" t="s">
        <v>104</v>
      </c>
      <c r="AM11" s="156">
        <v>107227</v>
      </c>
      <c r="AN11" s="156">
        <v>97717</v>
      </c>
      <c r="AO11" s="156">
        <v>110551</v>
      </c>
      <c r="AP11" s="156">
        <v>106760</v>
      </c>
      <c r="AQ11" s="156">
        <v>99597</v>
      </c>
      <c r="AR11" s="156">
        <v>95728</v>
      </c>
      <c r="AS11" s="156">
        <v>127332</v>
      </c>
      <c r="AT11" s="156">
        <v>110593</v>
      </c>
      <c r="AU11" s="69"/>
      <c r="AV11" s="69"/>
      <c r="AW11" s="69"/>
      <c r="AX11" s="69"/>
      <c r="AY11" s="69">
        <f t="shared" si="9"/>
        <v>855505</v>
      </c>
      <c r="BA11" s="757"/>
      <c r="BB11" s="757"/>
      <c r="BC11" s="292" t="s">
        <v>104</v>
      </c>
      <c r="BD11" s="542">
        <f t="shared" si="10"/>
        <v>0.931318579687481</v>
      </c>
      <c r="BE11" s="542">
        <f t="shared" si="7"/>
        <v>0.86715142861497396</v>
      </c>
      <c r="BF11" s="542">
        <f t="shared" si="3"/>
        <v>0.77148242516729104</v>
      </c>
      <c r="BG11" s="542">
        <f t="shared" si="3"/>
        <v>0.77057925931116911</v>
      </c>
      <c r="BH11" s="542">
        <f t="shared" si="3"/>
        <v>0.62848148870595788</v>
      </c>
      <c r="BI11" s="542">
        <f t="shared" si="3"/>
        <v>0.65595876527296493</v>
      </c>
      <c r="BJ11" s="465">
        <f t="shared" si="3"/>
        <v>0.90422430458048997</v>
      </c>
      <c r="BK11" s="465">
        <f t="shared" si="3"/>
        <v>0.7351059367570979</v>
      </c>
      <c r="BL11" s="465">
        <f t="shared" si="3"/>
        <v>0</v>
      </c>
      <c r="BM11" s="465">
        <f t="shared" si="3"/>
        <v>0</v>
      </c>
      <c r="BN11" s="465">
        <f t="shared" si="3"/>
        <v>0</v>
      </c>
      <c r="BO11" s="465">
        <f t="shared" si="3"/>
        <v>0</v>
      </c>
      <c r="BP11" s="465">
        <f t="shared" si="3"/>
        <v>0.50863644853575474</v>
      </c>
    </row>
    <row r="12" spans="2:68">
      <c r="B12" s="769"/>
      <c r="C12" s="769"/>
      <c r="D12" s="292" t="s">
        <v>105</v>
      </c>
      <c r="E12" s="69">
        <v>56815</v>
      </c>
      <c r="F12" s="69">
        <v>55459</v>
      </c>
      <c r="G12" s="69">
        <v>78806</v>
      </c>
      <c r="H12" s="69">
        <v>67093</v>
      </c>
      <c r="I12" s="69">
        <v>69776</v>
      </c>
      <c r="J12" s="69">
        <v>64704</v>
      </c>
      <c r="K12" s="69">
        <v>75197</v>
      </c>
      <c r="L12" s="69">
        <v>85484</v>
      </c>
      <c r="M12" s="69">
        <v>81923</v>
      </c>
      <c r="N12" s="69">
        <v>76551</v>
      </c>
      <c r="O12" s="69">
        <v>78441</v>
      </c>
      <c r="P12" s="69">
        <v>89309</v>
      </c>
      <c r="Q12" s="69">
        <f t="shared" si="8"/>
        <v>879558</v>
      </c>
      <c r="S12" s="769"/>
      <c r="T12" s="769"/>
      <c r="U12" s="292" t="s">
        <v>105</v>
      </c>
      <c r="V12" s="69">
        <v>62840.64506152385</v>
      </c>
      <c r="W12" s="69">
        <v>73413.424062778824</v>
      </c>
      <c r="X12" s="69">
        <v>84864.26546058846</v>
      </c>
      <c r="Y12" s="69">
        <f>Y$5*'Region OP Sales Goals'!V22</f>
        <v>92278.36764974473</v>
      </c>
      <c r="Z12" s="69">
        <f>Z$5*'Region OP Sales Goals'!W22</f>
        <v>99985.549820067929</v>
      </c>
      <c r="AA12" s="69">
        <f>AA$5*'Region OP Sales Goals'!X22</f>
        <v>91299.471855393698</v>
      </c>
      <c r="AB12" s="69">
        <f>AB$5*'Region OP Sales Goals'!Y22</f>
        <v>89437.887756769647</v>
      </c>
      <c r="AC12" s="69">
        <f>AC$5*'Region OP Sales Goals'!Z22</f>
        <v>94519.917577383967</v>
      </c>
      <c r="AD12" s="69">
        <f>AD$5*'Region OP Sales Goals'!AA22</f>
        <v>89064.222935959755</v>
      </c>
      <c r="AE12" s="69">
        <f>AE$5*'Region OP Sales Goals'!AB22</f>
        <v>90284.953400854749</v>
      </c>
      <c r="AF12" s="69">
        <f>AF$5*'Region OP Sales Goals'!AC22</f>
        <v>80768.07802447259</v>
      </c>
      <c r="AG12" s="69">
        <f>AG$5*'Region OP Sales Goals'!AD22</f>
        <v>103469.07206319492</v>
      </c>
      <c r="AH12" s="69">
        <f>AH$5*'Region OP Sales Goals'!AE22</f>
        <v>1066078.6280582517</v>
      </c>
      <c r="AJ12" s="757"/>
      <c r="AK12" s="757"/>
      <c r="AL12" s="292" t="s">
        <v>105</v>
      </c>
      <c r="AM12" s="69">
        <v>81820</v>
      </c>
      <c r="AN12" s="69">
        <v>72860</v>
      </c>
      <c r="AO12" s="69">
        <v>79047</v>
      </c>
      <c r="AP12" s="69">
        <v>79879</v>
      </c>
      <c r="AQ12" s="69">
        <v>73175</v>
      </c>
      <c r="AR12" s="69">
        <v>72215</v>
      </c>
      <c r="AS12" s="69">
        <v>89128</v>
      </c>
      <c r="AT12" s="69">
        <v>77388</v>
      </c>
      <c r="AU12" s="69"/>
      <c r="AV12" s="69"/>
      <c r="AW12" s="69"/>
      <c r="AX12" s="69"/>
      <c r="AY12" s="69">
        <f t="shared" si="9"/>
        <v>625512</v>
      </c>
      <c r="BA12" s="757"/>
      <c r="BB12" s="757"/>
      <c r="BC12" s="292" t="s">
        <v>105</v>
      </c>
      <c r="BD12" s="465">
        <f t="shared" si="10"/>
        <v>1.3020235537030929</v>
      </c>
      <c r="BE12" s="465">
        <f t="shared" si="7"/>
        <v>0.99246154133465336</v>
      </c>
      <c r="BF12" s="465">
        <f t="shared" si="3"/>
        <v>0.93145212028860325</v>
      </c>
      <c r="BG12" s="465">
        <f t="shared" si="3"/>
        <v>0.86563083022005505</v>
      </c>
      <c r="BH12" s="465">
        <f t="shared" si="3"/>
        <v>0.73185575447336459</v>
      </c>
      <c r="BI12" s="465">
        <f t="shared" si="3"/>
        <v>0.79096843094973235</v>
      </c>
      <c r="BJ12" s="465">
        <f t="shared" si="3"/>
        <v>0.99653516239546713</v>
      </c>
      <c r="BK12" s="465">
        <f t="shared" si="3"/>
        <v>0.81874806901563391</v>
      </c>
      <c r="BL12" s="465">
        <f t="shared" si="3"/>
        <v>0</v>
      </c>
      <c r="BM12" s="465">
        <f t="shared" si="3"/>
        <v>0</v>
      </c>
      <c r="BN12" s="465">
        <f t="shared" si="3"/>
        <v>0</v>
      </c>
      <c r="BO12" s="465">
        <f t="shared" si="3"/>
        <v>0</v>
      </c>
      <c r="BP12" s="465">
        <f t="shared" si="3"/>
        <v>0.58674096219272609</v>
      </c>
    </row>
    <row r="13" spans="2:68">
      <c r="B13" s="769"/>
      <c r="C13" s="769"/>
      <c r="D13" s="182" t="s">
        <v>14</v>
      </c>
      <c r="E13" s="341">
        <f>SUM(E14:E20)</f>
        <v>115591</v>
      </c>
      <c r="F13" s="341">
        <f t="shared" ref="F13:Q13" si="11">SUM(F14:F20)</f>
        <v>115669</v>
      </c>
      <c r="G13" s="341">
        <f t="shared" si="11"/>
        <v>129780</v>
      </c>
      <c r="H13" s="341">
        <f t="shared" si="11"/>
        <v>114625</v>
      </c>
      <c r="I13" s="341">
        <f t="shared" si="11"/>
        <v>113246</v>
      </c>
      <c r="J13" s="341">
        <f t="shared" si="11"/>
        <v>105014</v>
      </c>
      <c r="K13" s="341">
        <f t="shared" si="11"/>
        <v>117471</v>
      </c>
      <c r="L13" s="341">
        <f t="shared" si="11"/>
        <v>120915</v>
      </c>
      <c r="M13" s="341">
        <f t="shared" si="11"/>
        <v>102482</v>
      </c>
      <c r="N13" s="341">
        <f t="shared" si="11"/>
        <v>109572</v>
      </c>
      <c r="O13" s="341">
        <f t="shared" si="11"/>
        <v>116453</v>
      </c>
      <c r="P13" s="341">
        <f t="shared" si="11"/>
        <v>117558</v>
      </c>
      <c r="Q13" s="341">
        <f t="shared" si="11"/>
        <v>1378376</v>
      </c>
      <c r="S13" s="769"/>
      <c r="T13" s="769"/>
      <c r="U13" s="182" t="s">
        <v>14</v>
      </c>
      <c r="V13" s="341">
        <v>65770.631430934358</v>
      </c>
      <c r="W13" s="341">
        <v>72497.873678036878</v>
      </c>
      <c r="X13" s="341">
        <v>90664.080701288985</v>
      </c>
      <c r="Y13" s="341" cm="1">
        <f t="array" ref="Y13">INDEX('Research Goals'!$F$7:$F$18, COLUMN()-COLUMN($V$3)+1)</f>
        <v>153724.17006409017</v>
      </c>
      <c r="Z13" s="341" cm="1">
        <f t="array" ref="Z13">INDEX('Research Goals'!$F$7:$F$18, COLUMN()-COLUMN($V$3)+1)</f>
        <v>169931.61377031216</v>
      </c>
      <c r="AA13" s="341" cm="1">
        <f t="array" ref="AA13">INDEX('Research Goals'!$F$7:$F$18, COLUMN()-COLUMN($V$3)+1)</f>
        <v>159863.10058408699</v>
      </c>
      <c r="AB13" s="341" cm="1">
        <f t="array" ref="AB13">INDEX('Research Goals'!$F$7:$F$18, COLUMN()-COLUMN($V$3)+1)</f>
        <v>148106.49275655078</v>
      </c>
      <c r="AC13" s="341" cm="1">
        <f t="array" ref="AC13">INDEX('Research Goals'!$F$7:$F$18, COLUMN()-COLUMN($V$3)+1)</f>
        <v>155072.74000878894</v>
      </c>
      <c r="AD13" s="341" cm="1">
        <f t="array" ref="AD13">INDEX('Research Goals'!$F$7:$F$18, COLUMN()-COLUMN($V$3)+1)</f>
        <v>169342.49708258713</v>
      </c>
      <c r="AE13" s="341" cm="1">
        <f t="array" ref="AE13">INDEX('Research Goals'!$F$7:$F$18, COLUMN()-COLUMN($V$3)+1)</f>
        <v>176547.13679575775</v>
      </c>
      <c r="AF13" s="341" cm="1">
        <f t="array" ref="AF13">INDEX('Research Goals'!$F$7:$F$18, COLUMN()-COLUMN($V$3)+1)</f>
        <v>143421.93576844948</v>
      </c>
      <c r="AG13" s="341" cm="1">
        <f t="array" ref="AG13">INDEX('Research Goals'!$F$7:$F$18, COLUMN()-COLUMN($V$3)+1)</f>
        <v>183138.25024254841</v>
      </c>
      <c r="AH13" s="342">
        <f>SUM(V13:AG13)</f>
        <v>1688080.522883432</v>
      </c>
      <c r="AJ13" s="757"/>
      <c r="AK13" s="757"/>
      <c r="AL13" s="182" t="s">
        <v>14</v>
      </c>
      <c r="AM13" s="341">
        <f>SUM(AM14:AM20)</f>
        <v>105027.2857142857</v>
      </c>
      <c r="AN13" s="341">
        <f t="shared" ref="AN13:AY13" si="12">SUM(AN14:AN20)</f>
        <v>90063.71428571429</v>
      </c>
      <c r="AO13" s="341">
        <f t="shared" si="12"/>
        <v>89749</v>
      </c>
      <c r="AP13" s="341">
        <f t="shared" si="12"/>
        <v>92254.285714285725</v>
      </c>
      <c r="AQ13" s="341">
        <f t="shared" si="12"/>
        <v>96139.428571428551</v>
      </c>
      <c r="AR13" s="341">
        <f t="shared" si="12"/>
        <v>93453</v>
      </c>
      <c r="AS13" s="341">
        <f t="shared" si="12"/>
        <v>100515.71428571429</v>
      </c>
      <c r="AT13" s="341">
        <f t="shared" si="12"/>
        <v>81593.28571428571</v>
      </c>
      <c r="AU13" s="341">
        <f t="shared" si="12"/>
        <v>0</v>
      </c>
      <c r="AV13" s="341">
        <f t="shared" si="12"/>
        <v>0</v>
      </c>
      <c r="AW13" s="341">
        <f t="shared" si="12"/>
        <v>0</v>
      </c>
      <c r="AX13" s="341">
        <f t="shared" si="12"/>
        <v>0</v>
      </c>
      <c r="AY13" s="341">
        <f t="shared" si="12"/>
        <v>748795.7142857142</v>
      </c>
      <c r="BA13" s="757"/>
      <c r="BB13" s="757"/>
      <c r="BC13" s="182" t="s">
        <v>14</v>
      </c>
      <c r="BD13" s="464">
        <f>AM13/V13</f>
        <v>1.5968720906165343</v>
      </c>
      <c r="BE13" s="464">
        <f t="shared" ref="BE13:BE20" si="13">AN13/W13</f>
        <v>1.2422945628127982</v>
      </c>
      <c r="BF13" s="464">
        <f t="shared" ref="BF13:BF29" si="14">AO13/X13</f>
        <v>0.98990691027570332</v>
      </c>
      <c r="BG13" s="464">
        <f t="shared" ref="BG13:BG29" si="15">AP13/Y13</f>
        <v>0.60012869593521545</v>
      </c>
      <c r="BH13" s="464">
        <f t="shared" ref="BH13:BH29" si="16">AQ13/Z13</f>
        <v>0.56575363723300642</v>
      </c>
      <c r="BI13" s="464">
        <f t="shared" ref="BI13:BI29" si="17">AR13/AA13</f>
        <v>0.58458143035230514</v>
      </c>
      <c r="BJ13" s="464">
        <f t="shared" ref="BJ13:BJ29" si="18">AS13/AB13</f>
        <v>0.6786718962479007</v>
      </c>
      <c r="BK13" s="464">
        <f t="shared" ref="BK13:BK29" si="19">AT13/AC13</f>
        <v>0.52616137246082906</v>
      </c>
      <c r="BL13" s="464">
        <f t="shared" ref="BL13:BL29" si="20">AU13/AD13</f>
        <v>0</v>
      </c>
      <c r="BM13" s="464">
        <f t="shared" ref="BM13:BM29" si="21">AV13/AE13</f>
        <v>0</v>
      </c>
      <c r="BN13" s="464">
        <f t="shared" ref="BN13:BN29" si="22">AW13/AF13</f>
        <v>0</v>
      </c>
      <c r="BO13" s="464">
        <f t="shared" ref="BO13:BO29" si="23">AX13/AG13</f>
        <v>0</v>
      </c>
      <c r="BP13" s="464">
        <f t="shared" ref="BP13" si="24">AY13/AH13</f>
        <v>0.44357819673595111</v>
      </c>
    </row>
    <row r="14" spans="2:68">
      <c r="B14" s="769"/>
      <c r="C14" s="769"/>
      <c r="D14" s="292" t="s">
        <v>99</v>
      </c>
      <c r="E14" s="69">
        <f>SUM(E59,E104,E149,E194,E239,E284,E329,E374)</f>
        <v>18528</v>
      </c>
      <c r="F14" s="69">
        <f t="shared" ref="F14:P14" si="25">SUM(F59,F104,F149,F194,F239,F284,F329,F374)</f>
        <v>19270</v>
      </c>
      <c r="G14" s="69">
        <f t="shared" si="25"/>
        <v>21911</v>
      </c>
      <c r="H14" s="69">
        <f t="shared" si="25"/>
        <v>18568</v>
      </c>
      <c r="I14" s="69">
        <f t="shared" si="25"/>
        <v>16926</v>
      </c>
      <c r="J14" s="69">
        <f t="shared" si="25"/>
        <v>14482</v>
      </c>
      <c r="K14" s="69">
        <f t="shared" si="25"/>
        <v>17084</v>
      </c>
      <c r="L14" s="69">
        <f t="shared" si="25"/>
        <v>17595</v>
      </c>
      <c r="M14" s="69">
        <f t="shared" si="25"/>
        <v>14958</v>
      </c>
      <c r="N14" s="69">
        <f t="shared" si="25"/>
        <v>17382</v>
      </c>
      <c r="O14" s="69">
        <f t="shared" si="25"/>
        <v>17845</v>
      </c>
      <c r="P14" s="69">
        <f t="shared" si="25"/>
        <v>17691</v>
      </c>
      <c r="Q14" s="69">
        <f>SUM(E14:P14)</f>
        <v>212240</v>
      </c>
      <c r="S14" s="769"/>
      <c r="T14" s="769"/>
      <c r="U14" s="292" t="s">
        <v>99</v>
      </c>
      <c r="V14" s="508">
        <v>7941.3455907320131</v>
      </c>
      <c r="W14" s="508">
        <v>9777.4910094517163</v>
      </c>
      <c r="X14" s="508">
        <v>12102.535463983793</v>
      </c>
      <c r="Y14" s="69">
        <f>Y$13*'Region OP Sales Goals'!V16</f>
        <v>13805.882381895091</v>
      </c>
      <c r="Z14" s="69">
        <f>Z$13*'Region OP Sales Goals'!W16</f>
        <v>18371.662668678291</v>
      </c>
      <c r="AA14" s="69">
        <f>AA$13*'Region OP Sales Goals'!X16</f>
        <v>18540.335925728432</v>
      </c>
      <c r="AB14" s="69">
        <f>AB$13*'Region OP Sales Goals'!Y16</f>
        <v>17767.745775042455</v>
      </c>
      <c r="AC14" s="69">
        <f>AC$13*'Region OP Sales Goals'!Z16</f>
        <v>18563.08187840286</v>
      </c>
      <c r="AD14" s="69">
        <f>AD$13*'Region OP Sales Goals'!AA16</f>
        <v>20679.906945089024</v>
      </c>
      <c r="AE14" s="69">
        <f>AE$13*'Region OP Sales Goals'!AB16</f>
        <v>21887.715205088094</v>
      </c>
      <c r="AF14" s="69">
        <f>AF$13*'Region OP Sales Goals'!AC16</f>
        <v>17765.126021578944</v>
      </c>
      <c r="AG14" s="69">
        <f>AG$13*'Region OP Sales Goals'!AD16</f>
        <v>22400.611568128923</v>
      </c>
      <c r="AH14" s="69">
        <f>AH$13*'Region OP Sales Goals'!AE16</f>
        <v>198223.66015376284</v>
      </c>
      <c r="AJ14" s="757"/>
      <c r="AK14" s="757"/>
      <c r="AL14" s="292" t="s">
        <v>99</v>
      </c>
      <c r="AM14" s="69">
        <f t="shared" ref="AM14:AS20" si="26">SUM(AM59,AM104,AM149,AM194,AM239,AM284,AM329,AM374)</f>
        <v>16364.142857142857</v>
      </c>
      <c r="AN14" s="69">
        <f t="shared" si="26"/>
        <v>13954.428571428572</v>
      </c>
      <c r="AO14" s="156">
        <f t="shared" si="26"/>
        <v>13595</v>
      </c>
      <c r="AP14" s="156">
        <f t="shared" si="26"/>
        <v>14798.000000000002</v>
      </c>
      <c r="AQ14" s="156">
        <f t="shared" si="26"/>
        <v>14327.999999999998</v>
      </c>
      <c r="AR14" s="156">
        <f t="shared" si="26"/>
        <v>14156.857142857143</v>
      </c>
      <c r="AS14" s="156">
        <f t="shared" si="26"/>
        <v>15873.142857142857</v>
      </c>
      <c r="AT14" s="156">
        <f t="shared" ref="AT14" si="27">SUM(AT59,AT104,AT149,AT194,AT239,AT284,AT329,AT374)</f>
        <v>11961</v>
      </c>
      <c r="AU14" s="69"/>
      <c r="AV14" s="69"/>
      <c r="AW14" s="69"/>
      <c r="AX14" s="69"/>
      <c r="AY14" s="69">
        <f>SUM(AM14:AX14)</f>
        <v>115030.57142857142</v>
      </c>
      <c r="BA14" s="757"/>
      <c r="BB14" s="757"/>
      <c r="BC14" s="292" t="s">
        <v>99</v>
      </c>
      <c r="BD14" s="465">
        <f>AM14/V14</f>
        <v>2.0606259569210428</v>
      </c>
      <c r="BE14" s="465">
        <f t="shared" si="13"/>
        <v>1.4271993252603443</v>
      </c>
      <c r="BF14" s="465">
        <f t="shared" si="14"/>
        <v>1.1233183361005357</v>
      </c>
      <c r="BG14" s="465">
        <f t="shared" si="15"/>
        <v>1.0718619491794283</v>
      </c>
      <c r="BH14" s="465">
        <f t="shared" si="16"/>
        <v>0.77989674959728583</v>
      </c>
      <c r="BI14" s="465">
        <f t="shared" si="17"/>
        <v>0.76357069254671195</v>
      </c>
      <c r="BJ14" s="465">
        <f t="shared" si="18"/>
        <v>0.89336841364756236</v>
      </c>
      <c r="BK14" s="465">
        <f t="shared" si="19"/>
        <v>0.64434343813976147</v>
      </c>
      <c r="BL14" s="465">
        <f t="shared" si="20"/>
        <v>0</v>
      </c>
      <c r="BM14" s="465">
        <f t="shared" si="21"/>
        <v>0</v>
      </c>
      <c r="BN14" s="465">
        <f t="shared" si="22"/>
        <v>0</v>
      </c>
      <c r="BO14" s="465">
        <f t="shared" si="23"/>
        <v>0</v>
      </c>
      <c r="BP14" s="465">
        <f>AY14/AH14</f>
        <v>0.58030696910420165</v>
      </c>
    </row>
    <row r="15" spans="2:68">
      <c r="B15" s="769"/>
      <c r="C15" s="769"/>
      <c r="D15" s="292" t="s">
        <v>100</v>
      </c>
      <c r="E15" s="69">
        <f t="shared" ref="E15:P20" si="28">SUM(E60,E105,E150,E195,E240,E285,E330,E375)</f>
        <v>11790</v>
      </c>
      <c r="F15" s="69">
        <f t="shared" si="28"/>
        <v>11855</v>
      </c>
      <c r="G15" s="69">
        <f t="shared" si="28"/>
        <v>13969</v>
      </c>
      <c r="H15" s="69">
        <f t="shared" si="28"/>
        <v>13467</v>
      </c>
      <c r="I15" s="69">
        <f t="shared" si="28"/>
        <v>13848</v>
      </c>
      <c r="J15" s="69">
        <f t="shared" si="28"/>
        <v>13341</v>
      </c>
      <c r="K15" s="69">
        <f t="shared" si="28"/>
        <v>14901</v>
      </c>
      <c r="L15" s="69">
        <f t="shared" si="28"/>
        <v>13862</v>
      </c>
      <c r="M15" s="69">
        <f t="shared" si="28"/>
        <v>12332</v>
      </c>
      <c r="N15" s="69">
        <f t="shared" si="28"/>
        <v>13347</v>
      </c>
      <c r="O15" s="69">
        <f t="shared" si="28"/>
        <v>14677</v>
      </c>
      <c r="P15" s="69">
        <f t="shared" si="28"/>
        <v>13112</v>
      </c>
      <c r="Q15" s="69">
        <f t="shared" ref="Q15:Q20" si="29">SUM(E15:P15)</f>
        <v>160501</v>
      </c>
      <c r="S15" s="769"/>
      <c r="T15" s="769"/>
      <c r="U15" s="292" t="s">
        <v>100</v>
      </c>
      <c r="V15" s="508">
        <v>12692.577995443471</v>
      </c>
      <c r="W15" s="508">
        <v>14096.808770729393</v>
      </c>
      <c r="X15" s="508">
        <v>17964.919694514669</v>
      </c>
      <c r="Y15" s="69">
        <f>Y$13*'Region OP Sales Goals'!V17</f>
        <v>33266.572676669719</v>
      </c>
      <c r="Z15" s="69">
        <f>Z$13*'Region OP Sales Goals'!W17</f>
        <v>30527.537695020681</v>
      </c>
      <c r="AA15" s="69">
        <f>AA$13*'Region OP Sales Goals'!X17</f>
        <v>28661.845844365889</v>
      </c>
      <c r="AB15" s="69">
        <f>AB$13*'Region OP Sales Goals'!Y17</f>
        <v>27381.455245391207</v>
      </c>
      <c r="AC15" s="69">
        <f>AC$13*'Region OP Sales Goals'!Z17</f>
        <v>28580.045460327907</v>
      </c>
      <c r="AD15" s="69">
        <f>AD$13*'Region OP Sales Goals'!AA17</f>
        <v>32510.850191517442</v>
      </c>
      <c r="AE15" s="69">
        <f>AE$13*'Region OP Sales Goals'!AB17</f>
        <v>33838.201219186907</v>
      </c>
      <c r="AF15" s="69">
        <f>AF$13*'Region OP Sales Goals'!AC17</f>
        <v>27511.419649263913</v>
      </c>
      <c r="AG15" s="69">
        <f>AG$13*'Region OP Sales Goals'!AD17</f>
        <v>35149.153892705406</v>
      </c>
      <c r="AH15" s="69">
        <f>AH$13*'Region OP Sales Goals'!AE17</f>
        <v>328414.51342602557</v>
      </c>
      <c r="AJ15" s="757"/>
      <c r="AK15" s="757"/>
      <c r="AL15" s="292" t="s">
        <v>100</v>
      </c>
      <c r="AM15" s="69">
        <f t="shared" ref="AM15:AN15" si="30">SUM(AM60,AM105,AM150,AM195,AM240,AM285,AM330,AM375)</f>
        <v>12457.571428571428</v>
      </c>
      <c r="AN15" s="69">
        <f t="shared" si="30"/>
        <v>10696</v>
      </c>
      <c r="AO15" s="156">
        <f t="shared" si="26"/>
        <v>12257</v>
      </c>
      <c r="AP15" s="156">
        <f t="shared" si="26"/>
        <v>13569.285714285714</v>
      </c>
      <c r="AQ15" s="156">
        <f t="shared" si="26"/>
        <v>12497.714285714286</v>
      </c>
      <c r="AR15" s="156">
        <f t="shared" si="26"/>
        <v>11625</v>
      </c>
      <c r="AS15" s="156">
        <f t="shared" si="26"/>
        <v>14435.285714285714</v>
      </c>
      <c r="AT15" s="156">
        <f t="shared" ref="AT15" si="31">SUM(AT60,AT105,AT150,AT195,AT240,AT285,AT330,AT375)</f>
        <v>11147.714285714286</v>
      </c>
      <c r="AU15" s="69"/>
      <c r="AV15" s="69"/>
      <c r="AW15" s="69"/>
      <c r="AX15" s="69"/>
      <c r="AY15" s="69">
        <f t="shared" ref="AY15:AY20" si="32">SUM(AM15:AX15)</f>
        <v>98685.571428571435</v>
      </c>
      <c r="BA15" s="757"/>
      <c r="BB15" s="757"/>
      <c r="BC15" s="292" t="s">
        <v>100</v>
      </c>
      <c r="BD15" s="465">
        <f t="shared" ref="BD15:BD20" si="33">AM15/V15</f>
        <v>0.98148472540752485</v>
      </c>
      <c r="BE15" s="465">
        <f t="shared" si="13"/>
        <v>0.75875328763834615</v>
      </c>
      <c r="BF15" s="465">
        <f t="shared" si="14"/>
        <v>0.68227413249960145</v>
      </c>
      <c r="BG15" s="465">
        <f t="shared" si="15"/>
        <v>0.40789551259670431</v>
      </c>
      <c r="BH15" s="465">
        <f t="shared" si="16"/>
        <v>0.40939149467507746</v>
      </c>
      <c r="BI15" s="465">
        <f t="shared" si="17"/>
        <v>0.40559146340831875</v>
      </c>
      <c r="BJ15" s="465">
        <f t="shared" si="18"/>
        <v>0.52719205699322469</v>
      </c>
      <c r="BK15" s="465">
        <f t="shared" si="19"/>
        <v>0.3900523636741054</v>
      </c>
      <c r="BL15" s="465">
        <f t="shared" si="20"/>
        <v>0</v>
      </c>
      <c r="BM15" s="465">
        <f t="shared" si="21"/>
        <v>0</v>
      </c>
      <c r="BN15" s="465">
        <f t="shared" si="22"/>
        <v>0</v>
      </c>
      <c r="BO15" s="465">
        <f t="shared" si="23"/>
        <v>0</v>
      </c>
      <c r="BP15" s="465">
        <f t="shared" ref="BP15:BP22" si="34">AY15/AH15</f>
        <v>0.30049089609068108</v>
      </c>
    </row>
    <row r="16" spans="2:68" ht="16" customHeight="1">
      <c r="B16" s="769"/>
      <c r="C16" s="769"/>
      <c r="D16" s="292" t="s">
        <v>101</v>
      </c>
      <c r="E16" s="69">
        <f t="shared" si="28"/>
        <v>10643</v>
      </c>
      <c r="F16" s="69">
        <f t="shared" si="28"/>
        <v>10251</v>
      </c>
      <c r="G16" s="69">
        <f t="shared" si="28"/>
        <v>10549</v>
      </c>
      <c r="H16" s="69">
        <f t="shared" si="28"/>
        <v>9918</v>
      </c>
      <c r="I16" s="69">
        <f t="shared" si="28"/>
        <v>10898</v>
      </c>
      <c r="J16" s="69">
        <f t="shared" si="28"/>
        <v>11712</v>
      </c>
      <c r="K16" s="69">
        <f t="shared" si="28"/>
        <v>11647</v>
      </c>
      <c r="L16" s="69">
        <f t="shared" si="28"/>
        <v>9819</v>
      </c>
      <c r="M16" s="69">
        <f t="shared" si="28"/>
        <v>8472</v>
      </c>
      <c r="N16" s="69">
        <f t="shared" si="28"/>
        <v>9474</v>
      </c>
      <c r="O16" s="69">
        <f t="shared" si="28"/>
        <v>10346</v>
      </c>
      <c r="P16" s="69">
        <f t="shared" si="28"/>
        <v>10889</v>
      </c>
      <c r="Q16" s="69">
        <f t="shared" si="29"/>
        <v>124618</v>
      </c>
      <c r="S16" s="769"/>
      <c r="T16" s="769"/>
      <c r="U16" s="292" t="s">
        <v>101</v>
      </c>
      <c r="V16" s="508">
        <v>5633.6041370150169</v>
      </c>
      <c r="W16" s="508">
        <v>6527.5863273328223</v>
      </c>
      <c r="X16" s="508">
        <v>7975.0811727985683</v>
      </c>
      <c r="Y16" s="69">
        <f>Y$13*'Region OP Sales Goals'!V18</f>
        <v>12328.500134386022</v>
      </c>
      <c r="Z16" s="69">
        <f>Z$13*'Region OP Sales Goals'!W18</f>
        <v>13459.185338445077</v>
      </c>
      <c r="AA16" s="69">
        <f>AA$13*'Region OP Sales Goals'!X18</f>
        <v>12675.535785957192</v>
      </c>
      <c r="AB16" s="69">
        <f>AB$13*'Region OP Sales Goals'!Y18</f>
        <v>12256.221235758747</v>
      </c>
      <c r="AC16" s="69">
        <f>AC$13*'Region OP Sales Goals'!Z18</f>
        <v>12958.654152819485</v>
      </c>
      <c r="AD16" s="69">
        <f>AD$13*'Region OP Sales Goals'!AA18</f>
        <v>14521.997960267674</v>
      </c>
      <c r="AE16" s="69">
        <f>AE$13*'Region OP Sales Goals'!AB18</f>
        <v>15564.023901731274</v>
      </c>
      <c r="AF16" s="69">
        <f>AF$13*'Region OP Sales Goals'!AC18</f>
        <v>12518.762274510013</v>
      </c>
      <c r="AG16" s="69">
        <f>AG$13*'Region OP Sales Goals'!AD18</f>
        <v>16123.97694443153</v>
      </c>
      <c r="AH16" s="69">
        <f>AH$13*'Region OP Sales Goals'!AE18</f>
        <v>141698.34292265875</v>
      </c>
      <c r="AJ16" s="757"/>
      <c r="AK16" s="757"/>
      <c r="AL16" s="292" t="s">
        <v>101</v>
      </c>
      <c r="AM16" s="69">
        <f t="shared" ref="AM16:AN16" si="35">SUM(AM61,AM106,AM151,AM196,AM241,AM286,AM331,AM376)</f>
        <v>7868.1428571428578</v>
      </c>
      <c r="AN16" s="69">
        <f t="shared" si="35"/>
        <v>7715.857142857144</v>
      </c>
      <c r="AO16" s="156">
        <f t="shared" si="26"/>
        <v>7135</v>
      </c>
      <c r="AP16" s="156">
        <f>SUM(AP61,AP106,AP151,AP196,AP241,AP286,AP331,AP376)</f>
        <v>6819.5714285714284</v>
      </c>
      <c r="AQ16" s="156">
        <f>SUM(AQ61,AQ106,AQ151,AQ196,AQ241,AQ286,AQ331,AQ376)</f>
        <v>8745.4285714285725</v>
      </c>
      <c r="AR16" s="156">
        <f>SUM(AR61,AR106,AR151,AR196,AR241,AR286,AR331,AR376)</f>
        <v>8805.2857142857138</v>
      </c>
      <c r="AS16" s="156">
        <f>SUM(AS61,AS106,AS151,AS196,AS241,AS286,AS331,AS376)</f>
        <v>9977.4285714285725</v>
      </c>
      <c r="AT16" s="156">
        <f>SUM(AT61,AT106,AT151,AT196,AT241,AT286,AT331,AT376)</f>
        <v>8275.2857142857138</v>
      </c>
      <c r="AU16" s="69"/>
      <c r="AV16" s="69"/>
      <c r="AW16" s="69"/>
      <c r="AX16" s="69"/>
      <c r="AY16" s="69">
        <f t="shared" si="32"/>
        <v>65342</v>
      </c>
      <c r="BA16" s="757"/>
      <c r="BB16" s="757"/>
      <c r="BC16" s="292" t="s">
        <v>101</v>
      </c>
      <c r="BD16" s="465">
        <f t="shared" si="33"/>
        <v>1.3966446107645432</v>
      </c>
      <c r="BE16" s="465">
        <f t="shared" si="13"/>
        <v>1.1820383149202793</v>
      </c>
      <c r="BF16" s="465">
        <f t="shared" si="14"/>
        <v>0.89466174016335787</v>
      </c>
      <c r="BG16" s="465">
        <f t="shared" si="15"/>
        <v>0.5531549948684048</v>
      </c>
      <c r="BH16" s="465">
        <f t="shared" si="16"/>
        <v>0.64977399088546328</v>
      </c>
      <c r="BI16" s="465">
        <f t="shared" si="17"/>
        <v>0.69466773341769106</v>
      </c>
      <c r="BJ16" s="465">
        <f t="shared" si="18"/>
        <v>0.81407053442527866</v>
      </c>
      <c r="BK16" s="465">
        <f t="shared" si="19"/>
        <v>0.63859144759143183</v>
      </c>
      <c r="BL16" s="465">
        <f t="shared" si="20"/>
        <v>0</v>
      </c>
      <c r="BM16" s="465">
        <f t="shared" si="21"/>
        <v>0</v>
      </c>
      <c r="BN16" s="465">
        <f t="shared" si="22"/>
        <v>0</v>
      </c>
      <c r="BO16" s="465">
        <f t="shared" si="23"/>
        <v>0</v>
      </c>
      <c r="BP16" s="465">
        <f t="shared" si="34"/>
        <v>0.46113453871274079</v>
      </c>
    </row>
    <row r="17" spans="2:68" ht="16" customHeight="1">
      <c r="B17" s="769"/>
      <c r="C17" s="769"/>
      <c r="D17" s="292" t="s">
        <v>102</v>
      </c>
      <c r="E17" s="69">
        <f t="shared" si="28"/>
        <v>7690</v>
      </c>
      <c r="F17" s="69">
        <f t="shared" si="28"/>
        <v>7862</v>
      </c>
      <c r="G17" s="69">
        <f t="shared" si="28"/>
        <v>8724</v>
      </c>
      <c r="H17" s="69">
        <f t="shared" si="28"/>
        <v>7246</v>
      </c>
      <c r="I17" s="69">
        <f t="shared" si="28"/>
        <v>6542</v>
      </c>
      <c r="J17" s="69">
        <f t="shared" si="28"/>
        <v>6068</v>
      </c>
      <c r="K17" s="69">
        <f t="shared" si="28"/>
        <v>6895</v>
      </c>
      <c r="L17" s="69">
        <f t="shared" si="28"/>
        <v>7461</v>
      </c>
      <c r="M17" s="69">
        <f t="shared" si="28"/>
        <v>6086</v>
      </c>
      <c r="N17" s="69">
        <f t="shared" si="28"/>
        <v>6931</v>
      </c>
      <c r="O17" s="69">
        <f t="shared" si="28"/>
        <v>7775</v>
      </c>
      <c r="P17" s="69">
        <f t="shared" si="28"/>
        <v>7104</v>
      </c>
      <c r="Q17" s="69">
        <f t="shared" si="29"/>
        <v>86384</v>
      </c>
      <c r="S17" s="769"/>
      <c r="T17" s="769"/>
      <c r="U17" s="292" t="s">
        <v>102</v>
      </c>
      <c r="V17" s="508">
        <v>3461.6121805754924</v>
      </c>
      <c r="W17" s="508">
        <v>4027.6596487798265</v>
      </c>
      <c r="X17" s="508">
        <v>4966.9365199008625</v>
      </c>
      <c r="Y17" s="69">
        <f>Y$13*'Region OP Sales Goals'!V19</f>
        <v>7488.7996684080381</v>
      </c>
      <c r="Z17" s="69">
        <f>Z$13*'Region OP Sales Goals'!W19</f>
        <v>8747.2172869968945</v>
      </c>
      <c r="AA17" s="69">
        <f>AA$13*'Region OP Sales Goals'!X19</f>
        <v>9388.4099011660546</v>
      </c>
      <c r="AB17" s="69">
        <f>AB$13*'Region OP Sales Goals'!Y19</f>
        <v>8934.2064449576083</v>
      </c>
      <c r="AC17" s="69">
        <f>AC$13*'Region OP Sales Goals'!Z19</f>
        <v>9535.1349539337116</v>
      </c>
      <c r="AD17" s="69">
        <f>AD$13*'Region OP Sales Goals'!AA19</f>
        <v>10061.1505066963</v>
      </c>
      <c r="AE17" s="69">
        <f>AE$13*'Region OP Sales Goals'!AB19</f>
        <v>10608.314798692461</v>
      </c>
      <c r="AF17" s="69">
        <f>AF$13*'Region OP Sales Goals'!AC19</f>
        <v>8402.7126680697529</v>
      </c>
      <c r="AG17" s="69">
        <f>AG$13*'Region OP Sales Goals'!AD19</f>
        <v>10656.330783344019</v>
      </c>
      <c r="AH17" s="69">
        <f>AH$13*'Region OP Sales Goals'!AE19</f>
        <v>96768.52673507038</v>
      </c>
      <c r="AJ17" s="757"/>
      <c r="AK17" s="757"/>
      <c r="AL17" s="292" t="s">
        <v>102</v>
      </c>
      <c r="AM17" s="69">
        <f t="shared" ref="AM17:AN17" si="36">SUM(AM62,AM107,AM152,AM197,AM242,AM287,AM332,AM377)</f>
        <v>6654.8571428571422</v>
      </c>
      <c r="AN17" s="69">
        <f t="shared" si="36"/>
        <v>6065.5714285714284</v>
      </c>
      <c r="AO17" s="156">
        <f t="shared" si="26"/>
        <v>6039</v>
      </c>
      <c r="AP17" s="156">
        <f t="shared" si="26"/>
        <v>5031.4285714285725</v>
      </c>
      <c r="AQ17" s="156">
        <f t="shared" si="26"/>
        <v>5443.5714285714275</v>
      </c>
      <c r="AR17" s="156">
        <f t="shared" si="26"/>
        <v>5714</v>
      </c>
      <c r="AS17" s="156">
        <f t="shared" si="26"/>
        <v>5786.7142857142862</v>
      </c>
      <c r="AT17" s="156">
        <f t="shared" ref="AT17" si="37">SUM(AT62,AT107,AT152,AT197,AT242,AT287,AT332,AT377)</f>
        <v>4445.2857142857147</v>
      </c>
      <c r="AU17" s="69"/>
      <c r="AV17" s="69"/>
      <c r="AW17" s="69"/>
      <c r="AX17" s="69"/>
      <c r="AY17" s="69">
        <f t="shared" si="32"/>
        <v>45180.428571428572</v>
      </c>
      <c r="BA17" s="757"/>
      <c r="BB17" s="757"/>
      <c r="BC17" s="292" t="s">
        <v>102</v>
      </c>
      <c r="BD17" s="465">
        <f>AM17/V17</f>
        <v>1.9224733435479111</v>
      </c>
      <c r="BE17" s="465">
        <f t="shared" si="13"/>
        <v>1.5059791435974448</v>
      </c>
      <c r="BF17" s="465">
        <f t="shared" si="14"/>
        <v>1.215839980197801</v>
      </c>
      <c r="BG17" s="465">
        <f t="shared" si="15"/>
        <v>0.67186048421804678</v>
      </c>
      <c r="BH17" s="465">
        <f t="shared" si="16"/>
        <v>0.62232036200398555</v>
      </c>
      <c r="BI17" s="465">
        <f t="shared" si="17"/>
        <v>0.60862276574548713</v>
      </c>
      <c r="BJ17" s="465">
        <f t="shared" si="18"/>
        <v>0.64770322035487093</v>
      </c>
      <c r="BK17" s="465">
        <f t="shared" si="19"/>
        <v>0.46620060814680092</v>
      </c>
      <c r="BL17" s="465">
        <f t="shared" si="20"/>
        <v>0</v>
      </c>
      <c r="BM17" s="465">
        <f t="shared" si="21"/>
        <v>0</v>
      </c>
      <c r="BN17" s="465">
        <f t="shared" si="22"/>
        <v>0</v>
      </c>
      <c r="BO17" s="465">
        <f t="shared" si="23"/>
        <v>0</v>
      </c>
      <c r="BP17" s="465">
        <f t="shared" si="34"/>
        <v>0.46689176838583096</v>
      </c>
    </row>
    <row r="18" spans="2:68" ht="16" customHeight="1">
      <c r="B18" s="769"/>
      <c r="C18" s="769"/>
      <c r="D18" s="292" t="s">
        <v>103</v>
      </c>
      <c r="E18" s="69">
        <f t="shared" si="28"/>
        <v>21344</v>
      </c>
      <c r="F18" s="69">
        <f t="shared" si="28"/>
        <v>20457</v>
      </c>
      <c r="G18" s="69">
        <f t="shared" si="28"/>
        <v>22170</v>
      </c>
      <c r="H18" s="69">
        <f t="shared" si="28"/>
        <v>18243</v>
      </c>
      <c r="I18" s="69">
        <f t="shared" si="28"/>
        <v>18126</v>
      </c>
      <c r="J18" s="69">
        <f t="shared" si="28"/>
        <v>17040</v>
      </c>
      <c r="K18" s="69">
        <f t="shared" si="28"/>
        <v>19850</v>
      </c>
      <c r="L18" s="69">
        <f t="shared" si="28"/>
        <v>21277</v>
      </c>
      <c r="M18" s="69">
        <f t="shared" si="28"/>
        <v>17543</v>
      </c>
      <c r="N18" s="69">
        <f t="shared" si="28"/>
        <v>18030</v>
      </c>
      <c r="O18" s="69">
        <f t="shared" si="28"/>
        <v>19000</v>
      </c>
      <c r="P18" s="69">
        <f>SUM(P63,P108,P153,P198,P243,P288,P333,P378)</f>
        <v>20207</v>
      </c>
      <c r="Q18" s="69">
        <f t="shared" si="29"/>
        <v>233287</v>
      </c>
      <c r="S18" s="769"/>
      <c r="T18" s="769"/>
      <c r="U18" s="292" t="s">
        <v>103</v>
      </c>
      <c r="V18" s="508">
        <v>8552.2183284806288</v>
      </c>
      <c r="W18" s="508">
        <v>9374.7250445737354</v>
      </c>
      <c r="X18" s="508">
        <v>11542.880644840034</v>
      </c>
      <c r="Y18" s="69">
        <f>Y$13*'Region OP Sales Goals'!V20</f>
        <v>17703.114862393151</v>
      </c>
      <c r="Z18" s="69">
        <f>Z$13*'Region OP Sales Goals'!W20</f>
        <v>22181.338965593844</v>
      </c>
      <c r="AA18" s="69">
        <f>AA$13*'Region OP Sales Goals'!X20</f>
        <v>20053.832735991979</v>
      </c>
      <c r="AB18" s="69">
        <f>AB$13*'Region OP Sales Goals'!Y20</f>
        <v>18271.081349406264</v>
      </c>
      <c r="AC18" s="69">
        <f>AC$13*'Region OP Sales Goals'!Z20</f>
        <v>19120.988710813876</v>
      </c>
      <c r="AD18" s="69">
        <f>AD$13*'Region OP Sales Goals'!AA20</f>
        <v>21019.319251339017</v>
      </c>
      <c r="AE18" s="69">
        <f>AE$13*'Region OP Sales Goals'!AB20</f>
        <v>22042.581114558059</v>
      </c>
      <c r="AF18" s="69">
        <f>AF$13*'Region OP Sales Goals'!AC20</f>
        <v>17893.086112970872</v>
      </c>
      <c r="AG18" s="69">
        <f>AG$13*'Region OP Sales Goals'!AD20</f>
        <v>22819.053876375416</v>
      </c>
      <c r="AH18" s="69">
        <f>AH$13*'Region OP Sales Goals'!AE20</f>
        <v>208432.98175564385</v>
      </c>
      <c r="AJ18" s="757"/>
      <c r="AK18" s="757"/>
      <c r="AL18" s="292" t="s">
        <v>103</v>
      </c>
      <c r="AM18" s="69">
        <f t="shared" ref="AM18:AN18" si="38">SUM(AM63,AM108,AM153,AM198,AM243,AM288,AM333,AM378)</f>
        <v>18300</v>
      </c>
      <c r="AN18" s="69">
        <f t="shared" si="38"/>
        <v>15101.285714285716</v>
      </c>
      <c r="AO18" s="156">
        <f t="shared" si="26"/>
        <v>15237</v>
      </c>
      <c r="AP18" s="156">
        <f t="shared" si="26"/>
        <v>16294.285714285716</v>
      </c>
      <c r="AQ18" s="156">
        <f t="shared" si="26"/>
        <v>16680.714285714286</v>
      </c>
      <c r="AR18" s="156">
        <f t="shared" si="26"/>
        <v>15610.714285714288</v>
      </c>
      <c r="AS18" s="156">
        <f t="shared" si="26"/>
        <v>15817.428571428571</v>
      </c>
      <c r="AT18" s="156">
        <f t="shared" ref="AT18" si="39">SUM(AT63,AT108,AT153,AT198,AT243,AT288,AT333,AT378)</f>
        <v>13378.857142857143</v>
      </c>
      <c r="AU18" s="69"/>
      <c r="AV18" s="69"/>
      <c r="AW18" s="69"/>
      <c r="AX18" s="69"/>
      <c r="AY18" s="69">
        <f t="shared" si="32"/>
        <v>126420.28571428572</v>
      </c>
      <c r="BA18" s="757"/>
      <c r="BB18" s="757"/>
      <c r="BC18" s="292" t="s">
        <v>103</v>
      </c>
      <c r="BD18" s="465">
        <f t="shared" si="33"/>
        <v>2.1397956994452856</v>
      </c>
      <c r="BE18" s="465">
        <f t="shared" si="13"/>
        <v>1.6108510534958698</v>
      </c>
      <c r="BF18" s="465">
        <f t="shared" si="14"/>
        <v>1.3200344410397533</v>
      </c>
      <c r="BG18" s="465">
        <f t="shared" si="15"/>
        <v>0.92041913758915828</v>
      </c>
      <c r="BH18" s="465">
        <f t="shared" si="16"/>
        <v>0.75201566107385376</v>
      </c>
      <c r="BI18" s="465">
        <f t="shared" si="17"/>
        <v>0.77844043536359397</v>
      </c>
      <c r="BJ18" s="465">
        <f t="shared" si="18"/>
        <v>0.86570839836704971</v>
      </c>
      <c r="BK18" s="465">
        <f t="shared" si="19"/>
        <v>0.69969484032437768</v>
      </c>
      <c r="BL18" s="465">
        <f t="shared" si="20"/>
        <v>0</v>
      </c>
      <c r="BM18" s="465">
        <f t="shared" si="21"/>
        <v>0</v>
      </c>
      <c r="BN18" s="465">
        <f t="shared" si="22"/>
        <v>0</v>
      </c>
      <c r="BO18" s="465">
        <f t="shared" si="23"/>
        <v>0</v>
      </c>
      <c r="BP18" s="465">
        <f t="shared" si="34"/>
        <v>0.6065272619018347</v>
      </c>
    </row>
    <row r="19" spans="2:68" ht="16" customHeight="1">
      <c r="B19" s="769"/>
      <c r="C19" s="769"/>
      <c r="D19" s="292" t="s">
        <v>104</v>
      </c>
      <c r="E19" s="69">
        <f t="shared" si="28"/>
        <v>29610</v>
      </c>
      <c r="F19" s="69">
        <f t="shared" si="28"/>
        <v>29356</v>
      </c>
      <c r="G19" s="69">
        <f t="shared" si="28"/>
        <v>32993</v>
      </c>
      <c r="H19" s="69">
        <f t="shared" si="28"/>
        <v>27629</v>
      </c>
      <c r="I19" s="69">
        <f t="shared" si="28"/>
        <v>27520</v>
      </c>
      <c r="J19" s="69">
        <f t="shared" si="28"/>
        <v>25125</v>
      </c>
      <c r="K19" s="69">
        <f t="shared" si="28"/>
        <v>27552</v>
      </c>
      <c r="L19" s="69">
        <f t="shared" si="28"/>
        <v>29343</v>
      </c>
      <c r="M19" s="69">
        <f t="shared" si="28"/>
        <v>24584</v>
      </c>
      <c r="N19" s="69">
        <f t="shared" si="28"/>
        <v>25948</v>
      </c>
      <c r="O19" s="69">
        <f t="shared" si="28"/>
        <v>27953</v>
      </c>
      <c r="P19" s="69">
        <f t="shared" si="28"/>
        <v>29582</v>
      </c>
      <c r="Q19" s="69">
        <f t="shared" si="29"/>
        <v>337195</v>
      </c>
      <c r="S19" s="769"/>
      <c r="T19" s="769"/>
      <c r="U19" s="292" t="s">
        <v>104</v>
      </c>
      <c r="V19" s="508">
        <v>17783.184143348608</v>
      </c>
      <c r="W19" s="508">
        <v>17374.490415943321</v>
      </c>
      <c r="X19" s="508">
        <v>22680.01154580084</v>
      </c>
      <c r="Y19" s="156">
        <f>Y$13*'Region OP Sales Goals'!V21</f>
        <v>41494.06346883229</v>
      </c>
      <c r="Z19" s="156">
        <f>Z$13*'Region OP Sales Goals'!W21</f>
        <v>46994.362215241192</v>
      </c>
      <c r="AA19" s="156">
        <f>AA$13*'Region OP Sales Goals'!X21</f>
        <v>43394.791356775095</v>
      </c>
      <c r="AB19" s="69">
        <f>AB$13*'Region OP Sales Goals'!Y21</f>
        <v>38832.339562167865</v>
      </c>
      <c r="AC19" s="69">
        <f>AC$13*'Region OP Sales Goals'!Z21</f>
        <v>40727.198766004098</v>
      </c>
      <c r="AD19" s="69">
        <f>AD$13*'Region OP Sales Goals'!AA21</f>
        <v>43735.700033928013</v>
      </c>
      <c r="AE19" s="69">
        <f>AE$13*'Region OP Sales Goals'!AB21</f>
        <v>45272.467535052492</v>
      </c>
      <c r="AF19" s="69">
        <f>AF$13*'Region OP Sales Goals'!AC21</f>
        <v>36767.199593279831</v>
      </c>
      <c r="AG19" s="69">
        <f>AG$13*'Region OP Sales Goals'!AD21</f>
        <v>47283.980831853696</v>
      </c>
      <c r="AH19" s="69">
        <f>AH$13*'Region OP Sales Goals'!AE21</f>
        <v>435348.35606641707</v>
      </c>
      <c r="AJ19" s="757"/>
      <c r="AK19" s="757"/>
      <c r="AL19" s="292" t="s">
        <v>104</v>
      </c>
      <c r="AM19" s="156">
        <f t="shared" ref="AM19:AN19" si="40">SUM(AM64,AM109,AM154,AM199,AM244,AM289,AM334,AM379)</f>
        <v>27473.142857142855</v>
      </c>
      <c r="AN19" s="156">
        <f t="shared" si="40"/>
        <v>22737.142857142855</v>
      </c>
      <c r="AO19" s="156">
        <f t="shared" si="26"/>
        <v>20818</v>
      </c>
      <c r="AP19" s="156">
        <f t="shared" si="26"/>
        <v>20072.571428571428</v>
      </c>
      <c r="AQ19" s="156">
        <f t="shared" si="26"/>
        <v>22986.428571428569</v>
      </c>
      <c r="AR19" s="156">
        <f t="shared" si="26"/>
        <v>22662.857142857145</v>
      </c>
      <c r="AS19" s="156">
        <f t="shared" si="26"/>
        <v>22194.428571428572</v>
      </c>
      <c r="AT19" s="156">
        <f t="shared" ref="AT19" si="41">SUM(AT64,AT109,AT154,AT199,AT244,AT289,AT334,AT379)</f>
        <v>18034.714285714286</v>
      </c>
      <c r="AU19" s="69"/>
      <c r="AV19" s="69"/>
      <c r="AW19" s="69"/>
      <c r="AX19" s="69"/>
      <c r="AY19" s="69">
        <f t="shared" si="32"/>
        <v>176979.28571428571</v>
      </c>
      <c r="BA19" s="757"/>
      <c r="BB19" s="757"/>
      <c r="BC19" s="292" t="s">
        <v>104</v>
      </c>
      <c r="BD19" s="542">
        <f t="shared" si="33"/>
        <v>1.5448944708486614</v>
      </c>
      <c r="BE19" s="542">
        <f t="shared" si="13"/>
        <v>1.3086509194122098</v>
      </c>
      <c r="BF19" s="542">
        <f t="shared" si="14"/>
        <v>0.91790076728838399</v>
      </c>
      <c r="BG19" s="542">
        <f t="shared" si="15"/>
        <v>0.48374561926548049</v>
      </c>
      <c r="BH19" s="542">
        <f t="shared" si="16"/>
        <v>0.48913162106865704</v>
      </c>
      <c r="BI19" s="542">
        <f t="shared" si="17"/>
        <v>0.52224832599221294</v>
      </c>
      <c r="BJ19" s="465">
        <f t="shared" si="18"/>
        <v>0.57154497569987617</v>
      </c>
      <c r="BK19" s="465">
        <f t="shared" si="19"/>
        <v>0.44281744957053776</v>
      </c>
      <c r="BL19" s="465">
        <f t="shared" si="20"/>
        <v>0</v>
      </c>
      <c r="BM19" s="465">
        <f t="shared" si="21"/>
        <v>0</v>
      </c>
      <c r="BN19" s="465">
        <f t="shared" si="22"/>
        <v>0</v>
      </c>
      <c r="BO19" s="465">
        <f t="shared" si="23"/>
        <v>0</v>
      </c>
      <c r="BP19" s="465">
        <f t="shared" si="34"/>
        <v>0.40652338121448106</v>
      </c>
    </row>
    <row r="20" spans="2:68" ht="16" customHeight="1">
      <c r="B20" s="770"/>
      <c r="C20" s="770"/>
      <c r="D20" s="292" t="s">
        <v>105</v>
      </c>
      <c r="E20" s="69">
        <f t="shared" si="28"/>
        <v>15986</v>
      </c>
      <c r="F20" s="69">
        <f t="shared" si="28"/>
        <v>16618</v>
      </c>
      <c r="G20" s="69">
        <f t="shared" si="28"/>
        <v>19464</v>
      </c>
      <c r="H20" s="69">
        <f t="shared" si="28"/>
        <v>19554</v>
      </c>
      <c r="I20" s="69">
        <f t="shared" si="28"/>
        <v>19386</v>
      </c>
      <c r="J20" s="69">
        <f t="shared" si="28"/>
        <v>17246</v>
      </c>
      <c r="K20" s="69">
        <f t="shared" si="28"/>
        <v>19542</v>
      </c>
      <c r="L20" s="69">
        <f t="shared" si="28"/>
        <v>21558</v>
      </c>
      <c r="M20" s="69">
        <f t="shared" si="28"/>
        <v>18507</v>
      </c>
      <c r="N20" s="69">
        <f t="shared" si="28"/>
        <v>18460</v>
      </c>
      <c r="O20" s="69">
        <f t="shared" si="28"/>
        <v>18857</v>
      </c>
      <c r="P20" s="69">
        <f t="shared" si="28"/>
        <v>18973</v>
      </c>
      <c r="Q20" s="69">
        <f t="shared" si="29"/>
        <v>224151</v>
      </c>
      <c r="S20" s="770"/>
      <c r="T20" s="770"/>
      <c r="U20" s="292" t="s">
        <v>105</v>
      </c>
      <c r="V20" s="508">
        <v>9706.0890553391255</v>
      </c>
      <c r="W20" s="508">
        <v>11319.112461226065</v>
      </c>
      <c r="X20" s="508">
        <v>13431.715659450219</v>
      </c>
      <c r="Y20" s="69">
        <f>Y$13*'Region OP Sales Goals'!V22</f>
        <v>27637.236871505855</v>
      </c>
      <c r="Z20" s="69">
        <f>Z$13*'Region OP Sales Goals'!W22</f>
        <v>29650.309600336179</v>
      </c>
      <c r="AA20" s="69">
        <f>AA$13*'Region OP Sales Goals'!X22</f>
        <v>27148.349034102346</v>
      </c>
      <c r="AB20" s="69">
        <f>AB$13*'Region OP Sales Goals'!Y22</f>
        <v>24663.44314382664</v>
      </c>
      <c r="AC20" s="69">
        <f>AC$13*'Region OP Sales Goals'!Z22</f>
        <v>25587.636086487008</v>
      </c>
      <c r="AD20" s="69">
        <f>AD$13*'Region OP Sales Goals'!AA22</f>
        <v>26813.572193749656</v>
      </c>
      <c r="AE20" s="69">
        <f>AE$13*'Region OP Sales Goals'!AB22</f>
        <v>27333.833021448459</v>
      </c>
      <c r="AF20" s="69">
        <f>AF$13*'Region OP Sales Goals'!AC22</f>
        <v>22563.629448776141</v>
      </c>
      <c r="AG20" s="69">
        <f>AG$13*'Region OP Sales Goals'!AD22</f>
        <v>28705.142345709417</v>
      </c>
      <c r="AH20" s="69">
        <f>AH$13*'Region OP Sales Goals'!AE22</f>
        <v>275937.72027842602</v>
      </c>
      <c r="AJ20" s="757"/>
      <c r="AK20" s="757"/>
      <c r="AL20" s="292" t="s">
        <v>105</v>
      </c>
      <c r="AM20" s="69">
        <f t="shared" ref="AM20:AN20" si="42">SUM(AM65,AM110,AM155,AM200,AM245,AM290,AM335,AM380)</f>
        <v>15909.428571428571</v>
      </c>
      <c r="AN20" s="69">
        <f t="shared" si="42"/>
        <v>13793.428571428572</v>
      </c>
      <c r="AO20" s="156">
        <f t="shared" si="26"/>
        <v>14668</v>
      </c>
      <c r="AP20" s="156">
        <f t="shared" si="26"/>
        <v>15669.142857142857</v>
      </c>
      <c r="AQ20" s="156">
        <f t="shared" si="26"/>
        <v>15457.571428571428</v>
      </c>
      <c r="AR20" s="156">
        <f t="shared" si="26"/>
        <v>14878.285714285714</v>
      </c>
      <c r="AS20" s="156">
        <f t="shared" si="26"/>
        <v>16431.285714285714</v>
      </c>
      <c r="AT20" s="156">
        <f t="shared" ref="AT20" si="43">SUM(AT65,AT110,AT155,AT200,AT245,AT290,AT335,AT380)</f>
        <v>14350.428571428571</v>
      </c>
      <c r="AU20" s="69"/>
      <c r="AV20" s="69"/>
      <c r="AW20" s="69"/>
      <c r="AX20" s="69"/>
      <c r="AY20" s="69">
        <f t="shared" si="32"/>
        <v>121157.57142857141</v>
      </c>
      <c r="BA20" s="757"/>
      <c r="BB20" s="757"/>
      <c r="BC20" s="292" t="s">
        <v>105</v>
      </c>
      <c r="BD20" s="465">
        <f t="shared" si="33"/>
        <v>1.6391183390880915</v>
      </c>
      <c r="BE20" s="465">
        <f t="shared" si="13"/>
        <v>1.2185963006091112</v>
      </c>
      <c r="BF20" s="465">
        <f t="shared" si="14"/>
        <v>1.0920421762859431</v>
      </c>
      <c r="BG20" s="465">
        <f t="shared" si="15"/>
        <v>0.56695764956509931</v>
      </c>
      <c r="BH20" s="465">
        <f t="shared" si="16"/>
        <v>0.52132917453233496</v>
      </c>
      <c r="BI20" s="465">
        <f t="shared" si="17"/>
        <v>0.54803648264564386</v>
      </c>
      <c r="BJ20" s="465">
        <f t="shared" si="18"/>
        <v>0.66622026853531724</v>
      </c>
      <c r="BK20" s="465">
        <f t="shared" si="19"/>
        <v>0.56083447970432576</v>
      </c>
      <c r="BL20" s="465">
        <f t="shared" si="20"/>
        <v>0</v>
      </c>
      <c r="BM20" s="465">
        <f t="shared" si="21"/>
        <v>0</v>
      </c>
      <c r="BN20" s="465">
        <f t="shared" si="22"/>
        <v>0</v>
      </c>
      <c r="BO20" s="465">
        <f t="shared" si="23"/>
        <v>0</v>
      </c>
      <c r="BP20" s="465">
        <f t="shared" si="34"/>
        <v>0.43907578603723074</v>
      </c>
    </row>
    <row r="21" spans="2:68" s="47" customFormat="1">
      <c r="B21" s="768" t="s">
        <v>57</v>
      </c>
      <c r="C21" s="768" t="s">
        <v>49</v>
      </c>
      <c r="D21" s="343" t="s">
        <v>58</v>
      </c>
      <c r="E21" s="344">
        <f>E22+E30+E38</f>
        <v>1793926</v>
      </c>
      <c r="F21" s="344">
        <f t="shared" ref="F21:P21" si="44">F22+F30+F38</f>
        <v>1713060</v>
      </c>
      <c r="G21" s="344">
        <f t="shared" si="44"/>
        <v>1957809</v>
      </c>
      <c r="H21" s="344">
        <f t="shared" si="44"/>
        <v>1845476</v>
      </c>
      <c r="I21" s="344">
        <f t="shared" si="44"/>
        <v>1800182</v>
      </c>
      <c r="J21" s="344">
        <f t="shared" si="44"/>
        <v>1769919</v>
      </c>
      <c r="K21" s="344">
        <f t="shared" si="44"/>
        <v>1937679</v>
      </c>
      <c r="L21" s="344">
        <f t="shared" si="44"/>
        <v>2010401</v>
      </c>
      <c r="M21" s="344">
        <f t="shared" si="44"/>
        <v>1894452</v>
      </c>
      <c r="N21" s="344">
        <f t="shared" si="44"/>
        <v>1898984</v>
      </c>
      <c r="O21" s="344">
        <f>O22+O30+O38</f>
        <v>1924548</v>
      </c>
      <c r="P21" s="344">
        <f t="shared" si="44"/>
        <v>2052922</v>
      </c>
      <c r="Q21" s="344">
        <f>Q22+Q30+Q38</f>
        <v>22599358</v>
      </c>
      <c r="S21" s="768" t="s">
        <v>57</v>
      </c>
      <c r="T21" s="768" t="s">
        <v>49</v>
      </c>
      <c r="U21" s="343" t="s">
        <v>58</v>
      </c>
      <c r="V21" s="344">
        <v>1560115.7718115433</v>
      </c>
      <c r="W21" s="344">
        <v>1723609.8663565605</v>
      </c>
      <c r="X21" s="344">
        <v>1940383.9829418845</v>
      </c>
      <c r="Y21" s="344" cm="1">
        <f t="array" ref="Y21">INDEX('Shop Goals'!$H$8:$H$19, COLUMN()-COLUMN($V$3)+1)</f>
        <v>1881613.6784391778</v>
      </c>
      <c r="Z21" s="344" cm="1">
        <f t="array" ref="Z21">INDEX('Shop Goals'!$H$8:$H$19, COLUMN()-COLUMN($V$3)+1)</f>
        <v>2100489.6442307904</v>
      </c>
      <c r="AA21" s="344" cm="1">
        <f t="array" ref="AA21">INDEX('Shop Goals'!$H$8:$H$19, COLUMN()-COLUMN($V$3)+1)</f>
        <v>1970907.4420491084</v>
      </c>
      <c r="AB21" s="344" cm="1">
        <f t="array" ref="AB21">INDEX('Shop Goals'!$H$8:$H$19, COLUMN()-COLUMN($V$3)+1)</f>
        <v>1820162.6966908812</v>
      </c>
      <c r="AC21" s="344" cm="1">
        <f t="array" ref="AC21">INDEX('Shop Goals'!$H$8:$H$19, COLUMN()-COLUMN($V$3)+1)</f>
        <v>1940826.7715034292</v>
      </c>
      <c r="AD21" s="344" cm="1">
        <f t="array" ref="AD21">INDEX('Shop Goals'!$H$8:$H$19, COLUMN()-COLUMN($V$3)+1)</f>
        <v>2062787.9804307537</v>
      </c>
      <c r="AE21" s="344" cm="1">
        <f t="array" ref="AE21">INDEX('Shop Goals'!$H$8:$H$19, COLUMN()-COLUMN($V$3)+1)</f>
        <v>2137705.5405597105</v>
      </c>
      <c r="AF21" s="344" cm="1">
        <f t="array" ref="AF21">INDEX('Shop Goals'!$H$8:$H$19, COLUMN()-COLUMN($V$3)+1)</f>
        <v>1738982.4020060906</v>
      </c>
      <c r="AG21" s="344" cm="1">
        <f t="array" ref="AG21">INDEX('Shop Goals'!$H$8:$H$19, COLUMN()-COLUMN($V$3)+1)</f>
        <v>2235154.4079170432</v>
      </c>
      <c r="AH21" s="345">
        <f t="shared" ref="AH21:AH38" si="45">SUM(V21:AG21)</f>
        <v>23112740.18493697</v>
      </c>
      <c r="AJ21" s="757" t="s">
        <v>57</v>
      </c>
      <c r="AK21" s="757" t="s">
        <v>49</v>
      </c>
      <c r="AL21" s="343" t="s">
        <v>58</v>
      </c>
      <c r="AM21" s="344">
        <f>AM22+AM30+AM38</f>
        <v>2137059</v>
      </c>
      <c r="AN21" s="344">
        <f t="shared" ref="AN21:AX21" si="46">AN22+AN30+AN38</f>
        <v>1944130</v>
      </c>
      <c r="AO21" s="344">
        <f t="shared" si="46"/>
        <v>2164354</v>
      </c>
      <c r="AP21" s="344">
        <f t="shared" si="46"/>
        <v>2086972</v>
      </c>
      <c r="AQ21" s="344">
        <f>AQ22+AQ30+AQ38</f>
        <v>2097152</v>
      </c>
      <c r="AR21" s="344">
        <f t="shared" ref="AR21:AS21" si="47">AR22+AR30+AR38</f>
        <v>2068043</v>
      </c>
      <c r="AS21" s="344">
        <f t="shared" si="47"/>
        <v>2259730</v>
      </c>
      <c r="AT21" s="344">
        <f t="shared" si="46"/>
        <v>1693381</v>
      </c>
      <c r="AU21" s="344">
        <f t="shared" si="46"/>
        <v>0</v>
      </c>
      <c r="AV21" s="344">
        <f t="shared" si="46"/>
        <v>0</v>
      </c>
      <c r="AW21" s="344">
        <f t="shared" si="46"/>
        <v>0</v>
      </c>
      <c r="AX21" s="344">
        <f t="shared" si="46"/>
        <v>0</v>
      </c>
      <c r="AY21" s="344">
        <f>AY22+AY30+AY38</f>
        <v>16450821</v>
      </c>
      <c r="BA21" s="757" t="s">
        <v>57</v>
      </c>
      <c r="BB21" s="757" t="s">
        <v>49</v>
      </c>
      <c r="BC21" s="343" t="s">
        <v>58</v>
      </c>
      <c r="BD21" s="463">
        <f>AM21/V21</f>
        <v>1.3698079582379541</v>
      </c>
      <c r="BE21" s="463">
        <f>AN21/W21</f>
        <v>1.1279408629225269</v>
      </c>
      <c r="BF21" s="463">
        <f t="shared" si="14"/>
        <v>1.1154256162837144</v>
      </c>
      <c r="BG21" s="463">
        <f t="shared" si="15"/>
        <v>1.1091394710369928</v>
      </c>
      <c r="BH21" s="463">
        <f>AQ21/Z21</f>
        <v>0.99841101609810001</v>
      </c>
      <c r="BI21" s="463">
        <f t="shared" si="17"/>
        <v>1.0492846877933049</v>
      </c>
      <c r="BJ21" s="463">
        <f t="shared" si="18"/>
        <v>1.2414989078219587</v>
      </c>
      <c r="BK21" s="463">
        <f t="shared" si="19"/>
        <v>0.87250496791542642</v>
      </c>
      <c r="BL21" s="463">
        <f t="shared" si="20"/>
        <v>0</v>
      </c>
      <c r="BM21" s="463">
        <f t="shared" si="21"/>
        <v>0</v>
      </c>
      <c r="BN21" s="463">
        <f t="shared" si="22"/>
        <v>0</v>
      </c>
      <c r="BO21" s="463">
        <f t="shared" si="23"/>
        <v>0</v>
      </c>
      <c r="BP21" s="463">
        <f t="shared" si="34"/>
        <v>0.71176419880847042</v>
      </c>
    </row>
    <row r="22" spans="2:68">
      <c r="B22" s="769"/>
      <c r="C22" s="769"/>
      <c r="D22" s="182" t="s">
        <v>60</v>
      </c>
      <c r="E22" s="341">
        <f>SUM(E23:E29)</f>
        <v>71940</v>
      </c>
      <c r="F22" s="341">
        <f t="shared" ref="F22:P22" si="48">SUM(F23:F29)</f>
        <v>72351</v>
      </c>
      <c r="G22" s="341">
        <f t="shared" si="48"/>
        <v>93029</v>
      </c>
      <c r="H22" s="341">
        <f t="shared" si="48"/>
        <v>84034</v>
      </c>
      <c r="I22" s="341">
        <f>SUM(I23:I29)</f>
        <v>86915</v>
      </c>
      <c r="J22" s="341">
        <f t="shared" si="48"/>
        <v>81852</v>
      </c>
      <c r="K22" s="341">
        <f t="shared" si="48"/>
        <v>85279</v>
      </c>
      <c r="L22" s="341">
        <f t="shared" si="48"/>
        <v>77120</v>
      </c>
      <c r="M22" s="341">
        <f t="shared" si="48"/>
        <v>64794</v>
      </c>
      <c r="N22" s="341">
        <f t="shared" si="48"/>
        <v>58592</v>
      </c>
      <c r="O22" s="341">
        <f t="shared" si="48"/>
        <v>56449</v>
      </c>
      <c r="P22" s="341">
        <f t="shared" si="48"/>
        <v>66706</v>
      </c>
      <c r="Q22" s="341">
        <f>SUM(Q23:Q29)</f>
        <v>899061</v>
      </c>
      <c r="S22" s="769"/>
      <c r="T22" s="769"/>
      <c r="U22" s="182" t="s">
        <v>60</v>
      </c>
      <c r="V22" s="341">
        <v>53612.134667638682</v>
      </c>
      <c r="W22" s="341">
        <v>59200.189983873461</v>
      </c>
      <c r="X22" s="341">
        <v>64039.199083874097</v>
      </c>
      <c r="Y22" s="341" cm="1">
        <f t="array" ref="Y22">INDEX('Shop Goals'!$D$8:$D$19, COLUMN()-COLUMN($V$3)+1)</f>
        <v>64622.263459031965</v>
      </c>
      <c r="Z22" s="341" cm="1">
        <f t="array" ref="Z22">INDEX('Shop Goals'!$D$8:$D$19, COLUMN()-COLUMN($V$3)+1)</f>
        <v>72146.773587823365</v>
      </c>
      <c r="AA22" s="341" cm="1">
        <f t="array" ref="AA22">INDEX('Shop Goals'!$D$8:$D$19, COLUMN()-COLUMN($V$3)+1)</f>
        <v>67687.394790907289</v>
      </c>
      <c r="AB22" s="341" cm="1">
        <f t="array" ref="AB22">INDEX('Shop Goals'!$D$8:$D$19, COLUMN()-COLUMN($V$3)+1)</f>
        <v>60042.558212166427</v>
      </c>
      <c r="AC22" s="341" cm="1">
        <f t="array" ref="AC22">INDEX('Shop Goals'!$D$8:$D$19, COLUMN()-COLUMN($V$3)+1)</f>
        <v>64039.199083874097</v>
      </c>
      <c r="AD22" s="341" cm="1">
        <f t="array" ref="AD22">INDEX('Shop Goals'!$D$8:$D$19, COLUMN()-COLUMN($V$3)+1)</f>
        <v>70818.91885921311</v>
      </c>
      <c r="AE22" s="341" cm="1">
        <f t="array" ref="AE22">INDEX('Shop Goals'!$D$8:$D$19, COLUMN()-COLUMN($V$3)+1)</f>
        <v>73419.301036074845</v>
      </c>
      <c r="AF22" s="341" cm="1">
        <f t="array" ref="AF22">INDEX('Shop Goals'!$D$8:$D$19, COLUMN()-COLUMN($V$3)+1)</f>
        <v>57393.621820453205</v>
      </c>
      <c r="AG22" s="341" cm="1">
        <f t="array" ref="AG22">INDEX('Shop Goals'!$D$8:$D$19, COLUMN()-COLUMN($V$3)+1)</f>
        <v>73798.43842176492</v>
      </c>
      <c r="AH22" s="342">
        <f t="shared" si="45"/>
        <v>780819.99300669541</v>
      </c>
      <c r="AJ22" s="757"/>
      <c r="AK22" s="757"/>
      <c r="AL22" s="182" t="s">
        <v>60</v>
      </c>
      <c r="AM22" s="341">
        <f>SUM(AM23:AM29)</f>
        <v>55070</v>
      </c>
      <c r="AN22" s="341">
        <f t="shared" ref="AN22:AY22" si="49">SUM(AN23:AN29)</f>
        <v>51927</v>
      </c>
      <c r="AO22" s="341">
        <f t="shared" si="49"/>
        <v>59939</v>
      </c>
      <c r="AP22" s="341">
        <f t="shared" si="49"/>
        <v>43154</v>
      </c>
      <c r="AQ22" s="341">
        <f t="shared" si="49"/>
        <v>45124</v>
      </c>
      <c r="AR22" s="341">
        <f t="shared" si="49"/>
        <v>40932</v>
      </c>
      <c r="AS22" s="341">
        <f t="shared" si="49"/>
        <v>44879</v>
      </c>
      <c r="AT22" s="341">
        <f t="shared" si="49"/>
        <v>39544</v>
      </c>
      <c r="AU22" s="341">
        <f t="shared" si="49"/>
        <v>0</v>
      </c>
      <c r="AV22" s="341">
        <f t="shared" si="49"/>
        <v>0</v>
      </c>
      <c r="AW22" s="341">
        <f t="shared" si="49"/>
        <v>0</v>
      </c>
      <c r="AX22" s="341">
        <f t="shared" si="49"/>
        <v>0</v>
      </c>
      <c r="AY22" s="341">
        <f t="shared" si="49"/>
        <v>380569</v>
      </c>
      <c r="BA22" s="757"/>
      <c r="BB22" s="757"/>
      <c r="BC22" s="182" t="s">
        <v>60</v>
      </c>
      <c r="BD22" s="464">
        <f>AM22/V22</f>
        <v>1.0271928238149657</v>
      </c>
      <c r="BE22" s="464">
        <f t="shared" ref="BE22:BE37" si="50">AN22/W22</f>
        <v>0.87714245535606006</v>
      </c>
      <c r="BF22" s="464">
        <f t="shared" si="14"/>
        <v>0.93597360456516732</v>
      </c>
      <c r="BG22" s="464">
        <f t="shared" si="15"/>
        <v>0.66778843219191752</v>
      </c>
      <c r="BH22" s="464">
        <f t="shared" si="16"/>
        <v>0.62544723424216775</v>
      </c>
      <c r="BI22" s="464">
        <f t="shared" si="17"/>
        <v>0.60472116154629363</v>
      </c>
      <c r="BJ22" s="464">
        <f t="shared" si="18"/>
        <v>0.74745316216233715</v>
      </c>
      <c r="BK22" s="464">
        <f t="shared" si="19"/>
        <v>0.61749679205400454</v>
      </c>
      <c r="BL22" s="464">
        <f t="shared" si="20"/>
        <v>0</v>
      </c>
      <c r="BM22" s="464">
        <f t="shared" si="21"/>
        <v>0</v>
      </c>
      <c r="BN22" s="464">
        <f t="shared" si="22"/>
        <v>0</v>
      </c>
      <c r="BO22" s="464">
        <f t="shared" si="23"/>
        <v>0</v>
      </c>
      <c r="BP22" s="464">
        <f t="shared" si="34"/>
        <v>0.48739658744462588</v>
      </c>
    </row>
    <row r="23" spans="2:68" ht="16" customHeight="1">
      <c r="B23" s="769"/>
      <c r="C23" s="769"/>
      <c r="D23" s="292" t="s">
        <v>99</v>
      </c>
      <c r="E23" s="69">
        <v>12082</v>
      </c>
      <c r="F23" s="69">
        <v>13140</v>
      </c>
      <c r="G23" s="69">
        <v>16828</v>
      </c>
      <c r="H23" s="69">
        <v>15400</v>
      </c>
      <c r="I23" s="69">
        <v>15211</v>
      </c>
      <c r="J23" s="69">
        <v>15465</v>
      </c>
      <c r="K23" s="69">
        <v>16522</v>
      </c>
      <c r="L23" s="69">
        <v>13901</v>
      </c>
      <c r="M23" s="69">
        <v>11501</v>
      </c>
      <c r="N23" s="69">
        <v>11070</v>
      </c>
      <c r="O23" s="69">
        <v>9547</v>
      </c>
      <c r="P23" s="69">
        <v>10984</v>
      </c>
      <c r="Q23" s="69">
        <f>SUM(E23:P23)</f>
        <v>161651</v>
      </c>
      <c r="S23" s="769"/>
      <c r="T23" s="769"/>
      <c r="U23" s="292" t="s">
        <v>99</v>
      </c>
      <c r="V23" s="69">
        <v>6473.2918019749495</v>
      </c>
      <c r="W23" s="69">
        <v>7984.0869250281439</v>
      </c>
      <c r="X23" s="69">
        <v>8548.4424703010955</v>
      </c>
      <c r="Y23" s="69">
        <f>Y$22*'Region OP Sales Goals'!V16</f>
        <v>5803.6896097423905</v>
      </c>
      <c r="Z23" s="69">
        <f>Z$22*'Region OP Sales Goals'!W16</f>
        <v>7799.9387964416701</v>
      </c>
      <c r="AA23" s="69">
        <f>AA$22*'Region OP Sales Goals'!X16</f>
        <v>7850.1357272294845</v>
      </c>
      <c r="AB23" s="69">
        <f>AB$22*'Region OP Sales Goals'!Y16</f>
        <v>7203.0664567186914</v>
      </c>
      <c r="AC23" s="69">
        <f>AC$22*'Region OP Sales Goals'!Z16</f>
        <v>7665.8534308088038</v>
      </c>
      <c r="AD23" s="69">
        <f>AD$22*'Region OP Sales Goals'!AA16</f>
        <v>8648.3232336304627</v>
      </c>
      <c r="AE23" s="69">
        <f>AE$22*'Region OP Sales Goals'!AB16</f>
        <v>9102.2759179227287</v>
      </c>
      <c r="AF23" s="69">
        <f>AF$22*'Region OP Sales Goals'!AC16</f>
        <v>7109.1281749349473</v>
      </c>
      <c r="AG23" s="69">
        <f>AG$22*'Region OP Sales Goals'!AD16</f>
        <v>9026.6787589759679</v>
      </c>
      <c r="AH23" s="69">
        <f>AH$22*'Region OP Sales Goals'!AE16</f>
        <v>91688.159917067285</v>
      </c>
      <c r="AJ23" s="757"/>
      <c r="AK23" s="757"/>
      <c r="AL23" s="292" t="s">
        <v>99</v>
      </c>
      <c r="AM23" s="69">
        <v>9047</v>
      </c>
      <c r="AN23" s="69">
        <v>9100</v>
      </c>
      <c r="AO23" s="69">
        <v>9987</v>
      </c>
      <c r="AP23" s="69">
        <v>7341</v>
      </c>
      <c r="AQ23" s="69">
        <v>7355</v>
      </c>
      <c r="AR23" s="69">
        <v>7180</v>
      </c>
      <c r="AS23" s="69">
        <v>7725</v>
      </c>
      <c r="AT23" s="69">
        <v>6240</v>
      </c>
      <c r="AU23" s="69"/>
      <c r="AV23" s="69"/>
      <c r="AW23" s="69"/>
      <c r="AX23" s="69"/>
      <c r="AY23" s="69">
        <f>SUM(AM23:AX23)</f>
        <v>63975</v>
      </c>
      <c r="BA23" s="757"/>
      <c r="BB23" s="757"/>
      <c r="BC23" s="292" t="s">
        <v>99</v>
      </c>
      <c r="BD23" s="465">
        <f>AM23/V23</f>
        <v>1.3975887812194459</v>
      </c>
      <c r="BE23" s="465">
        <f t="shared" si="50"/>
        <v>1.1397671500135782</v>
      </c>
      <c r="BF23" s="465">
        <f t="shared" si="14"/>
        <v>1.1682829983001846</v>
      </c>
      <c r="BG23" s="465">
        <f t="shared" si="15"/>
        <v>1.2648850117134101</v>
      </c>
      <c r="BH23" s="465">
        <f t="shared" si="16"/>
        <v>0.94295611695765469</v>
      </c>
      <c r="BI23" s="465">
        <f t="shared" si="17"/>
        <v>0.91463386742409958</v>
      </c>
      <c r="BJ23" s="465">
        <f t="shared" si="18"/>
        <v>1.0724599094590435</v>
      </c>
      <c r="BK23" s="465">
        <f t="shared" si="19"/>
        <v>0.81399938784658377</v>
      </c>
      <c r="BL23" s="465">
        <f t="shared" si="20"/>
        <v>0</v>
      </c>
      <c r="BM23" s="465">
        <f t="shared" si="21"/>
        <v>0</v>
      </c>
      <c r="BN23" s="465">
        <f t="shared" si="22"/>
        <v>0</v>
      </c>
      <c r="BO23" s="465">
        <f t="shared" si="23"/>
        <v>0</v>
      </c>
      <c r="BP23" s="465">
        <f>AY23/AH23</f>
        <v>0.69774548925254831</v>
      </c>
    </row>
    <row r="24" spans="2:68" ht="16" customHeight="1">
      <c r="B24" s="769"/>
      <c r="C24" s="769"/>
      <c r="D24" s="292" t="s">
        <v>100</v>
      </c>
      <c r="E24" s="69">
        <v>16098</v>
      </c>
      <c r="F24" s="69">
        <v>15950</v>
      </c>
      <c r="G24" s="69">
        <v>21007</v>
      </c>
      <c r="H24" s="69">
        <v>18119</v>
      </c>
      <c r="I24" s="69">
        <v>19762</v>
      </c>
      <c r="J24" s="69">
        <v>18010</v>
      </c>
      <c r="K24" s="69">
        <v>18856</v>
      </c>
      <c r="L24" s="69">
        <v>17580</v>
      </c>
      <c r="M24" s="69">
        <v>14878</v>
      </c>
      <c r="N24" s="69">
        <v>12959</v>
      </c>
      <c r="O24" s="69">
        <v>11225</v>
      </c>
      <c r="P24" s="69">
        <v>13378</v>
      </c>
      <c r="Q24" s="69">
        <f t="shared" ref="Q24:Q29" si="51">SUM(E24:P24)</f>
        <v>197822</v>
      </c>
      <c r="S24" s="769"/>
      <c r="T24" s="769"/>
      <c r="U24" s="292" t="s">
        <v>100</v>
      </c>
      <c r="V24" s="69">
        <v>10346.201427088166</v>
      </c>
      <c r="W24" s="69">
        <v>11511.14805241984</v>
      </c>
      <c r="X24" s="69">
        <v>12689.248707360239</v>
      </c>
      <c r="Y24" s="69">
        <f>Y$22*'Region OP Sales Goals'!V17</f>
        <v>13984.536218309153</v>
      </c>
      <c r="Z24" s="69">
        <f>Z$22*'Region OP Sales Goals'!W17</f>
        <v>12960.880564892161</v>
      </c>
      <c r="AA24" s="69">
        <f>AA$22*'Region OP Sales Goals'!X17</f>
        <v>12135.669006890477</v>
      </c>
      <c r="AB24" s="69">
        <f>AB$22*'Region OP Sales Goals'!Y17</f>
        <v>11100.47635256365</v>
      </c>
      <c r="AC24" s="69">
        <f>AC$22*'Region OP Sales Goals'!Z17</f>
        <v>11802.481989783502</v>
      </c>
      <c r="AD24" s="69">
        <f>AD$22*'Region OP Sales Goals'!AA17</f>
        <v>13596.015775261958</v>
      </c>
      <c r="AE24" s="69">
        <f>AE$22*'Region OP Sales Goals'!AB17</f>
        <v>14072.032698581013</v>
      </c>
      <c r="AF24" s="69">
        <f>AF$22*'Region OP Sales Goals'!AC17</f>
        <v>11009.334148458682</v>
      </c>
      <c r="AG24" s="69">
        <f>AG$22*'Region OP Sales Goals'!AD17</f>
        <v>14163.904403872628</v>
      </c>
      <c r="AH24" s="69">
        <f>AH$22*'Region OP Sales Goals'!AE17</f>
        <v>151907.81162416987</v>
      </c>
      <c r="AJ24" s="757"/>
      <c r="AK24" s="757"/>
      <c r="AL24" s="292" t="s">
        <v>100</v>
      </c>
      <c r="AM24" s="69">
        <v>10706</v>
      </c>
      <c r="AN24" s="69">
        <v>9911</v>
      </c>
      <c r="AO24" s="69">
        <v>12477</v>
      </c>
      <c r="AP24" s="69">
        <v>8980</v>
      </c>
      <c r="AQ24" s="69">
        <v>9225</v>
      </c>
      <c r="AR24" s="69">
        <v>7973</v>
      </c>
      <c r="AS24" s="69">
        <v>8624</v>
      </c>
      <c r="AT24" s="69">
        <v>7276</v>
      </c>
      <c r="AU24" s="69"/>
      <c r="AV24" s="69"/>
      <c r="AW24" s="69"/>
      <c r="AX24" s="69"/>
      <c r="AY24" s="69">
        <f t="shared" ref="AY24:AY29" si="52">SUM(AM24:AX24)</f>
        <v>75172</v>
      </c>
      <c r="BA24" s="757"/>
      <c r="BB24" s="757"/>
      <c r="BC24" s="292" t="s">
        <v>100</v>
      </c>
      <c r="BD24" s="465">
        <f t="shared" ref="BD24:BD29" si="53">AM24/V24</f>
        <v>1.0347759103133076</v>
      </c>
      <c r="BE24" s="465">
        <f t="shared" si="50"/>
        <v>0.86099144541161021</v>
      </c>
      <c r="BF24" s="465">
        <f t="shared" si="14"/>
        <v>0.98327334326443405</v>
      </c>
      <c r="BG24" s="465">
        <f t="shared" si="15"/>
        <v>0.64213784853608513</v>
      </c>
      <c r="BH24" s="465">
        <f t="shared" si="16"/>
        <v>0.71175719533966364</v>
      </c>
      <c r="BI24" s="465">
        <f t="shared" si="17"/>
        <v>0.65698891387636171</v>
      </c>
      <c r="BJ24" s="465">
        <f t="shared" si="18"/>
        <v>0.77690359639460793</v>
      </c>
      <c r="BK24" s="465">
        <f t="shared" si="19"/>
        <v>0.61648050014380629</v>
      </c>
      <c r="BL24" s="465">
        <f t="shared" si="20"/>
        <v>0</v>
      </c>
      <c r="BM24" s="465">
        <f t="shared" si="21"/>
        <v>0</v>
      </c>
      <c r="BN24" s="465">
        <f t="shared" si="22"/>
        <v>0</v>
      </c>
      <c r="BO24" s="465">
        <f t="shared" si="23"/>
        <v>0</v>
      </c>
      <c r="BP24" s="465">
        <f t="shared" ref="BP24:BP30" si="54">AY24/AH24</f>
        <v>0.49485276100205156</v>
      </c>
    </row>
    <row r="25" spans="2:68" ht="16" customHeight="1">
      <c r="B25" s="769"/>
      <c r="C25" s="769"/>
      <c r="D25" s="292" t="s">
        <v>101</v>
      </c>
      <c r="E25" s="69">
        <v>7445</v>
      </c>
      <c r="F25" s="69">
        <v>7749</v>
      </c>
      <c r="G25" s="69">
        <v>9769</v>
      </c>
      <c r="H25" s="69">
        <v>9047</v>
      </c>
      <c r="I25" s="69">
        <v>9557</v>
      </c>
      <c r="J25" s="69">
        <v>8541</v>
      </c>
      <c r="K25" s="69">
        <v>8406</v>
      </c>
      <c r="L25" s="69">
        <v>7459</v>
      </c>
      <c r="M25" s="69">
        <v>6007</v>
      </c>
      <c r="N25" s="69">
        <v>5410</v>
      </c>
      <c r="O25" s="69">
        <v>6343</v>
      </c>
      <c r="P25" s="69">
        <v>6816</v>
      </c>
      <c r="Q25" s="69">
        <f t="shared" si="51"/>
        <v>92549</v>
      </c>
      <c r="S25" s="769"/>
      <c r="T25" s="769"/>
      <c r="U25" s="292" t="s">
        <v>101</v>
      </c>
      <c r="V25" s="69">
        <v>4592.1642697771003</v>
      </c>
      <c r="W25" s="69">
        <v>5330.2853050614031</v>
      </c>
      <c r="X25" s="69">
        <v>5633.0776971926289</v>
      </c>
      <c r="Y25" s="69">
        <f>Y$22*'Region OP Sales Goals'!V18</f>
        <v>5182.6305740134994</v>
      </c>
      <c r="Z25" s="69">
        <f>Z$22*'Region OP Sales Goals'!W18</f>
        <v>5714.2798549647705</v>
      </c>
      <c r="AA25" s="69">
        <f>AA$22*'Region OP Sales Goals'!X18</f>
        <v>5366.9295277997489</v>
      </c>
      <c r="AB25" s="69">
        <f>AB$22*'Region OP Sales Goals'!Y18</f>
        <v>4968.6874850170007</v>
      </c>
      <c r="AC25" s="69">
        <f>AC$22*'Region OP Sales Goals'!Z18</f>
        <v>5351.4359332558734</v>
      </c>
      <c r="AD25" s="69">
        <f>AD$22*'Region OP Sales Goals'!AA18</f>
        <v>6073.0898205681688</v>
      </c>
      <c r="AE25" s="69">
        <f>AE$22*'Region OP Sales Goals'!AB18</f>
        <v>6472.4910123908085</v>
      </c>
      <c r="AF25" s="69">
        <f>AF$22*'Region OP Sales Goals'!AC18</f>
        <v>5009.6737559265475</v>
      </c>
      <c r="AG25" s="69">
        <f>AG$22*'Region OP Sales Goals'!AD18</f>
        <v>6497.4101154272848</v>
      </c>
      <c r="AH25" s="69">
        <f>AH$22*'Region OP Sales Goals'!AE18</f>
        <v>65542.42977754616</v>
      </c>
      <c r="AJ25" s="757"/>
      <c r="AK25" s="757"/>
      <c r="AL25" s="292" t="s">
        <v>101</v>
      </c>
      <c r="AM25" s="69">
        <v>5467</v>
      </c>
      <c r="AN25" s="69">
        <v>5046</v>
      </c>
      <c r="AO25" s="69">
        <v>5763</v>
      </c>
      <c r="AP25" s="69">
        <v>4119</v>
      </c>
      <c r="AQ25" s="69">
        <v>4473</v>
      </c>
      <c r="AR25" s="69">
        <v>4055</v>
      </c>
      <c r="AS25" s="69">
        <v>4616</v>
      </c>
      <c r="AT25" s="69">
        <v>3291</v>
      </c>
      <c r="AU25" s="69"/>
      <c r="AV25" s="69"/>
      <c r="AW25" s="69"/>
      <c r="AX25" s="69"/>
      <c r="AY25" s="69">
        <f t="shared" si="52"/>
        <v>36830</v>
      </c>
      <c r="BA25" s="757"/>
      <c r="BB25" s="757"/>
      <c r="BC25" s="292" t="s">
        <v>101</v>
      </c>
      <c r="BD25" s="465">
        <f t="shared" si="53"/>
        <v>1.1905061924680154</v>
      </c>
      <c r="BE25" s="465">
        <f t="shared" si="50"/>
        <v>0.94666602465135252</v>
      </c>
      <c r="BF25" s="465">
        <f t="shared" si="14"/>
        <v>1.0230641773097007</v>
      </c>
      <c r="BG25" s="465">
        <f t="shared" si="15"/>
        <v>0.79477013481402559</v>
      </c>
      <c r="BH25" s="465">
        <f t="shared" si="16"/>
        <v>0.78277580264356461</v>
      </c>
      <c r="BI25" s="465">
        <f t="shared" si="17"/>
        <v>0.75555305486979374</v>
      </c>
      <c r="BJ25" s="465">
        <f t="shared" si="18"/>
        <v>0.92901797787030793</v>
      </c>
      <c r="BK25" s="465">
        <f t="shared" si="19"/>
        <v>0.61497512836666235</v>
      </c>
      <c r="BL25" s="465">
        <f t="shared" si="20"/>
        <v>0</v>
      </c>
      <c r="BM25" s="465">
        <f t="shared" si="21"/>
        <v>0</v>
      </c>
      <c r="BN25" s="465">
        <f t="shared" si="22"/>
        <v>0</v>
      </c>
      <c r="BO25" s="465">
        <f t="shared" si="23"/>
        <v>0</v>
      </c>
      <c r="BP25" s="465">
        <f t="shared" si="54"/>
        <v>0.56192607025712371</v>
      </c>
    </row>
    <row r="26" spans="2:68" ht="16" customHeight="1">
      <c r="B26" s="769"/>
      <c r="C26" s="769"/>
      <c r="D26" s="292" t="s">
        <v>102</v>
      </c>
      <c r="E26" s="69">
        <v>3280</v>
      </c>
      <c r="F26" s="69">
        <v>3514</v>
      </c>
      <c r="G26" s="69">
        <v>4053</v>
      </c>
      <c r="H26" s="69">
        <v>3548</v>
      </c>
      <c r="I26" s="69">
        <v>3544</v>
      </c>
      <c r="J26" s="69">
        <v>3807</v>
      </c>
      <c r="K26" s="69">
        <v>4141</v>
      </c>
      <c r="L26" s="69">
        <v>4036</v>
      </c>
      <c r="M26" s="69">
        <v>3056</v>
      </c>
      <c r="N26" s="69">
        <v>2837</v>
      </c>
      <c r="O26" s="69">
        <v>2903</v>
      </c>
      <c r="P26" s="69">
        <v>3562</v>
      </c>
      <c r="Q26" s="69">
        <f t="shared" si="51"/>
        <v>42281</v>
      </c>
      <c r="S26" s="769"/>
      <c r="T26" s="769"/>
      <c r="U26" s="292" t="s">
        <v>102</v>
      </c>
      <c r="V26" s="69">
        <v>2821.6912982967724</v>
      </c>
      <c r="W26" s="69">
        <v>3288.8994435485256</v>
      </c>
      <c r="X26" s="69">
        <v>3508.320320181374</v>
      </c>
      <c r="Y26" s="69">
        <f>Y$22*'Region OP Sales Goals'!V19</f>
        <v>3148.1268362809274</v>
      </c>
      <c r="Z26" s="69">
        <f>Z$22*'Region OP Sales Goals'!W19</f>
        <v>3713.7498498746836</v>
      </c>
      <c r="AA26" s="69">
        <f>AA$22*'Region OP Sales Goals'!X19</f>
        <v>3975.1325047322771</v>
      </c>
      <c r="AB26" s="69">
        <f>AB$22*'Region OP Sales Goals'!Y19</f>
        <v>3621.9385157721463</v>
      </c>
      <c r="AC26" s="69">
        <f>AC$22*'Region OP Sales Goals'!Z19</f>
        <v>3937.6514890493313</v>
      </c>
      <c r="AD26" s="69">
        <f>AD$22*'Region OP Sales Goals'!AA19</f>
        <v>4207.5664032317027</v>
      </c>
      <c r="AE26" s="69">
        <f>AE$22*'Region OP Sales Goals'!AB19</f>
        <v>4411.5983517290588</v>
      </c>
      <c r="AF26" s="69">
        <f>AF$22*'Region OP Sales Goals'!AC19</f>
        <v>3362.5408174362174</v>
      </c>
      <c r="AG26" s="69">
        <f>AG$22*'Region OP Sales Goals'!AD19</f>
        <v>4294.1360970470978</v>
      </c>
      <c r="AH26" s="69">
        <f>AH$22*'Region OP Sales Goals'!AE19</f>
        <v>44760.187292181363</v>
      </c>
      <c r="AJ26" s="757"/>
      <c r="AK26" s="757"/>
      <c r="AL26" s="292" t="s">
        <v>102</v>
      </c>
      <c r="AM26" s="69">
        <v>2843</v>
      </c>
      <c r="AN26" s="69">
        <v>2712</v>
      </c>
      <c r="AO26" s="69">
        <v>2867</v>
      </c>
      <c r="AP26" s="69">
        <v>2136</v>
      </c>
      <c r="AQ26" s="69">
        <v>2207</v>
      </c>
      <c r="AR26" s="69">
        <v>2421</v>
      </c>
      <c r="AS26" s="69">
        <v>3011</v>
      </c>
      <c r="AT26" s="69">
        <v>5680</v>
      </c>
      <c r="AU26" s="69"/>
      <c r="AV26" s="69"/>
      <c r="AW26" s="69"/>
      <c r="AX26" s="69"/>
      <c r="AY26" s="69">
        <f t="shared" si="52"/>
        <v>23877</v>
      </c>
      <c r="BA26" s="757"/>
      <c r="BB26" s="757"/>
      <c r="BC26" s="292" t="s">
        <v>102</v>
      </c>
      <c r="BD26" s="465">
        <f t="shared" si="53"/>
        <v>1.0075517480300167</v>
      </c>
      <c r="BE26" s="465">
        <f t="shared" si="50"/>
        <v>0.8245919483247911</v>
      </c>
      <c r="BF26" s="465">
        <f t="shared" si="14"/>
        <v>0.81720018081238976</v>
      </c>
      <c r="BG26" s="465">
        <f t="shared" si="15"/>
        <v>0.6784987108471735</v>
      </c>
      <c r="BH26" s="465">
        <f t="shared" si="16"/>
        <v>0.59427804489159997</v>
      </c>
      <c r="BI26" s="465">
        <f t="shared" si="17"/>
        <v>0.6090363018384598</v>
      </c>
      <c r="BJ26" s="465">
        <f t="shared" si="18"/>
        <v>0.8313227811262548</v>
      </c>
      <c r="BK26" s="465">
        <f t="shared" si="19"/>
        <v>1.4424841852551367</v>
      </c>
      <c r="BL26" s="465">
        <f t="shared" si="20"/>
        <v>0</v>
      </c>
      <c r="BM26" s="465">
        <f t="shared" si="21"/>
        <v>0</v>
      </c>
      <c r="BN26" s="465">
        <f t="shared" si="22"/>
        <v>0</v>
      </c>
      <c r="BO26" s="465">
        <f t="shared" si="23"/>
        <v>0</v>
      </c>
      <c r="BP26" s="465">
        <f t="shared" si="54"/>
        <v>0.53344280809501432</v>
      </c>
    </row>
    <row r="27" spans="2:68" ht="16" customHeight="1">
      <c r="B27" s="769"/>
      <c r="C27" s="769"/>
      <c r="D27" s="292" t="s">
        <v>103</v>
      </c>
      <c r="E27" s="69">
        <v>9753</v>
      </c>
      <c r="F27" s="69">
        <v>9374</v>
      </c>
      <c r="G27" s="69">
        <v>11743</v>
      </c>
      <c r="H27" s="69">
        <v>11805</v>
      </c>
      <c r="I27" s="69">
        <v>12379</v>
      </c>
      <c r="J27" s="69">
        <v>11344</v>
      </c>
      <c r="K27" s="69">
        <v>11580</v>
      </c>
      <c r="L27" s="69">
        <v>10073</v>
      </c>
      <c r="M27" s="69">
        <v>8160</v>
      </c>
      <c r="N27" s="69">
        <v>7599</v>
      </c>
      <c r="O27" s="69">
        <v>7817</v>
      </c>
      <c r="P27" s="69">
        <v>9467</v>
      </c>
      <c r="Q27" s="69">
        <f t="shared" si="51"/>
        <v>121094</v>
      </c>
      <c r="S27" s="769"/>
      <c r="T27" s="769"/>
      <c r="U27" s="292" t="s">
        <v>103</v>
      </c>
      <c r="V27" s="69">
        <v>6971.2373252037914</v>
      </c>
      <c r="W27" s="69">
        <v>7655.1969806732932</v>
      </c>
      <c r="X27" s="69">
        <v>8153.1387722524896</v>
      </c>
      <c r="Y27" s="69">
        <f>Y$22*'Region OP Sales Goals'!V20</f>
        <v>7442.0005143375665</v>
      </c>
      <c r="Z27" s="69">
        <f>Z$22*'Region OP Sales Goals'!W20</f>
        <v>9417.3885877911034</v>
      </c>
      <c r="AA27" s="69">
        <f>AA$22*'Region OP Sales Goals'!X20</f>
        <v>8490.9631335339327</v>
      </c>
      <c r="AB27" s="69">
        <f>AB$22*'Region OP Sales Goals'!Y20</f>
        <v>7407.1193308466991</v>
      </c>
      <c r="AC27" s="69">
        <f>AC$22*'Region OP Sales Goals'!Z20</f>
        <v>7896.2479328276477</v>
      </c>
      <c r="AD27" s="69">
        <f>AD$22*'Region OP Sales Goals'!AA20</f>
        <v>8790.2652327756296</v>
      </c>
      <c r="AE27" s="69">
        <f>AE$22*'Region OP Sales Goals'!AB20</f>
        <v>9166.6788135684092</v>
      </c>
      <c r="AF27" s="69">
        <f>AF$22*'Region OP Sales Goals'!AC20</f>
        <v>7160.3343802766149</v>
      </c>
      <c r="AG27" s="69">
        <f>AG$22*'Region OP Sales Goals'!AD20</f>
        <v>9195.2966685458796</v>
      </c>
      <c r="AH27" s="69">
        <f>AH$22*'Region OP Sales Goals'!AE20</f>
        <v>96410.471627747625</v>
      </c>
      <c r="AJ27" s="757"/>
      <c r="AK27" s="757"/>
      <c r="AL27" s="292" t="s">
        <v>103</v>
      </c>
      <c r="AM27" s="69">
        <v>7437</v>
      </c>
      <c r="AN27" s="69">
        <v>6869</v>
      </c>
      <c r="AO27" s="69">
        <v>8700</v>
      </c>
      <c r="AP27" s="69">
        <v>5846</v>
      </c>
      <c r="AQ27" s="69">
        <v>6196</v>
      </c>
      <c r="AR27" s="69">
        <v>5570</v>
      </c>
      <c r="AS27" s="69">
        <v>6004</v>
      </c>
      <c r="AT27" s="69">
        <v>4637</v>
      </c>
      <c r="AU27" s="69"/>
      <c r="AV27" s="69"/>
      <c r="AW27" s="69"/>
      <c r="AX27" s="69"/>
      <c r="AY27" s="69">
        <f t="shared" si="52"/>
        <v>51259</v>
      </c>
      <c r="BA27" s="757"/>
      <c r="BB27" s="757"/>
      <c r="BC27" s="292" t="s">
        <v>103</v>
      </c>
      <c r="BD27" s="465">
        <f t="shared" si="53"/>
        <v>1.0668120525910503</v>
      </c>
      <c r="BE27" s="465">
        <f t="shared" si="50"/>
        <v>0.89729892220171903</v>
      </c>
      <c r="BF27" s="465">
        <f t="shared" si="14"/>
        <v>1.0670737053573329</v>
      </c>
      <c r="BG27" s="465">
        <f t="shared" si="15"/>
        <v>0.78554146680549763</v>
      </c>
      <c r="BH27" s="465">
        <f t="shared" si="16"/>
        <v>0.65793186107161616</v>
      </c>
      <c r="BI27" s="465">
        <f t="shared" si="17"/>
        <v>0.65599154211399457</v>
      </c>
      <c r="BJ27" s="465">
        <f t="shared" si="18"/>
        <v>0.81057152339865024</v>
      </c>
      <c r="BK27" s="465">
        <f t="shared" si="19"/>
        <v>0.5872409325854957</v>
      </c>
      <c r="BL27" s="465">
        <f t="shared" si="20"/>
        <v>0</v>
      </c>
      <c r="BM27" s="465">
        <f t="shared" si="21"/>
        <v>0</v>
      </c>
      <c r="BN27" s="465">
        <f t="shared" si="22"/>
        <v>0</v>
      </c>
      <c r="BO27" s="465">
        <f t="shared" si="23"/>
        <v>0</v>
      </c>
      <c r="BP27" s="465">
        <f t="shared" si="54"/>
        <v>0.53167461101027635</v>
      </c>
    </row>
    <row r="28" spans="2:68" ht="16" customHeight="1">
      <c r="B28" s="769"/>
      <c r="C28" s="769"/>
      <c r="D28" s="292" t="s">
        <v>104</v>
      </c>
      <c r="E28" s="69">
        <v>13664</v>
      </c>
      <c r="F28" s="69">
        <v>13440</v>
      </c>
      <c r="G28" s="69">
        <v>18464</v>
      </c>
      <c r="H28" s="69">
        <v>16026</v>
      </c>
      <c r="I28" s="69">
        <v>15732</v>
      </c>
      <c r="J28" s="69">
        <v>15322</v>
      </c>
      <c r="K28" s="69">
        <v>15153</v>
      </c>
      <c r="L28" s="69">
        <v>14149</v>
      </c>
      <c r="M28" s="69">
        <v>12179</v>
      </c>
      <c r="N28" s="69">
        <v>10841</v>
      </c>
      <c r="O28" s="69">
        <v>11253</v>
      </c>
      <c r="P28" s="69">
        <v>13853</v>
      </c>
      <c r="Q28" s="69">
        <f t="shared" si="51"/>
        <v>170076</v>
      </c>
      <c r="S28" s="769"/>
      <c r="T28" s="769"/>
      <c r="U28" s="292" t="s">
        <v>104</v>
      </c>
      <c r="V28" s="156">
        <v>14495.747453995185</v>
      </c>
      <c r="W28" s="156">
        <v>14187.631737514503</v>
      </c>
      <c r="X28" s="156">
        <v>16019.682363419741</v>
      </c>
      <c r="Y28" s="156">
        <f>Y$22*'Region OP Sales Goals'!V21</f>
        <v>17443.192572454525</v>
      </c>
      <c r="Z28" s="156">
        <f>Z$22*'Region OP Sales Goals'!W21</f>
        <v>19952.094465659116</v>
      </c>
      <c r="AA28" s="156">
        <f>AA$22*'Region OP Sales Goals'!X21</f>
        <v>18373.723290135338</v>
      </c>
      <c r="AB28" s="69">
        <f>AB$22*'Region OP Sales Goals'!Y21</f>
        <v>15742.679238975838</v>
      </c>
      <c r="AC28" s="69">
        <f>AC$22*'Region OP Sales Goals'!Z21</f>
        <v>16818.798647375603</v>
      </c>
      <c r="AD28" s="69">
        <f>AD$22*'Region OP Sales Goals'!AA21</f>
        <v>18290.240461277088</v>
      </c>
      <c r="AE28" s="69">
        <f>AE$22*'Region OP Sales Goals'!AB21</f>
        <v>18827.113160420362</v>
      </c>
      <c r="AF28" s="69">
        <f>AF$22*'Region OP Sales Goals'!AC21</f>
        <v>14713.249668172686</v>
      </c>
      <c r="AG28" s="69">
        <f>AG$22*'Region OP Sales Goals'!AD21</f>
        <v>19053.823781400079</v>
      </c>
      <c r="AH28" s="69">
        <f>AH$22*'Region OP Sales Goals'!AE21</f>
        <v>201369.95583517518</v>
      </c>
      <c r="AJ28" s="757"/>
      <c r="AK28" s="757"/>
      <c r="AL28" s="292" t="s">
        <v>104</v>
      </c>
      <c r="AM28" s="156">
        <v>11651</v>
      </c>
      <c r="AN28" s="156">
        <v>11061</v>
      </c>
      <c r="AO28" s="156">
        <v>12253</v>
      </c>
      <c r="AP28" s="156">
        <v>8798</v>
      </c>
      <c r="AQ28" s="156">
        <v>9224</v>
      </c>
      <c r="AR28" s="156">
        <v>7820</v>
      </c>
      <c r="AS28" s="156">
        <v>9418</v>
      </c>
      <c r="AT28" s="156">
        <v>7503</v>
      </c>
      <c r="AU28" s="69"/>
      <c r="AV28" s="69"/>
      <c r="AW28" s="69"/>
      <c r="AX28" s="69"/>
      <c r="AY28" s="69">
        <f t="shared" si="52"/>
        <v>77728</v>
      </c>
      <c r="BA28" s="757"/>
      <c r="BB28" s="757"/>
      <c r="BC28" s="292" t="s">
        <v>104</v>
      </c>
      <c r="BD28" s="542">
        <f t="shared" si="53"/>
        <v>0.80375296527319517</v>
      </c>
      <c r="BE28" s="542">
        <f t="shared" si="50"/>
        <v>0.7796227167887958</v>
      </c>
      <c r="BF28" s="542">
        <f t="shared" si="14"/>
        <v>0.76487159495616475</v>
      </c>
      <c r="BG28" s="542">
        <f t="shared" si="15"/>
        <v>0.50438014505976336</v>
      </c>
      <c r="BH28" s="542">
        <f t="shared" si="16"/>
        <v>0.46230735404125334</v>
      </c>
      <c r="BI28" s="542">
        <f t="shared" si="17"/>
        <v>0.42560780286696037</v>
      </c>
      <c r="BJ28" s="465">
        <f t="shared" si="18"/>
        <v>0.59824632497642771</v>
      </c>
      <c r="BK28" s="465">
        <f t="shared" si="19"/>
        <v>0.44610796272127107</v>
      </c>
      <c r="BL28" s="465">
        <f t="shared" si="20"/>
        <v>0</v>
      </c>
      <c r="BM28" s="465">
        <f t="shared" si="21"/>
        <v>0</v>
      </c>
      <c r="BN28" s="465">
        <f t="shared" si="22"/>
        <v>0</v>
      </c>
      <c r="BO28" s="465">
        <f t="shared" si="23"/>
        <v>0</v>
      </c>
      <c r="BP28" s="465">
        <f t="shared" si="54"/>
        <v>0.38599601255125526</v>
      </c>
    </row>
    <row r="29" spans="2:68" ht="16" customHeight="1">
      <c r="B29" s="769"/>
      <c r="C29" s="769"/>
      <c r="D29" s="292" t="s">
        <v>105</v>
      </c>
      <c r="E29" s="69">
        <v>9618</v>
      </c>
      <c r="F29" s="69">
        <v>9184</v>
      </c>
      <c r="G29" s="69">
        <v>11165</v>
      </c>
      <c r="H29" s="69">
        <v>10089</v>
      </c>
      <c r="I29" s="69">
        <v>10730</v>
      </c>
      <c r="J29" s="69">
        <v>9363</v>
      </c>
      <c r="K29" s="69">
        <v>10621</v>
      </c>
      <c r="L29" s="69">
        <v>9922</v>
      </c>
      <c r="M29" s="69">
        <v>9013</v>
      </c>
      <c r="N29" s="69">
        <v>7876</v>
      </c>
      <c r="O29" s="69">
        <v>7361</v>
      </c>
      <c r="P29" s="69">
        <v>8646</v>
      </c>
      <c r="Q29" s="69">
        <f t="shared" si="51"/>
        <v>113588</v>
      </c>
      <c r="S29" s="769"/>
      <c r="T29" s="769"/>
      <c r="U29" s="292" t="s">
        <v>105</v>
      </c>
      <c r="V29" s="69">
        <v>7911.8010913027156</v>
      </c>
      <c r="W29" s="69">
        <v>9242.9415396277545</v>
      </c>
      <c r="X29" s="69">
        <v>9487.2887531665328</v>
      </c>
      <c r="Y29" s="69">
        <f>Y$22*'Region OP Sales Goals'!V22</f>
        <v>11618.0871338939</v>
      </c>
      <c r="Z29" s="69">
        <f>Z$22*'Region OP Sales Goals'!W22</f>
        <v>12588.441468199859</v>
      </c>
      <c r="AA29" s="69">
        <f>AA$22*'Region OP Sales Goals'!X22</f>
        <v>11494.841600586031</v>
      </c>
      <c r="AB29" s="69">
        <f>AB$22*'Region OP Sales Goals'!Y22</f>
        <v>9998.5908322724044</v>
      </c>
      <c r="AC29" s="69">
        <f>AC$22*'Region OP Sales Goals'!Z22</f>
        <v>10566.729660773339</v>
      </c>
      <c r="AD29" s="69">
        <f>AD$22*'Region OP Sales Goals'!AA22</f>
        <v>11213.417932468103</v>
      </c>
      <c r="AE29" s="69">
        <f>AE$22*'Region OP Sales Goals'!AB22</f>
        <v>11367.111081462466</v>
      </c>
      <c r="AF29" s="69">
        <f>AF$22*'Region OP Sales Goals'!AC22</f>
        <v>9029.3608752475084</v>
      </c>
      <c r="AG29" s="69">
        <f>AG$22*'Region OP Sales Goals'!AD22</f>
        <v>11567.18859649598</v>
      </c>
      <c r="AH29" s="69">
        <f>AH$22*'Region OP Sales Goals'!AE22</f>
        <v>127634.72233543577</v>
      </c>
      <c r="AJ29" s="757"/>
      <c r="AK29" s="757"/>
      <c r="AL29" s="292" t="s">
        <v>105</v>
      </c>
      <c r="AM29" s="69">
        <v>7919</v>
      </c>
      <c r="AN29" s="69">
        <v>7228</v>
      </c>
      <c r="AO29" s="69">
        <v>7892</v>
      </c>
      <c r="AP29" s="69">
        <v>5934</v>
      </c>
      <c r="AQ29" s="69">
        <v>6444</v>
      </c>
      <c r="AR29" s="69">
        <v>5913</v>
      </c>
      <c r="AS29" s="69">
        <v>5481</v>
      </c>
      <c r="AT29" s="69">
        <v>4917</v>
      </c>
      <c r="AU29" s="69"/>
      <c r="AV29" s="69"/>
      <c r="AW29" s="69"/>
      <c r="AX29" s="69"/>
      <c r="AY29" s="69">
        <f t="shared" si="52"/>
        <v>51728</v>
      </c>
      <c r="BA29" s="757"/>
      <c r="BB29" s="757"/>
      <c r="BC29" s="292" t="s">
        <v>105</v>
      </c>
      <c r="BD29" s="465">
        <f t="shared" si="53"/>
        <v>1.000909895056032</v>
      </c>
      <c r="BE29" s="465">
        <f t="shared" si="50"/>
        <v>0.7820021330883693</v>
      </c>
      <c r="BF29" s="465">
        <f t="shared" si="14"/>
        <v>0.83184987885668815</v>
      </c>
      <c r="BG29" s="465">
        <f t="shared" si="15"/>
        <v>0.51075533619372759</v>
      </c>
      <c r="BH29" s="465">
        <f t="shared" si="16"/>
        <v>0.51189815802682437</v>
      </c>
      <c r="BI29" s="465">
        <f t="shared" si="17"/>
        <v>0.51440465257899182</v>
      </c>
      <c r="BJ29" s="465">
        <f t="shared" si="18"/>
        <v>0.54817724736859941</v>
      </c>
      <c r="BK29" s="465">
        <f t="shared" si="19"/>
        <v>0.46532845618765867</v>
      </c>
      <c r="BL29" s="465">
        <f t="shared" si="20"/>
        <v>0</v>
      </c>
      <c r="BM29" s="465">
        <f t="shared" si="21"/>
        <v>0</v>
      </c>
      <c r="BN29" s="465">
        <f t="shared" si="22"/>
        <v>0</v>
      </c>
      <c r="BO29" s="465">
        <f t="shared" si="23"/>
        <v>0</v>
      </c>
      <c r="BP29" s="465">
        <f t="shared" si="54"/>
        <v>0.40528156487114897</v>
      </c>
    </row>
    <row r="30" spans="2:68">
      <c r="B30" s="769"/>
      <c r="C30" s="769"/>
      <c r="D30" s="182" t="s">
        <v>203</v>
      </c>
      <c r="E30" s="341">
        <f>SUM(E31:E37)</f>
        <v>63088</v>
      </c>
      <c r="F30" s="341">
        <f t="shared" ref="F30:Q30" si="55">SUM(F31:F37)</f>
        <v>64229</v>
      </c>
      <c r="G30" s="341">
        <f t="shared" si="55"/>
        <v>96445</v>
      </c>
      <c r="H30" s="341">
        <f t="shared" si="55"/>
        <v>83253</v>
      </c>
      <c r="I30" s="341">
        <f t="shared" si="55"/>
        <v>81650</v>
      </c>
      <c r="J30" s="341">
        <f t="shared" si="55"/>
        <v>87767</v>
      </c>
      <c r="K30" s="341">
        <f t="shared" si="55"/>
        <v>78594</v>
      </c>
      <c r="L30" s="341">
        <f t="shared" si="55"/>
        <v>93468</v>
      </c>
      <c r="M30" s="341">
        <f t="shared" si="55"/>
        <v>70500</v>
      </c>
      <c r="N30" s="341">
        <f t="shared" si="55"/>
        <v>70997</v>
      </c>
      <c r="O30" s="341">
        <f t="shared" si="55"/>
        <v>69933</v>
      </c>
      <c r="P30" s="341">
        <f t="shared" si="55"/>
        <v>91960</v>
      </c>
      <c r="Q30" s="341">
        <f t="shared" si="55"/>
        <v>951884</v>
      </c>
      <c r="S30" s="769"/>
      <c r="T30" s="769"/>
      <c r="U30" s="182" t="s">
        <v>203</v>
      </c>
      <c r="V30" s="341">
        <v>62216.274695925436</v>
      </c>
      <c r="W30" s="341">
        <v>69582.557880078486</v>
      </c>
      <c r="X30" s="341">
        <v>84112.46664862812</v>
      </c>
      <c r="Y30" s="341" cm="1">
        <f t="array" ref="Y30">INDEX('Shop Goals'!$E$8:$E$19, COLUMN()-COLUMN($V$3)+1)</f>
        <v>76096.018345223754</v>
      </c>
      <c r="Z30" s="341" cm="1">
        <f t="array" ref="Z30">INDEX('Shop Goals'!$E$8:$E$19, COLUMN()-COLUMN($V$3)+1)</f>
        <v>84740.475769731929</v>
      </c>
      <c r="AA30" s="341" cm="1">
        <f t="array" ref="AA30">INDEX('Shop Goals'!$E$8:$E$19, COLUMN()-COLUMN($V$3)+1)</f>
        <v>79751.35869384851</v>
      </c>
      <c r="AB30" s="341" cm="1">
        <f t="array" ref="AB30">INDEX('Shop Goals'!$E$8:$E$19, COLUMN()-COLUMN($V$3)+1)</f>
        <v>79739.765594446435</v>
      </c>
      <c r="AC30" s="341" cm="1">
        <f t="array" ref="AC30">INDEX('Shop Goals'!$E$8:$E$19, COLUMN()-COLUMN($V$3)+1)</f>
        <v>84555.255210172661</v>
      </c>
      <c r="AD30" s="341" cm="1">
        <f t="array" ref="AD30">INDEX('Shop Goals'!$E$8:$E$19, COLUMN()-COLUMN($V$3)+1)</f>
        <v>84138.489916831255</v>
      </c>
      <c r="AE30" s="341" cm="1">
        <f t="array" ref="AE30">INDEX('Shop Goals'!$E$8:$E$19, COLUMN()-COLUMN($V$3)+1)</f>
        <v>86402.514065979893</v>
      </c>
      <c r="AF30" s="341" cm="1">
        <f t="array" ref="AF30">INDEX('Shop Goals'!$E$8:$E$19, COLUMN()-COLUMN($V$3)+1)</f>
        <v>75342.83551685157</v>
      </c>
      <c r="AG30" s="341" cm="1">
        <f t="array" ref="AG30">INDEX('Shop Goals'!$E$8:$E$19, COLUMN()-COLUMN($V$3)+1)</f>
        <v>95996.81149201325</v>
      </c>
      <c r="AH30" s="342">
        <f t="shared" si="45"/>
        <v>962674.82382973121</v>
      </c>
      <c r="AJ30" s="757"/>
      <c r="AK30" s="757"/>
      <c r="AL30" s="182" t="s">
        <v>203</v>
      </c>
      <c r="AM30" s="341">
        <f>SUM(AM31:AM37)</f>
        <v>71773</v>
      </c>
      <c r="AN30" s="341">
        <f>SUM(AN31:AN37)</f>
        <v>70804</v>
      </c>
      <c r="AO30" s="341">
        <f t="shared" ref="AO30:AS30" si="56">SUM(AO31:AO37)</f>
        <v>84483</v>
      </c>
      <c r="AP30" s="341">
        <f t="shared" si="56"/>
        <v>70978</v>
      </c>
      <c r="AQ30" s="341">
        <f t="shared" si="56"/>
        <v>72687</v>
      </c>
      <c r="AR30" s="341">
        <f t="shared" si="56"/>
        <v>80598</v>
      </c>
      <c r="AS30" s="341">
        <f t="shared" si="56"/>
        <v>106164</v>
      </c>
      <c r="AT30" s="341">
        <f t="shared" ref="AT30:AY30" si="57">SUM(AT31:AT37)</f>
        <v>91984</v>
      </c>
      <c r="AU30" s="341">
        <f t="shared" si="57"/>
        <v>0</v>
      </c>
      <c r="AV30" s="341">
        <f t="shared" si="57"/>
        <v>0</v>
      </c>
      <c r="AW30" s="341">
        <f t="shared" si="57"/>
        <v>0</v>
      </c>
      <c r="AX30" s="341">
        <f t="shared" si="57"/>
        <v>0</v>
      </c>
      <c r="AY30" s="341">
        <f t="shared" si="57"/>
        <v>649471</v>
      </c>
      <c r="BA30" s="757"/>
      <c r="BB30" s="757"/>
      <c r="BC30" s="182" t="s">
        <v>203</v>
      </c>
      <c r="BD30" s="464">
        <f>AM30/V30</f>
        <v>1.1536049104640531</v>
      </c>
      <c r="BE30" s="464">
        <f t="shared" si="50"/>
        <v>1.0175538548327958</v>
      </c>
      <c r="BF30" s="464">
        <f t="shared" ref="BF30:BF37" si="58">AO30/X30</f>
        <v>1.0044052132357473</v>
      </c>
      <c r="BG30" s="464">
        <f t="shared" ref="BG30:BG37" si="59">AP30/Y30</f>
        <v>0.93274262626981463</v>
      </c>
      <c r="BH30" s="464">
        <f t="shared" ref="BH30:BH37" si="60">AQ30/Z30</f>
        <v>0.85776011215130255</v>
      </c>
      <c r="BI30" s="464">
        <f t="shared" ref="BI30:BI37" si="61">AR30/AA30</f>
        <v>1.0106160110626028</v>
      </c>
      <c r="BJ30" s="464">
        <f t="shared" ref="BJ30:BJ37" si="62">AS30/AB30</f>
        <v>1.3313808889274426</v>
      </c>
      <c r="BK30" s="464">
        <f t="shared" ref="BK30:BK37" si="63">AT30/AC30</f>
        <v>1.0878566893490211</v>
      </c>
      <c r="BL30" s="464">
        <f t="shared" ref="BL30:BL37" si="64">AU30/AD30</f>
        <v>0</v>
      </c>
      <c r="BM30" s="464">
        <f t="shared" ref="BM30:BM37" si="65">AV30/AE30</f>
        <v>0</v>
      </c>
      <c r="BN30" s="464">
        <f t="shared" ref="BN30:BN37" si="66">AW30/AF30</f>
        <v>0</v>
      </c>
      <c r="BO30" s="464">
        <f t="shared" ref="BO30:BO37" si="67">AX30/AG30</f>
        <v>0</v>
      </c>
      <c r="BP30" s="464">
        <f t="shared" si="54"/>
        <v>0.67465252432411416</v>
      </c>
    </row>
    <row r="31" spans="2:68" ht="16" customHeight="1">
      <c r="B31" s="769"/>
      <c r="C31" s="769"/>
      <c r="D31" s="292" t="s">
        <v>99</v>
      </c>
      <c r="E31" s="69">
        <v>10513</v>
      </c>
      <c r="F31" s="228">
        <v>11098</v>
      </c>
      <c r="G31" s="228">
        <v>16632</v>
      </c>
      <c r="H31" s="228">
        <v>14658</v>
      </c>
      <c r="I31" s="228">
        <v>13624</v>
      </c>
      <c r="J31" s="228">
        <v>16093</v>
      </c>
      <c r="K31" s="228">
        <v>14621</v>
      </c>
      <c r="L31" s="228">
        <v>16459</v>
      </c>
      <c r="M31" s="228">
        <v>12354</v>
      </c>
      <c r="N31" s="228">
        <v>12621</v>
      </c>
      <c r="O31" s="228">
        <v>11415</v>
      </c>
      <c r="P31" s="228">
        <v>14990</v>
      </c>
      <c r="Q31" s="69">
        <f>SUM(E31:P31)</f>
        <v>165078</v>
      </c>
      <c r="S31" s="769"/>
      <c r="T31" s="769"/>
      <c r="U31" s="292" t="s">
        <v>99</v>
      </c>
      <c r="V31" s="69">
        <v>7512.1817744306254</v>
      </c>
      <c r="W31" s="69">
        <v>9384.3143194588611</v>
      </c>
      <c r="X31" s="69">
        <v>11227.975872077674</v>
      </c>
      <c r="Y31" s="69">
        <f>Y$30*'Region OP Sales Goals'!V16</f>
        <v>6834.1411670441221</v>
      </c>
      <c r="Z31" s="69">
        <f>Z$30*'Region OP Sales Goals'!W16</f>
        <v>9161.470315518216</v>
      </c>
      <c r="AA31" s="69">
        <f>AA$30*'Region OP Sales Goals'!X16</f>
        <v>9249.2700023634952</v>
      </c>
      <c r="AB31" s="69">
        <f>AB$30*'Region OP Sales Goals'!Y16</f>
        <v>9566.061938773013</v>
      </c>
      <c r="AC31" s="69">
        <f>AC$30*'Region OP Sales Goals'!Z16</f>
        <v>10121.741097930726</v>
      </c>
      <c r="AD31" s="69">
        <f>AD$30*'Region OP Sales Goals'!AA16</f>
        <v>10274.893614754053</v>
      </c>
      <c r="AE31" s="69">
        <f>AE$30*'Region OP Sales Goals'!AB16</f>
        <v>10711.890632741366</v>
      </c>
      <c r="AF31" s="69">
        <f>AF$30*'Region OP Sales Goals'!AC16</f>
        <v>9332.4285480352937</v>
      </c>
      <c r="AG31" s="69">
        <f>AG$30*'Region OP Sales Goals'!AD16</f>
        <v>11741.879608238634</v>
      </c>
      <c r="AH31" s="69">
        <f>AH$30*'Region OP Sales Goals'!AE16</f>
        <v>113042.55012163617</v>
      </c>
      <c r="AJ31" s="757"/>
      <c r="AK31" s="757"/>
      <c r="AL31" s="292" t="s">
        <v>99</v>
      </c>
      <c r="AM31" s="69">
        <v>11464</v>
      </c>
      <c r="AN31" s="69">
        <v>11703</v>
      </c>
      <c r="AO31" s="69">
        <f t="shared" ref="AO31:AT31" si="68">SUM(AO76,AO121,AO166,AO211,AO256,AO301,AO346,AO391)</f>
        <v>13566</v>
      </c>
      <c r="AP31" s="69">
        <f t="shared" si="68"/>
        <v>11212</v>
      </c>
      <c r="AQ31" s="69">
        <f t="shared" si="68"/>
        <v>11763</v>
      </c>
      <c r="AR31" s="69">
        <f t="shared" si="68"/>
        <v>13656</v>
      </c>
      <c r="AS31" s="69">
        <f t="shared" si="68"/>
        <v>18683</v>
      </c>
      <c r="AT31" s="69">
        <f t="shared" si="68"/>
        <v>15496</v>
      </c>
      <c r="AU31" s="69"/>
      <c r="AV31" s="69"/>
      <c r="AW31" s="69"/>
      <c r="AX31" s="69"/>
      <c r="AY31" s="69">
        <f>SUM(AM31:AX31)</f>
        <v>107543</v>
      </c>
      <c r="BA31" s="757"/>
      <c r="BB31" s="757"/>
      <c r="BC31" s="292" t="s">
        <v>99</v>
      </c>
      <c r="BD31" s="465">
        <f>AM31/V31</f>
        <v>1.5260546595158631</v>
      </c>
      <c r="BE31" s="465">
        <f t="shared" si="50"/>
        <v>1.2470809908544116</v>
      </c>
      <c r="BF31" s="465">
        <f t="shared" si="58"/>
        <v>1.2082320228115782</v>
      </c>
      <c r="BG31" s="465">
        <f t="shared" si="59"/>
        <v>1.6405865383739759</v>
      </c>
      <c r="BH31" s="465">
        <f t="shared" si="60"/>
        <v>1.2839642104253906</v>
      </c>
      <c r="BI31" s="465">
        <f t="shared" si="61"/>
        <v>1.4764408430622566</v>
      </c>
      <c r="BJ31" s="465">
        <f t="shared" si="62"/>
        <v>1.9530502854340046</v>
      </c>
      <c r="BK31" s="465">
        <f t="shared" si="63"/>
        <v>1.530961901719456</v>
      </c>
      <c r="BL31" s="465">
        <f t="shared" si="64"/>
        <v>0</v>
      </c>
      <c r="BM31" s="465">
        <f t="shared" si="65"/>
        <v>0</v>
      </c>
      <c r="BN31" s="465">
        <f t="shared" si="66"/>
        <v>0</v>
      </c>
      <c r="BO31" s="465">
        <f t="shared" si="67"/>
        <v>0</v>
      </c>
      <c r="BP31" s="465">
        <f>AY31/AH31</f>
        <v>0.95134973409819101</v>
      </c>
    </row>
    <row r="32" spans="2:68" ht="16" customHeight="1">
      <c r="B32" s="769"/>
      <c r="C32" s="769"/>
      <c r="D32" s="292" t="s">
        <v>100</v>
      </c>
      <c r="E32" s="69">
        <v>13570</v>
      </c>
      <c r="F32" s="228">
        <v>13763</v>
      </c>
      <c r="G32" s="228">
        <v>20993</v>
      </c>
      <c r="H32" s="228">
        <v>18131</v>
      </c>
      <c r="I32" s="228">
        <v>17556</v>
      </c>
      <c r="J32" s="228">
        <v>18662</v>
      </c>
      <c r="K32" s="228">
        <v>16545</v>
      </c>
      <c r="L32" s="228">
        <v>20838</v>
      </c>
      <c r="M32" s="228">
        <v>16049</v>
      </c>
      <c r="N32" s="228">
        <v>15313</v>
      </c>
      <c r="O32" s="228">
        <v>13758</v>
      </c>
      <c r="P32" s="228">
        <v>17774</v>
      </c>
      <c r="Q32" s="69">
        <f t="shared" ref="Q32:Q37" si="69">SUM(E32:P32)</f>
        <v>202952</v>
      </c>
      <c r="S32" s="769"/>
      <c r="T32" s="769"/>
      <c r="U32" s="292" t="s">
        <v>100</v>
      </c>
      <c r="V32" s="69">
        <v>12006.649502722452</v>
      </c>
      <c r="W32" s="69">
        <v>13529.941810015262</v>
      </c>
      <c r="X32" s="69">
        <v>16666.729502598537</v>
      </c>
      <c r="Y32" s="69">
        <f>Y$30*'Region OP Sales Goals'!V17</f>
        <v>16467.506206936574</v>
      </c>
      <c r="Z32" s="69">
        <f>Z$30*'Region OP Sales Goals'!W17</f>
        <v>15223.28900996069</v>
      </c>
      <c r="AA32" s="69">
        <f>AA$30*'Region OP Sales Goals'!X17</f>
        <v>14298.616381204791</v>
      </c>
      <c r="AB32" s="69">
        <f>AB$30*'Region OP Sales Goals'!Y17</f>
        <v>14742.033129440566</v>
      </c>
      <c r="AC32" s="69">
        <f>AC$30*'Region OP Sales Goals'!Z17</f>
        <v>15583.609586568209</v>
      </c>
      <c r="AD32" s="69">
        <f>AD$30*'Region OP Sales Goals'!AA17</f>
        <v>16153.144592479701</v>
      </c>
      <c r="AE32" s="69">
        <f>AE$30*'Region OP Sales Goals'!AB17</f>
        <v>16560.481862646146</v>
      </c>
      <c r="AF32" s="69">
        <f>AF$30*'Region OP Sales Goals'!AC17</f>
        <v>14452.380344496434</v>
      </c>
      <c r="AG32" s="69">
        <f>AG$30*'Region OP Sales Goals'!AD17</f>
        <v>18424.368999228744</v>
      </c>
      <c r="AH32" s="69">
        <f>AH$30*'Region OP Sales Goals'!AE17</f>
        <v>187287.50173332685</v>
      </c>
      <c r="AJ32" s="757"/>
      <c r="AK32" s="757"/>
      <c r="AL32" s="292" t="s">
        <v>100</v>
      </c>
      <c r="AM32" s="69">
        <v>14011</v>
      </c>
      <c r="AN32" s="69">
        <v>13583</v>
      </c>
      <c r="AO32" s="69">
        <f t="shared" ref="AO32:AS37" si="70">SUM(AO77,AO122,AO167,AO212,AO257,AO302,AO347,AO392)</f>
        <v>16729</v>
      </c>
      <c r="AP32" s="69">
        <f t="shared" si="70"/>
        <v>13843</v>
      </c>
      <c r="AQ32" s="69">
        <f t="shared" si="70"/>
        <v>13950</v>
      </c>
      <c r="AR32" s="69">
        <f t="shared" si="70"/>
        <v>15694</v>
      </c>
      <c r="AS32" s="69">
        <f t="shared" si="70"/>
        <v>20930</v>
      </c>
      <c r="AT32" s="69">
        <f t="shared" ref="AT32" si="71">SUM(AT77,AT122,AT167,AT212,AT257,AT302,AT347,AT392)</f>
        <v>18727</v>
      </c>
      <c r="AU32" s="69"/>
      <c r="AV32" s="69"/>
      <c r="AW32" s="69"/>
      <c r="AX32" s="69"/>
      <c r="AY32" s="69">
        <f t="shared" ref="AY32:AY37" si="72">SUM(AM32:AX32)</f>
        <v>127467</v>
      </c>
      <c r="BA32" s="757"/>
      <c r="BB32" s="757"/>
      <c r="BC32" s="292" t="s">
        <v>100</v>
      </c>
      <c r="BD32" s="465">
        <f t="shared" ref="BD32:BD33" si="73">AM32/V32</f>
        <v>1.1669367042673371</v>
      </c>
      <c r="BE32" s="465">
        <f t="shared" si="50"/>
        <v>1.003921538668072</v>
      </c>
      <c r="BF32" s="465">
        <f t="shared" si="58"/>
        <v>1.0037362157579719</v>
      </c>
      <c r="BG32" s="465">
        <f t="shared" si="59"/>
        <v>0.8406251575705459</v>
      </c>
      <c r="BH32" s="465">
        <f t="shared" si="60"/>
        <v>0.91635913834864668</v>
      </c>
      <c r="BI32" s="465">
        <f t="shared" si="61"/>
        <v>1.0975887163900284</v>
      </c>
      <c r="BJ32" s="465">
        <f t="shared" si="62"/>
        <v>1.41974989584047</v>
      </c>
      <c r="BK32" s="465">
        <f t="shared" si="63"/>
        <v>1.2017113170071416</v>
      </c>
      <c r="BL32" s="465">
        <f t="shared" si="64"/>
        <v>0</v>
      </c>
      <c r="BM32" s="465">
        <f t="shared" si="65"/>
        <v>0</v>
      </c>
      <c r="BN32" s="465">
        <f t="shared" si="66"/>
        <v>0</v>
      </c>
      <c r="BO32" s="465">
        <f t="shared" si="67"/>
        <v>0</v>
      </c>
      <c r="BP32" s="465">
        <f t="shared" ref="BP32:BP38" si="74">AY32/AH32</f>
        <v>0.68059533508806425</v>
      </c>
    </row>
    <row r="33" spans="2:68" ht="16" customHeight="1">
      <c r="B33" s="769"/>
      <c r="C33" s="769"/>
      <c r="D33" s="292" t="s">
        <v>101</v>
      </c>
      <c r="E33" s="69">
        <v>6649</v>
      </c>
      <c r="F33" s="69">
        <v>6526</v>
      </c>
      <c r="G33" s="69">
        <v>9572</v>
      </c>
      <c r="H33" s="69">
        <v>8311</v>
      </c>
      <c r="I33" s="69">
        <v>8403</v>
      </c>
      <c r="J33" s="69">
        <v>8664</v>
      </c>
      <c r="K33" s="69">
        <v>7524</v>
      </c>
      <c r="L33" s="69">
        <v>9024</v>
      </c>
      <c r="M33" s="69">
        <v>6427</v>
      </c>
      <c r="N33" s="69">
        <v>6448</v>
      </c>
      <c r="O33" s="69">
        <v>6853</v>
      </c>
      <c r="P33" s="69">
        <v>8757</v>
      </c>
      <c r="Q33" s="69">
        <f t="shared" si="69"/>
        <v>93158</v>
      </c>
      <c r="S33" s="769"/>
      <c r="T33" s="769"/>
      <c r="U33" s="292" t="s">
        <v>101</v>
      </c>
      <c r="V33" s="69">
        <v>5329.154592117452</v>
      </c>
      <c r="W33" s="69">
        <v>6265.096207593273</v>
      </c>
      <c r="X33" s="69">
        <v>7398.7817885367331</v>
      </c>
      <c r="Y33" s="69">
        <f>Y$30*'Region OP Sales Goals'!V18</f>
        <v>6102.8124074711341</v>
      </c>
      <c r="Z33" s="69">
        <f>Z$30*'Region OP Sales Goals'!W18</f>
        <v>6711.7456472486792</v>
      </c>
      <c r="AA33" s="69">
        <f>AA$30*'Region OP Sales Goals'!X18</f>
        <v>6323.4805118199411</v>
      </c>
      <c r="AB33" s="69">
        <f>AB$30*'Region OP Sales Goals'!Y18</f>
        <v>6598.6857849609878</v>
      </c>
      <c r="AC33" s="69">
        <f>AC$30*'Region OP Sales Goals'!Z18</f>
        <v>7065.860247325958</v>
      </c>
      <c r="AD33" s="69">
        <f>AD$30*'Region OP Sales Goals'!AA18</f>
        <v>7215.3121632329166</v>
      </c>
      <c r="AE33" s="69">
        <f>AE$30*'Region OP Sales Goals'!AB18</f>
        <v>7617.0637400271744</v>
      </c>
      <c r="AF33" s="69">
        <f>AF$30*'Region OP Sales Goals'!AC18</f>
        <v>6576.3932265266722</v>
      </c>
      <c r="AG33" s="69">
        <f>AG$30*'Region OP Sales Goals'!AD18</f>
        <v>8451.813715519218</v>
      </c>
      <c r="AH33" s="69">
        <f>AH$30*'Region OP Sales Goals'!AE18</f>
        <v>80807.41733636774</v>
      </c>
      <c r="AJ33" s="757"/>
      <c r="AK33" s="757"/>
      <c r="AL33" s="292" t="s">
        <v>101</v>
      </c>
      <c r="AM33" s="69">
        <v>6378</v>
      </c>
      <c r="AN33" s="69">
        <v>6618</v>
      </c>
      <c r="AO33" s="69">
        <f t="shared" si="70"/>
        <v>7743</v>
      </c>
      <c r="AP33" s="69">
        <f t="shared" si="70"/>
        <v>6549</v>
      </c>
      <c r="AQ33" s="69">
        <f t="shared" si="70"/>
        <v>7165</v>
      </c>
      <c r="AR33" s="69">
        <f t="shared" si="70"/>
        <v>7611</v>
      </c>
      <c r="AS33" s="69">
        <f t="shared" si="70"/>
        <v>9890</v>
      </c>
      <c r="AT33" s="69">
        <f t="shared" ref="AT33" si="75">SUM(AT78,AT123,AT168,AT213,AT258,AT303,AT348,AT393)</f>
        <v>7710</v>
      </c>
      <c r="AU33" s="69"/>
      <c r="AV33" s="69"/>
      <c r="AW33" s="69"/>
      <c r="AX33" s="69"/>
      <c r="AY33" s="69">
        <f t="shared" si="72"/>
        <v>59664</v>
      </c>
      <c r="BA33" s="757"/>
      <c r="BB33" s="757"/>
      <c r="BC33" s="292" t="s">
        <v>101</v>
      </c>
      <c r="BD33" s="465">
        <f t="shared" si="73"/>
        <v>1.1968127194947458</v>
      </c>
      <c r="BE33" s="465">
        <f t="shared" si="50"/>
        <v>1.0563285511847382</v>
      </c>
      <c r="BF33" s="465">
        <f t="shared" si="58"/>
        <v>1.0465236333901049</v>
      </c>
      <c r="BG33" s="465">
        <f t="shared" si="59"/>
        <v>1.0731117987475147</v>
      </c>
      <c r="BH33" s="465">
        <f t="shared" si="60"/>
        <v>1.0675315151337896</v>
      </c>
      <c r="BI33" s="465">
        <f t="shared" si="61"/>
        <v>1.2036093075282526</v>
      </c>
      <c r="BJ33" s="465">
        <f t="shared" si="62"/>
        <v>1.4987832914457331</v>
      </c>
      <c r="BK33" s="465">
        <f t="shared" si="63"/>
        <v>1.0911622548603073</v>
      </c>
      <c r="BL33" s="465">
        <f t="shared" si="64"/>
        <v>0</v>
      </c>
      <c r="BM33" s="465">
        <f t="shared" si="65"/>
        <v>0</v>
      </c>
      <c r="BN33" s="465">
        <f t="shared" si="66"/>
        <v>0</v>
      </c>
      <c r="BO33" s="465">
        <f t="shared" si="67"/>
        <v>0</v>
      </c>
      <c r="BP33" s="465">
        <f t="shared" si="74"/>
        <v>0.73834806217903892</v>
      </c>
    </row>
    <row r="34" spans="2:68" ht="16" customHeight="1">
      <c r="B34" s="769"/>
      <c r="C34" s="769"/>
      <c r="D34" s="292" t="s">
        <v>102</v>
      </c>
      <c r="E34" s="69">
        <v>3295</v>
      </c>
      <c r="F34" s="69">
        <v>3433</v>
      </c>
      <c r="G34" s="69">
        <v>4931</v>
      </c>
      <c r="H34" s="69">
        <v>4116</v>
      </c>
      <c r="I34" s="69">
        <v>3602</v>
      </c>
      <c r="J34" s="69">
        <v>4143</v>
      </c>
      <c r="K34" s="69">
        <v>4043</v>
      </c>
      <c r="L34" s="69">
        <v>4846</v>
      </c>
      <c r="M34" s="69">
        <v>3605</v>
      </c>
      <c r="N34" s="69">
        <v>3860</v>
      </c>
      <c r="O34" s="69">
        <v>4006</v>
      </c>
      <c r="P34" s="69">
        <v>5154</v>
      </c>
      <c r="Q34" s="69">
        <f t="shared" si="69"/>
        <v>49034</v>
      </c>
      <c r="S34" s="769"/>
      <c r="T34" s="769"/>
      <c r="U34" s="292" t="s">
        <v>102</v>
      </c>
      <c r="V34" s="69">
        <v>3274.5407734697596</v>
      </c>
      <c r="W34" s="69">
        <v>3865.6976600043599</v>
      </c>
      <c r="X34" s="69">
        <v>4608.013219176386</v>
      </c>
      <c r="Y34" s="69">
        <f>Y$30*'Region OP Sales Goals'!V19</f>
        <v>3707.0802640423831</v>
      </c>
      <c r="Z34" s="69">
        <f>Z$30*'Region OP Sales Goals'!W19</f>
        <v>4362.0097409493283</v>
      </c>
      <c r="AA34" s="69">
        <f>AA$30*'Region OP Sales Goals'!X19</f>
        <v>4683.6226925233514</v>
      </c>
      <c r="AB34" s="69">
        <f>AB$30*'Region OP Sales Goals'!Y19</f>
        <v>4810.1302949920955</v>
      </c>
      <c r="AC34" s="69">
        <f>AC$30*'Region OP Sales Goals'!Z19</f>
        <v>5199.1457005764387</v>
      </c>
      <c r="AD34" s="69">
        <f>AD$30*'Region OP Sales Goals'!AA19</f>
        <v>4998.9224503199675</v>
      </c>
      <c r="AE34" s="69">
        <f>AE$30*'Region OP Sales Goals'!AB19</f>
        <v>5191.7300118593184</v>
      </c>
      <c r="AF34" s="69">
        <f>AF$30*'Region OP Sales Goals'!AC19</f>
        <v>4414.1378726601515</v>
      </c>
      <c r="AG34" s="69">
        <f>AG$30*'Region OP Sales Goals'!AD19</f>
        <v>5585.8007600836345</v>
      </c>
      <c r="AH34" s="69">
        <f>AH$30*'Region OP Sales Goals'!AE19</f>
        <v>55184.94121822132</v>
      </c>
      <c r="AJ34" s="757"/>
      <c r="AK34" s="757"/>
      <c r="AL34" s="292" t="s">
        <v>102</v>
      </c>
      <c r="AM34" s="69">
        <v>4015</v>
      </c>
      <c r="AN34" s="69">
        <v>4090</v>
      </c>
      <c r="AO34" s="69">
        <f t="shared" si="70"/>
        <v>4804</v>
      </c>
      <c r="AP34" s="69">
        <f t="shared" si="70"/>
        <v>4142</v>
      </c>
      <c r="AQ34" s="69">
        <f t="shared" si="70"/>
        <v>4033</v>
      </c>
      <c r="AR34" s="69">
        <f t="shared" si="70"/>
        <v>4700</v>
      </c>
      <c r="AS34" s="69">
        <f t="shared" si="70"/>
        <v>6013</v>
      </c>
      <c r="AT34" s="69">
        <f t="shared" ref="AT34" si="76">SUM(AT79,AT124,AT169,AT214,AT259,AT304,AT349,AT394)</f>
        <v>5384</v>
      </c>
      <c r="AU34" s="69"/>
      <c r="AV34" s="69"/>
      <c r="AW34" s="69"/>
      <c r="AX34" s="69"/>
      <c r="AY34" s="69">
        <f t="shared" si="72"/>
        <v>37181</v>
      </c>
      <c r="BA34" s="757"/>
      <c r="BB34" s="757"/>
      <c r="BC34" s="292" t="s">
        <v>102</v>
      </c>
      <c r="BD34" s="465">
        <f>AM34/V34</f>
        <v>1.2261261281366294</v>
      </c>
      <c r="BE34" s="465">
        <f t="shared" si="50"/>
        <v>1.0580237669169883</v>
      </c>
      <c r="BF34" s="465">
        <f t="shared" si="58"/>
        <v>1.04253173146466</v>
      </c>
      <c r="BG34" s="465">
        <f t="shared" si="59"/>
        <v>1.1173213701834874</v>
      </c>
      <c r="BH34" s="465">
        <f t="shared" si="60"/>
        <v>0.92457381792143267</v>
      </c>
      <c r="BI34" s="465">
        <f t="shared" si="61"/>
        <v>1.0034967179364795</v>
      </c>
      <c r="BJ34" s="465">
        <f t="shared" si="62"/>
        <v>1.2500700877604567</v>
      </c>
      <c r="BK34" s="465">
        <f t="shared" si="63"/>
        <v>1.0355547449657097</v>
      </c>
      <c r="BL34" s="465">
        <f t="shared" si="64"/>
        <v>0</v>
      </c>
      <c r="BM34" s="465">
        <f t="shared" si="65"/>
        <v>0</v>
      </c>
      <c r="BN34" s="465">
        <f t="shared" si="66"/>
        <v>0</v>
      </c>
      <c r="BO34" s="465">
        <f t="shared" si="67"/>
        <v>0</v>
      </c>
      <c r="BP34" s="465">
        <f t="shared" si="74"/>
        <v>0.67375264300767868</v>
      </c>
    </row>
    <row r="35" spans="2:68" ht="16" customHeight="1">
      <c r="B35" s="769"/>
      <c r="C35" s="769"/>
      <c r="D35" s="292" t="s">
        <v>103</v>
      </c>
      <c r="E35" s="69">
        <v>8676</v>
      </c>
      <c r="F35" s="69">
        <v>8718</v>
      </c>
      <c r="G35" s="69">
        <v>12792</v>
      </c>
      <c r="H35" s="69">
        <v>11349</v>
      </c>
      <c r="I35" s="69">
        <v>12002</v>
      </c>
      <c r="J35" s="69">
        <v>12617</v>
      </c>
      <c r="K35" s="69">
        <v>11125</v>
      </c>
      <c r="L35" s="69">
        <v>13019</v>
      </c>
      <c r="M35" s="69">
        <v>9614</v>
      </c>
      <c r="N35" s="69">
        <v>10227</v>
      </c>
      <c r="O35" s="69">
        <v>10012</v>
      </c>
      <c r="P35" s="69">
        <v>13852</v>
      </c>
      <c r="Q35" s="69">
        <f t="shared" si="69"/>
        <v>134003</v>
      </c>
      <c r="S35" s="769"/>
      <c r="T35" s="769"/>
      <c r="U35" s="292" t="s">
        <v>103</v>
      </c>
      <c r="V35" s="69">
        <v>8090.0419109252889</v>
      </c>
      <c r="W35" s="69">
        <v>8997.7445534584258</v>
      </c>
      <c r="X35" s="69">
        <v>10708.763114987378</v>
      </c>
      <c r="Y35" s="69">
        <f>Y$30*'Region OP Sales Goals'!V20</f>
        <v>8763.335998331484</v>
      </c>
      <c r="Z35" s="69">
        <f>Z$30*'Region OP Sales Goals'!W20</f>
        <v>11061.256792951735</v>
      </c>
      <c r="AA35" s="69">
        <f>AA$30*'Region OP Sales Goals'!X20</f>
        <v>10004.312451536027</v>
      </c>
      <c r="AB35" s="69">
        <f>AB$30*'Region OP Sales Goals'!Y20</f>
        <v>9837.0551948289049</v>
      </c>
      <c r="AC35" s="69">
        <f>AC$30*'Region OP Sales Goals'!Z20</f>
        <v>10425.946431475091</v>
      </c>
      <c r="AD35" s="69">
        <f>AD$30*'Region OP Sales Goals'!AA20</f>
        <v>10443.53196247569</v>
      </c>
      <c r="AE35" s="69">
        <f>AE$30*'Region OP Sales Goals'!AB20</f>
        <v>10787.682311746612</v>
      </c>
      <c r="AF35" s="69">
        <f>AF$30*'Region OP Sales Goals'!AC20</f>
        <v>9399.6489217306262</v>
      </c>
      <c r="AG35" s="69">
        <f>AG$30*'Region OP Sales Goals'!AD20</f>
        <v>11961.217334419929</v>
      </c>
      <c r="AH35" s="69">
        <f>AH$30*'Region OP Sales Goals'!AE20</f>
        <v>118864.69944525024</v>
      </c>
      <c r="AJ35" s="757"/>
      <c r="AK35" s="757"/>
      <c r="AL35" s="292" t="s">
        <v>103</v>
      </c>
      <c r="AM35" s="69">
        <v>10586</v>
      </c>
      <c r="AN35" s="69">
        <v>9486</v>
      </c>
      <c r="AO35" s="69">
        <f t="shared" si="70"/>
        <v>11747</v>
      </c>
      <c r="AP35" s="69">
        <f t="shared" si="70"/>
        <v>10608</v>
      </c>
      <c r="AQ35" s="69">
        <f t="shared" si="70"/>
        <v>10924</v>
      </c>
      <c r="AR35" s="69">
        <f t="shared" si="70"/>
        <v>11621</v>
      </c>
      <c r="AS35" s="69">
        <f t="shared" si="70"/>
        <v>15652</v>
      </c>
      <c r="AT35" s="69">
        <f t="shared" ref="AT35" si="77">SUM(AT80,AT125,AT170,AT215,AT260,AT305,AT350,AT395)</f>
        <v>13377</v>
      </c>
      <c r="AU35" s="69"/>
      <c r="AV35" s="69"/>
      <c r="AW35" s="69"/>
      <c r="AX35" s="69"/>
      <c r="AY35" s="69">
        <f t="shared" si="72"/>
        <v>94001</v>
      </c>
      <c r="BA35" s="757"/>
      <c r="BB35" s="757"/>
      <c r="BC35" s="292" t="s">
        <v>103</v>
      </c>
      <c r="BD35" s="465">
        <f t="shared" ref="BD35:BD37" si="78">AM35/V35</f>
        <v>1.3085222692980139</v>
      </c>
      <c r="BE35" s="465">
        <f t="shared" si="50"/>
        <v>1.0542642040614396</v>
      </c>
      <c r="BF35" s="465">
        <f t="shared" si="58"/>
        <v>1.0969520825014389</v>
      </c>
      <c r="BG35" s="465">
        <f t="shared" si="59"/>
        <v>1.2104979202006787</v>
      </c>
      <c r="BH35" s="465">
        <f t="shared" si="60"/>
        <v>0.98759121178352938</v>
      </c>
      <c r="BI35" s="465">
        <f t="shared" si="61"/>
        <v>1.1615990660323441</v>
      </c>
      <c r="BJ35" s="465">
        <f t="shared" si="62"/>
        <v>1.5911265810755912</v>
      </c>
      <c r="BK35" s="465">
        <f t="shared" si="63"/>
        <v>1.2830489862882775</v>
      </c>
      <c r="BL35" s="465">
        <f t="shared" si="64"/>
        <v>0</v>
      </c>
      <c r="BM35" s="465">
        <f t="shared" si="65"/>
        <v>0</v>
      </c>
      <c r="BN35" s="465">
        <f t="shared" si="66"/>
        <v>0</v>
      </c>
      <c r="BO35" s="465">
        <f t="shared" si="67"/>
        <v>0</v>
      </c>
      <c r="BP35" s="465">
        <f t="shared" si="74"/>
        <v>0.79082351983986132</v>
      </c>
    </row>
    <row r="36" spans="2:68" ht="16" customHeight="1">
      <c r="B36" s="769"/>
      <c r="C36" s="769"/>
      <c r="D36" s="292" t="s">
        <v>104</v>
      </c>
      <c r="E36" s="69">
        <v>11923</v>
      </c>
      <c r="F36" s="69">
        <v>12015</v>
      </c>
      <c r="G36" s="69">
        <v>18504</v>
      </c>
      <c r="H36" s="69">
        <v>15460</v>
      </c>
      <c r="I36" s="69">
        <v>15296</v>
      </c>
      <c r="J36" s="69">
        <v>16334</v>
      </c>
      <c r="K36" s="69">
        <v>13937</v>
      </c>
      <c r="L36" s="69">
        <v>16499</v>
      </c>
      <c r="M36" s="69">
        <v>11904</v>
      </c>
      <c r="N36" s="69">
        <v>12842</v>
      </c>
      <c r="O36" s="69">
        <v>13764</v>
      </c>
      <c r="P36" s="69">
        <v>18579</v>
      </c>
      <c r="Q36" s="69">
        <f t="shared" si="69"/>
        <v>177057</v>
      </c>
      <c r="S36" s="769"/>
      <c r="T36" s="769"/>
      <c r="U36" s="292" t="s">
        <v>104</v>
      </c>
      <c r="V36" s="156">
        <v>16822.150640177981</v>
      </c>
      <c r="W36" s="156">
        <v>16675.819905742948</v>
      </c>
      <c r="X36" s="156">
        <v>21041.096981084287</v>
      </c>
      <c r="Y36" s="156">
        <f>Y$30*'Region OP Sales Goals'!V21</f>
        <v>20540.250850765449</v>
      </c>
      <c r="Z36" s="156">
        <f>Z$30*'Region OP Sales Goals'!W21</f>
        <v>23434.866086762147</v>
      </c>
      <c r="AA36" s="156">
        <f>AA$30*'Region OP Sales Goals'!X21</f>
        <v>21648.482722368644</v>
      </c>
      <c r="AB36" s="69">
        <f>AB$30*'Region OP Sales Goals'!Y21</f>
        <v>20907.129704712126</v>
      </c>
      <c r="AC36" s="69">
        <f>AC$30*'Region OP Sales Goals'!Z21</f>
        <v>22206.989348738723</v>
      </c>
      <c r="AD36" s="69">
        <f>AD$30*'Region OP Sales Goals'!AA21</f>
        <v>21730.255663559568</v>
      </c>
      <c r="AE36" s="69">
        <f>AE$30*'Region OP Sales Goals'!AB21</f>
        <v>22156.434162533438</v>
      </c>
      <c r="AF36" s="69">
        <f>AF$30*'Region OP Sales Goals'!AC21</f>
        <v>19314.654041792131</v>
      </c>
      <c r="AG36" s="69">
        <f>AG$30*'Region OP Sales Goals'!AD21</f>
        <v>24785.163058486283</v>
      </c>
      <c r="AH36" s="69">
        <f>AH$30*'Region OP Sales Goals'!AE21</f>
        <v>248269.49680393975</v>
      </c>
      <c r="AJ36" s="757"/>
      <c r="AK36" s="757"/>
      <c r="AL36" s="292" t="s">
        <v>104</v>
      </c>
      <c r="AM36" s="156">
        <v>14805</v>
      </c>
      <c r="AN36" s="156">
        <v>14824</v>
      </c>
      <c r="AO36" s="156">
        <f t="shared" si="70"/>
        <v>17760</v>
      </c>
      <c r="AP36" s="156">
        <f t="shared" si="70"/>
        <v>14376</v>
      </c>
      <c r="AQ36" s="156">
        <f t="shared" si="70"/>
        <v>14424</v>
      </c>
      <c r="AR36" s="156">
        <f t="shared" si="70"/>
        <v>15901</v>
      </c>
      <c r="AS36" s="156">
        <f t="shared" si="70"/>
        <v>21082</v>
      </c>
      <c r="AT36" s="156">
        <f t="shared" ref="AT36" si="79">SUM(AT81,AT126,AT171,AT216,AT261,AT306,AT351,AT396)</f>
        <v>18789</v>
      </c>
      <c r="AU36" s="69"/>
      <c r="AV36" s="69"/>
      <c r="AW36" s="69"/>
      <c r="AX36" s="69"/>
      <c r="AY36" s="69">
        <f t="shared" si="72"/>
        <v>131961</v>
      </c>
      <c r="BA36" s="757"/>
      <c r="BB36" s="757"/>
      <c r="BC36" s="292" t="s">
        <v>104</v>
      </c>
      <c r="BD36" s="542">
        <f t="shared" si="78"/>
        <v>0.88008961022140519</v>
      </c>
      <c r="BE36" s="542">
        <f t="shared" si="50"/>
        <v>0.88895179270284608</v>
      </c>
      <c r="BF36" s="542">
        <f t="shared" si="58"/>
        <v>0.84406245624769671</v>
      </c>
      <c r="BG36" s="542">
        <f t="shared" si="59"/>
        <v>0.69989408135511</v>
      </c>
      <c r="BH36" s="542">
        <f t="shared" si="60"/>
        <v>0.61549316930587483</v>
      </c>
      <c r="BI36" s="542">
        <f t="shared" si="61"/>
        <v>0.73450875074815447</v>
      </c>
      <c r="BJ36" s="465">
        <f t="shared" si="62"/>
        <v>1.008364146478149</v>
      </c>
      <c r="BK36" s="465">
        <f t="shared" si="63"/>
        <v>0.84608497374125802</v>
      </c>
      <c r="BL36" s="465">
        <f t="shared" si="64"/>
        <v>0</v>
      </c>
      <c r="BM36" s="465">
        <f t="shared" si="65"/>
        <v>0</v>
      </c>
      <c r="BN36" s="465">
        <f t="shared" si="66"/>
        <v>0</v>
      </c>
      <c r="BO36" s="465">
        <f t="shared" si="67"/>
        <v>0</v>
      </c>
      <c r="BP36" s="465">
        <f t="shared" si="74"/>
        <v>0.53152321045791051</v>
      </c>
    </row>
    <row r="37" spans="2:68" ht="16" customHeight="1">
      <c r="B37" s="769"/>
      <c r="C37" s="769"/>
      <c r="D37" s="292" t="s">
        <v>105</v>
      </c>
      <c r="E37" s="69">
        <v>8462</v>
      </c>
      <c r="F37" s="69">
        <v>8676</v>
      </c>
      <c r="G37" s="69">
        <v>13021</v>
      </c>
      <c r="H37" s="69">
        <v>11228</v>
      </c>
      <c r="I37" s="69">
        <v>11167</v>
      </c>
      <c r="J37" s="69">
        <v>11254</v>
      </c>
      <c r="K37" s="69">
        <v>10799</v>
      </c>
      <c r="L37" s="69">
        <v>12783</v>
      </c>
      <c r="M37" s="69">
        <v>10547</v>
      </c>
      <c r="N37" s="69">
        <v>9686</v>
      </c>
      <c r="O37" s="69">
        <v>10125</v>
      </c>
      <c r="P37" s="69">
        <v>12854</v>
      </c>
      <c r="Q37" s="69">
        <f t="shared" si="69"/>
        <v>130602</v>
      </c>
      <c r="S37" s="769"/>
      <c r="T37" s="769"/>
      <c r="U37" s="292" t="s">
        <v>105</v>
      </c>
      <c r="V37" s="69">
        <v>9181.5555020818756</v>
      </c>
      <c r="W37" s="69">
        <v>10863.943423805358</v>
      </c>
      <c r="X37" s="69">
        <v>12461.106170167128</v>
      </c>
      <c r="Y37" s="69">
        <f>Y$30*'Region OP Sales Goals'!V22</f>
        <v>13680.891450632605</v>
      </c>
      <c r="Z37" s="69">
        <f>Z$30*'Region OP Sales Goals'!W22</f>
        <v>14785.838176341133</v>
      </c>
      <c r="AA37" s="69">
        <f>AA$30*'Region OP Sales Goals'!X22</f>
        <v>13543.573932032261</v>
      </c>
      <c r="AB37" s="69">
        <f>AB$30*'Region OP Sales Goals'!Y22</f>
        <v>13278.669546738745</v>
      </c>
      <c r="AC37" s="69">
        <f>AC$30*'Region OP Sales Goals'!Z22</f>
        <v>13951.962797557519</v>
      </c>
      <c r="AD37" s="69">
        <f>AD$30*'Region OP Sales Goals'!AA22</f>
        <v>13322.429470009358</v>
      </c>
      <c r="AE37" s="69">
        <f>AE$30*'Region OP Sales Goals'!AB22</f>
        <v>13377.231344425834</v>
      </c>
      <c r="AF37" s="69">
        <f>AF$30*'Region OP Sales Goals'!AC22</f>
        <v>11853.192561610254</v>
      </c>
      <c r="AG37" s="69">
        <f>AG$30*'Region OP Sales Goals'!AD22</f>
        <v>15046.568016036807</v>
      </c>
      <c r="AH37" s="69">
        <f>AH$30*'Region OP Sales Goals'!AE22</f>
        <v>157361.15230052607</v>
      </c>
      <c r="AJ37" s="757"/>
      <c r="AK37" s="757"/>
      <c r="AL37" s="292" t="s">
        <v>105</v>
      </c>
      <c r="AM37" s="69">
        <v>10514</v>
      </c>
      <c r="AN37" s="69">
        <v>10500</v>
      </c>
      <c r="AO37" s="69">
        <f t="shared" si="70"/>
        <v>12134</v>
      </c>
      <c r="AP37" s="69">
        <f t="shared" si="70"/>
        <v>10248</v>
      </c>
      <c r="AQ37" s="69">
        <f t="shared" si="70"/>
        <v>10428</v>
      </c>
      <c r="AR37" s="69">
        <f t="shared" si="70"/>
        <v>11415</v>
      </c>
      <c r="AS37" s="69">
        <f t="shared" si="70"/>
        <v>13914</v>
      </c>
      <c r="AT37" s="69">
        <f t="shared" ref="AT37" si="80">SUM(AT82,AT127,AT172,AT217,AT262,AT307,AT352,AT397)</f>
        <v>12501</v>
      </c>
      <c r="AU37" s="69"/>
      <c r="AV37" s="69"/>
      <c r="AW37" s="69"/>
      <c r="AX37" s="69"/>
      <c r="AY37" s="69">
        <f t="shared" si="72"/>
        <v>91654</v>
      </c>
      <c r="BA37" s="757"/>
      <c r="BB37" s="757"/>
      <c r="BC37" s="292" t="s">
        <v>105</v>
      </c>
      <c r="BD37" s="465">
        <f t="shared" si="78"/>
        <v>1.1451218693407668</v>
      </c>
      <c r="BE37" s="465">
        <f t="shared" si="50"/>
        <v>0.96649987857927577</v>
      </c>
      <c r="BF37" s="465">
        <f t="shared" si="58"/>
        <v>0.9737498288113261</v>
      </c>
      <c r="BG37" s="465">
        <f t="shared" si="59"/>
        <v>0.7490739939703368</v>
      </c>
      <c r="BH37" s="465">
        <f t="shared" si="60"/>
        <v>0.70526945281234554</v>
      </c>
      <c r="BI37" s="465">
        <f t="shared" si="61"/>
        <v>0.8428351377033565</v>
      </c>
      <c r="BJ37" s="465">
        <f t="shared" si="62"/>
        <v>1.0478459420219017</v>
      </c>
      <c r="BK37" s="465">
        <f t="shared" si="63"/>
        <v>0.89600296255007728</v>
      </c>
      <c r="BL37" s="465">
        <f t="shared" si="64"/>
        <v>0</v>
      </c>
      <c r="BM37" s="465">
        <f t="shared" si="65"/>
        <v>0</v>
      </c>
      <c r="BN37" s="465">
        <f t="shared" si="66"/>
        <v>0</v>
      </c>
      <c r="BO37" s="465">
        <f t="shared" si="67"/>
        <v>0</v>
      </c>
      <c r="BP37" s="465">
        <f t="shared" si="74"/>
        <v>0.58244362512648928</v>
      </c>
    </row>
    <row r="38" spans="2:68">
      <c r="B38" s="769"/>
      <c r="C38" s="769"/>
      <c r="D38" s="182" t="s">
        <v>6</v>
      </c>
      <c r="E38" s="341">
        <f>SUM(E39:E45)</f>
        <v>1658898</v>
      </c>
      <c r="F38" s="341">
        <f t="shared" ref="F38:Q38" si="81">SUM(F39:F45)</f>
        <v>1576480</v>
      </c>
      <c r="G38" s="341">
        <f t="shared" si="81"/>
        <v>1768335</v>
      </c>
      <c r="H38" s="341">
        <f t="shared" si="81"/>
        <v>1678189</v>
      </c>
      <c r="I38" s="341">
        <f t="shared" si="81"/>
        <v>1631617</v>
      </c>
      <c r="J38" s="341">
        <f t="shared" si="81"/>
        <v>1600300</v>
      </c>
      <c r="K38" s="341">
        <f t="shared" si="81"/>
        <v>1773806</v>
      </c>
      <c r="L38" s="341">
        <f t="shared" si="81"/>
        <v>1839813</v>
      </c>
      <c r="M38" s="341">
        <f t="shared" si="81"/>
        <v>1759158</v>
      </c>
      <c r="N38" s="341">
        <f t="shared" si="81"/>
        <v>1769395</v>
      </c>
      <c r="O38" s="341">
        <f t="shared" si="81"/>
        <v>1798166</v>
      </c>
      <c r="P38" s="341">
        <f t="shared" si="81"/>
        <v>1894256</v>
      </c>
      <c r="Q38" s="341">
        <f t="shared" si="81"/>
        <v>20748413</v>
      </c>
      <c r="S38" s="769"/>
      <c r="T38" s="769"/>
      <c r="U38" s="182" t="s">
        <v>6</v>
      </c>
      <c r="V38" s="341">
        <v>1444287.3624479792</v>
      </c>
      <c r="W38" s="341">
        <v>1594827.1184926087</v>
      </c>
      <c r="X38" s="341">
        <v>1792232.3172093823</v>
      </c>
      <c r="Y38" s="341" cm="1">
        <f t="array" ref="Y38">INDEX('Shop Goals'!$G$8:$G$19, COLUMN()-COLUMN($V$3)+1)</f>
        <v>1740895.3966349221</v>
      </c>
      <c r="Z38" s="341" cm="1">
        <f t="array" ref="Z38">INDEX('Shop Goals'!$G$8:$G$19, COLUMN()-COLUMN($V$3)+1)</f>
        <v>1943602.3948732351</v>
      </c>
      <c r="AA38" s="341" cm="1">
        <f t="array" ref="AA38">INDEX('Shop Goals'!$G$8:$G$19, COLUMN()-COLUMN($V$3)+1)</f>
        <v>1823468.6885643527</v>
      </c>
      <c r="AB38" s="341" cm="1">
        <f t="array" ref="AB38">INDEX('Shop Goals'!$G$8:$G$19, COLUMN()-COLUMN($V$3)+1)</f>
        <v>1680380.3728842684</v>
      </c>
      <c r="AC38" s="341" cm="1">
        <f t="array" ref="AC38">INDEX('Shop Goals'!$G$8:$G$19, COLUMN()-COLUMN($V$3)+1)</f>
        <v>1792232.3172093823</v>
      </c>
      <c r="AD38" s="341" cm="1">
        <f t="array" ref="AD38">INDEX('Shop Goals'!$G$8:$G$19, COLUMN()-COLUMN($V$3)+1)</f>
        <v>1907830.5716547093</v>
      </c>
      <c r="AE38" s="341" cm="1">
        <f t="array" ref="AE38">INDEX('Shop Goals'!$G$8:$G$19, COLUMN()-COLUMN($V$3)+1)</f>
        <v>1977883.7254576557</v>
      </c>
      <c r="AF38" s="341" cm="1">
        <f t="array" ref="AF38">INDEX('Shop Goals'!$G$8:$G$19, COLUMN()-COLUMN($V$3)+1)</f>
        <v>1606245.9446687859</v>
      </c>
      <c r="AG38" s="341" cm="1">
        <f t="array" ref="AG38">INDEX('Shop Goals'!$G$8:$G$19, COLUMN()-COLUMN($V$3)+1)</f>
        <v>2065359.1580032648</v>
      </c>
      <c r="AH38" s="342">
        <f t="shared" si="45"/>
        <v>21369245.368100543</v>
      </c>
      <c r="AJ38" s="757"/>
      <c r="AK38" s="757"/>
      <c r="AL38" s="182" t="s">
        <v>6</v>
      </c>
      <c r="AM38" s="341">
        <f>SUM(AM39:AM45)</f>
        <v>2010216</v>
      </c>
      <c r="AN38" s="341">
        <f t="shared" ref="AN38:AY38" si="82">SUM(AN39:AN45)</f>
        <v>1821399</v>
      </c>
      <c r="AO38" s="341">
        <f t="shared" si="82"/>
        <v>2019932</v>
      </c>
      <c r="AP38" s="341">
        <f t="shared" si="82"/>
        <v>1972840</v>
      </c>
      <c r="AQ38" s="341">
        <f t="shared" si="82"/>
        <v>1979341</v>
      </c>
      <c r="AR38" s="341">
        <f t="shared" si="82"/>
        <v>1946513</v>
      </c>
      <c r="AS38" s="341">
        <f t="shared" si="82"/>
        <v>2108687</v>
      </c>
      <c r="AT38" s="341">
        <f t="shared" si="82"/>
        <v>1561853</v>
      </c>
      <c r="AU38" s="341">
        <f t="shared" si="82"/>
        <v>0</v>
      </c>
      <c r="AV38" s="341">
        <f t="shared" si="82"/>
        <v>0</v>
      </c>
      <c r="AW38" s="341">
        <f t="shared" si="82"/>
        <v>0</v>
      </c>
      <c r="AX38" s="341">
        <f t="shared" si="82"/>
        <v>0</v>
      </c>
      <c r="AY38" s="341">
        <f t="shared" si="82"/>
        <v>15420781</v>
      </c>
      <c r="BA38" s="757"/>
      <c r="BB38" s="757"/>
      <c r="BC38" s="182" t="s">
        <v>6</v>
      </c>
      <c r="BD38" s="464">
        <f>AM38/V38</f>
        <v>1.3918393612423543</v>
      </c>
      <c r="BE38" s="464">
        <f t="shared" ref="BE38:BE45" si="83">AN38/W38</f>
        <v>1.1420667349333398</v>
      </c>
      <c r="BF38" s="464">
        <f t="shared" ref="BF38:BF45" si="84">AO38/X38</f>
        <v>1.1270480844498778</v>
      </c>
      <c r="BG38" s="464">
        <f t="shared" ref="BG38:BG45" si="85">AP38/Y38</f>
        <v>1.1332329350823818</v>
      </c>
      <c r="BH38" s="464">
        <f t="shared" ref="BH38:BH45" si="86">AQ38/Z38</f>
        <v>1.0183878169840883</v>
      </c>
      <c r="BI38" s="464">
        <f t="shared" ref="BI38:BI45" si="87">AR38/AA38</f>
        <v>1.0674781597333169</v>
      </c>
      <c r="BJ38" s="464">
        <f t="shared" ref="BJ38:BJ45" si="88">AS38/AB38</f>
        <v>1.2548867113822391</v>
      </c>
      <c r="BK38" s="464">
        <f t="shared" ref="BK38:BK45" si="89">AT38/AC38</f>
        <v>0.87145677767483998</v>
      </c>
      <c r="BL38" s="464">
        <f t="shared" ref="BL38:BL45" si="90">AU38/AD38</f>
        <v>0</v>
      </c>
      <c r="BM38" s="464">
        <f t="shared" ref="BM38:BM45" si="91">AV38/AE38</f>
        <v>0</v>
      </c>
      <c r="BN38" s="464">
        <f t="shared" ref="BN38:BN45" si="92">AW38/AF38</f>
        <v>0</v>
      </c>
      <c r="BO38" s="464">
        <f t="shared" ref="BO38:BO45" si="93">AX38/AG38</f>
        <v>0</v>
      </c>
      <c r="BP38" s="464">
        <f t="shared" si="74"/>
        <v>0.72163432701370656</v>
      </c>
    </row>
    <row r="39" spans="2:68" ht="16" customHeight="1">
      <c r="B39" s="769"/>
      <c r="C39" s="769"/>
      <c r="D39" s="292" t="s">
        <v>99</v>
      </c>
      <c r="E39" s="69">
        <v>198589</v>
      </c>
      <c r="F39" s="69">
        <v>198038</v>
      </c>
      <c r="G39" s="69">
        <v>230798</v>
      </c>
      <c r="H39" s="69">
        <v>234525</v>
      </c>
      <c r="I39" s="69">
        <v>204440</v>
      </c>
      <c r="J39" s="69">
        <v>198174</v>
      </c>
      <c r="K39" s="69">
        <v>224802</v>
      </c>
      <c r="L39" s="69">
        <v>218781</v>
      </c>
      <c r="M39" s="69">
        <v>217617</v>
      </c>
      <c r="N39" s="69">
        <v>213920</v>
      </c>
      <c r="O39" s="69">
        <v>212117</v>
      </c>
      <c r="P39" s="69">
        <v>222617</v>
      </c>
      <c r="Q39" s="69">
        <f>SUM(E39:P39)</f>
        <v>2574418</v>
      </c>
      <c r="S39" s="769"/>
      <c r="T39" s="769"/>
      <c r="U39" s="292" t="s">
        <v>99</v>
      </c>
      <c r="V39" s="69">
        <v>174387.63819031327</v>
      </c>
      <c r="W39" s="69">
        <v>215087.79529095718</v>
      </c>
      <c r="X39" s="69">
        <v>239240.88802254872</v>
      </c>
      <c r="Y39" s="69">
        <f>Y$38*'Region OP Sales Goals'!V16</f>
        <v>156348.84920896898</v>
      </c>
      <c r="Z39" s="69">
        <f>Z$38*'Region OP Sales Goals'!W16</f>
        <v>210126.92558142793</v>
      </c>
      <c r="AA39" s="69">
        <f>AA$38*'Region OP Sales Goals'!X16</f>
        <v>211479.20885125038</v>
      </c>
      <c r="AB39" s="69">
        <f>AB$38*'Region OP Sales Goals'!Y16</f>
        <v>201588.53751168962</v>
      </c>
      <c r="AC39" s="69">
        <f>AC$38*'Region OP Sales Goals'!Z16</f>
        <v>214540.3199014338</v>
      </c>
      <c r="AD39" s="69">
        <f>AD$38*'Region OP Sales Goals'!AA16</f>
        <v>232982.02972390366</v>
      </c>
      <c r="AE39" s="69">
        <f>AE$38*'Region OP Sales Goals'!AB16</f>
        <v>245211.31567077371</v>
      </c>
      <c r="AF39" s="69">
        <f>AF$38*'Region OP Sales Goals'!AC16</f>
        <v>198959.53485637155</v>
      </c>
      <c r="AG39" s="69">
        <f>AG$38*'Region OP Sales Goals'!AD16</f>
        <v>252625.04247930262</v>
      </c>
      <c r="AH39" s="69">
        <f>AH$38*'Region OP Sales Goals'!AE16</f>
        <v>2509293.8246531952</v>
      </c>
      <c r="AJ39" s="757"/>
      <c r="AK39" s="757"/>
      <c r="AL39" s="292" t="s">
        <v>99</v>
      </c>
      <c r="AM39" s="69">
        <v>239165</v>
      </c>
      <c r="AN39" s="69">
        <v>221360</v>
      </c>
      <c r="AO39" s="69">
        <v>249292</v>
      </c>
      <c r="AP39" s="69">
        <v>252448</v>
      </c>
      <c r="AQ39" s="69">
        <v>259895</v>
      </c>
      <c r="AR39" s="69">
        <v>280888</v>
      </c>
      <c r="AS39" s="69">
        <v>308428</v>
      </c>
      <c r="AT39" s="69">
        <v>217507</v>
      </c>
      <c r="AU39" s="69"/>
      <c r="AV39" s="69"/>
      <c r="AW39" s="69"/>
      <c r="AX39" s="69"/>
      <c r="AY39" s="69">
        <f>SUM(AM39:AX39)</f>
        <v>2028983</v>
      </c>
      <c r="BA39" s="757"/>
      <c r="BB39" s="757"/>
      <c r="BC39" s="292" t="s">
        <v>99</v>
      </c>
      <c r="BD39" s="465">
        <f>AM39/V39</f>
        <v>1.3714561564220149</v>
      </c>
      <c r="BE39" s="465">
        <f t="shared" si="83"/>
        <v>1.029161137202407</v>
      </c>
      <c r="BF39" s="465">
        <f t="shared" si="84"/>
        <v>1.0420125174276396</v>
      </c>
      <c r="BG39" s="465">
        <f t="shared" si="85"/>
        <v>1.6146457187068204</v>
      </c>
      <c r="BH39" s="465">
        <f t="shared" si="86"/>
        <v>1.2368476780444115</v>
      </c>
      <c r="BI39" s="465">
        <f t="shared" si="87"/>
        <v>1.328206217177454</v>
      </c>
      <c r="BJ39" s="465">
        <f t="shared" si="88"/>
        <v>1.5299877850550656</v>
      </c>
      <c r="BK39" s="465">
        <f t="shared" si="89"/>
        <v>1.0138280771648387</v>
      </c>
      <c r="BL39" s="465">
        <f t="shared" si="90"/>
        <v>0</v>
      </c>
      <c r="BM39" s="465">
        <f t="shared" si="91"/>
        <v>0</v>
      </c>
      <c r="BN39" s="465">
        <f t="shared" si="92"/>
        <v>0</v>
      </c>
      <c r="BO39" s="465">
        <f t="shared" si="93"/>
        <v>0</v>
      </c>
      <c r="BP39" s="465">
        <f>AY39/AH39</f>
        <v>0.808587252742481</v>
      </c>
    </row>
    <row r="40" spans="2:68" ht="16" customHeight="1">
      <c r="B40" s="769"/>
      <c r="C40" s="769"/>
      <c r="D40" s="292" t="s">
        <v>100</v>
      </c>
      <c r="E40" s="69">
        <v>304831</v>
      </c>
      <c r="F40" s="69">
        <v>287540</v>
      </c>
      <c r="G40" s="69">
        <v>308827</v>
      </c>
      <c r="H40" s="69">
        <v>267027</v>
      </c>
      <c r="I40" s="69">
        <v>263116</v>
      </c>
      <c r="J40" s="69">
        <v>249067</v>
      </c>
      <c r="K40" s="69">
        <v>276950</v>
      </c>
      <c r="L40" s="69">
        <v>285419</v>
      </c>
      <c r="M40" s="69">
        <v>270145</v>
      </c>
      <c r="N40" s="69">
        <v>278345</v>
      </c>
      <c r="O40" s="69">
        <v>274398</v>
      </c>
      <c r="P40" s="69">
        <v>272810</v>
      </c>
      <c r="Q40" s="69">
        <f t="shared" ref="Q40:Q45" si="94">SUM(E40:P40)</f>
        <v>3338475</v>
      </c>
      <c r="S40" s="769"/>
      <c r="T40" s="769"/>
      <c r="U40" s="292" t="s">
        <v>100</v>
      </c>
      <c r="V40" s="69">
        <v>278722.12257768016</v>
      </c>
      <c r="W40" s="69">
        <v>310105.27304022945</v>
      </c>
      <c r="X40" s="69">
        <v>355127.51470630354</v>
      </c>
      <c r="Y40" s="69">
        <f>Y$38*'Region OP Sales Goals'!V17</f>
        <v>376737.26396109496</v>
      </c>
      <c r="Z40" s="69">
        <f>Z$38*'Region OP Sales Goals'!W17</f>
        <v>349160.43022943957</v>
      </c>
      <c r="AA40" s="69">
        <f>AA$38*'Region OP Sales Goals'!X17</f>
        <v>326929.59327514726</v>
      </c>
      <c r="AB40" s="69">
        <f>AB$38*'Region OP Sales Goals'!Y17</f>
        <v>310663.35525880783</v>
      </c>
      <c r="AC40" s="69">
        <f>AC$38*'Region OP Sales Goals'!Z17</f>
        <v>330310.02804496716</v>
      </c>
      <c r="AD40" s="69">
        <f>AD$38*'Region OP Sales Goals'!AA17</f>
        <v>366270.69385668793</v>
      </c>
      <c r="AE40" s="69">
        <f>AE$38*'Region OP Sales Goals'!AB17</f>
        <v>379094.38071271736</v>
      </c>
      <c r="AF40" s="69">
        <f>AF$38*'Region OP Sales Goals'!AC17</f>
        <v>308112.60499966302</v>
      </c>
      <c r="AG40" s="69">
        <f>AG$38*'Region OP Sales Goals'!AD17</f>
        <v>396397.94959392439</v>
      </c>
      <c r="AH40" s="69">
        <f>AH$38*'Region OP Sales Goals'!AE17</f>
        <v>4157367.0359389046</v>
      </c>
      <c r="AJ40" s="757"/>
      <c r="AK40" s="757"/>
      <c r="AL40" s="292" t="s">
        <v>100</v>
      </c>
      <c r="AM40" s="69">
        <v>284422</v>
      </c>
      <c r="AN40" s="69">
        <v>257492</v>
      </c>
      <c r="AO40" s="69">
        <v>294382</v>
      </c>
      <c r="AP40" s="69">
        <v>299203</v>
      </c>
      <c r="AQ40" s="69">
        <v>316036</v>
      </c>
      <c r="AR40" s="69">
        <v>297196</v>
      </c>
      <c r="AS40" s="69">
        <v>309517</v>
      </c>
      <c r="AT40" s="69">
        <v>230601</v>
      </c>
      <c r="AU40" s="69"/>
      <c r="AV40" s="69"/>
      <c r="AW40" s="69"/>
      <c r="AX40" s="69"/>
      <c r="AY40" s="69">
        <f t="shared" ref="AY40:AY45" si="95">SUM(AM40:AX40)</f>
        <v>2288849</v>
      </c>
      <c r="BA40" s="757"/>
      <c r="BB40" s="757"/>
      <c r="BC40" s="292" t="s">
        <v>100</v>
      </c>
      <c r="BD40" s="465">
        <f t="shared" ref="BD40:BD41" si="96">AM40/V40</f>
        <v>1.0204500359340198</v>
      </c>
      <c r="BE40" s="465">
        <f t="shared" si="83"/>
        <v>0.83033738019216452</v>
      </c>
      <c r="BF40" s="465">
        <f t="shared" si="84"/>
        <v>0.82894731556764589</v>
      </c>
      <c r="BG40" s="465">
        <f t="shared" si="85"/>
        <v>0.79419539456786581</v>
      </c>
      <c r="BH40" s="465">
        <f t="shared" si="86"/>
        <v>0.90513120227377164</v>
      </c>
      <c r="BI40" s="465">
        <f t="shared" si="87"/>
        <v>0.90905199808533954</v>
      </c>
      <c r="BJ40" s="465">
        <f t="shared" si="88"/>
        <v>0.99630997592924075</v>
      </c>
      <c r="BK40" s="465">
        <f t="shared" si="89"/>
        <v>0.69813502594782517</v>
      </c>
      <c r="BL40" s="465">
        <f t="shared" si="90"/>
        <v>0</v>
      </c>
      <c r="BM40" s="465">
        <f t="shared" si="91"/>
        <v>0</v>
      </c>
      <c r="BN40" s="465">
        <f t="shared" si="92"/>
        <v>0</v>
      </c>
      <c r="BO40" s="465">
        <f t="shared" si="93"/>
        <v>0</v>
      </c>
      <c r="BP40" s="465">
        <f t="shared" ref="BP40:BP45" si="97">AY40/AH40</f>
        <v>0.5505525444863888</v>
      </c>
    </row>
    <row r="41" spans="2:68" ht="16" customHeight="1">
      <c r="B41" s="769"/>
      <c r="C41" s="769"/>
      <c r="D41" s="292" t="s">
        <v>101</v>
      </c>
      <c r="E41" s="69">
        <v>189792</v>
      </c>
      <c r="F41" s="69">
        <v>172589</v>
      </c>
      <c r="G41" s="69">
        <v>168555</v>
      </c>
      <c r="H41" s="69">
        <v>159846</v>
      </c>
      <c r="I41" s="69">
        <v>167528</v>
      </c>
      <c r="J41" s="69">
        <v>168761</v>
      </c>
      <c r="K41" s="69">
        <v>177264</v>
      </c>
      <c r="L41" s="69">
        <v>183070</v>
      </c>
      <c r="M41" s="69">
        <v>152980</v>
      </c>
      <c r="N41" s="69">
        <v>168594</v>
      </c>
      <c r="O41" s="69">
        <v>192891</v>
      </c>
      <c r="P41" s="69">
        <v>199056</v>
      </c>
      <c r="Q41" s="69">
        <f t="shared" si="94"/>
        <v>2100926</v>
      </c>
      <c r="S41" s="769"/>
      <c r="T41" s="769"/>
      <c r="U41" s="292" t="s">
        <v>101</v>
      </c>
      <c r="V41" s="69">
        <v>123710.88863073505</v>
      </c>
      <c r="W41" s="69">
        <v>143595.54515163333</v>
      </c>
      <c r="X41" s="69">
        <v>157650.06493971418</v>
      </c>
      <c r="Y41" s="69">
        <f>Y$38*'Region OP Sales Goals'!V18</f>
        <v>139617.79154454055</v>
      </c>
      <c r="Z41" s="69">
        <f>Z$38*'Region OP Sales Goals'!W18</f>
        <v>153940.18968243763</v>
      </c>
      <c r="AA41" s="69">
        <f>AA$38*'Region OP Sales Goals'!X18</f>
        <v>144582.72441871199</v>
      </c>
      <c r="AB41" s="69">
        <f>AB$38*'Region OP Sales Goals'!Y18</f>
        <v>139056.11581897005</v>
      </c>
      <c r="AC41" s="69">
        <f>AC$38*'Region OP Sales Goals'!Z18</f>
        <v>149767.90091479875</v>
      </c>
      <c r="AD41" s="69">
        <f>AD$38*'Region OP Sales Goals'!AA18</f>
        <v>163606.37257282334</v>
      </c>
      <c r="AE41" s="69">
        <f>AE$38*'Region OP Sales Goals'!AB18</f>
        <v>174366.06527060911</v>
      </c>
      <c r="AF41" s="69">
        <f>AF$38*'Region OP Sales Goals'!AC18</f>
        <v>140203.17762387765</v>
      </c>
      <c r="AG41" s="69">
        <f>AG$38*'Region OP Sales Goals'!AD18</f>
        <v>181839.69433753041</v>
      </c>
      <c r="AH41" s="69">
        <f>AH$38*'Region OP Sales Goals'!AE18</f>
        <v>1793745.3913604815</v>
      </c>
      <c r="AJ41" s="757"/>
      <c r="AK41" s="757"/>
      <c r="AL41" s="292" t="s">
        <v>101</v>
      </c>
      <c r="AM41" s="69">
        <v>193778</v>
      </c>
      <c r="AN41" s="69">
        <v>177438</v>
      </c>
      <c r="AO41" s="69">
        <v>186393</v>
      </c>
      <c r="AP41" s="69">
        <v>189753</v>
      </c>
      <c r="AQ41" s="69">
        <v>175419</v>
      </c>
      <c r="AR41" s="69">
        <v>184292</v>
      </c>
      <c r="AS41" s="69">
        <v>198770</v>
      </c>
      <c r="AT41" s="69">
        <v>154726</v>
      </c>
      <c r="AU41" s="69"/>
      <c r="AV41" s="69"/>
      <c r="AW41" s="69"/>
      <c r="AX41" s="69"/>
      <c r="AY41" s="69">
        <f t="shared" si="95"/>
        <v>1460569</v>
      </c>
      <c r="BA41" s="757"/>
      <c r="BB41" s="757"/>
      <c r="BC41" s="292" t="s">
        <v>101</v>
      </c>
      <c r="BD41" s="465">
        <f t="shared" si="96"/>
        <v>1.5663778843138736</v>
      </c>
      <c r="BE41" s="465">
        <f t="shared" si="83"/>
        <v>1.2356790025249731</v>
      </c>
      <c r="BF41" s="465">
        <f t="shared" si="84"/>
        <v>1.1823211114519818</v>
      </c>
      <c r="BG41" s="465">
        <f t="shared" si="85"/>
        <v>1.3590889663905437</v>
      </c>
      <c r="BH41" s="465">
        <f t="shared" si="86"/>
        <v>1.1395269835763544</v>
      </c>
      <c r="BI41" s="465">
        <f t="shared" si="87"/>
        <v>1.2746474431225256</v>
      </c>
      <c r="BJ41" s="465">
        <f t="shared" si="88"/>
        <v>1.4294229263441269</v>
      </c>
      <c r="BK41" s="465">
        <f t="shared" si="89"/>
        <v>1.0331052185075482</v>
      </c>
      <c r="BL41" s="465">
        <f t="shared" si="90"/>
        <v>0</v>
      </c>
      <c r="BM41" s="465">
        <f t="shared" si="91"/>
        <v>0</v>
      </c>
      <c r="BN41" s="465">
        <f t="shared" si="92"/>
        <v>0</v>
      </c>
      <c r="BO41" s="465">
        <f t="shared" si="93"/>
        <v>0</v>
      </c>
      <c r="BP41" s="465">
        <f t="shared" si="97"/>
        <v>0.81425658682374036</v>
      </c>
    </row>
    <row r="42" spans="2:68" ht="16" customHeight="1">
      <c r="B42" s="769"/>
      <c r="C42" s="769"/>
      <c r="D42" s="292" t="s">
        <v>102</v>
      </c>
      <c r="E42" s="69">
        <v>104537</v>
      </c>
      <c r="F42" s="69">
        <v>99936</v>
      </c>
      <c r="G42" s="69">
        <v>117859</v>
      </c>
      <c r="H42" s="69">
        <v>111465</v>
      </c>
      <c r="I42" s="69">
        <v>105739</v>
      </c>
      <c r="J42" s="69">
        <v>110290</v>
      </c>
      <c r="K42" s="69">
        <v>125442</v>
      </c>
      <c r="L42" s="69">
        <v>119933</v>
      </c>
      <c r="M42" s="69">
        <v>123294</v>
      </c>
      <c r="N42" s="69">
        <v>120030</v>
      </c>
      <c r="O42" s="69">
        <v>121578</v>
      </c>
      <c r="P42" s="69">
        <v>122430</v>
      </c>
      <c r="Q42" s="69">
        <f t="shared" si="94"/>
        <v>1382533</v>
      </c>
      <c r="S42" s="769"/>
      <c r="T42" s="769"/>
      <c r="U42" s="292" t="s">
        <v>102</v>
      </c>
      <c r="V42" s="69">
        <v>76015.124339367321</v>
      </c>
      <c r="W42" s="69">
        <v>88601.506582922695</v>
      </c>
      <c r="X42" s="69">
        <v>98185.566760699192</v>
      </c>
      <c r="Y42" s="69">
        <f>Y$38*'Region OP Sales Goals'!V19</f>
        <v>84809.154367964715</v>
      </c>
      <c r="Z42" s="69">
        <f>Z$38*'Region OP Sales Goals'!W19</f>
        <v>100046.78994258984</v>
      </c>
      <c r="AA42" s="69">
        <f>AA$38*'Region OP Sales Goals'!X19</f>
        <v>107088.32386982959</v>
      </c>
      <c r="AB42" s="69">
        <f>AB$38*'Region OP Sales Goals'!Y19</f>
        <v>101365.34110007057</v>
      </c>
      <c r="AC42" s="69">
        <f>AC$38*'Region OP Sales Goals'!Z19</f>
        <v>110201.03863789498</v>
      </c>
      <c r="AD42" s="69">
        <f>AD$38*'Region OP Sales Goals'!AA19</f>
        <v>113349.99101456039</v>
      </c>
      <c r="AE42" s="69">
        <f>AE$38*'Region OP Sales Goals'!AB19</f>
        <v>118846.52209986791</v>
      </c>
      <c r="AF42" s="69">
        <f>AF$38*'Region OP Sales Goals'!AC19</f>
        <v>94105.710364238155</v>
      </c>
      <c r="AG42" s="69">
        <f>AG$38*'Region OP Sales Goals'!AD19</f>
        <v>120177.79106736438</v>
      </c>
      <c r="AH42" s="69">
        <f>AH$38*'Region OP Sales Goals'!AE19</f>
        <v>1224983.2657148133</v>
      </c>
      <c r="AJ42" s="757"/>
      <c r="AK42" s="757"/>
      <c r="AL42" s="292" t="s">
        <v>102</v>
      </c>
      <c r="AM42" s="69">
        <v>135037</v>
      </c>
      <c r="AN42" s="69">
        <v>119556</v>
      </c>
      <c r="AO42" s="69">
        <v>126493</v>
      </c>
      <c r="AP42" s="69">
        <v>121295</v>
      </c>
      <c r="AQ42" s="69">
        <v>130217</v>
      </c>
      <c r="AR42" s="69">
        <v>130550</v>
      </c>
      <c r="AS42" s="69">
        <v>156055</v>
      </c>
      <c r="AT42" s="69">
        <v>110702</v>
      </c>
      <c r="AU42" s="69"/>
      <c r="AV42" s="69"/>
      <c r="AW42" s="69"/>
      <c r="AX42" s="69"/>
      <c r="AY42" s="69">
        <f t="shared" si="95"/>
        <v>1029905</v>
      </c>
      <c r="BA42" s="757"/>
      <c r="BB42" s="757"/>
      <c r="BC42" s="292" t="s">
        <v>102</v>
      </c>
      <c r="BD42" s="465">
        <f>AM42/V42</f>
        <v>1.7764491102735191</v>
      </c>
      <c r="BE42" s="465">
        <f t="shared" si="83"/>
        <v>1.3493675741067315</v>
      </c>
      <c r="BF42" s="465">
        <f t="shared" si="84"/>
        <v>1.2883054421663882</v>
      </c>
      <c r="BG42" s="465">
        <f t="shared" si="85"/>
        <v>1.4302111712343311</v>
      </c>
      <c r="BH42" s="465">
        <f t="shared" si="86"/>
        <v>1.3015610003551621</v>
      </c>
      <c r="BI42" s="465">
        <f t="shared" si="87"/>
        <v>1.2190871542511867</v>
      </c>
      <c r="BJ42" s="465">
        <f t="shared" si="88"/>
        <v>1.5395301619509014</v>
      </c>
      <c r="BK42" s="465">
        <f t="shared" si="89"/>
        <v>1.0045458860306309</v>
      </c>
      <c r="BL42" s="465">
        <f t="shared" si="90"/>
        <v>0</v>
      </c>
      <c r="BM42" s="465">
        <f t="shared" si="91"/>
        <v>0</v>
      </c>
      <c r="BN42" s="465">
        <f t="shared" si="92"/>
        <v>0</v>
      </c>
      <c r="BO42" s="465">
        <f t="shared" si="93"/>
        <v>0</v>
      </c>
      <c r="BP42" s="465">
        <f t="shared" si="97"/>
        <v>0.8407502606976599</v>
      </c>
    </row>
    <row r="43" spans="2:68" ht="16" customHeight="1">
      <c r="B43" s="769"/>
      <c r="C43" s="769"/>
      <c r="D43" s="292" t="s">
        <v>103</v>
      </c>
      <c r="E43" s="69">
        <v>264077</v>
      </c>
      <c r="F43" s="69">
        <v>248403</v>
      </c>
      <c r="G43" s="69">
        <v>301499</v>
      </c>
      <c r="H43" s="69">
        <v>286179</v>
      </c>
      <c r="I43" s="69">
        <v>291657</v>
      </c>
      <c r="J43" s="69">
        <v>292885</v>
      </c>
      <c r="K43" s="69">
        <v>307063</v>
      </c>
      <c r="L43" s="69">
        <v>323003</v>
      </c>
      <c r="M43" s="69">
        <v>297286</v>
      </c>
      <c r="N43" s="69">
        <v>309997</v>
      </c>
      <c r="O43" s="69">
        <v>328619</v>
      </c>
      <c r="P43" s="69">
        <v>325771</v>
      </c>
      <c r="Q43" s="69">
        <f t="shared" si="94"/>
        <v>3576439</v>
      </c>
      <c r="S43" s="769"/>
      <c r="T43" s="769"/>
      <c r="U43" s="292" t="s">
        <v>103</v>
      </c>
      <c r="V43" s="69">
        <v>187802.07189726047</v>
      </c>
      <c r="W43" s="69">
        <v>206227.64463266492</v>
      </c>
      <c r="X43" s="69">
        <v>228177.72557063898</v>
      </c>
      <c r="Y43" s="69">
        <f>Y$38*'Region OP Sales Goals'!V20</f>
        <v>200484.2254616853</v>
      </c>
      <c r="Z43" s="69">
        <f>Z$38*'Region OP Sales Goals'!W20</f>
        <v>253700.31260513471</v>
      </c>
      <c r="AA43" s="69">
        <f>AA$38*'Region OP Sales Goals'!X20</f>
        <v>228742.81773706674</v>
      </c>
      <c r="AB43" s="69">
        <f>AB$38*'Region OP Sales Goals'!Y20</f>
        <v>207299.26095394712</v>
      </c>
      <c r="AC43" s="69">
        <f>AC$38*'Region OP Sales Goals'!Z20</f>
        <v>220988.25301322553</v>
      </c>
      <c r="AD43" s="69">
        <f>AD$38*'Region OP Sales Goals'!AA20</f>
        <v>236805.88484246715</v>
      </c>
      <c r="AE43" s="69">
        <f>AE$38*'Region OP Sales Goals'!AB20</f>
        <v>246946.30139485936</v>
      </c>
      <c r="AF43" s="69">
        <f>AF$38*'Region OP Sales Goals'!AC20</f>
        <v>200392.61674009089</v>
      </c>
      <c r="AG43" s="69">
        <f>AG$38*'Region OP Sales Goals'!AD20</f>
        <v>257344.06568875408</v>
      </c>
      <c r="AH43" s="69">
        <f>AH$38*'Region OP Sales Goals'!AE20</f>
        <v>2638532.6230369317</v>
      </c>
      <c r="AJ43" s="757"/>
      <c r="AK43" s="757"/>
      <c r="AL43" s="292" t="s">
        <v>103</v>
      </c>
      <c r="AM43" s="69">
        <v>363837</v>
      </c>
      <c r="AN43" s="69">
        <v>312136</v>
      </c>
      <c r="AO43" s="69">
        <v>382939</v>
      </c>
      <c r="AP43" s="69">
        <v>344464</v>
      </c>
      <c r="AQ43" s="69">
        <v>344453</v>
      </c>
      <c r="AR43" s="69">
        <v>343374</v>
      </c>
      <c r="AS43" s="69">
        <v>362063</v>
      </c>
      <c r="AT43" s="69">
        <v>318035</v>
      </c>
      <c r="AU43" s="69"/>
      <c r="AV43" s="69"/>
      <c r="AW43" s="69"/>
      <c r="AX43" s="69"/>
      <c r="AY43" s="69">
        <f t="shared" si="95"/>
        <v>2771301</v>
      </c>
      <c r="BA43" s="757"/>
      <c r="BB43" s="757"/>
      <c r="BC43" s="292" t="s">
        <v>103</v>
      </c>
      <c r="BD43" s="465">
        <f t="shared" ref="BD43:BD45" si="98">AM43/V43</f>
        <v>1.9373428435818414</v>
      </c>
      <c r="BE43" s="465">
        <f t="shared" si="83"/>
        <v>1.5135507199142979</v>
      </c>
      <c r="BF43" s="465">
        <f t="shared" si="84"/>
        <v>1.6782488257446067</v>
      </c>
      <c r="BG43" s="465">
        <f t="shared" si="85"/>
        <v>1.718160115623814</v>
      </c>
      <c r="BH43" s="465">
        <f t="shared" si="86"/>
        <v>1.3577161039455043</v>
      </c>
      <c r="BI43" s="465">
        <f t="shared" si="87"/>
        <v>1.5011356570534971</v>
      </c>
      <c r="BJ43" s="465">
        <f t="shared" si="88"/>
        <v>1.746571590915776</v>
      </c>
      <c r="BK43" s="465">
        <f t="shared" si="89"/>
        <v>1.4391488944028463</v>
      </c>
      <c r="BL43" s="465">
        <f t="shared" si="90"/>
        <v>0</v>
      </c>
      <c r="BM43" s="465">
        <f t="shared" si="91"/>
        <v>0</v>
      </c>
      <c r="BN43" s="465">
        <f t="shared" si="92"/>
        <v>0</v>
      </c>
      <c r="BO43" s="465">
        <f t="shared" si="93"/>
        <v>0</v>
      </c>
      <c r="BP43" s="465">
        <f t="shared" si="97"/>
        <v>1.0503190204297164</v>
      </c>
    </row>
    <row r="44" spans="2:68" ht="16" customHeight="1">
      <c r="B44" s="769"/>
      <c r="C44" s="769"/>
      <c r="D44" s="292" t="s">
        <v>104</v>
      </c>
      <c r="E44" s="69">
        <v>383829</v>
      </c>
      <c r="F44" s="69">
        <v>368545</v>
      </c>
      <c r="G44" s="69">
        <v>413971</v>
      </c>
      <c r="H44" s="69">
        <v>406685</v>
      </c>
      <c r="I44" s="69">
        <v>398491</v>
      </c>
      <c r="J44" s="69">
        <v>401999</v>
      </c>
      <c r="K44" s="69">
        <v>466765</v>
      </c>
      <c r="L44" s="69">
        <v>502105</v>
      </c>
      <c r="M44" s="69">
        <v>490922</v>
      </c>
      <c r="N44" s="69">
        <v>490617</v>
      </c>
      <c r="O44" s="69">
        <v>477819</v>
      </c>
      <c r="P44" s="69">
        <v>500484</v>
      </c>
      <c r="Q44" s="69">
        <f t="shared" si="94"/>
        <v>5302232</v>
      </c>
      <c r="S44" s="769"/>
      <c r="T44" s="769"/>
      <c r="U44" s="292" t="s">
        <v>104</v>
      </c>
      <c r="V44" s="156">
        <v>390509.07013557333</v>
      </c>
      <c r="W44" s="156">
        <v>382208.56805253896</v>
      </c>
      <c r="X44" s="156">
        <v>448334.65836364334</v>
      </c>
      <c r="Y44" s="156">
        <f>Y$38*'Region OP Sales Goals'!V21</f>
        <v>469911.94716127391</v>
      </c>
      <c r="Z44" s="156">
        <f>Z$38*'Region OP Sales Goals'!W21</f>
        <v>537500.66229901416</v>
      </c>
      <c r="AA44" s="156">
        <f>AA$38*'Region OP Sales Goals'!X21</f>
        <v>494980.03602301591</v>
      </c>
      <c r="AB44" s="69">
        <f>AB$38*'Region OP Sales Goals'!Y21</f>
        <v>440582.31357016589</v>
      </c>
      <c r="AC44" s="69">
        <f>AC$38*'Region OP Sales Goals'!Z21</f>
        <v>470699.11716079607</v>
      </c>
      <c r="AD44" s="69">
        <f>AD$38*'Region OP Sales Goals'!AA21</f>
        <v>492731.04527775169</v>
      </c>
      <c r="AE44" s="69">
        <f>AE$38*'Region OP Sales Goals'!AB21</f>
        <v>507194.16000770876</v>
      </c>
      <c r="AF44" s="69">
        <f>AF$38*'Region OP Sales Goals'!AC21</f>
        <v>411772.19458869688</v>
      </c>
      <c r="AG44" s="69">
        <f>AG$38*'Region OP Sales Goals'!AD21</f>
        <v>533249.62266801728</v>
      </c>
      <c r="AH44" s="69">
        <f>AH$38*'Region OP Sales Goals'!AE21</f>
        <v>5511032.0362513177</v>
      </c>
      <c r="AJ44" s="757"/>
      <c r="AK44" s="757"/>
      <c r="AL44" s="292" t="s">
        <v>104</v>
      </c>
      <c r="AM44" s="156">
        <v>562051</v>
      </c>
      <c r="AN44" s="156">
        <v>520194</v>
      </c>
      <c r="AO44" s="156">
        <v>562228</v>
      </c>
      <c r="AP44" s="156">
        <v>541262</v>
      </c>
      <c r="AQ44" s="156">
        <v>519510</v>
      </c>
      <c r="AR44" s="156">
        <v>496158</v>
      </c>
      <c r="AS44" s="156">
        <v>505986</v>
      </c>
      <c r="AT44" s="156">
        <v>340687</v>
      </c>
      <c r="AU44" s="69"/>
      <c r="AV44" s="69"/>
      <c r="AW44" s="69"/>
      <c r="AX44" s="69"/>
      <c r="AY44" s="69">
        <f t="shared" si="95"/>
        <v>4048076</v>
      </c>
      <c r="BA44" s="757"/>
      <c r="BB44" s="757"/>
      <c r="BC44" s="292" t="s">
        <v>104</v>
      </c>
      <c r="BD44" s="542">
        <f t="shared" si="98"/>
        <v>1.4392777094905178</v>
      </c>
      <c r="BE44" s="542">
        <f t="shared" si="83"/>
        <v>1.3610212943433895</v>
      </c>
      <c r="BF44" s="542">
        <f t="shared" si="84"/>
        <v>1.2540364424469232</v>
      </c>
      <c r="BG44" s="542">
        <f t="shared" si="85"/>
        <v>1.1518370691993467</v>
      </c>
      <c r="BH44" s="542">
        <f t="shared" si="86"/>
        <v>0.96652904161631359</v>
      </c>
      <c r="BI44" s="542">
        <f>AR44/AA44</f>
        <v>1.0023798211872312</v>
      </c>
      <c r="BJ44" s="465">
        <f t="shared" si="88"/>
        <v>1.1484482795050239</v>
      </c>
      <c r="BK44" s="465">
        <f t="shared" si="89"/>
        <v>0.72378933288633618</v>
      </c>
      <c r="BL44" s="465">
        <f t="shared" si="90"/>
        <v>0</v>
      </c>
      <c r="BM44" s="465">
        <f t="shared" si="91"/>
        <v>0</v>
      </c>
      <c r="BN44" s="465">
        <f t="shared" si="92"/>
        <v>0</v>
      </c>
      <c r="BO44" s="465">
        <f t="shared" si="93"/>
        <v>0</v>
      </c>
      <c r="BP44" s="465">
        <f t="shared" si="97"/>
        <v>0.73454045873294516</v>
      </c>
    </row>
    <row r="45" spans="2:68" ht="16" customHeight="1">
      <c r="B45" s="770"/>
      <c r="C45" s="770"/>
      <c r="D45" s="292" t="s">
        <v>105</v>
      </c>
      <c r="E45" s="69">
        <v>213243</v>
      </c>
      <c r="F45" s="69">
        <v>201429</v>
      </c>
      <c r="G45" s="69">
        <v>226826</v>
      </c>
      <c r="H45" s="69">
        <v>212462</v>
      </c>
      <c r="I45" s="69">
        <v>200646</v>
      </c>
      <c r="J45" s="69">
        <v>179124</v>
      </c>
      <c r="K45" s="69">
        <v>195520</v>
      </c>
      <c r="L45" s="69">
        <v>207502</v>
      </c>
      <c r="M45" s="69">
        <v>206914</v>
      </c>
      <c r="N45" s="69">
        <v>187892</v>
      </c>
      <c r="O45" s="69">
        <v>190744</v>
      </c>
      <c r="P45" s="69">
        <v>251088</v>
      </c>
      <c r="Q45" s="69">
        <f t="shared" si="94"/>
        <v>2473390</v>
      </c>
      <c r="S45" s="770"/>
      <c r="T45" s="770"/>
      <c r="U45" s="292" t="s">
        <v>105</v>
      </c>
      <c r="V45" s="69">
        <v>213140.44667704956</v>
      </c>
      <c r="W45" s="69">
        <v>249000.78574166211</v>
      </c>
      <c r="X45" s="69">
        <v>265515.89884583442</v>
      </c>
      <c r="Y45" s="69">
        <f>Y$38*'Region OP Sales Goals'!V22</f>
        <v>312986.16492939362</v>
      </c>
      <c r="Z45" s="69">
        <f>Z$38*'Region OP Sales Goals'!W22</f>
        <v>339127.08453319134</v>
      </c>
      <c r="AA45" s="69">
        <f>AA$38*'Region OP Sales Goals'!X22</f>
        <v>309665.9843893309</v>
      </c>
      <c r="AB45" s="69">
        <f>AB$38*'Region OP Sales Goals'!Y22</f>
        <v>279825.44867061736</v>
      </c>
      <c r="AC45" s="69">
        <f>AC$38*'Region OP Sales Goals'!Z22</f>
        <v>295725.65953626606</v>
      </c>
      <c r="AD45" s="69">
        <f>AD$38*'Region OP Sales Goals'!AA22</f>
        <v>302084.55436651513</v>
      </c>
      <c r="AE45" s="69">
        <f>AE$38*'Region OP Sales Goals'!AB22</f>
        <v>306224.9803011195</v>
      </c>
      <c r="AF45" s="69">
        <f>AF$38*'Region OP Sales Goals'!AC22</f>
        <v>252700.10549584765</v>
      </c>
      <c r="AG45" s="69">
        <f>AG$38*'Region OP Sales Goals'!AD22</f>
        <v>323724.99216837162</v>
      </c>
      <c r="AH45" s="69">
        <f>AH$38*'Region OP Sales Goals'!AE22</f>
        <v>3493068.4709707764</v>
      </c>
      <c r="AJ45" s="757"/>
      <c r="AK45" s="757"/>
      <c r="AL45" s="292" t="s">
        <v>105</v>
      </c>
      <c r="AM45" s="69">
        <v>231926</v>
      </c>
      <c r="AN45" s="69">
        <v>213223</v>
      </c>
      <c r="AO45" s="69">
        <v>218205</v>
      </c>
      <c r="AP45" s="69">
        <v>224415</v>
      </c>
      <c r="AQ45" s="69">
        <v>233811</v>
      </c>
      <c r="AR45" s="69">
        <v>214055</v>
      </c>
      <c r="AS45" s="69">
        <v>267868</v>
      </c>
      <c r="AT45" s="69">
        <v>189595</v>
      </c>
      <c r="AU45" s="69"/>
      <c r="AV45" s="69"/>
      <c r="AW45" s="69"/>
      <c r="AX45" s="69"/>
      <c r="AY45" s="69">
        <f t="shared" si="95"/>
        <v>1793098</v>
      </c>
      <c r="BA45" s="757"/>
      <c r="BB45" s="757"/>
      <c r="BC45" s="292" t="s">
        <v>105</v>
      </c>
      <c r="BD45" s="465">
        <f t="shared" si="98"/>
        <v>1.0881369707900364</v>
      </c>
      <c r="BE45" s="465">
        <f t="shared" si="83"/>
        <v>0.85631456689947349</v>
      </c>
      <c r="BF45" s="465">
        <f t="shared" si="84"/>
        <v>0.82181519430102234</v>
      </c>
      <c r="BG45" s="465">
        <f t="shared" si="85"/>
        <v>0.71701252370252744</v>
      </c>
      <c r="BH45" s="465">
        <f t="shared" si="86"/>
        <v>0.68944950333837529</v>
      </c>
      <c r="BI45" s="465">
        <f t="shared" si="87"/>
        <v>0.6912447953304327</v>
      </c>
      <c r="BJ45" s="465">
        <f t="shared" si="88"/>
        <v>0.95726818726665397</v>
      </c>
      <c r="BK45" s="465">
        <f t="shared" si="89"/>
        <v>0.64111785327424109</v>
      </c>
      <c r="BL45" s="465">
        <f t="shared" si="90"/>
        <v>0</v>
      </c>
      <c r="BM45" s="465">
        <f t="shared" si="91"/>
        <v>0</v>
      </c>
      <c r="BN45" s="465">
        <f t="shared" si="92"/>
        <v>0</v>
      </c>
      <c r="BO45" s="465">
        <f t="shared" si="93"/>
        <v>0</v>
      </c>
      <c r="BP45" s="465">
        <f t="shared" si="97"/>
        <v>0.51333033260057193</v>
      </c>
    </row>
    <row r="46" spans="2:68">
      <c r="V46" s="504"/>
      <c r="W46" s="505"/>
      <c r="X46" s="506"/>
      <c r="Y46" s="507" t="s">
        <v>210</v>
      </c>
      <c r="Z46" s="507"/>
      <c r="AA46" s="507"/>
    </row>
    <row r="47" spans="2:68" s="346" customFormat="1" ht="50" customHeight="1">
      <c r="B47" s="771" t="s">
        <v>336</v>
      </c>
      <c r="C47" s="772"/>
      <c r="D47" s="772"/>
      <c r="E47" s="772"/>
      <c r="F47" s="772"/>
      <c r="G47" s="772"/>
      <c r="H47" s="772"/>
      <c r="I47" s="772"/>
      <c r="J47" s="772"/>
      <c r="K47" s="772"/>
      <c r="L47" s="772"/>
      <c r="M47" s="772"/>
      <c r="N47" s="772"/>
      <c r="O47" s="772"/>
      <c r="P47" s="772"/>
      <c r="Q47" s="773"/>
      <c r="S47" s="771" t="s">
        <v>337</v>
      </c>
      <c r="T47" s="772"/>
      <c r="U47" s="772"/>
      <c r="V47" s="772"/>
      <c r="W47" s="772"/>
      <c r="X47" s="772"/>
      <c r="Y47" s="772"/>
      <c r="Z47" s="772"/>
      <c r="AA47" s="772"/>
      <c r="AB47" s="772"/>
      <c r="AC47" s="772"/>
      <c r="AD47" s="772"/>
      <c r="AE47" s="772"/>
      <c r="AF47" s="772"/>
      <c r="AG47" s="772"/>
      <c r="AH47" s="773"/>
      <c r="AJ47" s="771" t="s">
        <v>338</v>
      </c>
      <c r="AK47" s="772"/>
      <c r="AL47" s="772"/>
      <c r="AM47" s="772"/>
      <c r="AN47" s="772"/>
      <c r="AO47" s="772"/>
      <c r="AP47" s="772"/>
      <c r="AQ47" s="772"/>
      <c r="AR47" s="772"/>
      <c r="AS47" s="772"/>
      <c r="AT47" s="772"/>
      <c r="AU47" s="772"/>
      <c r="AV47" s="772"/>
      <c r="AW47" s="772"/>
      <c r="AX47" s="772"/>
      <c r="AY47" s="773"/>
      <c r="BA47" s="771" t="s">
        <v>339</v>
      </c>
      <c r="BB47" s="772"/>
      <c r="BC47" s="772"/>
      <c r="BD47" s="772"/>
      <c r="BE47" s="772"/>
      <c r="BF47" s="772"/>
      <c r="BG47" s="772"/>
      <c r="BH47" s="772"/>
      <c r="BI47" s="772"/>
      <c r="BJ47" s="772"/>
      <c r="BK47" s="772"/>
      <c r="BL47" s="772"/>
      <c r="BM47" s="772"/>
      <c r="BN47" s="772"/>
      <c r="BO47" s="772"/>
      <c r="BP47" s="773"/>
    </row>
    <row r="48" spans="2:68">
      <c r="B48" s="765" t="s">
        <v>97</v>
      </c>
      <c r="C48" s="766"/>
      <c r="D48" s="767"/>
      <c r="E48" s="234" t="s">
        <v>252</v>
      </c>
      <c r="F48" s="234" t="s">
        <v>253</v>
      </c>
      <c r="G48" s="234" t="s">
        <v>230</v>
      </c>
      <c r="H48" s="234" t="s">
        <v>254</v>
      </c>
      <c r="I48" s="234" t="s">
        <v>78</v>
      </c>
      <c r="J48" s="234" t="s">
        <v>255</v>
      </c>
      <c r="K48" s="234" t="s">
        <v>256</v>
      </c>
      <c r="L48" s="234" t="s">
        <v>236</v>
      </c>
      <c r="M48" s="234" t="s">
        <v>257</v>
      </c>
      <c r="N48" s="234" t="s">
        <v>258</v>
      </c>
      <c r="O48" s="234" t="s">
        <v>259</v>
      </c>
      <c r="P48" s="234" t="s">
        <v>260</v>
      </c>
      <c r="Q48" s="234" t="s">
        <v>24</v>
      </c>
      <c r="S48" s="765" t="s">
        <v>97</v>
      </c>
      <c r="T48" s="766"/>
      <c r="U48" s="767"/>
      <c r="V48" s="234" t="s">
        <v>252</v>
      </c>
      <c r="W48" s="234" t="s">
        <v>253</v>
      </c>
      <c r="X48" s="234" t="s">
        <v>230</v>
      </c>
      <c r="Y48" s="234" t="s">
        <v>254</v>
      </c>
      <c r="Z48" s="234" t="s">
        <v>78</v>
      </c>
      <c r="AA48" s="234" t="s">
        <v>255</v>
      </c>
      <c r="AB48" s="234" t="s">
        <v>256</v>
      </c>
      <c r="AC48" s="234" t="s">
        <v>236</v>
      </c>
      <c r="AD48" s="234" t="s">
        <v>257</v>
      </c>
      <c r="AE48" s="234" t="s">
        <v>258</v>
      </c>
      <c r="AF48" s="234" t="s">
        <v>259</v>
      </c>
      <c r="AG48" s="234" t="s">
        <v>260</v>
      </c>
      <c r="AH48" s="234" t="s">
        <v>24</v>
      </c>
      <c r="AJ48" s="765" t="s">
        <v>97</v>
      </c>
      <c r="AK48" s="766"/>
      <c r="AL48" s="767"/>
      <c r="AM48" s="234" t="s">
        <v>252</v>
      </c>
      <c r="AN48" s="234" t="s">
        <v>253</v>
      </c>
      <c r="AO48" s="234" t="s">
        <v>230</v>
      </c>
      <c r="AP48" s="234" t="s">
        <v>254</v>
      </c>
      <c r="AQ48" s="234" t="s">
        <v>78</v>
      </c>
      <c r="AR48" s="234" t="s">
        <v>255</v>
      </c>
      <c r="AS48" s="234" t="s">
        <v>256</v>
      </c>
      <c r="AT48" s="234" t="s">
        <v>236</v>
      </c>
      <c r="AU48" s="234" t="s">
        <v>257</v>
      </c>
      <c r="AV48" s="234" t="s">
        <v>258</v>
      </c>
      <c r="AW48" s="234" t="s">
        <v>259</v>
      </c>
      <c r="AX48" s="234" t="s">
        <v>260</v>
      </c>
      <c r="AY48" s="234" t="s">
        <v>24</v>
      </c>
      <c r="BA48" s="765" t="s">
        <v>97</v>
      </c>
      <c r="BB48" s="766"/>
      <c r="BC48" s="767"/>
      <c r="BD48" s="234" t="s">
        <v>252</v>
      </c>
      <c r="BE48" s="234" t="s">
        <v>253</v>
      </c>
      <c r="BF48" s="234" t="s">
        <v>230</v>
      </c>
      <c r="BG48" s="234" t="s">
        <v>254</v>
      </c>
      <c r="BH48" s="234" t="s">
        <v>78</v>
      </c>
      <c r="BI48" s="234" t="s">
        <v>255</v>
      </c>
      <c r="BJ48" s="234" t="s">
        <v>256</v>
      </c>
      <c r="BK48" s="234" t="s">
        <v>236</v>
      </c>
      <c r="BL48" s="234" t="s">
        <v>257</v>
      </c>
      <c r="BM48" s="234" t="s">
        <v>258</v>
      </c>
      <c r="BN48" s="234" t="s">
        <v>259</v>
      </c>
      <c r="BO48" s="234" t="s">
        <v>260</v>
      </c>
      <c r="BP48" s="234" t="s">
        <v>24</v>
      </c>
    </row>
    <row r="49" spans="2:68">
      <c r="B49" s="768" t="s">
        <v>48</v>
      </c>
      <c r="C49" s="768" t="s">
        <v>49</v>
      </c>
      <c r="D49" s="343" t="s">
        <v>50</v>
      </c>
      <c r="E49" s="344">
        <f>E50+E58</f>
        <v>131940</v>
      </c>
      <c r="F49" s="344">
        <f t="shared" ref="F49:Q49" si="99">F50+F58</f>
        <v>124718</v>
      </c>
      <c r="G49" s="344">
        <f t="shared" si="99"/>
        <v>158254</v>
      </c>
      <c r="H49" s="344">
        <f t="shared" si="99"/>
        <v>156423</v>
      </c>
      <c r="I49" s="344">
        <f t="shared" si="99"/>
        <v>154107</v>
      </c>
      <c r="J49" s="344">
        <f t="shared" si="99"/>
        <v>149888</v>
      </c>
      <c r="K49" s="344">
        <f t="shared" si="99"/>
        <v>161359</v>
      </c>
      <c r="L49" s="344">
        <f t="shared" si="99"/>
        <v>175283</v>
      </c>
      <c r="M49" s="344">
        <f t="shared" si="99"/>
        <v>165769</v>
      </c>
      <c r="N49" s="344">
        <f t="shared" si="99"/>
        <v>187641</v>
      </c>
      <c r="O49" s="344">
        <f t="shared" si="99"/>
        <v>173034</v>
      </c>
      <c r="P49" s="344">
        <f t="shared" si="99"/>
        <v>197561</v>
      </c>
      <c r="Q49" s="344">
        <f t="shared" si="99"/>
        <v>1935977</v>
      </c>
      <c r="S49" s="768" t="s">
        <v>48</v>
      </c>
      <c r="T49" s="768" t="s">
        <v>49</v>
      </c>
      <c r="U49" s="343" t="s">
        <v>50</v>
      </c>
      <c r="V49" s="344">
        <v>128772.3346215049</v>
      </c>
      <c r="W49" s="344">
        <v>133923.2280063651</v>
      </c>
      <c r="X49" s="344">
        <v>156020.29532358158</v>
      </c>
      <c r="Y49" s="344" cm="1">
        <f t="array" ref="Y49">INDEX('Research Goals'!$G$45:$G$56, COLUMN()-COLUMN($V$3)+1)</f>
        <v>173902.25808895961</v>
      </c>
      <c r="Z49" s="344" cm="1">
        <f t="array" ref="Z49">INDEX('Research Goals'!$G$45:$G$56, COLUMN()-COLUMN($V$3)+1)</f>
        <v>191292.48389785559</v>
      </c>
      <c r="AA49" s="344" cm="1">
        <f t="array" ref="AA49">INDEX('Research Goals'!$G$45:$G$56, COLUMN()-COLUMN($V$3)+1)</f>
        <v>173902.25808895961</v>
      </c>
      <c r="AB49" s="344" cm="1">
        <f t="array" ref="AB49">INDEX('Research Goals'!$G$45:$G$56, COLUMN()-COLUMN($V$3)+1)</f>
        <v>162301.77304964539</v>
      </c>
      <c r="AC49" s="344" cm="1">
        <f t="array" ref="AC49">INDEX('Research Goals'!$G$45:$G$56, COLUMN()-COLUMN($V$3)+1)</f>
        <v>164864.43262411348</v>
      </c>
      <c r="AD49" s="344" cm="1">
        <f t="array" ref="AD49">INDEX('Research Goals'!$G$45:$G$56, COLUMN()-COLUMN($V$3)+1)</f>
        <v>200499.07403197695</v>
      </c>
      <c r="AE49" s="344" cm="1">
        <f t="array" ref="AE49">INDEX('Research Goals'!$G$45:$G$56, COLUMN()-COLUMN($V$3)+1)</f>
        <v>212774.52754413884</v>
      </c>
      <c r="AF49" s="344" cm="1">
        <f t="array" ref="AF49">INDEX('Research Goals'!$G$45:$G$56, COLUMN()-COLUMN($V$3)+1)</f>
        <v>175115.07092198584</v>
      </c>
      <c r="AG49" s="344" cm="1">
        <f t="array" ref="AG49">INDEX('Research Goals'!$G$45:$G$56, COLUMN()-COLUMN($V$3)+1)</f>
        <v>214409.18439716313</v>
      </c>
      <c r="AH49" s="345">
        <f>SUM(V49:AG49)</f>
        <v>2087776.9205962501</v>
      </c>
      <c r="AI49" s="47"/>
      <c r="AJ49" s="757" t="s">
        <v>48</v>
      </c>
      <c r="AK49" s="757" t="s">
        <v>49</v>
      </c>
      <c r="AL49" s="343" t="s">
        <v>50</v>
      </c>
      <c r="AM49" s="344">
        <f>AM50+AM58</f>
        <v>170953.71428571429</v>
      </c>
      <c r="AN49" s="344">
        <f t="shared" ref="AN49:AY49" si="100">AN50+AN58</f>
        <v>152330.71428571429</v>
      </c>
      <c r="AO49" s="344">
        <f t="shared" si="100"/>
        <v>160742</v>
      </c>
      <c r="AP49" s="344">
        <f t="shared" si="100"/>
        <v>155552</v>
      </c>
      <c r="AQ49" s="344">
        <f t="shared" si="100"/>
        <v>137917</v>
      </c>
      <c r="AR49" s="344">
        <f t="shared" si="100"/>
        <v>152731.71428571429</v>
      </c>
      <c r="AS49" s="344">
        <f t="shared" si="100"/>
        <v>198697.28571428571</v>
      </c>
      <c r="AT49" s="344">
        <f t="shared" si="100"/>
        <v>157421</v>
      </c>
      <c r="AU49" s="344">
        <f t="shared" si="100"/>
        <v>0</v>
      </c>
      <c r="AV49" s="344">
        <f t="shared" si="100"/>
        <v>0</v>
      </c>
      <c r="AW49" s="344">
        <f t="shared" si="100"/>
        <v>0</v>
      </c>
      <c r="AX49" s="344">
        <f t="shared" si="100"/>
        <v>0</v>
      </c>
      <c r="AY49" s="344">
        <f t="shared" si="100"/>
        <v>1286345.4285714286</v>
      </c>
      <c r="BA49" s="757" t="s">
        <v>48</v>
      </c>
      <c r="BB49" s="757" t="s">
        <v>49</v>
      </c>
      <c r="BC49" s="343" t="s">
        <v>50</v>
      </c>
      <c r="BD49" s="463">
        <f>AM49/V49</f>
        <v>1.3275655426158992</v>
      </c>
      <c r="BE49" s="463">
        <f>AN49/W49</f>
        <v>1.1374480480598506</v>
      </c>
      <c r="BF49" s="463">
        <f t="shared" ref="BF49:BF90" si="101">AO49/X49</f>
        <v>1.0302634004545739</v>
      </c>
      <c r="BG49" s="463">
        <f t="shared" ref="BG49:BG90" si="102">AP49/Y49</f>
        <v>0.89447947202863487</v>
      </c>
      <c r="BH49" s="463">
        <f t="shared" ref="BH49:BH90" si="103">AQ49/Z49</f>
        <v>0.72097448467261005</v>
      </c>
      <c r="BI49" s="463">
        <f t="shared" ref="BI49:BI90" si="104">AR49/AA49</f>
        <v>0.87826182341798265</v>
      </c>
      <c r="BJ49" s="463">
        <f t="shared" ref="BJ49:BJ90" si="105">AS49/AB49</f>
        <v>1.224245933859931</v>
      </c>
      <c r="BK49" s="463">
        <f t="shared" ref="BK49:BK90" si="106">AT49/AC49</f>
        <v>0.95485119194214374</v>
      </c>
      <c r="BL49" s="463">
        <f t="shared" ref="BL49:BL90" si="107">AU49/AD49</f>
        <v>0</v>
      </c>
      <c r="BM49" s="463">
        <f t="shared" ref="BM49:BM90" si="108">AV49/AE49</f>
        <v>0</v>
      </c>
      <c r="BN49" s="463">
        <f t="shared" ref="BN49:BN90" si="109">AW49/AF49</f>
        <v>0</v>
      </c>
      <c r="BO49" s="463">
        <f t="shared" ref="BO49:BO90" si="110">AX49/AG49</f>
        <v>0</v>
      </c>
      <c r="BP49" s="463">
        <f t="shared" ref="BP49:BP50" si="111">AY49/AH49</f>
        <v>0.61613164504379136</v>
      </c>
    </row>
    <row r="50" spans="2:68">
      <c r="B50" s="769"/>
      <c r="C50" s="769"/>
      <c r="D50" s="182" t="s">
        <v>52</v>
      </c>
      <c r="E50" s="341">
        <f>SUM(E51:E57)</f>
        <v>91487</v>
      </c>
      <c r="F50" s="341">
        <f t="shared" ref="F50:Q50" si="112">SUM(F51:F57)</f>
        <v>85576</v>
      </c>
      <c r="G50" s="341">
        <f t="shared" si="112"/>
        <v>115516</v>
      </c>
      <c r="H50" s="341">
        <f t="shared" si="112"/>
        <v>119237</v>
      </c>
      <c r="I50" s="341">
        <f t="shared" si="112"/>
        <v>118168</v>
      </c>
      <c r="J50" s="341">
        <f t="shared" si="112"/>
        <v>116799</v>
      </c>
      <c r="K50" s="341">
        <f t="shared" si="112"/>
        <v>125343</v>
      </c>
      <c r="L50" s="341">
        <f t="shared" si="112"/>
        <v>141087</v>
      </c>
      <c r="M50" s="341">
        <f t="shared" si="112"/>
        <v>134886</v>
      </c>
      <c r="N50" s="341">
        <f t="shared" si="112"/>
        <v>150913</v>
      </c>
      <c r="O50" s="341">
        <f t="shared" si="112"/>
        <v>135048</v>
      </c>
      <c r="P50" s="341">
        <f t="shared" si="112"/>
        <v>157894</v>
      </c>
      <c r="Q50" s="341">
        <f t="shared" si="112"/>
        <v>1491954</v>
      </c>
      <c r="S50" s="769"/>
      <c r="T50" s="769"/>
      <c r="U50" s="182" t="s">
        <v>52</v>
      </c>
      <c r="V50" s="341">
        <v>109616.84473744033</v>
      </c>
      <c r="W50" s="341">
        <v>114001.51852693794</v>
      </c>
      <c r="X50" s="341">
        <v>130675.3861923759</v>
      </c>
      <c r="Y50" s="341" cm="1">
        <f t="array" ref="Y50">INDEX('Research Goals'!$D$45:$D$56, COLUMN()-COLUMN($V$3)+1)</f>
        <v>124232.42403576571</v>
      </c>
      <c r="Z50" s="341" cm="1">
        <f t="array" ref="Z50">INDEX('Research Goals'!$D$45:$D$56, COLUMN()-COLUMN($V$3)+1)</f>
        <v>136655.66643934228</v>
      </c>
      <c r="AA50" s="341" cm="1">
        <f t="array" ref="AA50">INDEX('Research Goals'!$D$45:$D$56, COLUMN()-COLUMN($V$3)+1)</f>
        <v>124232.42403576571</v>
      </c>
      <c r="AB50" s="341" cm="1">
        <f t="array" ref="AB50">INDEX('Research Goals'!$D$45:$D$56, COLUMN()-COLUMN($V$3)+1)</f>
        <v>117949.27969858157</v>
      </c>
      <c r="AC50" s="341" cm="1">
        <f t="array" ref="AC50">INDEX('Research Goals'!$D$45:$D$56, COLUMN()-COLUMN($V$3)+1)</f>
        <v>119811.63674645391</v>
      </c>
      <c r="AD50" s="341" cm="1">
        <f t="array" ref="AD50">INDEX('Research Goals'!$D$45:$D$56, COLUMN()-COLUMN($V$3)+1)</f>
        <v>143232.67712358868</v>
      </c>
      <c r="AE50" s="341" cm="1">
        <f t="array" ref="AE50">INDEX('Research Goals'!$D$45:$D$56, COLUMN()-COLUMN($V$3)+1)</f>
        <v>152002.02470258393</v>
      </c>
      <c r="AF50" s="341" cm="1">
        <f t="array" ref="AF50">INDEX('Research Goals'!$D$45:$D$56, COLUMN()-COLUMN($V$3)+1)</f>
        <v>127261.06493794327</v>
      </c>
      <c r="AG50" s="341" cm="1">
        <f t="array" ref="AG50">INDEX('Research Goals'!$D$45:$D$56, COLUMN()-COLUMN($V$3)+1)</f>
        <v>155817.2063386525</v>
      </c>
      <c r="AH50" s="342">
        <f>SUM(V50:AG50)</f>
        <v>1555488.1535154318</v>
      </c>
      <c r="AJ50" s="757"/>
      <c r="AK50" s="757"/>
      <c r="AL50" s="182" t="s">
        <v>52</v>
      </c>
      <c r="AM50" s="341">
        <f>SUM(AM51:AM57)</f>
        <v>137765</v>
      </c>
      <c r="AN50" s="341">
        <f t="shared" ref="AN50:AY50" si="113">SUM(AN51:AN57)</f>
        <v>125183</v>
      </c>
      <c r="AO50" s="341">
        <f t="shared" si="113"/>
        <v>134880</v>
      </c>
      <c r="AP50" s="341">
        <f t="shared" si="113"/>
        <v>129555</v>
      </c>
      <c r="AQ50" s="341">
        <f t="shared" si="113"/>
        <v>112594</v>
      </c>
      <c r="AR50" s="341">
        <f t="shared" si="113"/>
        <v>126890</v>
      </c>
      <c r="AS50" s="341">
        <f t="shared" si="113"/>
        <v>169839</v>
      </c>
      <c r="AT50" s="341">
        <f t="shared" si="113"/>
        <v>133386</v>
      </c>
      <c r="AU50" s="341">
        <f t="shared" si="113"/>
        <v>0</v>
      </c>
      <c r="AV50" s="341">
        <f t="shared" si="113"/>
        <v>0</v>
      </c>
      <c r="AW50" s="341">
        <f t="shared" si="113"/>
        <v>0</v>
      </c>
      <c r="AX50" s="341">
        <f t="shared" si="113"/>
        <v>0</v>
      </c>
      <c r="AY50" s="341">
        <f t="shared" si="113"/>
        <v>1070092</v>
      </c>
      <c r="BA50" s="757"/>
      <c r="BB50" s="757"/>
      <c r="BC50" s="182" t="s">
        <v>52</v>
      </c>
      <c r="BD50" s="464">
        <f>AM50/V50</f>
        <v>1.2567867678547171</v>
      </c>
      <c r="BE50" s="464">
        <f t="shared" ref="BE50:BE65" si="114">AN50/W50</f>
        <v>1.0980818643255172</v>
      </c>
      <c r="BF50" s="464">
        <f t="shared" si="101"/>
        <v>1.0321760197550456</v>
      </c>
      <c r="BG50" s="464">
        <f t="shared" si="102"/>
        <v>1.0428436940319377</v>
      </c>
      <c r="BH50" s="464">
        <f t="shared" si="103"/>
        <v>0.82392485385871206</v>
      </c>
      <c r="BI50" s="464">
        <f t="shared" si="104"/>
        <v>1.0213919673938681</v>
      </c>
      <c r="BJ50" s="464">
        <f t="shared" si="105"/>
        <v>1.4399324899144972</v>
      </c>
      <c r="BK50" s="464">
        <f t="shared" si="106"/>
        <v>1.1132975362173896</v>
      </c>
      <c r="BL50" s="464">
        <f t="shared" si="107"/>
        <v>0</v>
      </c>
      <c r="BM50" s="464">
        <f t="shared" si="108"/>
        <v>0</v>
      </c>
      <c r="BN50" s="464">
        <f t="shared" si="109"/>
        <v>0</v>
      </c>
      <c r="BO50" s="464">
        <f t="shared" si="110"/>
        <v>0</v>
      </c>
      <c r="BP50" s="464">
        <f t="shared" si="111"/>
        <v>0.68794609433802012</v>
      </c>
    </row>
    <row r="51" spans="2:68" ht="16" customHeight="1">
      <c r="B51" s="769"/>
      <c r="C51" s="769"/>
      <c r="D51" s="292" t="s">
        <v>99</v>
      </c>
      <c r="E51" s="69">
        <v>15121</v>
      </c>
      <c r="F51" s="69">
        <v>14993</v>
      </c>
      <c r="G51" s="69">
        <v>19375</v>
      </c>
      <c r="H51" s="69">
        <v>19891</v>
      </c>
      <c r="I51" s="69">
        <v>19295</v>
      </c>
      <c r="J51" s="69">
        <v>20510</v>
      </c>
      <c r="K51" s="69">
        <v>22952</v>
      </c>
      <c r="L51" s="69">
        <v>25300</v>
      </c>
      <c r="M51" s="69">
        <v>23703</v>
      </c>
      <c r="N51" s="69">
        <v>26201</v>
      </c>
      <c r="O51" s="69">
        <v>21910</v>
      </c>
      <c r="P51" s="69">
        <v>25367</v>
      </c>
      <c r="Q51" s="69">
        <f>SUM(E51:P51)</f>
        <v>254618</v>
      </c>
      <c r="S51" s="769"/>
      <c r="T51" s="769"/>
      <c r="U51" s="292" t="s">
        <v>99</v>
      </c>
      <c r="V51" s="69">
        <v>13007.865575509586</v>
      </c>
      <c r="W51" s="69">
        <v>16530.220186406001</v>
      </c>
      <c r="X51" s="69">
        <v>18467.898966983736</v>
      </c>
      <c r="Y51" s="69">
        <f>Y$50*'Region OP Sales Goals'!V115</f>
        <v>15784.825642191407</v>
      </c>
      <c r="Z51" s="69">
        <f>Z$50*'Region OP Sales Goals'!W115</f>
        <v>17392.539365007196</v>
      </c>
      <c r="AA51" s="69">
        <f>AA$50*'Region OP Sales Goals'!X115</f>
        <v>15784.825642191407</v>
      </c>
      <c r="AB51" s="69">
        <f>AB$50*'Region OP Sales Goals'!Y115</f>
        <v>15023.013519503545</v>
      </c>
      <c r="AC51" s="69">
        <f>AC$50*'Region OP Sales Goals'!Z115</f>
        <v>15248.753767730495</v>
      </c>
      <c r="AD51" s="69">
        <f>AD$50*'Region OP Sales Goals'!AA115</f>
        <v>18235.965233783729</v>
      </c>
      <c r="AE51" s="69">
        <f>AE$50*'Region OP Sales Goals'!AB115</f>
        <v>19332.976413784869</v>
      </c>
      <c r="AF51" s="69">
        <f>AF$50*'Region OP Sales Goals'!AC115</f>
        <v>16202.506316489364</v>
      </c>
      <c r="AG51" s="69">
        <f>AG$50*'Region OP Sales Goals'!AD115</f>
        <v>19791.518840207787</v>
      </c>
      <c r="AH51" s="69">
        <f>AH$50*'Region OP Sales Goals'!AE115</f>
        <v>199872.44223200536</v>
      </c>
      <c r="AJ51" s="757"/>
      <c r="AK51" s="757"/>
      <c r="AL51" s="292" t="s">
        <v>99</v>
      </c>
      <c r="AM51" s="69">
        <v>21825</v>
      </c>
      <c r="AN51" s="69">
        <v>21389</v>
      </c>
      <c r="AO51" s="69">
        <v>21607</v>
      </c>
      <c r="AP51" s="69">
        <v>20879</v>
      </c>
      <c r="AQ51" s="69">
        <v>18087</v>
      </c>
      <c r="AR51" s="69">
        <v>20990</v>
      </c>
      <c r="AS51" s="69">
        <v>29103</v>
      </c>
      <c r="AT51" s="69">
        <v>21914</v>
      </c>
      <c r="AU51" s="69"/>
      <c r="AV51" s="69"/>
      <c r="AW51" s="69"/>
      <c r="AX51" s="69"/>
      <c r="AY51" s="69">
        <f>SUM(AM51:AX51)</f>
        <v>175794</v>
      </c>
      <c r="BA51" s="757"/>
      <c r="BB51" s="757"/>
      <c r="BC51" s="292" t="s">
        <v>99</v>
      </c>
      <c r="BD51" s="465">
        <f>AM51/V51</f>
        <v>1.677830991818579</v>
      </c>
      <c r="BE51" s="465">
        <f t="shared" si="114"/>
        <v>1.2939331575020232</v>
      </c>
      <c r="BF51" s="465">
        <f t="shared" si="101"/>
        <v>1.1699760778758992</v>
      </c>
      <c r="BG51" s="465">
        <f t="shared" si="102"/>
        <v>1.3227260454618091</v>
      </c>
      <c r="BH51" s="465">
        <f t="shared" si="103"/>
        <v>1.0399286510393082</v>
      </c>
      <c r="BI51" s="465">
        <f t="shared" si="104"/>
        <v>1.3297581155344305</v>
      </c>
      <c r="BJ51" s="465">
        <f t="shared" si="105"/>
        <v>1.9372278379578896</v>
      </c>
      <c r="BK51" s="465">
        <f t="shared" si="106"/>
        <v>1.4371010466687801</v>
      </c>
      <c r="BL51" s="465">
        <f t="shared" si="107"/>
        <v>0</v>
      </c>
      <c r="BM51" s="465">
        <f t="shared" si="108"/>
        <v>0</v>
      </c>
      <c r="BN51" s="465">
        <f t="shared" si="109"/>
        <v>0</v>
      </c>
      <c r="BO51" s="465">
        <f t="shared" si="110"/>
        <v>0</v>
      </c>
      <c r="BP51" s="465">
        <f>AY51/AH51</f>
        <v>0.87953095502752754</v>
      </c>
    </row>
    <row r="52" spans="2:68" ht="16" customHeight="1">
      <c r="B52" s="769"/>
      <c r="C52" s="769"/>
      <c r="D52" s="292" t="s">
        <v>100</v>
      </c>
      <c r="E52" s="69">
        <v>20121</v>
      </c>
      <c r="F52" s="69">
        <v>18496</v>
      </c>
      <c r="G52" s="69">
        <v>25244</v>
      </c>
      <c r="H52" s="69">
        <v>26549</v>
      </c>
      <c r="I52" s="69">
        <v>26957</v>
      </c>
      <c r="J52" s="69">
        <v>25898</v>
      </c>
      <c r="K52" s="69">
        <v>28806</v>
      </c>
      <c r="L52" s="69">
        <v>32227</v>
      </c>
      <c r="M52" s="69">
        <v>30166</v>
      </c>
      <c r="N52" s="69">
        <v>31992</v>
      </c>
      <c r="O52" s="69">
        <v>26123</v>
      </c>
      <c r="P52" s="69">
        <v>29899</v>
      </c>
      <c r="Q52" s="69">
        <f t="shared" ref="Q52:Q57" si="115">SUM(E52:P52)</f>
        <v>322478</v>
      </c>
      <c r="S52" s="769"/>
      <c r="T52" s="769"/>
      <c r="U52" s="292" t="s">
        <v>100</v>
      </c>
      <c r="V52" s="69">
        <v>20461.811017655531</v>
      </c>
      <c r="W52" s="69">
        <v>19807.763844055466</v>
      </c>
      <c r="X52" s="69">
        <v>22668.179237452961</v>
      </c>
      <c r="Y52" s="69">
        <f>Y$50*'Region OP Sales Goals'!V116</f>
        <v>21338.745775555049</v>
      </c>
      <c r="Z52" s="69">
        <f>Z$50*'Region OP Sales Goals'!W116</f>
        <v>23458.00477381223</v>
      </c>
      <c r="AA52" s="69">
        <f>AA$50*'Region OP Sales Goals'!X116</f>
        <v>21338.745775555049</v>
      </c>
      <c r="AB52" s="69">
        <f>AB$50*'Region OP Sales Goals'!Y116</f>
        <v>20237.6132535461</v>
      </c>
      <c r="AC52" s="69">
        <f>AC$50*'Region OP Sales Goals'!Z116</f>
        <v>20580.084972237775</v>
      </c>
      <c r="AD52" s="69">
        <f>AD$50*'Region OP Sales Goals'!AA116</f>
        <v>24594.098706099132</v>
      </c>
      <c r="AE52" s="69">
        <f>AE$50*'Region OP Sales Goals'!AB116</f>
        <v>26127.536965006366</v>
      </c>
      <c r="AF52" s="69">
        <f>AF$50*'Region OP Sales Goals'!AC116</f>
        <v>21851.656028368798</v>
      </c>
      <c r="AG52" s="69">
        <f>AG$50*'Region OP Sales Goals'!AD116</f>
        <v>26789.624949452536</v>
      </c>
      <c r="AH52" s="69">
        <f>AH$50*'Region OP Sales Goals'!AE116</f>
        <v>265914.91474922944</v>
      </c>
      <c r="AJ52" s="757"/>
      <c r="AK52" s="757"/>
      <c r="AL52" s="292" t="s">
        <v>100</v>
      </c>
      <c r="AM52" s="69">
        <v>27241</v>
      </c>
      <c r="AN52" s="69">
        <v>24609</v>
      </c>
      <c r="AO52" s="69">
        <v>27757</v>
      </c>
      <c r="AP52" s="69">
        <v>25566</v>
      </c>
      <c r="AQ52" s="69">
        <v>22014</v>
      </c>
      <c r="AR52" s="69">
        <v>25054</v>
      </c>
      <c r="AS52" s="69">
        <v>34414</v>
      </c>
      <c r="AT52" s="69">
        <v>27789</v>
      </c>
      <c r="AU52" s="69"/>
      <c r="AV52" s="69"/>
      <c r="AW52" s="69"/>
      <c r="AX52" s="69"/>
      <c r="AY52" s="69">
        <f t="shared" ref="AY52:AY57" si="116">SUM(AM52:AX52)</f>
        <v>214444</v>
      </c>
      <c r="BA52" s="757"/>
      <c r="BB52" s="757"/>
      <c r="BC52" s="292" t="s">
        <v>100</v>
      </c>
      <c r="BD52" s="465">
        <f t="shared" ref="BD52:BD57" si="117">AM52/V52</f>
        <v>1.3313093340806943</v>
      </c>
      <c r="BE52" s="465">
        <f t="shared" si="114"/>
        <v>1.2423916295521384</v>
      </c>
      <c r="BF52" s="465">
        <f t="shared" si="101"/>
        <v>1.2244918177697817</v>
      </c>
      <c r="BG52" s="465">
        <f t="shared" si="102"/>
        <v>1.1981022815918052</v>
      </c>
      <c r="BH52" s="465">
        <f t="shared" si="103"/>
        <v>0.93844298405871795</v>
      </c>
      <c r="BI52" s="465">
        <f t="shared" si="104"/>
        <v>1.1741083690448677</v>
      </c>
      <c r="BJ52" s="465">
        <f t="shared" si="105"/>
        <v>1.7004969691260341</v>
      </c>
      <c r="BK52" s="465">
        <f t="shared" si="106"/>
        <v>1.350285970028158</v>
      </c>
      <c r="BL52" s="465">
        <f t="shared" si="107"/>
        <v>0</v>
      </c>
      <c r="BM52" s="465">
        <f t="shared" si="108"/>
        <v>0</v>
      </c>
      <c r="BN52" s="465">
        <f t="shared" si="109"/>
        <v>0</v>
      </c>
      <c r="BO52" s="465">
        <f t="shared" si="110"/>
        <v>0</v>
      </c>
      <c r="BP52" s="465">
        <f t="shared" ref="BP52:BP58" si="118">AY52/AH52</f>
        <v>0.80643840606771156</v>
      </c>
    </row>
    <row r="53" spans="2:68" ht="16" customHeight="1">
      <c r="B53" s="769"/>
      <c r="C53" s="769"/>
      <c r="D53" s="292" t="s">
        <v>101</v>
      </c>
      <c r="E53" s="69">
        <v>9239</v>
      </c>
      <c r="F53" s="69">
        <v>8408</v>
      </c>
      <c r="G53" s="69">
        <v>11102</v>
      </c>
      <c r="H53" s="69">
        <v>11302</v>
      </c>
      <c r="I53" s="69">
        <v>11817</v>
      </c>
      <c r="J53" s="69">
        <v>11022</v>
      </c>
      <c r="K53" s="69">
        <v>11603</v>
      </c>
      <c r="L53" s="69">
        <v>13233</v>
      </c>
      <c r="M53" s="69">
        <v>12359</v>
      </c>
      <c r="N53" s="69">
        <v>13379</v>
      </c>
      <c r="O53" s="69">
        <v>13001</v>
      </c>
      <c r="P53" s="69">
        <v>15254</v>
      </c>
      <c r="Q53" s="69">
        <f t="shared" si="115"/>
        <v>141719</v>
      </c>
      <c r="S53" s="769"/>
      <c r="T53" s="769"/>
      <c r="U53" s="292" t="s">
        <v>101</v>
      </c>
      <c r="V53" s="69">
        <v>10303.983405319392</v>
      </c>
      <c r="W53" s="69">
        <v>10473.889514662424</v>
      </c>
      <c r="X53" s="69">
        <v>12000.800772769215</v>
      </c>
      <c r="Y53" s="69">
        <f>Y$50*'Region OP Sales Goals'!V117</f>
        <v>11253.996059710542</v>
      </c>
      <c r="Z53" s="69">
        <f>Z$50*'Region OP Sales Goals'!W117</f>
        <v>12423.242403576571</v>
      </c>
      <c r="AA53" s="69">
        <f>AA$50*'Region OP Sales Goals'!X117</f>
        <v>11253.996059710542</v>
      </c>
      <c r="AB53" s="69">
        <f>AB$50*'Region OP Sales Goals'!Y117</f>
        <v>10677.513741134753</v>
      </c>
      <c r="AC53" s="69">
        <f>AC$50*'Region OP Sales Goals'!Z117</f>
        <v>10891.966976950356</v>
      </c>
      <c r="AD53" s="69">
        <f>AD$50*'Region OP Sales Goals'!AA117</f>
        <v>12995.745339018291</v>
      </c>
      <c r="AE53" s="69">
        <f>AE$50*'Region OP Sales Goals'!AB117</f>
        <v>13799.26215041891</v>
      </c>
      <c r="AF53" s="69">
        <f>AF$50*'Region OP Sales Goals'!AC117</f>
        <v>11546.613696808512</v>
      </c>
      <c r="AG53" s="69">
        <f>AG$50*'Region OP Sales Goals'!AD117</f>
        <v>14160.230330424911</v>
      </c>
      <c r="AH53" s="69">
        <f>AH$50*'Region OP Sales Goals'!AE117</f>
        <v>137722.71707860139</v>
      </c>
      <c r="AJ53" s="757"/>
      <c r="AK53" s="757"/>
      <c r="AL53" s="292" t="s">
        <v>101</v>
      </c>
      <c r="AM53" s="69">
        <v>12768</v>
      </c>
      <c r="AN53" s="69">
        <v>11833</v>
      </c>
      <c r="AO53" s="69">
        <v>11954</v>
      </c>
      <c r="AP53" s="69">
        <v>11739</v>
      </c>
      <c r="AQ53" s="69">
        <v>11383</v>
      </c>
      <c r="AR53" s="69">
        <v>12357</v>
      </c>
      <c r="AS53" s="69">
        <v>15929</v>
      </c>
      <c r="AT53" s="69">
        <v>11693</v>
      </c>
      <c r="AU53" s="69"/>
      <c r="AV53" s="69"/>
      <c r="AW53" s="69"/>
      <c r="AX53" s="69"/>
      <c r="AY53" s="69">
        <f t="shared" si="116"/>
        <v>99656</v>
      </c>
      <c r="BA53" s="757"/>
      <c r="BB53" s="757"/>
      <c r="BC53" s="292" t="s">
        <v>101</v>
      </c>
      <c r="BD53" s="465">
        <f t="shared" si="117"/>
        <v>1.2391324304160436</v>
      </c>
      <c r="BE53" s="465">
        <f t="shared" si="114"/>
        <v>1.1297617741179105</v>
      </c>
      <c r="BF53" s="465">
        <f t="shared" si="101"/>
        <v>0.9961001958406468</v>
      </c>
      <c r="BG53" s="465">
        <f t="shared" si="102"/>
        <v>1.0430961533766463</v>
      </c>
      <c r="BH53" s="465">
        <f t="shared" si="103"/>
        <v>0.91626643272475372</v>
      </c>
      <c r="BI53" s="465">
        <f t="shared" si="104"/>
        <v>1.0980099810269375</v>
      </c>
      <c r="BJ53" s="465">
        <f t="shared" si="105"/>
        <v>1.4918266916982814</v>
      </c>
      <c r="BK53" s="465">
        <f t="shared" si="106"/>
        <v>1.073543467836874</v>
      </c>
      <c r="BL53" s="465">
        <f t="shared" si="107"/>
        <v>0</v>
      </c>
      <c r="BM53" s="465">
        <f t="shared" si="108"/>
        <v>0</v>
      </c>
      <c r="BN53" s="465">
        <f t="shared" si="109"/>
        <v>0</v>
      </c>
      <c r="BO53" s="465">
        <f t="shared" si="110"/>
        <v>0</v>
      </c>
      <c r="BP53" s="465">
        <f t="shared" si="118"/>
        <v>0.72359885220042619</v>
      </c>
    </row>
    <row r="54" spans="2:68" ht="16" customHeight="1">
      <c r="B54" s="769"/>
      <c r="C54" s="769"/>
      <c r="D54" s="292" t="s">
        <v>102</v>
      </c>
      <c r="E54" s="69">
        <v>5149</v>
      </c>
      <c r="F54" s="69">
        <v>5198</v>
      </c>
      <c r="G54" s="69">
        <v>6880</v>
      </c>
      <c r="H54" s="69">
        <v>7051</v>
      </c>
      <c r="I54" s="69">
        <v>6487</v>
      </c>
      <c r="J54" s="69">
        <v>6728</v>
      </c>
      <c r="K54" s="69">
        <v>7133</v>
      </c>
      <c r="L54" s="69">
        <v>8172</v>
      </c>
      <c r="M54" s="69">
        <v>7702</v>
      </c>
      <c r="N54" s="69">
        <v>9030</v>
      </c>
      <c r="O54" s="69">
        <v>8702</v>
      </c>
      <c r="P54" s="69">
        <v>9971</v>
      </c>
      <c r="Q54" s="69">
        <f t="shared" si="115"/>
        <v>88203</v>
      </c>
      <c r="S54" s="769"/>
      <c r="T54" s="769"/>
      <c r="U54" s="292" t="s">
        <v>102</v>
      </c>
      <c r="V54" s="69">
        <v>6430.8548912631659</v>
      </c>
      <c r="W54" s="69">
        <v>6982.5930097749488</v>
      </c>
      <c r="X54" s="69">
        <v>8000.5338485128095</v>
      </c>
      <c r="Y54" s="69">
        <f>Y$50*'Region OP Sales Goals'!V118</f>
        <v>7819.3349246040771</v>
      </c>
      <c r="Z54" s="69">
        <f>Z$50*'Region OP Sales Goals'!W118</f>
        <v>8623.191786011972</v>
      </c>
      <c r="AA54" s="69">
        <f>AA$50*'Region OP Sales Goals'!X118</f>
        <v>7819.3349246040771</v>
      </c>
      <c r="AB54" s="69">
        <f>AB$50*'Region OP Sales Goals'!Y118</f>
        <v>7387.3496232269517</v>
      </c>
      <c r="AC54" s="69">
        <f>AC$50*'Region OP Sales Goals'!Z118</f>
        <v>7509.7245998973494</v>
      </c>
      <c r="AD54" s="69">
        <f>AD$50*'Region OP Sales Goals'!AA118</f>
        <v>9013.1782189965561</v>
      </c>
      <c r="AE54" s="69">
        <f>AE$50*'Region OP Sales Goals'!AB118</f>
        <v>9526.3941749084861</v>
      </c>
      <c r="AF54" s="69">
        <f>AF$50*'Region OP Sales Goals'!AC118</f>
        <v>8008.1353058510649</v>
      </c>
      <c r="AG54" s="69">
        <f>AG$50*'Region OP Sales Goals'!AD118</f>
        <v>9786.4140121469463</v>
      </c>
      <c r="AH54" s="69">
        <f>AH$50*'Region OP Sales Goals'!AE118</f>
        <v>96244.822753759465</v>
      </c>
      <c r="AJ54" s="757"/>
      <c r="AK54" s="757"/>
      <c r="AL54" s="292" t="s">
        <v>102</v>
      </c>
      <c r="AM54" s="69">
        <v>8676</v>
      </c>
      <c r="AN54" s="69">
        <v>8219</v>
      </c>
      <c r="AO54" s="69">
        <v>8103</v>
      </c>
      <c r="AP54" s="69">
        <v>8545</v>
      </c>
      <c r="AQ54" s="69">
        <v>6817</v>
      </c>
      <c r="AR54" s="69">
        <v>8218</v>
      </c>
      <c r="AS54" s="69">
        <v>10736</v>
      </c>
      <c r="AT54" s="69">
        <v>8020</v>
      </c>
      <c r="AU54" s="69"/>
      <c r="AV54" s="69"/>
      <c r="AW54" s="69"/>
      <c r="AX54" s="69"/>
      <c r="AY54" s="69">
        <f t="shared" si="116"/>
        <v>67334</v>
      </c>
      <c r="BA54" s="757"/>
      <c r="BB54" s="757"/>
      <c r="BC54" s="292" t="s">
        <v>102</v>
      </c>
      <c r="BD54" s="465">
        <f t="shared" si="117"/>
        <v>1.3491207851365212</v>
      </c>
      <c r="BE54" s="465">
        <f t="shared" si="114"/>
        <v>1.1770698920149294</v>
      </c>
      <c r="BF54" s="465">
        <f t="shared" si="101"/>
        <v>1.0128074142835153</v>
      </c>
      <c r="BG54" s="465">
        <f t="shared" si="102"/>
        <v>1.0928039382368144</v>
      </c>
      <c r="BH54" s="465">
        <f t="shared" si="103"/>
        <v>0.79054254725705297</v>
      </c>
      <c r="BI54" s="465">
        <f t="shared" si="104"/>
        <v>1.0509845248016549</v>
      </c>
      <c r="BJ54" s="465">
        <f t="shared" si="105"/>
        <v>1.4532952340910441</v>
      </c>
      <c r="BK54" s="465">
        <f t="shared" si="106"/>
        <v>1.0679486169319212</v>
      </c>
      <c r="BL54" s="465">
        <f t="shared" si="107"/>
        <v>0</v>
      </c>
      <c r="BM54" s="465">
        <f t="shared" si="108"/>
        <v>0</v>
      </c>
      <c r="BN54" s="465">
        <f t="shared" si="109"/>
        <v>0</v>
      </c>
      <c r="BO54" s="465">
        <f t="shared" si="110"/>
        <v>0</v>
      </c>
      <c r="BP54" s="465">
        <f t="shared" si="118"/>
        <v>0.69961165778519585</v>
      </c>
    </row>
    <row r="55" spans="2:68" ht="16" customHeight="1">
      <c r="B55" s="769"/>
      <c r="C55" s="769"/>
      <c r="D55" s="292" t="s">
        <v>103</v>
      </c>
      <c r="E55" s="69">
        <v>13274</v>
      </c>
      <c r="F55" s="69">
        <v>11867</v>
      </c>
      <c r="G55" s="69">
        <v>16281</v>
      </c>
      <c r="H55" s="69">
        <v>17234</v>
      </c>
      <c r="I55" s="69">
        <v>17812</v>
      </c>
      <c r="J55" s="69">
        <v>17583</v>
      </c>
      <c r="K55" s="69">
        <v>17940</v>
      </c>
      <c r="L55" s="69">
        <v>20477</v>
      </c>
      <c r="M55" s="69">
        <v>19554</v>
      </c>
      <c r="N55" s="69">
        <v>23477</v>
      </c>
      <c r="O55" s="69">
        <v>20725</v>
      </c>
      <c r="P55" s="69">
        <v>25279</v>
      </c>
      <c r="Q55" s="69">
        <f t="shared" si="115"/>
        <v>221503</v>
      </c>
      <c r="S55" s="769"/>
      <c r="T55" s="769"/>
      <c r="U55" s="292" t="s">
        <v>103</v>
      </c>
      <c r="V55" s="69">
        <v>14688.657194817006</v>
      </c>
      <c r="W55" s="69">
        <v>14748.946459422596</v>
      </c>
      <c r="X55" s="69">
        <v>16934.463312685446</v>
      </c>
      <c r="Y55" s="69">
        <f>Y$50*'Region OP Sales Goals'!V119</f>
        <v>16150.215124649543</v>
      </c>
      <c r="Z55" s="69">
        <f>Z$50*'Region OP Sales Goals'!W119</f>
        <v>17757.928847465333</v>
      </c>
      <c r="AA55" s="69">
        <f>AA$50*'Region OP Sales Goals'!X119</f>
        <v>16150.215124649543</v>
      </c>
      <c r="AB55" s="69">
        <f>AB$50*'Region OP Sales Goals'!Y119</f>
        <v>15333.406360815605</v>
      </c>
      <c r="AC55" s="69">
        <f>AC$50*'Region OP Sales Goals'!Z119</f>
        <v>15592.710619634192</v>
      </c>
      <c r="AD55" s="69">
        <f>AD$50*'Region OP Sales Goals'!AA119</f>
        <v>18655.182825364966</v>
      </c>
      <c r="AE55" s="69">
        <f>AE$50*'Region OP Sales Goals'!AB119</f>
        <v>19753.258509736712</v>
      </c>
      <c r="AF55" s="69">
        <f>AF$50*'Region OP Sales Goals'!AC119</f>
        <v>16574.977726063833</v>
      </c>
      <c r="AG55" s="69">
        <f>AG$50*'Region OP Sales Goals'!AD119</f>
        <v>20283.573176014062</v>
      </c>
      <c r="AH55" s="69">
        <f>AH$50*'Region OP Sales Goals'!AE119</f>
        <v>202557.09558636404</v>
      </c>
      <c r="AJ55" s="757"/>
      <c r="AK55" s="757"/>
      <c r="AL55" s="292" t="s">
        <v>103</v>
      </c>
      <c r="AM55" s="69">
        <v>21478</v>
      </c>
      <c r="AN55" s="69">
        <v>17774</v>
      </c>
      <c r="AO55" s="69">
        <v>20425</v>
      </c>
      <c r="AP55" s="69">
        <v>20347</v>
      </c>
      <c r="AQ55" s="69">
        <v>18048</v>
      </c>
      <c r="AR55" s="69">
        <v>19914</v>
      </c>
      <c r="AS55" s="69">
        <v>26278</v>
      </c>
      <c r="AT55" s="69">
        <v>20324</v>
      </c>
      <c r="AU55" s="69"/>
      <c r="AV55" s="69"/>
      <c r="AW55" s="69"/>
      <c r="AX55" s="69"/>
      <c r="AY55" s="69">
        <f t="shared" si="116"/>
        <v>164588</v>
      </c>
      <c r="BA55" s="757"/>
      <c r="BB55" s="757"/>
      <c r="BC55" s="292" t="s">
        <v>103</v>
      </c>
      <c r="BD55" s="465">
        <f t="shared" si="117"/>
        <v>1.4622167101550072</v>
      </c>
      <c r="BE55" s="465">
        <f t="shared" si="114"/>
        <v>1.2051030254194735</v>
      </c>
      <c r="BF55" s="465">
        <f t="shared" si="101"/>
        <v>1.2061203017104076</v>
      </c>
      <c r="BG55" s="465">
        <f t="shared" si="102"/>
        <v>1.2598593791450519</v>
      </c>
      <c r="BH55" s="465">
        <f t="shared" si="103"/>
        <v>1.0163347401054639</v>
      </c>
      <c r="BI55" s="465">
        <f t="shared" si="104"/>
        <v>1.2330485907649562</v>
      </c>
      <c r="BJ55" s="465">
        <f t="shared" si="105"/>
        <v>1.7137744465674121</v>
      </c>
      <c r="BK55" s="465">
        <f t="shared" si="106"/>
        <v>1.3034295637096103</v>
      </c>
      <c r="BL55" s="465">
        <f t="shared" si="107"/>
        <v>0</v>
      </c>
      <c r="BM55" s="465">
        <f t="shared" si="108"/>
        <v>0</v>
      </c>
      <c r="BN55" s="465">
        <f t="shared" si="109"/>
        <v>0</v>
      </c>
      <c r="BO55" s="465">
        <f t="shared" si="110"/>
        <v>0</v>
      </c>
      <c r="BP55" s="465">
        <f t="shared" si="118"/>
        <v>0.81255114526375505</v>
      </c>
    </row>
    <row r="56" spans="2:68" ht="16" customHeight="1">
      <c r="B56" s="769"/>
      <c r="C56" s="769"/>
      <c r="D56" s="292" t="s">
        <v>104</v>
      </c>
      <c r="E56" s="69">
        <v>17125</v>
      </c>
      <c r="F56" s="69">
        <v>16162</v>
      </c>
      <c r="G56" s="69">
        <v>22012</v>
      </c>
      <c r="H56" s="69">
        <v>22027</v>
      </c>
      <c r="I56" s="69">
        <v>21216</v>
      </c>
      <c r="J56" s="69">
        <v>20686</v>
      </c>
      <c r="K56" s="69">
        <v>21887</v>
      </c>
      <c r="L56" s="69">
        <v>24316</v>
      </c>
      <c r="M56" s="69">
        <v>23938</v>
      </c>
      <c r="N56" s="69">
        <v>26656</v>
      </c>
      <c r="O56" s="69">
        <v>25644</v>
      </c>
      <c r="P56" s="69">
        <v>30922</v>
      </c>
      <c r="Q56" s="69">
        <f t="shared" si="115"/>
        <v>272591</v>
      </c>
      <c r="S56" s="769"/>
      <c r="T56" s="769"/>
      <c r="U56" s="292" t="s">
        <v>104</v>
      </c>
      <c r="V56" s="69">
        <v>27769.60066681822</v>
      </c>
      <c r="W56" s="69">
        <v>27574.117293703115</v>
      </c>
      <c r="X56" s="69">
        <v>33268.886586732435</v>
      </c>
      <c r="Y56" s="69">
        <f>Y$50*'Region OP Sales Goals'!V120</f>
        <v>32811.975524740468</v>
      </c>
      <c r="Z56" s="69">
        <f>Z$50*'Region OP Sales Goals'!W120</f>
        <v>36027.402970372052</v>
      </c>
      <c r="AA56" s="69">
        <f>AA$50*'Region OP Sales Goals'!X120</f>
        <v>32811.975524740468</v>
      </c>
      <c r="AB56" s="69">
        <f>AB$50*'Region OP Sales Goals'!Y120</f>
        <v>31101.362699468089</v>
      </c>
      <c r="AC56" s="69">
        <f>AC$50*'Region OP Sales Goals'!Z120</f>
        <v>31586.704233156026</v>
      </c>
      <c r="AD56" s="69">
        <f>AD$50*'Region OP Sales Goals'!AA120</f>
        <v>37799.452840908038</v>
      </c>
      <c r="AE56" s="69">
        <f>AE$50*'Region OP Sales Goals'!AB120</f>
        <v>40066.893147409217</v>
      </c>
      <c r="AF56" s="69">
        <f>AF$50*'Region OP Sales Goals'!AC120</f>
        <v>33584.505429964542</v>
      </c>
      <c r="AG56" s="69">
        <f>AG$50*'Region OP Sales Goals'!AD120</f>
        <v>41113.873391812871</v>
      </c>
      <c r="AH56" s="69">
        <f>AH$50*'Region OP Sales Goals'!AE120</f>
        <v>407463.26285779197</v>
      </c>
      <c r="AJ56" s="757"/>
      <c r="AK56" s="757"/>
      <c r="AL56" s="292" t="s">
        <v>104</v>
      </c>
      <c r="AM56" s="69">
        <v>27021</v>
      </c>
      <c r="AN56" s="69">
        <v>24135</v>
      </c>
      <c r="AO56" s="69">
        <v>27337</v>
      </c>
      <c r="AP56" s="69">
        <v>25422</v>
      </c>
      <c r="AQ56" s="156">
        <v>22189</v>
      </c>
      <c r="AR56" s="156">
        <v>24409</v>
      </c>
      <c r="AS56" s="156">
        <v>32999</v>
      </c>
      <c r="AT56" s="156">
        <v>26727</v>
      </c>
      <c r="AU56" s="69"/>
      <c r="AV56" s="69"/>
      <c r="AW56" s="69"/>
      <c r="AX56" s="69"/>
      <c r="AY56" s="69">
        <f t="shared" si="116"/>
        <v>210239</v>
      </c>
      <c r="BA56" s="757"/>
      <c r="BB56" s="757"/>
      <c r="BC56" s="292" t="s">
        <v>104</v>
      </c>
      <c r="BD56" s="465">
        <f t="shared" si="117"/>
        <v>0.97304244033610754</v>
      </c>
      <c r="BE56" s="465">
        <f t="shared" si="114"/>
        <v>0.87527733863348445</v>
      </c>
      <c r="BF56" s="465">
        <f t="shared" si="101"/>
        <v>0.82169867418712894</v>
      </c>
      <c r="BG56" s="465">
        <f t="shared" si="102"/>
        <v>0.77477809834496636</v>
      </c>
      <c r="BH56" s="465">
        <f t="shared" si="103"/>
        <v>0.61589229782251098</v>
      </c>
      <c r="BI56" s="465">
        <f t="shared" si="104"/>
        <v>0.74390522392031644</v>
      </c>
      <c r="BJ56" s="465">
        <f t="shared" si="105"/>
        <v>1.0610146030856831</v>
      </c>
      <c r="BK56" s="465">
        <f t="shared" si="106"/>
        <v>0.84614715744687041</v>
      </c>
      <c r="BL56" s="465">
        <f t="shared" si="107"/>
        <v>0</v>
      </c>
      <c r="BM56" s="465">
        <f t="shared" si="108"/>
        <v>0</v>
      </c>
      <c r="BN56" s="465">
        <f t="shared" si="109"/>
        <v>0</v>
      </c>
      <c r="BO56" s="465">
        <f t="shared" si="110"/>
        <v>0</v>
      </c>
      <c r="BP56" s="465">
        <f t="shared" si="118"/>
        <v>0.51597044240372447</v>
      </c>
    </row>
    <row r="57" spans="2:68" ht="16" customHeight="1">
      <c r="B57" s="769"/>
      <c r="C57" s="769"/>
      <c r="D57" s="292" t="s">
        <v>105</v>
      </c>
      <c r="E57" s="69">
        <v>11458</v>
      </c>
      <c r="F57" s="69">
        <v>10452</v>
      </c>
      <c r="G57" s="69">
        <v>14622</v>
      </c>
      <c r="H57" s="69">
        <v>15183</v>
      </c>
      <c r="I57" s="69">
        <v>14584</v>
      </c>
      <c r="J57" s="69">
        <v>14372</v>
      </c>
      <c r="K57" s="69">
        <v>15022</v>
      </c>
      <c r="L57" s="69">
        <v>17362</v>
      </c>
      <c r="M57" s="69">
        <v>17464</v>
      </c>
      <c r="N57" s="69">
        <v>20178</v>
      </c>
      <c r="O57" s="69">
        <v>18943</v>
      </c>
      <c r="P57" s="69">
        <v>21202</v>
      </c>
      <c r="Q57" s="69">
        <f t="shared" si="115"/>
        <v>190842</v>
      </c>
      <c r="S57" s="769"/>
      <c r="T57" s="769"/>
      <c r="U57" s="292" t="s">
        <v>105</v>
      </c>
      <c r="V57" s="69">
        <v>16954.071986057439</v>
      </c>
      <c r="W57" s="69">
        <v>17883.98821891339</v>
      </c>
      <c r="X57" s="69">
        <v>19334.623467239289</v>
      </c>
      <c r="Y57" s="69">
        <f>Y$50*'Region OP Sales Goals'!V121</f>
        <v>19073.33098431462</v>
      </c>
      <c r="Z57" s="69">
        <f>Z$50*'Region OP Sales Goals'!W121</f>
        <v>20973.356293096916</v>
      </c>
      <c r="AA57" s="69">
        <f>AA$50*'Region OP Sales Goals'!X121</f>
        <v>19073.33098431462</v>
      </c>
      <c r="AB57" s="69">
        <f>AB$50*'Region OP Sales Goals'!Y121</f>
        <v>18189.020500886523</v>
      </c>
      <c r="AC57" s="69">
        <f>AC$50*'Region OP Sales Goals'!Z121</f>
        <v>18401.691576847708</v>
      </c>
      <c r="AD57" s="69">
        <f>AD$50*'Region OP Sales Goals'!AA121</f>
        <v>21939.053959417975</v>
      </c>
      <c r="AE57" s="69">
        <f>AE$50*'Region OP Sales Goals'!AB121</f>
        <v>23395.703341319368</v>
      </c>
      <c r="AF57" s="69">
        <f>AF$50*'Region OP Sales Goals'!AC121</f>
        <v>19492.670434397165</v>
      </c>
      <c r="AG57" s="69">
        <f>AG$50*'Region OP Sales Goals'!AD121</f>
        <v>23891.971638593383</v>
      </c>
      <c r="AH57" s="69">
        <f>AH$50*'Region OP Sales Goals'!AE121</f>
        <v>244639.03691593668</v>
      </c>
      <c r="AJ57" s="757"/>
      <c r="AK57" s="757"/>
      <c r="AL57" s="292" t="s">
        <v>105</v>
      </c>
      <c r="AM57" s="69">
        <v>18756</v>
      </c>
      <c r="AN57" s="69">
        <v>17224</v>
      </c>
      <c r="AO57" s="69">
        <v>17697</v>
      </c>
      <c r="AP57" s="69">
        <v>17057</v>
      </c>
      <c r="AQ57" s="69">
        <v>14056</v>
      </c>
      <c r="AR57" s="69">
        <v>15948</v>
      </c>
      <c r="AS57" s="69">
        <v>20380</v>
      </c>
      <c r="AT57" s="69">
        <v>16919</v>
      </c>
      <c r="AU57" s="69"/>
      <c r="AV57" s="69"/>
      <c r="AW57" s="69"/>
      <c r="AX57" s="69"/>
      <c r="AY57" s="69">
        <f t="shared" si="116"/>
        <v>138037</v>
      </c>
      <c r="BA57" s="757"/>
      <c r="BB57" s="757"/>
      <c r="BC57" s="292" t="s">
        <v>105</v>
      </c>
      <c r="BD57" s="465">
        <f t="shared" si="117"/>
        <v>1.1062829045095726</v>
      </c>
      <c r="BE57" s="465">
        <f t="shared" si="114"/>
        <v>0.96309613880110856</v>
      </c>
      <c r="BF57" s="465">
        <f t="shared" si="101"/>
        <v>0.91530098995648457</v>
      </c>
      <c r="BG57" s="465">
        <f t="shared" si="102"/>
        <v>0.89428532509749903</v>
      </c>
      <c r="BH57" s="465">
        <f t="shared" si="103"/>
        <v>0.67018362743526816</v>
      </c>
      <c r="BI57" s="465">
        <f t="shared" si="104"/>
        <v>0.83614131234419375</v>
      </c>
      <c r="BJ57" s="465">
        <f t="shared" si="105"/>
        <v>1.1204561564492541</v>
      </c>
      <c r="BK57" s="465">
        <f t="shared" si="106"/>
        <v>0.9194263434610993</v>
      </c>
      <c r="BL57" s="465">
        <f t="shared" si="107"/>
        <v>0</v>
      </c>
      <c r="BM57" s="465">
        <f t="shared" si="108"/>
        <v>0</v>
      </c>
      <c r="BN57" s="465">
        <f t="shared" si="109"/>
        <v>0</v>
      </c>
      <c r="BO57" s="465">
        <f t="shared" si="110"/>
        <v>0</v>
      </c>
      <c r="BP57" s="465">
        <f t="shared" si="118"/>
        <v>0.56424764314058562</v>
      </c>
    </row>
    <row r="58" spans="2:68">
      <c r="B58" s="769"/>
      <c r="C58" s="769"/>
      <c r="D58" s="182" t="s">
        <v>14</v>
      </c>
      <c r="E58" s="341">
        <f>SUM(E59:E65)</f>
        <v>40453</v>
      </c>
      <c r="F58" s="341">
        <f t="shared" ref="F58:Q58" si="119">SUM(F59:F65)</f>
        <v>39142</v>
      </c>
      <c r="G58" s="341">
        <f t="shared" si="119"/>
        <v>42738</v>
      </c>
      <c r="H58" s="341">
        <f t="shared" si="119"/>
        <v>37186</v>
      </c>
      <c r="I58" s="341">
        <f t="shared" si="119"/>
        <v>35939</v>
      </c>
      <c r="J58" s="341">
        <f t="shared" si="119"/>
        <v>33089</v>
      </c>
      <c r="K58" s="341">
        <f t="shared" si="119"/>
        <v>36016</v>
      </c>
      <c r="L58" s="341">
        <f t="shared" si="119"/>
        <v>34196</v>
      </c>
      <c r="M58" s="341">
        <f t="shared" si="119"/>
        <v>30883</v>
      </c>
      <c r="N58" s="341">
        <f t="shared" si="119"/>
        <v>36728</v>
      </c>
      <c r="O58" s="341">
        <f t="shared" si="119"/>
        <v>37986</v>
      </c>
      <c r="P58" s="341">
        <f t="shared" si="119"/>
        <v>39667</v>
      </c>
      <c r="Q58" s="341">
        <f t="shared" si="119"/>
        <v>444023</v>
      </c>
      <c r="S58" s="769"/>
      <c r="T58" s="769"/>
      <c r="U58" s="182" t="s">
        <v>14</v>
      </c>
      <c r="V58" s="341">
        <v>19155.489884064558</v>
      </c>
      <c r="W58" s="341">
        <v>19921.709479427143</v>
      </c>
      <c r="X58" s="341">
        <v>25344.909131205673</v>
      </c>
      <c r="Y58" s="341" cm="1">
        <f t="array" ref="Y58">INDEX('Research Goals'!$F$45:$F$56, COLUMN()-COLUMN($V$3)+1)</f>
        <v>49669.83405319391</v>
      </c>
      <c r="Z58" s="341" cm="1">
        <f t="array" ref="Z58">INDEX('Research Goals'!$F$45:$F$56, COLUMN()-COLUMN($V$3)+1)</f>
        <v>54636.817458513302</v>
      </c>
      <c r="AA58" s="341" cm="1">
        <f t="array" ref="AA58">INDEX('Research Goals'!$F$45:$F$56, COLUMN()-COLUMN($V$3)+1)</f>
        <v>49669.83405319391</v>
      </c>
      <c r="AB58" s="341" cm="1">
        <f t="array" ref="AB58">INDEX('Research Goals'!$F$45:$F$56, COLUMN()-COLUMN($V$3)+1)</f>
        <v>44352.493351063829</v>
      </c>
      <c r="AC58" s="341" cm="1">
        <f t="array" ref="AC58">INDEX('Research Goals'!$F$45:$F$56, COLUMN()-COLUMN($V$3)+1)</f>
        <v>45052.795877659577</v>
      </c>
      <c r="AD58" s="341" cm="1">
        <f t="array" ref="AD58">INDEX('Research Goals'!$F$45:$F$56, COLUMN()-COLUMN($V$3)+1)</f>
        <v>57266.396908388269</v>
      </c>
      <c r="AE58" s="341" cm="1">
        <f t="array" ref="AE58">INDEX('Research Goals'!$F$45:$F$56, COLUMN()-COLUMN($V$3)+1)</f>
        <v>60772.502841554902</v>
      </c>
      <c r="AF58" s="341" cm="1">
        <f t="array" ref="AF58">INDEX('Research Goals'!$F$45:$F$56, COLUMN()-COLUMN($V$3)+1)</f>
        <v>47854.005984042553</v>
      </c>
      <c r="AG58" s="341" cm="1">
        <f t="array" ref="AG58">INDEX('Research Goals'!$F$45:$F$56, COLUMN()-COLUMN($V$3)+1)</f>
        <v>58591.978058510642</v>
      </c>
      <c r="AH58" s="342">
        <f>SUM(V58:AG58)</f>
        <v>532288.7670808183</v>
      </c>
      <c r="AJ58" s="757"/>
      <c r="AK58" s="757"/>
      <c r="AL58" s="182" t="s">
        <v>14</v>
      </c>
      <c r="AM58" s="341">
        <f>SUM(AM59:AM65)</f>
        <v>33188.71428571429</v>
      </c>
      <c r="AN58" s="341">
        <f t="shared" ref="AN58:AY58" si="120">SUM(AN59:AN65)</f>
        <v>27147.71428571429</v>
      </c>
      <c r="AO58" s="341">
        <f t="shared" si="120"/>
        <v>25862</v>
      </c>
      <c r="AP58" s="341">
        <f t="shared" si="120"/>
        <v>25997</v>
      </c>
      <c r="AQ58" s="341">
        <f t="shared" si="120"/>
        <v>25323</v>
      </c>
      <c r="AR58" s="341">
        <f t="shared" si="120"/>
        <v>25841.714285714283</v>
      </c>
      <c r="AS58" s="341">
        <f t="shared" si="120"/>
        <v>28858.285714285717</v>
      </c>
      <c r="AT58" s="341">
        <f t="shared" si="120"/>
        <v>24034.999999999996</v>
      </c>
      <c r="AU58" s="341">
        <f t="shared" si="120"/>
        <v>0</v>
      </c>
      <c r="AV58" s="341">
        <f t="shared" si="120"/>
        <v>0</v>
      </c>
      <c r="AW58" s="341">
        <f t="shared" si="120"/>
        <v>0</v>
      </c>
      <c r="AX58" s="341">
        <f t="shared" si="120"/>
        <v>0</v>
      </c>
      <c r="AY58" s="341">
        <f t="shared" si="120"/>
        <v>216253.42857142858</v>
      </c>
      <c r="BA58" s="757"/>
      <c r="BB58" s="757"/>
      <c r="BC58" s="182" t="s">
        <v>14</v>
      </c>
      <c r="BD58" s="464">
        <f>AM58/V58</f>
        <v>1.7325954327758522</v>
      </c>
      <c r="BE58" s="464">
        <f t="shared" si="114"/>
        <v>1.3627201176560342</v>
      </c>
      <c r="BF58" s="464">
        <f t="shared" si="101"/>
        <v>1.0204021591128005</v>
      </c>
      <c r="BG58" s="464">
        <f t="shared" si="102"/>
        <v>0.5233961517197443</v>
      </c>
      <c r="BH58" s="464">
        <f t="shared" si="103"/>
        <v>0.46347867935807574</v>
      </c>
      <c r="BI58" s="464">
        <f t="shared" si="104"/>
        <v>0.52026979309089494</v>
      </c>
      <c r="BJ58" s="464">
        <f t="shared" si="105"/>
        <v>0.6506575737662228</v>
      </c>
      <c r="BK58" s="464">
        <f t="shared" si="106"/>
        <v>0.5334852040096868</v>
      </c>
      <c r="BL58" s="464">
        <f t="shared" si="107"/>
        <v>0</v>
      </c>
      <c r="BM58" s="464">
        <f t="shared" si="108"/>
        <v>0</v>
      </c>
      <c r="BN58" s="464">
        <f t="shared" si="109"/>
        <v>0</v>
      </c>
      <c r="BO58" s="464">
        <f t="shared" si="110"/>
        <v>0</v>
      </c>
      <c r="BP58" s="464">
        <f t="shared" si="118"/>
        <v>0.40627088517649379</v>
      </c>
    </row>
    <row r="59" spans="2:68" ht="16" customHeight="1">
      <c r="B59" s="769"/>
      <c r="C59" s="769"/>
      <c r="D59" s="292" t="s">
        <v>99</v>
      </c>
      <c r="E59" s="69">
        <v>6230</v>
      </c>
      <c r="F59" s="69">
        <v>6690</v>
      </c>
      <c r="G59" s="69">
        <v>8037</v>
      </c>
      <c r="H59" s="69">
        <v>6512</v>
      </c>
      <c r="I59" s="69">
        <v>5447</v>
      </c>
      <c r="J59" s="69">
        <v>4761</v>
      </c>
      <c r="K59" s="69">
        <v>5438</v>
      </c>
      <c r="L59" s="69">
        <v>5556</v>
      </c>
      <c r="M59" s="69">
        <v>4472</v>
      </c>
      <c r="N59" s="69">
        <v>6324</v>
      </c>
      <c r="O59" s="69">
        <v>6341</v>
      </c>
      <c r="P59" s="69">
        <v>6114</v>
      </c>
      <c r="Q59" s="69">
        <f>SUM(E59:P59)</f>
        <v>71922</v>
      </c>
      <c r="S59" s="769"/>
      <c r="T59" s="769"/>
      <c r="U59" s="292" t="s">
        <v>99</v>
      </c>
      <c r="V59" s="69">
        <v>2273.1181329089945</v>
      </c>
      <c r="W59" s="69">
        <v>2888.6478745169356</v>
      </c>
      <c r="X59" s="69">
        <v>3581.908076195904</v>
      </c>
      <c r="Y59" s="69">
        <f>Y$58*'Region OP Sales Goals'!V115</f>
        <v>6310.9906796999312</v>
      </c>
      <c r="Z59" s="69">
        <f>Z$58*'Region OP Sales Goals'!W115</f>
        <v>6953.776767447147</v>
      </c>
      <c r="AA59" s="69">
        <f>AA$58*'Region OP Sales Goals'!X115</f>
        <v>6310.9906796999312</v>
      </c>
      <c r="AB59" s="69">
        <f>AB$58*'Region OP Sales Goals'!Y115</f>
        <v>5649.1070478723404</v>
      </c>
      <c r="AC59" s="69">
        <f>AC$58*'Region OP Sales Goals'!Z115</f>
        <v>5733.9922026112181</v>
      </c>
      <c r="AD59" s="69">
        <f>AD$58*'Region OP Sales Goals'!AA115</f>
        <v>7290.9900454094332</v>
      </c>
      <c r="AE59" s="69">
        <f>AE$58*'Region OP Sales Goals'!AB115</f>
        <v>7729.5902231655073</v>
      </c>
      <c r="AF59" s="69">
        <f>AF$58*'Region OP Sales Goals'!AC115</f>
        <v>6092.6319813829787</v>
      </c>
      <c r="AG59" s="69">
        <f>AG$58*'Region OP Sales Goals'!AD115</f>
        <v>7442.2091428704744</v>
      </c>
      <c r="AH59" s="69">
        <f>AH$58*'Region OP Sales Goals'!AE115</f>
        <v>68396.442369980883</v>
      </c>
      <c r="AJ59" s="757"/>
      <c r="AK59" s="757"/>
      <c r="AL59" s="292" t="s">
        <v>99</v>
      </c>
      <c r="AM59" s="69">
        <v>5237.4285714285716</v>
      </c>
      <c r="AN59" s="69">
        <v>4598.4285714285716</v>
      </c>
      <c r="AO59" s="69">
        <v>4017</v>
      </c>
      <c r="AP59" s="69">
        <v>4388.2857142857138</v>
      </c>
      <c r="AQ59" s="156">
        <v>3950.7142857142858</v>
      </c>
      <c r="AR59" s="156">
        <v>4261.7142857142862</v>
      </c>
      <c r="AS59" s="156">
        <v>4561</v>
      </c>
      <c r="AT59" s="156">
        <v>3489.2857142857142</v>
      </c>
      <c r="AU59" s="69"/>
      <c r="AV59" s="69"/>
      <c r="AW59" s="69"/>
      <c r="AX59" s="69"/>
      <c r="AY59" s="69">
        <f>SUM(AM59:AX59)</f>
        <v>34503.857142857145</v>
      </c>
      <c r="BA59" s="757"/>
      <c r="BB59" s="757"/>
      <c r="BC59" s="292" t="s">
        <v>99</v>
      </c>
      <c r="BD59" s="465">
        <f>AM59/V59</f>
        <v>2.3040723205731668</v>
      </c>
      <c r="BE59" s="465">
        <f t="shared" si="114"/>
        <v>1.5918965450912081</v>
      </c>
      <c r="BF59" s="465">
        <f t="shared" si="101"/>
        <v>1.1214693159479896</v>
      </c>
      <c r="BG59" s="465">
        <f t="shared" si="102"/>
        <v>0.69534023056018257</v>
      </c>
      <c r="BH59" s="465">
        <f t="shared" si="103"/>
        <v>0.56813936049958391</v>
      </c>
      <c r="BI59" s="465">
        <f t="shared" si="104"/>
        <v>0.67528451585622018</v>
      </c>
      <c r="BJ59" s="465">
        <f t="shared" si="105"/>
        <v>0.80738423990705555</v>
      </c>
      <c r="BK59" s="465">
        <f t="shared" si="106"/>
        <v>0.60852641423138298</v>
      </c>
      <c r="BL59" s="465">
        <f t="shared" si="107"/>
        <v>0</v>
      </c>
      <c r="BM59" s="465">
        <f t="shared" si="108"/>
        <v>0</v>
      </c>
      <c r="BN59" s="465">
        <f t="shared" si="109"/>
        <v>0</v>
      </c>
      <c r="BO59" s="465">
        <f t="shared" si="110"/>
        <v>0</v>
      </c>
      <c r="BP59" s="465">
        <f>AY59/AH59</f>
        <v>0.50446859437824865</v>
      </c>
    </row>
    <row r="60" spans="2:68" ht="16" customHeight="1">
      <c r="B60" s="769"/>
      <c r="C60" s="769"/>
      <c r="D60" s="292" t="s">
        <v>100</v>
      </c>
      <c r="E60" s="69">
        <v>3688</v>
      </c>
      <c r="F60" s="69">
        <v>3414</v>
      </c>
      <c r="G60" s="69">
        <v>3948</v>
      </c>
      <c r="H60" s="69">
        <v>3854</v>
      </c>
      <c r="I60" s="69">
        <v>3982</v>
      </c>
      <c r="J60" s="69">
        <v>3764</v>
      </c>
      <c r="K60" s="69">
        <v>3907</v>
      </c>
      <c r="L60" s="69">
        <v>3287</v>
      </c>
      <c r="M60" s="69">
        <v>3205</v>
      </c>
      <c r="N60" s="69">
        <v>3864</v>
      </c>
      <c r="O60" s="69">
        <v>4353</v>
      </c>
      <c r="P60" s="69">
        <v>4078</v>
      </c>
      <c r="Q60" s="69">
        <f t="shared" ref="Q60:Q65" si="121">SUM(E60:P60)</f>
        <v>45344</v>
      </c>
      <c r="S60" s="769"/>
      <c r="T60" s="769"/>
      <c r="U60" s="292" t="s">
        <v>100</v>
      </c>
      <c r="V60" s="69">
        <v>3575.6914450253844</v>
      </c>
      <c r="W60" s="69">
        <v>3461.3970220504657</v>
      </c>
      <c r="X60" s="69">
        <v>4396.5658696989431</v>
      </c>
      <c r="Y60" s="69">
        <f>Y$58*'Region OP Sales Goals'!V116</f>
        <v>8531.5244373721307</v>
      </c>
      <c r="Z60" s="69">
        <f>Z$58*'Region OP Sales Goals'!W116</f>
        <v>9378.8333712207332</v>
      </c>
      <c r="AA60" s="69">
        <f>AA$58*'Region OP Sales Goals'!X116</f>
        <v>8531.5244373721307</v>
      </c>
      <c r="AB60" s="69">
        <f>AB$58*'Region OP Sales Goals'!Y116</f>
        <v>7609.9541223404258</v>
      </c>
      <c r="AC60" s="69">
        <f>AC$58*'Region OP Sales Goals'!Z116</f>
        <v>7738.73383735875</v>
      </c>
      <c r="AD60" s="69">
        <f>AD$58*'Region OP Sales Goals'!AA116</f>
        <v>9833.0593715866689</v>
      </c>
      <c r="AE60" s="69">
        <f>AE$58*'Region OP Sales Goals'!AB116</f>
        <v>10446.149105944691</v>
      </c>
      <c r="AF60" s="69">
        <f>AF$58*'Region OP Sales Goals'!AC116</f>
        <v>8216.8829787234044</v>
      </c>
      <c r="AG60" s="69">
        <f>AG$58*'Region OP Sales Goals'!AD116</f>
        <v>10073.708508305339</v>
      </c>
      <c r="AH60" s="69">
        <f>AH$58*'Region OP Sales Goals'!AE116</f>
        <v>90996.207075172686</v>
      </c>
      <c r="AJ60" s="757"/>
      <c r="AK60" s="757"/>
      <c r="AL60" s="292" t="s">
        <v>100</v>
      </c>
      <c r="AM60" s="69">
        <v>3932.1428571428573</v>
      </c>
      <c r="AN60" s="69">
        <v>3259.5714285714284</v>
      </c>
      <c r="AO60" s="69">
        <v>3524</v>
      </c>
      <c r="AP60" s="69">
        <v>3485.7142857142858</v>
      </c>
      <c r="AQ60" s="156">
        <v>2793.2857142857142</v>
      </c>
      <c r="AR60" s="156">
        <v>3214.2857142857142</v>
      </c>
      <c r="AS60" s="156">
        <v>3893.4285714285716</v>
      </c>
      <c r="AT60" s="156">
        <v>3269.2857142857142</v>
      </c>
      <c r="AU60" s="69"/>
      <c r="AV60" s="69"/>
      <c r="AW60" s="69"/>
      <c r="AX60" s="69"/>
      <c r="AY60" s="69">
        <f t="shared" ref="AY60:AY65" si="122">SUM(AM60:AX60)</f>
        <v>27371.714285714286</v>
      </c>
      <c r="BA60" s="757"/>
      <c r="BB60" s="757"/>
      <c r="BC60" s="292" t="s">
        <v>100</v>
      </c>
      <c r="BD60" s="465">
        <f t="shared" ref="BD60:BD61" si="123">AM60/V60</f>
        <v>1.0996874080433812</v>
      </c>
      <c r="BE60" s="465">
        <f t="shared" si="114"/>
        <v>0.94169244608655733</v>
      </c>
      <c r="BF60" s="465">
        <f t="shared" si="101"/>
        <v>0.80153467602688444</v>
      </c>
      <c r="BG60" s="465">
        <f t="shared" si="102"/>
        <v>0.40856875125917719</v>
      </c>
      <c r="BH60" s="465">
        <f t="shared" si="103"/>
        <v>0.29782869614220953</v>
      </c>
      <c r="BI60" s="465">
        <f t="shared" si="104"/>
        <v>0.37675397144801176</v>
      </c>
      <c r="BJ60" s="465">
        <f t="shared" si="105"/>
        <v>0.51162313318009278</v>
      </c>
      <c r="BK60" s="465">
        <f t="shared" si="106"/>
        <v>0.42245744368455113</v>
      </c>
      <c r="BL60" s="465">
        <f t="shared" si="107"/>
        <v>0</v>
      </c>
      <c r="BM60" s="465">
        <f t="shared" si="108"/>
        <v>0</v>
      </c>
      <c r="BN60" s="465">
        <f t="shared" si="109"/>
        <v>0</v>
      </c>
      <c r="BO60" s="465">
        <f t="shared" si="110"/>
        <v>0</v>
      </c>
      <c r="BP60" s="465">
        <f t="shared" ref="BP60:BP67" si="124">AY60/AH60</f>
        <v>0.3008006065912428</v>
      </c>
    </row>
    <row r="61" spans="2:68" ht="16" customHeight="1">
      <c r="B61" s="769"/>
      <c r="C61" s="769"/>
      <c r="D61" s="292" t="s">
        <v>101</v>
      </c>
      <c r="E61" s="69">
        <v>3685</v>
      </c>
      <c r="F61" s="69">
        <v>3613</v>
      </c>
      <c r="G61" s="69">
        <v>3411</v>
      </c>
      <c r="H61" s="69">
        <v>3124</v>
      </c>
      <c r="I61" s="69">
        <v>3393</v>
      </c>
      <c r="J61" s="69">
        <v>3751</v>
      </c>
      <c r="K61" s="69">
        <v>3856</v>
      </c>
      <c r="L61" s="69">
        <v>2622</v>
      </c>
      <c r="M61" s="69">
        <v>2607</v>
      </c>
      <c r="N61" s="69">
        <v>3118</v>
      </c>
      <c r="O61" s="69">
        <v>3274</v>
      </c>
      <c r="P61" s="69">
        <v>3979</v>
      </c>
      <c r="Q61" s="69">
        <f t="shared" si="121"/>
        <v>40433</v>
      </c>
      <c r="S61" s="769"/>
      <c r="T61" s="769"/>
      <c r="U61" s="292" t="s">
        <v>101</v>
      </c>
      <c r="V61" s="69">
        <v>1800.6160491020685</v>
      </c>
      <c r="W61" s="69">
        <v>1830.3070584223688</v>
      </c>
      <c r="X61" s="69">
        <v>2327.5936957229701</v>
      </c>
      <c r="Y61" s="69">
        <f>Y$58*'Region OP Sales Goals'!V117</f>
        <v>4499.5026142305069</v>
      </c>
      <c r="Z61" s="69">
        <f>Z$58*'Region OP Sales Goals'!W117</f>
        <v>4966.9834053193908</v>
      </c>
      <c r="AA61" s="69">
        <f>AA$58*'Region OP Sales Goals'!X117</f>
        <v>4499.5026142305069</v>
      </c>
      <c r="AB61" s="69">
        <f>AB$58*'Region OP Sales Goals'!Y117</f>
        <v>4015.0678191489365</v>
      </c>
      <c r="AC61" s="69">
        <f>AC$58*'Region OP Sales Goals'!Z117</f>
        <v>4095.7087161508707</v>
      </c>
      <c r="AD61" s="69">
        <f>AD$58*'Region OP Sales Goals'!AA117</f>
        <v>5195.8779633952281</v>
      </c>
      <c r="AE61" s="69">
        <f>AE$58*'Region OP Sales Goals'!AB117</f>
        <v>5517.1350505927721</v>
      </c>
      <c r="AF61" s="69">
        <f>AF$58*'Region OP Sales Goals'!AC117</f>
        <v>4341.8756648936169</v>
      </c>
      <c r="AG61" s="69">
        <f>AG$58*'Region OP Sales Goals'!AD117</f>
        <v>5324.6744972471079</v>
      </c>
      <c r="AH61" s="69">
        <f>AH$58*'Region OP Sales Goals'!AE117</f>
        <v>47128.777616924366</v>
      </c>
      <c r="AJ61" s="757"/>
      <c r="AK61" s="757"/>
      <c r="AL61" s="292" t="s">
        <v>101</v>
      </c>
      <c r="AM61" s="69">
        <v>2565.5714285714284</v>
      </c>
      <c r="AN61" s="69">
        <v>2402.4285714285716</v>
      </c>
      <c r="AO61" s="69">
        <v>1976</v>
      </c>
      <c r="AP61" s="69">
        <v>1858.1428571428571</v>
      </c>
      <c r="AQ61" s="156">
        <v>2139.8571428571431</v>
      </c>
      <c r="AR61" s="156">
        <v>2700</v>
      </c>
      <c r="AS61" s="156">
        <v>3474</v>
      </c>
      <c r="AT61" s="156">
        <v>2966</v>
      </c>
      <c r="AU61" s="69"/>
      <c r="AV61" s="69"/>
      <c r="AW61" s="69"/>
      <c r="AX61" s="69"/>
      <c r="AY61" s="69">
        <f t="shared" si="122"/>
        <v>20082</v>
      </c>
      <c r="BA61" s="757"/>
      <c r="BB61" s="757"/>
      <c r="BC61" s="292" t="s">
        <v>101</v>
      </c>
      <c r="BD61" s="465">
        <f t="shared" si="123"/>
        <v>1.4248298130247301</v>
      </c>
      <c r="BE61" s="465">
        <f t="shared" si="114"/>
        <v>1.3125822579187025</v>
      </c>
      <c r="BF61" s="465">
        <f t="shared" si="101"/>
        <v>0.84894541673272483</v>
      </c>
      <c r="BG61" s="465">
        <f t="shared" si="102"/>
        <v>0.41296628015419695</v>
      </c>
      <c r="BH61" s="465">
        <f t="shared" si="103"/>
        <v>0.43081624564428039</v>
      </c>
      <c r="BI61" s="465">
        <f t="shared" si="104"/>
        <v>0.60006632543356064</v>
      </c>
      <c r="BJ61" s="465">
        <f t="shared" si="105"/>
        <v>0.86524067748782751</v>
      </c>
      <c r="BK61" s="465">
        <f t="shared" si="106"/>
        <v>0.72417259271978551</v>
      </c>
      <c r="BL61" s="465">
        <f t="shared" si="107"/>
        <v>0</v>
      </c>
      <c r="BM61" s="465">
        <f t="shared" si="108"/>
        <v>0</v>
      </c>
      <c r="BN61" s="465">
        <f t="shared" si="109"/>
        <v>0</v>
      </c>
      <c r="BO61" s="465">
        <f t="shared" si="110"/>
        <v>0</v>
      </c>
      <c r="BP61" s="465">
        <f t="shared" si="124"/>
        <v>0.42610907847498203</v>
      </c>
    </row>
    <row r="62" spans="2:68" ht="16" customHeight="1">
      <c r="B62" s="769"/>
      <c r="C62" s="769"/>
      <c r="D62" s="292" t="s">
        <v>102</v>
      </c>
      <c r="E62" s="69">
        <v>2649</v>
      </c>
      <c r="F62" s="69">
        <v>2863</v>
      </c>
      <c r="G62" s="69">
        <v>2863</v>
      </c>
      <c r="H62" s="69">
        <v>2492</v>
      </c>
      <c r="I62" s="69">
        <v>2210</v>
      </c>
      <c r="J62" s="69">
        <v>1969</v>
      </c>
      <c r="K62" s="69">
        <v>2127</v>
      </c>
      <c r="L62" s="69">
        <v>2303</v>
      </c>
      <c r="M62" s="69">
        <v>2088</v>
      </c>
      <c r="N62" s="69">
        <v>2306</v>
      </c>
      <c r="O62" s="69">
        <v>2411</v>
      </c>
      <c r="P62" s="69">
        <v>2484</v>
      </c>
      <c r="Q62" s="69">
        <f t="shared" si="121"/>
        <v>28765</v>
      </c>
      <c r="S62" s="769"/>
      <c r="T62" s="769"/>
      <c r="U62" s="292" t="s">
        <v>102</v>
      </c>
      <c r="V62" s="69">
        <v>1123.7887398651208</v>
      </c>
      <c r="W62" s="69">
        <v>1220.2047056149124</v>
      </c>
      <c r="X62" s="69">
        <v>1551.7291304819801</v>
      </c>
      <c r="Y62" s="69">
        <f>Y$58*'Region OP Sales Goals'!V118</f>
        <v>3126.2777904069108</v>
      </c>
      <c r="Z62" s="69">
        <f>Z$58*'Region OP Sales Goals'!W118</f>
        <v>3447.6708342805182</v>
      </c>
      <c r="AA62" s="69">
        <f>AA$58*'Region OP Sales Goals'!X118</f>
        <v>3126.2777904069108</v>
      </c>
      <c r="AB62" s="69">
        <f>AB$58*'Region OP Sales Goals'!Y118</f>
        <v>2777.8666888297876</v>
      </c>
      <c r="AC62" s="69">
        <f>AC$58*'Region OP Sales Goals'!Z118</f>
        <v>2823.8833779777055</v>
      </c>
      <c r="AD62" s="69">
        <f>AD$58*'Region OP Sales Goals'!AA118</f>
        <v>3603.5927810644325</v>
      </c>
      <c r="AE62" s="69">
        <f>AE$58*'Region OP Sales Goals'!AB118</f>
        <v>3808.7835882264826</v>
      </c>
      <c r="AF62" s="69">
        <f>AF$58*'Region OP Sales Goals'!AC118</f>
        <v>3011.3008643617022</v>
      </c>
      <c r="AG62" s="69">
        <f>AG$58*'Region OP Sales Goals'!AD118</f>
        <v>3679.9873938503174</v>
      </c>
      <c r="AH62" s="69">
        <f>AH$58*'Region OP Sales Goals'!AE118</f>
        <v>32935.022954517321</v>
      </c>
      <c r="AJ62" s="757"/>
      <c r="AK62" s="757"/>
      <c r="AL62" s="292" t="s">
        <v>102</v>
      </c>
      <c r="AM62" s="69">
        <v>2278</v>
      </c>
      <c r="AN62" s="69">
        <v>1874.1428571428571</v>
      </c>
      <c r="AO62" s="69">
        <v>1819</v>
      </c>
      <c r="AP62" s="69">
        <v>1609</v>
      </c>
      <c r="AQ62" s="156">
        <v>1421</v>
      </c>
      <c r="AR62" s="156">
        <v>1687.1428571428571</v>
      </c>
      <c r="AS62" s="156">
        <v>1722.7142857142858</v>
      </c>
      <c r="AT62" s="156">
        <v>1346.1428571428571</v>
      </c>
      <c r="AU62" s="69"/>
      <c r="AV62" s="69"/>
      <c r="AW62" s="69"/>
      <c r="AX62" s="69"/>
      <c r="AY62" s="69">
        <f t="shared" si="122"/>
        <v>13757.142857142857</v>
      </c>
      <c r="BA62" s="757"/>
      <c r="BB62" s="757"/>
      <c r="BC62" s="292" t="s">
        <v>102</v>
      </c>
      <c r="BD62" s="465">
        <f>AM62/V62</f>
        <v>2.0270713873440394</v>
      </c>
      <c r="BE62" s="465">
        <f t="shared" si="114"/>
        <v>1.5359249546561926</v>
      </c>
      <c r="BF62" s="465">
        <f t="shared" si="101"/>
        <v>1.172240672851842</v>
      </c>
      <c r="BG62" s="465">
        <f t="shared" si="102"/>
        <v>0.51466955525746017</v>
      </c>
      <c r="BH62" s="465">
        <f t="shared" si="103"/>
        <v>0.4121623172000245</v>
      </c>
      <c r="BI62" s="465">
        <f t="shared" si="104"/>
        <v>0.53966504906247037</v>
      </c>
      <c r="BJ62" s="465">
        <f t="shared" si="105"/>
        <v>0.62015729287570731</v>
      </c>
      <c r="BK62" s="465">
        <f t="shared" si="106"/>
        <v>0.47669916811751739</v>
      </c>
      <c r="BL62" s="465">
        <f t="shared" si="107"/>
        <v>0</v>
      </c>
      <c r="BM62" s="465">
        <f t="shared" si="108"/>
        <v>0</v>
      </c>
      <c r="BN62" s="465">
        <f t="shared" si="109"/>
        <v>0</v>
      </c>
      <c r="BO62" s="465">
        <f t="shared" si="110"/>
        <v>0</v>
      </c>
      <c r="BP62" s="465">
        <f t="shared" si="124"/>
        <v>0.41770557974534361</v>
      </c>
    </row>
    <row r="63" spans="2:68" ht="16" customHeight="1">
      <c r="B63" s="769"/>
      <c r="C63" s="769"/>
      <c r="D63" s="292" t="s">
        <v>103</v>
      </c>
      <c r="E63" s="69">
        <v>8829</v>
      </c>
      <c r="F63" s="69">
        <v>7647</v>
      </c>
      <c r="G63" s="69">
        <v>7836</v>
      </c>
      <c r="H63" s="69">
        <v>6094</v>
      </c>
      <c r="I63" s="69">
        <v>6459</v>
      </c>
      <c r="J63" s="69">
        <v>5861</v>
      </c>
      <c r="K63" s="69">
        <v>7248</v>
      </c>
      <c r="L63" s="69">
        <v>7067</v>
      </c>
      <c r="M63" s="69">
        <v>5514</v>
      </c>
      <c r="N63" s="69">
        <v>7152</v>
      </c>
      <c r="O63" s="69">
        <v>6793</v>
      </c>
      <c r="P63" s="69">
        <v>7546</v>
      </c>
      <c r="Q63" s="69">
        <f t="shared" si="121"/>
        <v>84046</v>
      </c>
      <c r="S63" s="769"/>
      <c r="T63" s="769"/>
      <c r="U63" s="292" t="s">
        <v>103</v>
      </c>
      <c r="V63" s="69">
        <v>2566.8356444646511</v>
      </c>
      <c r="W63" s="69">
        <v>2577.3711639008866</v>
      </c>
      <c r="X63" s="69">
        <v>3284.4933261868578</v>
      </c>
      <c r="Y63" s="69">
        <f>Y$58*'Region OP Sales Goals'!V119</f>
        <v>6457.0784269152082</v>
      </c>
      <c r="Z63" s="69">
        <f>Z$58*'Region OP Sales Goals'!W119</f>
        <v>7099.864514662424</v>
      </c>
      <c r="AA63" s="69">
        <f>AA$58*'Region OP Sales Goals'!X119</f>
        <v>6457.0784269152082</v>
      </c>
      <c r="AB63" s="69">
        <f>AB$58*'Region OP Sales Goals'!Y119</f>
        <v>5765.8241356382978</v>
      </c>
      <c r="AC63" s="69">
        <f>AC$58*'Region OP Sales Goals'!Z119</f>
        <v>5863.3303725949299</v>
      </c>
      <c r="AD63" s="69">
        <f>AD$58*'Region OP Sales Goals'!AA119</f>
        <v>7458.5990119705702</v>
      </c>
      <c r="AE63" s="69">
        <f>AE$58*'Region OP Sales Goals'!AB119</f>
        <v>7897.6247932343231</v>
      </c>
      <c r="AF63" s="69">
        <f>AF$58*'Region OP Sales Goals'!AC119</f>
        <v>6232.692486702128</v>
      </c>
      <c r="AG63" s="69">
        <f>AG$58*'Region OP Sales Goals'!AD119</f>
        <v>7627.2364420026133</v>
      </c>
      <c r="AH63" s="69">
        <f>AH$58*'Region OP Sales Goals'!AE119</f>
        <v>69315.131992143142</v>
      </c>
      <c r="AJ63" s="757"/>
      <c r="AK63" s="757"/>
      <c r="AL63" s="292" t="s">
        <v>103</v>
      </c>
      <c r="AM63" s="69">
        <v>6258.7142857142862</v>
      </c>
      <c r="AN63" s="69">
        <v>4700.7142857142862</v>
      </c>
      <c r="AO63" s="69">
        <v>4586</v>
      </c>
      <c r="AP63" s="69">
        <v>4953.8571428571431</v>
      </c>
      <c r="AQ63" s="156">
        <v>4831.1428571428569</v>
      </c>
      <c r="AR63" s="156">
        <v>4304.4285714285716</v>
      </c>
      <c r="AS63" s="156">
        <v>4620.1428571428569</v>
      </c>
      <c r="AT63" s="156">
        <v>3961.4285714285716</v>
      </c>
      <c r="AU63" s="69"/>
      <c r="AV63" s="69"/>
      <c r="AW63" s="69"/>
      <c r="AX63" s="69"/>
      <c r="AY63" s="69">
        <f t="shared" si="122"/>
        <v>38216.428571428572</v>
      </c>
      <c r="BA63" s="757"/>
      <c r="BB63" s="757"/>
      <c r="BC63" s="292" t="s">
        <v>103</v>
      </c>
      <c r="BD63" s="465">
        <f t="shared" ref="BD63:BD65" si="125">AM63/V63</f>
        <v>2.4382995846310322</v>
      </c>
      <c r="BE63" s="465">
        <f t="shared" si="114"/>
        <v>1.8238406448994684</v>
      </c>
      <c r="BF63" s="465">
        <f t="shared" si="101"/>
        <v>1.3962579748408654</v>
      </c>
      <c r="BG63" s="465">
        <f t="shared" si="102"/>
        <v>0.76719792068930914</v>
      </c>
      <c r="BH63" s="465">
        <f t="shared" si="103"/>
        <v>0.68045564069085085</v>
      </c>
      <c r="BI63" s="465">
        <f t="shared" si="104"/>
        <v>0.66662169588746356</v>
      </c>
      <c r="BJ63" s="465">
        <f t="shared" si="105"/>
        <v>0.80129791482642754</v>
      </c>
      <c r="BK63" s="465">
        <f t="shared" si="106"/>
        <v>0.67562772685370021</v>
      </c>
      <c r="BL63" s="465">
        <f t="shared" si="107"/>
        <v>0</v>
      </c>
      <c r="BM63" s="465">
        <f t="shared" si="108"/>
        <v>0</v>
      </c>
      <c r="BN63" s="465">
        <f t="shared" si="109"/>
        <v>0</v>
      </c>
      <c r="BO63" s="465">
        <f t="shared" si="110"/>
        <v>0</v>
      </c>
      <c r="BP63" s="465">
        <f t="shared" si="124"/>
        <v>0.55134322727338092</v>
      </c>
    </row>
    <row r="64" spans="2:68" ht="16" customHeight="1">
      <c r="B64" s="769"/>
      <c r="C64" s="769"/>
      <c r="D64" s="292" t="s">
        <v>104</v>
      </c>
      <c r="E64" s="69">
        <v>10700</v>
      </c>
      <c r="F64" s="69">
        <v>10033</v>
      </c>
      <c r="G64" s="69">
        <v>10840</v>
      </c>
      <c r="H64" s="69">
        <v>9266</v>
      </c>
      <c r="I64" s="69">
        <v>8821</v>
      </c>
      <c r="J64" s="69">
        <v>8014</v>
      </c>
      <c r="K64" s="69">
        <v>8115</v>
      </c>
      <c r="L64" s="69">
        <v>7918</v>
      </c>
      <c r="M64" s="69">
        <v>7832</v>
      </c>
      <c r="N64" s="69">
        <v>8603</v>
      </c>
      <c r="O64" s="69">
        <v>9589</v>
      </c>
      <c r="P64" s="69">
        <v>9990</v>
      </c>
      <c r="Q64" s="69">
        <f t="shared" si="121"/>
        <v>109721</v>
      </c>
      <c r="S64" s="769"/>
      <c r="T64" s="769"/>
      <c r="U64" s="292" t="s">
        <v>104</v>
      </c>
      <c r="V64" s="69">
        <v>4852.7241039630217</v>
      </c>
      <c r="W64" s="69">
        <v>4818.5634803364401</v>
      </c>
      <c r="X64" s="69">
        <v>6452.6069675875669</v>
      </c>
      <c r="Y64" s="69">
        <f>Y$58*'Region OP Sales Goals'!V120</f>
        <v>13118.679699931803</v>
      </c>
      <c r="Z64" s="69">
        <f>Z$58*'Region OP Sales Goals'!W120</f>
        <v>14404.251875426233</v>
      </c>
      <c r="AA64" s="69">
        <f>AA$58*'Region OP Sales Goals'!X120</f>
        <v>13118.679699931803</v>
      </c>
      <c r="AB64" s="69">
        <f>AB$58*'Region OP Sales Goals'!Y120</f>
        <v>11695.052194148937</v>
      </c>
      <c r="AC64" s="69">
        <f>AC$58*'Region OP Sales Goals'!Z120</f>
        <v>11877.555276837524</v>
      </c>
      <c r="AD64" s="69">
        <f>AD$58*'Region OP Sales Goals'!AA120</f>
        <v>15112.741818262466</v>
      </c>
      <c r="AE64" s="69">
        <f>AE$58*'Region OP Sales Goals'!AB120</f>
        <v>16019.295679893734</v>
      </c>
      <c r="AF64" s="69">
        <f>AF$58*'Region OP Sales Goals'!AC120</f>
        <v>12628.788896276596</v>
      </c>
      <c r="AG64" s="69">
        <f>AG$58*'Region OP Sales Goals'!AD120</f>
        <v>15460.058771929826</v>
      </c>
      <c r="AH64" s="69">
        <f>AH$58*'Region OP Sales Goals'!AE120</f>
        <v>139434.11740367828</v>
      </c>
      <c r="AJ64" s="757"/>
      <c r="AK64" s="757"/>
      <c r="AL64" s="292" t="s">
        <v>104</v>
      </c>
      <c r="AM64" s="69">
        <v>8836.4285714285725</v>
      </c>
      <c r="AN64" s="69">
        <v>6499.2857142857138</v>
      </c>
      <c r="AO64" s="69">
        <v>5943</v>
      </c>
      <c r="AP64" s="69">
        <v>5695.7142857142862</v>
      </c>
      <c r="AQ64" s="156">
        <v>5868.2857142857138</v>
      </c>
      <c r="AR64" s="156">
        <v>5709.1428571428569</v>
      </c>
      <c r="AS64" s="156">
        <v>6100.7142857142862</v>
      </c>
      <c r="AT64" s="156">
        <v>4749.1428571428569</v>
      </c>
      <c r="AU64" s="69"/>
      <c r="AV64" s="69"/>
      <c r="AW64" s="69"/>
      <c r="AX64" s="69"/>
      <c r="AY64" s="69">
        <f t="shared" si="122"/>
        <v>49401.71428571429</v>
      </c>
      <c r="BA64" s="757"/>
      <c r="BB64" s="757"/>
      <c r="BC64" s="292" t="s">
        <v>104</v>
      </c>
      <c r="BD64" s="465">
        <f t="shared" si="125"/>
        <v>1.8209212768169165</v>
      </c>
      <c r="BE64" s="465">
        <f t="shared" si="114"/>
        <v>1.3488015133157325</v>
      </c>
      <c r="BF64" s="465">
        <f t="shared" si="101"/>
        <v>0.92102308878451755</v>
      </c>
      <c r="BG64" s="465">
        <f t="shared" si="102"/>
        <v>0.43416825595215158</v>
      </c>
      <c r="BH64" s="465">
        <f t="shared" si="103"/>
        <v>0.40739954876081108</v>
      </c>
      <c r="BI64" s="465">
        <f t="shared" si="104"/>
        <v>0.43519187812570315</v>
      </c>
      <c r="BJ64" s="465">
        <f t="shared" si="105"/>
        <v>0.52164917132789612</v>
      </c>
      <c r="BK64" s="465">
        <f t="shared" si="106"/>
        <v>0.39984178111165541</v>
      </c>
      <c r="BL64" s="465">
        <f t="shared" si="107"/>
        <v>0</v>
      </c>
      <c r="BM64" s="465">
        <f t="shared" si="108"/>
        <v>0</v>
      </c>
      <c r="BN64" s="465">
        <f t="shared" si="109"/>
        <v>0</v>
      </c>
      <c r="BO64" s="465">
        <f t="shared" si="110"/>
        <v>0</v>
      </c>
      <c r="BP64" s="465">
        <f t="shared" si="124"/>
        <v>0.35430148091152236</v>
      </c>
    </row>
    <row r="65" spans="2:68" ht="16" customHeight="1">
      <c r="B65" s="770"/>
      <c r="C65" s="770"/>
      <c r="D65" s="292" t="s">
        <v>105</v>
      </c>
      <c r="E65" s="69">
        <v>4672</v>
      </c>
      <c r="F65" s="69">
        <v>4882</v>
      </c>
      <c r="G65" s="69">
        <v>5803</v>
      </c>
      <c r="H65" s="69">
        <v>5844</v>
      </c>
      <c r="I65" s="69">
        <v>5627</v>
      </c>
      <c r="J65" s="69">
        <v>4969</v>
      </c>
      <c r="K65" s="69">
        <v>5325</v>
      </c>
      <c r="L65" s="69">
        <v>5443</v>
      </c>
      <c r="M65" s="69">
        <v>5165</v>
      </c>
      <c r="N65" s="69">
        <v>5361</v>
      </c>
      <c r="O65" s="69">
        <v>5225</v>
      </c>
      <c r="P65" s="69">
        <v>5476</v>
      </c>
      <c r="Q65" s="69">
        <f t="shared" si="121"/>
        <v>63792</v>
      </c>
      <c r="S65" s="770"/>
      <c r="T65" s="770"/>
      <c r="U65" s="292" t="s">
        <v>105</v>
      </c>
      <c r="V65" s="69">
        <v>2962.7157687353183</v>
      </c>
      <c r="W65" s="69">
        <v>3125.2181745851331</v>
      </c>
      <c r="X65" s="69">
        <v>3750.0120653314516</v>
      </c>
      <c r="Y65" s="69">
        <f>Y$58*'Region OP Sales Goals'!V121</f>
        <v>7625.7804046374185</v>
      </c>
      <c r="Z65" s="69">
        <f>Z$58*'Region OP Sales Goals'!W121</f>
        <v>8385.4366901568537</v>
      </c>
      <c r="AA65" s="69">
        <f>AA$58*'Region OP Sales Goals'!X121</f>
        <v>7625.7804046374185</v>
      </c>
      <c r="AB65" s="69">
        <f>AB$58*'Region OP Sales Goals'!Y121</f>
        <v>6839.6213430851058</v>
      </c>
      <c r="AC65" s="69">
        <f>AC$58*'Region OP Sales Goals'!Z121</f>
        <v>6919.5920941285767</v>
      </c>
      <c r="AD65" s="69">
        <f>AD$58*'Region OP Sales Goals'!AA121</f>
        <v>8771.5359166994713</v>
      </c>
      <c r="AE65" s="69">
        <f>AE$58*'Region OP Sales Goals'!AB121</f>
        <v>9353.9244004973898</v>
      </c>
      <c r="AF65" s="69">
        <f>AF$58*'Region OP Sales Goals'!AC121</f>
        <v>7329.8331117021271</v>
      </c>
      <c r="AG65" s="69">
        <f>AG$58*'Region OP Sales Goals'!AD121</f>
        <v>8984.103302304964</v>
      </c>
      <c r="AH65" s="69">
        <f>AH$58*'Region OP Sales Goals'!AE121</f>
        <v>83715.591819536698</v>
      </c>
      <c r="AJ65" s="757"/>
      <c r="AK65" s="757"/>
      <c r="AL65" s="292" t="s">
        <v>105</v>
      </c>
      <c r="AM65" s="69">
        <v>4080.4285714285716</v>
      </c>
      <c r="AN65" s="69">
        <v>3813.1428571428569</v>
      </c>
      <c r="AO65" s="69">
        <v>3997</v>
      </c>
      <c r="AP65" s="69">
        <v>4006.2857142857142</v>
      </c>
      <c r="AQ65" s="156">
        <v>4318.7142857142862</v>
      </c>
      <c r="AR65" s="156">
        <v>3965</v>
      </c>
      <c r="AS65" s="156">
        <v>4486.2857142857138</v>
      </c>
      <c r="AT65" s="156">
        <v>4253.7142857142862</v>
      </c>
      <c r="AU65" s="69"/>
      <c r="AV65" s="69"/>
      <c r="AW65" s="69"/>
      <c r="AX65" s="69"/>
      <c r="AY65" s="69">
        <f t="shared" si="122"/>
        <v>32920.571428571428</v>
      </c>
      <c r="BA65" s="757"/>
      <c r="BB65" s="757"/>
      <c r="BC65" s="292" t="s">
        <v>105</v>
      </c>
      <c r="BD65" s="465">
        <f t="shared" si="125"/>
        <v>1.3772595449378415</v>
      </c>
      <c r="BE65" s="465">
        <f t="shared" si="114"/>
        <v>1.2201205305127361</v>
      </c>
      <c r="BF65" s="465">
        <f t="shared" si="101"/>
        <v>1.0658632373351358</v>
      </c>
      <c r="BG65" s="465">
        <f t="shared" si="102"/>
        <v>0.52536075020589323</v>
      </c>
      <c r="BH65" s="465">
        <f t="shared" si="103"/>
        <v>0.5150255669789694</v>
      </c>
      <c r="BI65" s="465">
        <f t="shared" si="104"/>
        <v>0.51994678440894904</v>
      </c>
      <c r="BJ65" s="465">
        <f t="shared" si="105"/>
        <v>0.65592603585012388</v>
      </c>
      <c r="BK65" s="465">
        <f t="shared" si="106"/>
        <v>0.61473483232106341</v>
      </c>
      <c r="BL65" s="465">
        <f t="shared" si="107"/>
        <v>0</v>
      </c>
      <c r="BM65" s="465">
        <f t="shared" si="108"/>
        <v>0</v>
      </c>
      <c r="BN65" s="465">
        <f t="shared" si="109"/>
        <v>0</v>
      </c>
      <c r="BO65" s="465">
        <f t="shared" si="110"/>
        <v>0</v>
      </c>
      <c r="BP65" s="465">
        <f t="shared" si="124"/>
        <v>0.39324301140386558</v>
      </c>
    </row>
    <row r="66" spans="2:68">
      <c r="B66" s="768" t="s">
        <v>57</v>
      </c>
      <c r="C66" s="768" t="s">
        <v>49</v>
      </c>
      <c r="D66" s="343" t="s">
        <v>58</v>
      </c>
      <c r="E66" s="344">
        <f>E67+E75+E83</f>
        <v>309064</v>
      </c>
      <c r="F66" s="344">
        <f t="shared" ref="F66:P66" si="126">F67+F75+F83</f>
        <v>300257</v>
      </c>
      <c r="G66" s="344">
        <f t="shared" si="126"/>
        <v>333581</v>
      </c>
      <c r="H66" s="344">
        <f t="shared" si="126"/>
        <v>324550</v>
      </c>
      <c r="I66" s="344">
        <f t="shared" si="126"/>
        <v>306236</v>
      </c>
      <c r="J66" s="344">
        <f t="shared" si="126"/>
        <v>296184</v>
      </c>
      <c r="K66" s="344">
        <f t="shared" si="126"/>
        <v>335757</v>
      </c>
      <c r="L66" s="344">
        <f t="shared" si="126"/>
        <v>387060</v>
      </c>
      <c r="M66" s="344">
        <f t="shared" si="126"/>
        <v>355815</v>
      </c>
      <c r="N66" s="344">
        <f t="shared" si="126"/>
        <v>382437</v>
      </c>
      <c r="O66" s="344">
        <f t="shared" si="126"/>
        <v>379908</v>
      </c>
      <c r="P66" s="344">
        <f t="shared" si="126"/>
        <v>403418</v>
      </c>
      <c r="Q66" s="344">
        <f>Q67+Q75+Q83</f>
        <v>4114267</v>
      </c>
      <c r="S66" s="768" t="s">
        <v>57</v>
      </c>
      <c r="T66" s="768" t="s">
        <v>49</v>
      </c>
      <c r="U66" s="343" t="s">
        <v>58</v>
      </c>
      <c r="V66" s="344">
        <v>296533.60564505908</v>
      </c>
      <c r="W66" s="344">
        <v>308394.94987086143</v>
      </c>
      <c r="X66" s="344">
        <v>361808.36771806958</v>
      </c>
      <c r="Y66" s="344" cm="1">
        <f t="array" ref="Y66">INDEX('Shop Goals'!$H$48:$H$59, COLUMN()-COLUMN($V$3)+1)</f>
        <v>336071.41973106691</v>
      </c>
      <c r="Z66" s="344" cm="1">
        <f t="array" ref="Z66">INDEX('Shop Goals'!$H$48:$H$59, COLUMN()-COLUMN($V$3)+1)</f>
        <v>369678.56170417363</v>
      </c>
      <c r="AA66" s="344" cm="1">
        <f t="array" ref="AA66">INDEX('Shop Goals'!$H$48:$H$59, COLUMN()-COLUMN($V$3)+1)</f>
        <v>336071.41973106691</v>
      </c>
      <c r="AB66" s="344" cm="1">
        <f t="array" ref="AB66">INDEX('Shop Goals'!$H$48:$H$59, COLUMN()-COLUMN($V$3)+1)</f>
        <v>326572.87347474223</v>
      </c>
      <c r="AC66" s="344" cm="1">
        <f t="array" ref="AC66">INDEX('Shop Goals'!$H$48:$H$59, COLUMN()-COLUMN($V$3)+1)</f>
        <v>331729.28726644861</v>
      </c>
      <c r="AD66" s="344" cm="1">
        <f t="array" ref="AD66">INDEX('Shop Goals'!$H$48:$H$59, COLUMN()-COLUMN($V$3)+1)</f>
        <v>387470.57804287714</v>
      </c>
      <c r="AE66" s="344" cm="1">
        <f t="array" ref="AE66">INDEX('Shop Goals'!$H$48:$H$59, COLUMN()-COLUMN($V$3)+1)</f>
        <v>411193.26649448188</v>
      </c>
      <c r="AF66" s="344" cm="1">
        <f t="array" ref="AF66">INDEX('Shop Goals'!$H$48:$H$59, COLUMN()-COLUMN($V$3)+1)</f>
        <v>352354.94243327447</v>
      </c>
      <c r="AG66" s="344" cm="1">
        <f t="array" ref="AG66">INDEX('Shop Goals'!$H$48:$H$59, COLUMN()-COLUMN($V$3)+1)</f>
        <v>431419.95390610676</v>
      </c>
      <c r="AH66" s="345">
        <f t="shared" ref="AH66:AH83" si="127">SUM(V66:AG66)</f>
        <v>4249299.2260182286</v>
      </c>
      <c r="AI66" s="47"/>
      <c r="AJ66" s="757" t="s">
        <v>57</v>
      </c>
      <c r="AK66" s="757" t="s">
        <v>49</v>
      </c>
      <c r="AL66" s="343" t="s">
        <v>58</v>
      </c>
      <c r="AM66" s="344">
        <f>AM67+AM75+AM83</f>
        <v>396953</v>
      </c>
      <c r="AN66" s="344">
        <f t="shared" ref="AN66:AX66" si="128">AN67+AN75+AN83</f>
        <v>349639</v>
      </c>
      <c r="AO66" s="344">
        <f t="shared" si="128"/>
        <v>373089</v>
      </c>
      <c r="AP66" s="344">
        <f t="shared" si="128"/>
        <v>339128</v>
      </c>
      <c r="AQ66" s="344">
        <f t="shared" si="128"/>
        <v>332093</v>
      </c>
      <c r="AR66" s="344">
        <f t="shared" si="128"/>
        <v>323639</v>
      </c>
      <c r="AS66" s="344">
        <f t="shared" si="128"/>
        <v>361931</v>
      </c>
      <c r="AT66" s="344">
        <f t="shared" si="128"/>
        <v>270559</v>
      </c>
      <c r="AU66" s="344">
        <f t="shared" si="128"/>
        <v>0</v>
      </c>
      <c r="AV66" s="344">
        <f t="shared" si="128"/>
        <v>0</v>
      </c>
      <c r="AW66" s="344">
        <f t="shared" si="128"/>
        <v>0</v>
      </c>
      <c r="AX66" s="344">
        <f t="shared" si="128"/>
        <v>0</v>
      </c>
      <c r="AY66" s="344">
        <f>AY67+AY75+AY83</f>
        <v>2747031</v>
      </c>
      <c r="BA66" s="757" t="s">
        <v>57</v>
      </c>
      <c r="BB66" s="757" t="s">
        <v>49</v>
      </c>
      <c r="BC66" s="343" t="s">
        <v>58</v>
      </c>
      <c r="BD66" s="463">
        <f>AM66/V66</f>
        <v>1.3386442293327778</v>
      </c>
      <c r="BE66" s="463">
        <f>AN66/W66</f>
        <v>1.1337377610963126</v>
      </c>
      <c r="BF66" s="463">
        <f t="shared" si="101"/>
        <v>1.031178472607136</v>
      </c>
      <c r="BG66" s="463">
        <f t="shared" si="102"/>
        <v>1.0090950318577494</v>
      </c>
      <c r="BH66" s="463">
        <f t="shared" si="103"/>
        <v>0.89832907396385464</v>
      </c>
      <c r="BI66" s="463">
        <f t="shared" si="104"/>
        <v>0.96300661406728472</v>
      </c>
      <c r="BJ66" s="463">
        <f t="shared" si="105"/>
        <v>1.1082702496047714</v>
      </c>
      <c r="BK66" s="463">
        <f t="shared" si="106"/>
        <v>0.81560178852307375</v>
      </c>
      <c r="BL66" s="463">
        <f t="shared" si="107"/>
        <v>0</v>
      </c>
      <c r="BM66" s="463">
        <f t="shared" si="108"/>
        <v>0</v>
      </c>
      <c r="BN66" s="463">
        <f t="shared" si="109"/>
        <v>0</v>
      </c>
      <c r="BO66" s="463">
        <f t="shared" si="110"/>
        <v>0</v>
      </c>
      <c r="BP66" s="463">
        <f t="shared" si="124"/>
        <v>0.64646682991399573</v>
      </c>
    </row>
    <row r="67" spans="2:68">
      <c r="B67" s="769"/>
      <c r="C67" s="769"/>
      <c r="D67" s="182" t="s">
        <v>60</v>
      </c>
      <c r="E67" s="341">
        <f>SUM(E68:E74)</f>
        <v>3132</v>
      </c>
      <c r="F67" s="341">
        <f t="shared" ref="F67:Q67" si="129">SUM(F68:F74)</f>
        <v>3370</v>
      </c>
      <c r="G67" s="341">
        <f t="shared" si="129"/>
        <v>4052</v>
      </c>
      <c r="H67" s="341">
        <f t="shared" si="129"/>
        <v>2940</v>
      </c>
      <c r="I67" s="341">
        <f t="shared" si="129"/>
        <v>2659</v>
      </c>
      <c r="J67" s="341">
        <f t="shared" si="129"/>
        <v>2938</v>
      </c>
      <c r="K67" s="341">
        <f t="shared" si="129"/>
        <v>2601</v>
      </c>
      <c r="L67" s="341">
        <f t="shared" si="129"/>
        <v>4083</v>
      </c>
      <c r="M67" s="341">
        <f t="shared" si="129"/>
        <v>3500</v>
      </c>
      <c r="N67" s="341">
        <f t="shared" si="129"/>
        <v>3577</v>
      </c>
      <c r="O67" s="341">
        <f t="shared" si="129"/>
        <v>4238</v>
      </c>
      <c r="P67" s="341">
        <f t="shared" si="129"/>
        <v>5428</v>
      </c>
      <c r="Q67" s="341">
        <f t="shared" si="129"/>
        <v>42518</v>
      </c>
      <c r="S67" s="769"/>
      <c r="T67" s="769"/>
      <c r="U67" s="182" t="s">
        <v>60</v>
      </c>
      <c r="V67" s="341">
        <v>2831.5526255967266</v>
      </c>
      <c r="W67" s="341">
        <v>2944.8147306205956</v>
      </c>
      <c r="X67" s="341">
        <v>4178.5089760638302</v>
      </c>
      <c r="Y67" s="341" cm="1">
        <f t="array" ref="Y67">INDEX('Shop Goals'!$D$48:$D$59, COLUMN()-COLUMN($V$3)+1)</f>
        <v>3209.0929756762898</v>
      </c>
      <c r="Z67" s="341" cm="1">
        <f t="array" ref="Z67">INDEX('Shop Goals'!$D$48:$D$59, COLUMN()-COLUMN($V$3)+1)</f>
        <v>3530.0022732439188</v>
      </c>
      <c r="AA67" s="341" cm="1">
        <f t="array" ref="AA67">INDEX('Shop Goals'!$D$48:$D$59, COLUMN()-COLUMN($V$3)+1)</f>
        <v>3209.0929756762898</v>
      </c>
      <c r="AB67" s="341" cm="1">
        <f t="array" ref="AB67">INDEX('Shop Goals'!$D$48:$D$59, COLUMN()-COLUMN($V$3)+1)</f>
        <v>3771.5757978723404</v>
      </c>
      <c r="AC67" s="341" cm="1">
        <f t="array" ref="AC67">INDEX('Shop Goals'!$D$48:$D$59, COLUMN()-COLUMN($V$3)+1)</f>
        <v>3831.1269946808511</v>
      </c>
      <c r="AD67" s="341" cm="1">
        <f t="array" ref="AD67">INDEX('Shop Goals'!$D$48:$D$59, COLUMN()-COLUMN($V$3)+1)</f>
        <v>3699.8954307797226</v>
      </c>
      <c r="AE67" s="341" cm="1">
        <f t="array" ref="AE67">INDEX('Shop Goals'!$D$48:$D$59, COLUMN()-COLUMN($V$3)+1)</f>
        <v>3926.4196408274606</v>
      </c>
      <c r="AF67" s="341" cm="1">
        <f t="array" ref="AF67">INDEX('Shop Goals'!$D$48:$D$59, COLUMN()-COLUMN($V$3)+1)</f>
        <v>4069.3317819148938</v>
      </c>
      <c r="AG67" s="341" cm="1">
        <f t="array" ref="AG67">INDEX('Shop Goals'!$D$48:$D$59, COLUMN()-COLUMN($V$3)+1)</f>
        <v>4982.4501329787236</v>
      </c>
      <c r="AH67" s="342">
        <f t="shared" si="127"/>
        <v>44183.864335931641</v>
      </c>
      <c r="AJ67" s="757"/>
      <c r="AK67" s="757"/>
      <c r="AL67" s="182" t="s">
        <v>60</v>
      </c>
      <c r="AM67" s="341">
        <f>SUM(AM68:AM74)</f>
        <v>4107</v>
      </c>
      <c r="AN67" s="341">
        <f t="shared" ref="AN67:AY67" si="130">SUM(AN68:AN74)</f>
        <v>3499</v>
      </c>
      <c r="AO67" s="341">
        <f t="shared" si="130"/>
        <v>3957</v>
      </c>
      <c r="AP67" s="341">
        <f t="shared" si="130"/>
        <v>3094</v>
      </c>
      <c r="AQ67" s="341">
        <f t="shared" si="130"/>
        <v>2832</v>
      </c>
      <c r="AR67" s="341">
        <f t="shared" si="130"/>
        <v>3354</v>
      </c>
      <c r="AS67" s="341">
        <f t="shared" si="130"/>
        <v>4177</v>
      </c>
      <c r="AT67" s="341">
        <f t="shared" si="130"/>
        <v>3655</v>
      </c>
      <c r="AU67" s="341">
        <f t="shared" si="130"/>
        <v>0</v>
      </c>
      <c r="AV67" s="341">
        <f t="shared" si="130"/>
        <v>0</v>
      </c>
      <c r="AW67" s="341">
        <f t="shared" si="130"/>
        <v>0</v>
      </c>
      <c r="AX67" s="341">
        <f t="shared" si="130"/>
        <v>0</v>
      </c>
      <c r="AY67" s="341">
        <f t="shared" si="130"/>
        <v>28675</v>
      </c>
      <c r="BA67" s="757"/>
      <c r="BB67" s="757"/>
      <c r="BC67" s="182" t="s">
        <v>60</v>
      </c>
      <c r="BD67" s="464">
        <f>AM67/V67</f>
        <v>1.4504409922928709</v>
      </c>
      <c r="BE67" s="464">
        <f t="shared" ref="BE67:BE90" si="131">AN67/W67</f>
        <v>1.1881901987302999</v>
      </c>
      <c r="BF67" s="464">
        <f t="shared" si="101"/>
        <v>0.94698851256926286</v>
      </c>
      <c r="BG67" s="464">
        <f t="shared" si="102"/>
        <v>0.9641353564547207</v>
      </c>
      <c r="BH67" s="464">
        <f t="shared" si="103"/>
        <v>0.80226577230997498</v>
      </c>
      <c r="BI67" s="464">
        <f t="shared" si="104"/>
        <v>1.0451551343080585</v>
      </c>
      <c r="BJ67" s="464">
        <f t="shared" si="105"/>
        <v>1.107494645170958</v>
      </c>
      <c r="BK67" s="464">
        <f t="shared" si="106"/>
        <v>0.95402736716235548</v>
      </c>
      <c r="BL67" s="464">
        <f t="shared" si="107"/>
        <v>0</v>
      </c>
      <c r="BM67" s="464">
        <f t="shared" si="108"/>
        <v>0</v>
      </c>
      <c r="BN67" s="464">
        <f t="shared" si="109"/>
        <v>0</v>
      </c>
      <c r="BO67" s="464">
        <f t="shared" si="110"/>
        <v>0</v>
      </c>
      <c r="BP67" s="464">
        <f t="shared" si="124"/>
        <v>0.64899257751614614</v>
      </c>
    </row>
    <row r="68" spans="2:68" ht="16" customHeight="1">
      <c r="B68" s="769"/>
      <c r="C68" s="769"/>
      <c r="D68" s="292" t="s">
        <v>99</v>
      </c>
      <c r="E68" s="69">
        <v>551</v>
      </c>
      <c r="F68" s="69">
        <v>584</v>
      </c>
      <c r="G68" s="69">
        <v>631</v>
      </c>
      <c r="H68" s="69">
        <v>489</v>
      </c>
      <c r="I68" s="69">
        <v>424</v>
      </c>
      <c r="J68" s="69">
        <v>558</v>
      </c>
      <c r="K68" s="69">
        <v>514</v>
      </c>
      <c r="L68" s="69">
        <v>808</v>
      </c>
      <c r="M68" s="69">
        <v>668</v>
      </c>
      <c r="N68" s="69">
        <v>646</v>
      </c>
      <c r="O68" s="69">
        <v>724</v>
      </c>
      <c r="P68" s="69">
        <v>927</v>
      </c>
      <c r="Q68" s="69">
        <f>SUM(E68:P68)</f>
        <v>7524</v>
      </c>
      <c r="S68" s="769"/>
      <c r="T68" s="769"/>
      <c r="U68" s="292" t="s">
        <v>99</v>
      </c>
      <c r="V68" s="69">
        <v>336.01091157081157</v>
      </c>
      <c r="W68" s="69">
        <v>426.99813593998635</v>
      </c>
      <c r="X68" s="69">
        <v>590.534176719225</v>
      </c>
      <c r="Y68" s="69">
        <f>Y$67*'Region OP Sales Goals'!V115</f>
        <v>407.74357808592856</v>
      </c>
      <c r="Z68" s="69">
        <f>Z$67*'Region OP Sales Goals'!W115</f>
        <v>449.27301659468054</v>
      </c>
      <c r="AA68" s="69">
        <f>AA$67*'Region OP Sales Goals'!X115</f>
        <v>407.74357808592856</v>
      </c>
      <c r="AB68" s="69">
        <f>AB$67*'Region OP Sales Goals'!Y115</f>
        <v>480.37965425531911</v>
      </c>
      <c r="AC68" s="69">
        <f>AC$67*'Region OP Sales Goals'!Z115</f>
        <v>487.59798114119917</v>
      </c>
      <c r="AD68" s="69">
        <f>AD$67*'Region OP Sales Goals'!AA115</f>
        <v>471.05985728463787</v>
      </c>
      <c r="AE68" s="69">
        <f>AE$67*'Region OP Sales Goals'!AB115</f>
        <v>499.3971524739074</v>
      </c>
      <c r="AF68" s="69">
        <f>AF$67*'Region OP Sales Goals'!AC115</f>
        <v>518.09541223404256</v>
      </c>
      <c r="AG68" s="69">
        <f>AG$67*'Region OP Sales Goals'!AD115</f>
        <v>632.85857829413953</v>
      </c>
      <c r="AH68" s="69">
        <f>AH$67*'Region OP Sales Goals'!AE115</f>
        <v>5677.4054190716442</v>
      </c>
      <c r="AJ68" s="757"/>
      <c r="AK68" s="757"/>
      <c r="AL68" s="292" t="s">
        <v>99</v>
      </c>
      <c r="AM68" s="69">
        <v>698</v>
      </c>
      <c r="AN68" s="69">
        <v>579</v>
      </c>
      <c r="AO68" s="69">
        <v>637</v>
      </c>
      <c r="AP68" s="69">
        <v>586</v>
      </c>
      <c r="AQ68" s="69">
        <v>450</v>
      </c>
      <c r="AR68" s="69">
        <v>603</v>
      </c>
      <c r="AS68" s="69">
        <v>846</v>
      </c>
      <c r="AT68" s="69">
        <v>731</v>
      </c>
      <c r="AU68" s="69"/>
      <c r="AV68" s="69"/>
      <c r="AW68" s="69"/>
      <c r="AX68" s="69"/>
      <c r="AY68" s="69">
        <f>SUM(AM68:AX68)</f>
        <v>5130</v>
      </c>
      <c r="BA68" s="757"/>
      <c r="BB68" s="757"/>
      <c r="BC68" s="292" t="s">
        <v>99</v>
      </c>
      <c r="BD68" s="465">
        <f>AM68/V68</f>
        <v>2.077313491805763</v>
      </c>
      <c r="BE68" s="465">
        <f t="shared" si="131"/>
        <v>1.355977816449712</v>
      </c>
      <c r="BF68" s="465">
        <f t="shared" si="101"/>
        <v>1.0786843930675118</v>
      </c>
      <c r="BG68" s="465">
        <f t="shared" si="102"/>
        <v>1.4371777545850284</v>
      </c>
      <c r="BH68" s="465">
        <f t="shared" si="103"/>
        <v>1.001618132802254</v>
      </c>
      <c r="BI68" s="465">
        <f t="shared" si="104"/>
        <v>1.4788706245985872</v>
      </c>
      <c r="BJ68" s="465">
        <f t="shared" si="105"/>
        <v>1.7611070587730506</v>
      </c>
      <c r="BK68" s="465">
        <f t="shared" si="106"/>
        <v>1.4991858626837018</v>
      </c>
      <c r="BL68" s="465">
        <f t="shared" si="107"/>
        <v>0</v>
      </c>
      <c r="BM68" s="465">
        <f t="shared" si="108"/>
        <v>0</v>
      </c>
      <c r="BN68" s="465">
        <f t="shared" si="109"/>
        <v>0</v>
      </c>
      <c r="BO68" s="465">
        <f t="shared" si="110"/>
        <v>0</v>
      </c>
      <c r="BP68" s="465">
        <f>AY68/AH68</f>
        <v>0.90358176338212703</v>
      </c>
    </row>
    <row r="69" spans="2:68" ht="16" customHeight="1">
      <c r="B69" s="769"/>
      <c r="C69" s="769"/>
      <c r="D69" s="292" t="s">
        <v>100</v>
      </c>
      <c r="E69" s="69">
        <v>649</v>
      </c>
      <c r="F69" s="69">
        <v>751</v>
      </c>
      <c r="G69" s="69">
        <v>761</v>
      </c>
      <c r="H69" s="69">
        <v>678</v>
      </c>
      <c r="I69" s="69">
        <v>569</v>
      </c>
      <c r="J69" s="69">
        <v>650</v>
      </c>
      <c r="K69" s="69">
        <v>527</v>
      </c>
      <c r="L69" s="69">
        <v>878</v>
      </c>
      <c r="M69" s="69">
        <v>730</v>
      </c>
      <c r="N69" s="69">
        <v>763</v>
      </c>
      <c r="O69" s="69">
        <v>697</v>
      </c>
      <c r="P69" s="69">
        <v>828</v>
      </c>
      <c r="Q69" s="69">
        <f t="shared" ref="Q69:Q74" si="132">SUM(E69:P69)</f>
        <v>8481</v>
      </c>
      <c r="S69" s="769"/>
      <c r="T69" s="769"/>
      <c r="U69" s="292" t="s">
        <v>100</v>
      </c>
      <c r="V69" s="69">
        <v>528.55649011138894</v>
      </c>
      <c r="W69" s="69">
        <v>511.66155944532846</v>
      </c>
      <c r="X69" s="69">
        <v>724.843393806991</v>
      </c>
      <c r="Y69" s="69">
        <f>Y$67*'Region OP Sales Goals'!V116</f>
        <v>551.20891111616265</v>
      </c>
      <c r="Z69" s="69">
        <f>Z$67*'Region OP Sales Goals'!W116</f>
        <v>605.95226187769947</v>
      </c>
      <c r="AA69" s="69">
        <f>AA$67*'Region OP Sales Goals'!X116</f>
        <v>551.20891111616265</v>
      </c>
      <c r="AB69" s="69">
        <f>AB$67*'Region OP Sales Goals'!Y116</f>
        <v>647.12300531914889</v>
      </c>
      <c r="AC69" s="69">
        <f>AC$67*'Region OP Sales Goals'!Z116</f>
        <v>658.07396702891174</v>
      </c>
      <c r="AD69" s="69">
        <f>AD$67*'Region OP Sales Goals'!AA116</f>
        <v>635.29911787046944</v>
      </c>
      <c r="AE69" s="69">
        <f>AE$67*'Region OP Sales Goals'!AB116</f>
        <v>674.90991982886771</v>
      </c>
      <c r="AF69" s="69">
        <f>AF$67*'Region OP Sales Goals'!AC116</f>
        <v>698.73404255319156</v>
      </c>
      <c r="AG69" s="69">
        <f>AG$67*'Region OP Sales Goals'!AD116</f>
        <v>856.63177724897355</v>
      </c>
      <c r="AH69" s="69">
        <f>AH$67*'Region OP Sales Goals'!AE116</f>
        <v>7553.3513332309794</v>
      </c>
      <c r="AJ69" s="757"/>
      <c r="AK69" s="757"/>
      <c r="AL69" s="292" t="s">
        <v>100</v>
      </c>
      <c r="AM69" s="69">
        <v>704</v>
      </c>
      <c r="AN69" s="69">
        <v>643</v>
      </c>
      <c r="AO69" s="69">
        <v>660</v>
      </c>
      <c r="AP69" s="69">
        <v>494</v>
      </c>
      <c r="AQ69" s="69">
        <v>501</v>
      </c>
      <c r="AR69" s="69">
        <v>576</v>
      </c>
      <c r="AS69" s="69">
        <v>719</v>
      </c>
      <c r="AT69" s="69">
        <v>652</v>
      </c>
      <c r="AU69" s="69"/>
      <c r="AV69" s="69"/>
      <c r="AW69" s="69"/>
      <c r="AX69" s="69"/>
      <c r="AY69" s="69">
        <f t="shared" ref="AY69:AY74" si="133">SUM(AM69:AX69)</f>
        <v>4949</v>
      </c>
      <c r="BA69" s="757"/>
      <c r="BB69" s="757"/>
      <c r="BC69" s="292" t="s">
        <v>100</v>
      </c>
      <c r="BD69" s="465">
        <f t="shared" ref="BD69:BD74" si="134">AM69/V69</f>
        <v>1.3319295348197082</v>
      </c>
      <c r="BE69" s="465">
        <f t="shared" si="131"/>
        <v>1.2566900681322439</v>
      </c>
      <c r="BF69" s="465">
        <f t="shared" si="101"/>
        <v>0.91054151233079006</v>
      </c>
      <c r="BG69" s="465">
        <f t="shared" si="102"/>
        <v>0.89621192625438828</v>
      </c>
      <c r="BH69" s="465">
        <f t="shared" si="103"/>
        <v>0.82679780490879295</v>
      </c>
      <c r="BI69" s="465">
        <f t="shared" si="104"/>
        <v>1.0449758492358858</v>
      </c>
      <c r="BJ69" s="465">
        <f t="shared" si="105"/>
        <v>1.111071610945747</v>
      </c>
      <c r="BK69" s="465">
        <f t="shared" si="106"/>
        <v>0.99077008462082972</v>
      </c>
      <c r="BL69" s="465">
        <f t="shared" si="107"/>
        <v>0</v>
      </c>
      <c r="BM69" s="465">
        <f t="shared" si="108"/>
        <v>0</v>
      </c>
      <c r="BN69" s="465">
        <f t="shared" si="109"/>
        <v>0</v>
      </c>
      <c r="BO69" s="465">
        <f t="shared" si="110"/>
        <v>0</v>
      </c>
      <c r="BP69" s="465">
        <f t="shared" ref="BP69:BP75" si="135">AY69/AH69</f>
        <v>0.65520585256333408</v>
      </c>
    </row>
    <row r="70" spans="2:68" ht="16" customHeight="1">
      <c r="B70" s="769"/>
      <c r="C70" s="769"/>
      <c r="D70" s="292" t="s">
        <v>101</v>
      </c>
      <c r="E70" s="69">
        <v>315</v>
      </c>
      <c r="F70" s="69">
        <v>320</v>
      </c>
      <c r="G70" s="69">
        <v>495</v>
      </c>
      <c r="H70" s="69">
        <v>344</v>
      </c>
      <c r="I70" s="69">
        <v>291</v>
      </c>
      <c r="J70" s="69">
        <v>336</v>
      </c>
      <c r="K70" s="69">
        <v>278</v>
      </c>
      <c r="L70" s="69">
        <v>422</v>
      </c>
      <c r="M70" s="69">
        <v>334</v>
      </c>
      <c r="N70" s="69">
        <v>307</v>
      </c>
      <c r="O70" s="69">
        <v>533</v>
      </c>
      <c r="P70" s="69">
        <v>519</v>
      </c>
      <c r="Q70" s="69">
        <f t="shared" si="132"/>
        <v>4494</v>
      </c>
      <c r="S70" s="769"/>
      <c r="T70" s="769"/>
      <c r="U70" s="292" t="s">
        <v>101</v>
      </c>
      <c r="V70" s="69">
        <v>266.16594680609228</v>
      </c>
      <c r="W70" s="69">
        <v>270.55485337576721</v>
      </c>
      <c r="X70" s="69">
        <v>383.74062025075995</v>
      </c>
      <c r="Y70" s="69">
        <f>Y$67*'Region OP Sales Goals'!V117</f>
        <v>290.70606956126392</v>
      </c>
      <c r="Z70" s="69">
        <f>Z$67*'Region OP Sales Goals'!W117</f>
        <v>320.90929756762898</v>
      </c>
      <c r="AA70" s="69">
        <f>AA$67*'Region OP Sales Goals'!X117</f>
        <v>290.70606956126392</v>
      </c>
      <c r="AB70" s="69">
        <f>AB$67*'Region OP Sales Goals'!Y117</f>
        <v>341.42686170212767</v>
      </c>
      <c r="AC70" s="69">
        <f>AC$67*'Region OP Sales Goals'!Z117</f>
        <v>348.28427224371376</v>
      </c>
      <c r="AD70" s="69">
        <f>AD$67*'Region OP Sales Goals'!AA117</f>
        <v>335.69782932928211</v>
      </c>
      <c r="AE70" s="69">
        <f>AE$67*'Region OP Sales Goals'!AB117</f>
        <v>356.4537646281151</v>
      </c>
      <c r="AF70" s="69">
        <f>AF$67*'Region OP Sales Goals'!AC117</f>
        <v>369.21742021276594</v>
      </c>
      <c r="AG70" s="69">
        <f>AG$67*'Region OP Sales Goals'!AD117</f>
        <v>452.79108226017172</v>
      </c>
      <c r="AH70" s="69">
        <f>AH$67*'Region OP Sales Goals'!AE117</f>
        <v>3912.0335526981239</v>
      </c>
      <c r="AJ70" s="757"/>
      <c r="AK70" s="757"/>
      <c r="AL70" s="292" t="s">
        <v>101</v>
      </c>
      <c r="AM70" s="69">
        <v>472</v>
      </c>
      <c r="AN70" s="69">
        <v>421</v>
      </c>
      <c r="AO70" s="69">
        <v>385</v>
      </c>
      <c r="AP70" s="69">
        <v>251</v>
      </c>
      <c r="AQ70" s="69">
        <v>268</v>
      </c>
      <c r="AR70" s="69">
        <v>300</v>
      </c>
      <c r="AS70" s="69">
        <v>388</v>
      </c>
      <c r="AT70" s="69">
        <v>329</v>
      </c>
      <c r="AU70" s="69"/>
      <c r="AV70" s="69"/>
      <c r="AW70" s="69"/>
      <c r="AX70" s="69"/>
      <c r="AY70" s="69">
        <f t="shared" si="133"/>
        <v>2814</v>
      </c>
      <c r="BA70" s="757"/>
      <c r="BB70" s="757"/>
      <c r="BC70" s="292" t="s">
        <v>101</v>
      </c>
      <c r="BD70" s="465">
        <f t="shared" si="134"/>
        <v>1.7733297804014814</v>
      </c>
      <c r="BE70" s="465">
        <f t="shared" si="131"/>
        <v>1.5560615333530281</v>
      </c>
      <c r="BF70" s="465">
        <f t="shared" si="101"/>
        <v>1.0032818515496669</v>
      </c>
      <c r="BG70" s="465">
        <f t="shared" si="102"/>
        <v>0.86341506518529643</v>
      </c>
      <c r="BH70" s="465">
        <f t="shared" si="103"/>
        <v>0.83512694094979034</v>
      </c>
      <c r="BI70" s="465">
        <f t="shared" si="104"/>
        <v>1.0319701974326252</v>
      </c>
      <c r="BJ70" s="465">
        <f t="shared" si="105"/>
        <v>1.1364073642761721</v>
      </c>
      <c r="BK70" s="465">
        <f t="shared" si="106"/>
        <v>0.94463065438045535</v>
      </c>
      <c r="BL70" s="465">
        <f t="shared" si="107"/>
        <v>0</v>
      </c>
      <c r="BM70" s="465">
        <f t="shared" si="108"/>
        <v>0</v>
      </c>
      <c r="BN70" s="465">
        <f t="shared" si="109"/>
        <v>0</v>
      </c>
      <c r="BO70" s="465">
        <f t="shared" si="110"/>
        <v>0</v>
      </c>
      <c r="BP70" s="465">
        <f t="shared" si="135"/>
        <v>0.71931898387200388</v>
      </c>
    </row>
    <row r="71" spans="2:68" ht="16" customHeight="1">
      <c r="B71" s="769"/>
      <c r="C71" s="769"/>
      <c r="D71" s="292" t="s">
        <v>102</v>
      </c>
      <c r="E71" s="69">
        <v>146</v>
      </c>
      <c r="F71" s="69">
        <v>175</v>
      </c>
      <c r="G71" s="69">
        <v>202</v>
      </c>
      <c r="H71" s="69">
        <v>149</v>
      </c>
      <c r="I71" s="69">
        <v>94</v>
      </c>
      <c r="J71" s="69">
        <v>131</v>
      </c>
      <c r="K71" s="69">
        <v>113</v>
      </c>
      <c r="L71" s="69">
        <v>167</v>
      </c>
      <c r="M71" s="69">
        <v>180</v>
      </c>
      <c r="N71" s="69">
        <v>171</v>
      </c>
      <c r="O71" s="69">
        <v>236</v>
      </c>
      <c r="P71" s="69">
        <v>273</v>
      </c>
      <c r="Q71" s="69">
        <f t="shared" si="132"/>
        <v>2037</v>
      </c>
      <c r="S71" s="769"/>
      <c r="T71" s="769"/>
      <c r="U71" s="292" t="s">
        <v>102</v>
      </c>
      <c r="V71" s="69">
        <v>166.11775403500795</v>
      </c>
      <c r="W71" s="69">
        <v>180.36990225051147</v>
      </c>
      <c r="X71" s="69">
        <v>255.82708016717328</v>
      </c>
      <c r="Y71" s="69">
        <f>Y$67*'Region OP Sales Goals'!V118</f>
        <v>201.98408729256647</v>
      </c>
      <c r="Z71" s="69">
        <f>Z$67*'Region OP Sales Goals'!W118</f>
        <v>222.74880654694246</v>
      </c>
      <c r="AA71" s="69">
        <f>AA$67*'Region OP Sales Goals'!X118</f>
        <v>201.98408729256647</v>
      </c>
      <c r="AB71" s="69">
        <f>AB$67*'Region OP Sales Goals'!Y118</f>
        <v>236.21974734042556</v>
      </c>
      <c r="AC71" s="69">
        <f>AC$67*'Region OP Sales Goals'!Z118</f>
        <v>240.13284033645525</v>
      </c>
      <c r="AD71" s="69">
        <f>AD$67*'Region OP Sales Goals'!AA118</f>
        <v>232.8226880832118</v>
      </c>
      <c r="AE71" s="69">
        <f>AE$67*'Region OP Sales Goals'!AB118</f>
        <v>246.07975629149064</v>
      </c>
      <c r="AF71" s="69">
        <f>AF$67*'Region OP Sales Goals'!AC118</f>
        <v>256.07014627659578</v>
      </c>
      <c r="AG71" s="69">
        <f>AG$67*'Region OP Sales Goals'!AD118</f>
        <v>312.93283291340049</v>
      </c>
      <c r="AH71" s="69">
        <f>AH$67*'Region OP Sales Goals'!AE118</f>
        <v>2733.848009049274</v>
      </c>
      <c r="AJ71" s="757"/>
      <c r="AK71" s="757"/>
      <c r="AL71" s="292" t="s">
        <v>102</v>
      </c>
      <c r="AM71" s="69">
        <v>196</v>
      </c>
      <c r="AN71" s="69">
        <v>176</v>
      </c>
      <c r="AO71" s="69">
        <v>205</v>
      </c>
      <c r="AP71" s="69">
        <v>162</v>
      </c>
      <c r="AQ71" s="69">
        <v>132</v>
      </c>
      <c r="AR71" s="69">
        <v>238</v>
      </c>
      <c r="AS71" s="69">
        <v>267</v>
      </c>
      <c r="AT71" s="69">
        <v>217</v>
      </c>
      <c r="AU71" s="69"/>
      <c r="AV71" s="69"/>
      <c r="AW71" s="69"/>
      <c r="AX71" s="69"/>
      <c r="AY71" s="69">
        <f t="shared" si="133"/>
        <v>1593</v>
      </c>
      <c r="BA71" s="757"/>
      <c r="BB71" s="757"/>
      <c r="BC71" s="292" t="s">
        <v>102</v>
      </c>
      <c r="BD71" s="465">
        <f t="shared" si="134"/>
        <v>1.1798859257313015</v>
      </c>
      <c r="BE71" s="465">
        <f t="shared" si="131"/>
        <v>0.97577255298147125</v>
      </c>
      <c r="BF71" s="465">
        <f t="shared" si="101"/>
        <v>0.80132251779616248</v>
      </c>
      <c r="BG71" s="465">
        <f t="shared" si="102"/>
        <v>0.80204337961212258</v>
      </c>
      <c r="BH71" s="465">
        <f t="shared" si="103"/>
        <v>0.59259576761046351</v>
      </c>
      <c r="BI71" s="465">
        <f t="shared" si="104"/>
        <v>1.1783106441215134</v>
      </c>
      <c r="BJ71" s="465">
        <f t="shared" si="105"/>
        <v>1.1303034695707121</v>
      </c>
      <c r="BK71" s="465">
        <f t="shared" si="106"/>
        <v>0.90366648599981858</v>
      </c>
      <c r="BL71" s="465">
        <f t="shared" si="107"/>
        <v>0</v>
      </c>
      <c r="BM71" s="465">
        <f t="shared" si="108"/>
        <v>0</v>
      </c>
      <c r="BN71" s="465">
        <f t="shared" si="109"/>
        <v>0</v>
      </c>
      <c r="BO71" s="465">
        <f t="shared" si="110"/>
        <v>0</v>
      </c>
      <c r="BP71" s="465">
        <f t="shared" si="135"/>
        <v>0.58269515888485091</v>
      </c>
    </row>
    <row r="72" spans="2:68" ht="16" customHeight="1">
      <c r="B72" s="769"/>
      <c r="C72" s="769"/>
      <c r="D72" s="292" t="s">
        <v>103</v>
      </c>
      <c r="E72" s="69">
        <v>429</v>
      </c>
      <c r="F72" s="69">
        <v>562</v>
      </c>
      <c r="G72" s="69">
        <v>549</v>
      </c>
      <c r="H72" s="69">
        <v>385</v>
      </c>
      <c r="I72" s="69">
        <v>433</v>
      </c>
      <c r="J72" s="69">
        <v>419</v>
      </c>
      <c r="K72" s="69">
        <v>436</v>
      </c>
      <c r="L72" s="69">
        <v>634</v>
      </c>
      <c r="M72" s="69">
        <v>499</v>
      </c>
      <c r="N72" s="69">
        <v>493</v>
      </c>
      <c r="O72" s="69">
        <v>657</v>
      </c>
      <c r="P72" s="69">
        <v>954</v>
      </c>
      <c r="Q72" s="69">
        <f t="shared" si="132"/>
        <v>6450</v>
      </c>
      <c r="S72" s="769"/>
      <c r="T72" s="769"/>
      <c r="U72" s="292" t="s">
        <v>103</v>
      </c>
      <c r="V72" s="69">
        <v>379.42805182996136</v>
      </c>
      <c r="W72" s="69">
        <v>380.98540577403952</v>
      </c>
      <c r="X72" s="69">
        <v>541.50065302051678</v>
      </c>
      <c r="Y72" s="69">
        <f>Y$67*'Region OP Sales Goals'!V119</f>
        <v>417.18208683791767</v>
      </c>
      <c r="Z72" s="69">
        <f>Z$67*'Region OP Sales Goals'!W119</f>
        <v>458.71152534666965</v>
      </c>
      <c r="AA72" s="69">
        <f>AA$67*'Region OP Sales Goals'!X119</f>
        <v>417.18208683791767</v>
      </c>
      <c r="AB72" s="69">
        <f>AB$67*'Region OP Sales Goals'!Y119</f>
        <v>490.30485372340428</v>
      </c>
      <c r="AC72" s="69">
        <f>AC$67*'Region OP Sales Goals'!Z119</f>
        <v>498.59643184363227</v>
      </c>
      <c r="AD72" s="69">
        <f>AD$67*'Region OP Sales Goals'!AA119</f>
        <v>481.8888195210663</v>
      </c>
      <c r="AE72" s="69">
        <f>AE$67*'Region OP Sales Goals'!AB119</f>
        <v>510.25361231029666</v>
      </c>
      <c r="AF72" s="69">
        <f>AF$67*'Region OP Sales Goals'!AC119</f>
        <v>530.00565159574467</v>
      </c>
      <c r="AG72" s="69">
        <f>AG$67*'Region OP Sales Goals'!AD119</f>
        <v>648.5926313456514</v>
      </c>
      <c r="AH72" s="69">
        <f>AH$67*'Region OP Sales Goals'!AE119</f>
        <v>5753.6633830618603</v>
      </c>
      <c r="AJ72" s="757"/>
      <c r="AK72" s="757"/>
      <c r="AL72" s="292" t="s">
        <v>103</v>
      </c>
      <c r="AM72" s="69">
        <v>631</v>
      </c>
      <c r="AN72" s="69">
        <v>477</v>
      </c>
      <c r="AO72" s="69">
        <v>626</v>
      </c>
      <c r="AP72" s="69">
        <v>554</v>
      </c>
      <c r="AQ72" s="69">
        <v>560</v>
      </c>
      <c r="AR72" s="69">
        <v>540</v>
      </c>
      <c r="AS72" s="69">
        <v>684</v>
      </c>
      <c r="AT72" s="69">
        <v>572</v>
      </c>
      <c r="AU72" s="69"/>
      <c r="AV72" s="69"/>
      <c r="AW72" s="69"/>
      <c r="AX72" s="69"/>
      <c r="AY72" s="69">
        <f t="shared" si="133"/>
        <v>4644</v>
      </c>
      <c r="BA72" s="757"/>
      <c r="BB72" s="757"/>
      <c r="BC72" s="292" t="s">
        <v>103</v>
      </c>
      <c r="BD72" s="465">
        <f t="shared" si="134"/>
        <v>1.6630293858261678</v>
      </c>
      <c r="BE72" s="465">
        <f t="shared" si="131"/>
        <v>1.2520164624964827</v>
      </c>
      <c r="BF72" s="465">
        <f t="shared" si="101"/>
        <v>1.1560466206423607</v>
      </c>
      <c r="BG72" s="465">
        <f t="shared" si="102"/>
        <v>1.327957305643467</v>
      </c>
      <c r="BH72" s="465">
        <f t="shared" si="103"/>
        <v>1.2208108343839452</v>
      </c>
      <c r="BI72" s="465">
        <f t="shared" si="104"/>
        <v>1.2943988177752206</v>
      </c>
      <c r="BJ72" s="465">
        <f t="shared" si="105"/>
        <v>1.395050436082089</v>
      </c>
      <c r="BK72" s="465">
        <f t="shared" si="106"/>
        <v>1.1472204040549336</v>
      </c>
      <c r="BL72" s="465">
        <f t="shared" si="107"/>
        <v>0</v>
      </c>
      <c r="BM72" s="465">
        <f t="shared" si="108"/>
        <v>0</v>
      </c>
      <c r="BN72" s="465">
        <f t="shared" si="109"/>
        <v>0</v>
      </c>
      <c r="BO72" s="465">
        <f t="shared" si="110"/>
        <v>0</v>
      </c>
      <c r="BP72" s="465">
        <f t="shared" si="135"/>
        <v>0.80713793818237878</v>
      </c>
    </row>
    <row r="73" spans="2:68" ht="16" customHeight="1">
      <c r="B73" s="769"/>
      <c r="C73" s="769"/>
      <c r="D73" s="292" t="s">
        <v>104</v>
      </c>
      <c r="E73" s="69">
        <v>655</v>
      </c>
      <c r="F73" s="69">
        <v>666</v>
      </c>
      <c r="G73" s="69">
        <v>920</v>
      </c>
      <c r="H73" s="69">
        <v>588</v>
      </c>
      <c r="I73" s="69">
        <v>553</v>
      </c>
      <c r="J73" s="69">
        <v>531</v>
      </c>
      <c r="K73" s="69">
        <v>496</v>
      </c>
      <c r="L73" s="69">
        <v>768</v>
      </c>
      <c r="M73" s="69">
        <v>718</v>
      </c>
      <c r="N73" s="69">
        <v>738</v>
      </c>
      <c r="O73" s="69">
        <v>841</v>
      </c>
      <c r="P73" s="69">
        <v>1257</v>
      </c>
      <c r="Q73" s="69">
        <f t="shared" si="132"/>
        <v>8731</v>
      </c>
      <c r="S73" s="769"/>
      <c r="T73" s="769"/>
      <c r="U73" s="292" t="s">
        <v>104</v>
      </c>
      <c r="V73" s="69">
        <v>717.3266651511708</v>
      </c>
      <c r="W73" s="69">
        <v>712.27706296885663</v>
      </c>
      <c r="X73" s="69">
        <v>1063.8142750284956</v>
      </c>
      <c r="Y73" s="69">
        <f>Y$67*'Region OP Sales Goals'!V120</f>
        <v>847.57808592862</v>
      </c>
      <c r="Z73" s="69">
        <f>Z$67*'Region OP Sales Goals'!W120</f>
        <v>930.63696294612396</v>
      </c>
      <c r="AA73" s="69">
        <f>AA$67*'Region OP Sales Goals'!X120</f>
        <v>847.57808592862</v>
      </c>
      <c r="AB73" s="69">
        <f>AB$67*'Region OP Sales Goals'!Y120</f>
        <v>994.50498670212767</v>
      </c>
      <c r="AC73" s="69">
        <f>AC$67*'Region OP Sales Goals'!Z120</f>
        <v>1010.0243895067697</v>
      </c>
      <c r="AD73" s="69">
        <f>AD$67*'Region OP Sales Goals'!AA120</f>
        <v>976.41142831796583</v>
      </c>
      <c r="AE73" s="69">
        <f>AE$67*'Region OP Sales Goals'!AB120</f>
        <v>1034.9825044024458</v>
      </c>
      <c r="AF73" s="69">
        <f>AF$67*'Region OP Sales Goals'!AC120</f>
        <v>1073.9065824468087</v>
      </c>
      <c r="AG73" s="69">
        <f>AG$67*'Region OP Sales Goals'!AD120</f>
        <v>1314.6675438596492</v>
      </c>
      <c r="AH73" s="69">
        <f>AH$67*'Region OP Sales Goals'!AE120</f>
        <v>11574.052484615162</v>
      </c>
      <c r="AJ73" s="757"/>
      <c r="AK73" s="757"/>
      <c r="AL73" s="292" t="s">
        <v>104</v>
      </c>
      <c r="AM73" s="69">
        <v>893</v>
      </c>
      <c r="AN73" s="69">
        <v>803</v>
      </c>
      <c r="AO73" s="69">
        <v>952</v>
      </c>
      <c r="AP73" s="69">
        <v>697</v>
      </c>
      <c r="AQ73" s="156">
        <v>604</v>
      </c>
      <c r="AR73" s="156">
        <v>717</v>
      </c>
      <c r="AS73" s="156">
        <v>849</v>
      </c>
      <c r="AT73" s="156">
        <v>778</v>
      </c>
      <c r="AU73" s="69"/>
      <c r="AV73" s="69"/>
      <c r="AW73" s="69"/>
      <c r="AX73" s="69"/>
      <c r="AY73" s="69">
        <f t="shared" si="133"/>
        <v>6293</v>
      </c>
      <c r="BA73" s="757"/>
      <c r="BB73" s="757"/>
      <c r="BC73" s="292" t="s">
        <v>104</v>
      </c>
      <c r="BD73" s="465">
        <f t="shared" si="134"/>
        <v>1.2449000481695567</v>
      </c>
      <c r="BE73" s="465">
        <f t="shared" si="131"/>
        <v>1.1273702913484245</v>
      </c>
      <c r="BF73" s="465">
        <f t="shared" si="101"/>
        <v>0.89489304885902154</v>
      </c>
      <c r="BG73" s="465">
        <f t="shared" si="102"/>
        <v>0.82234311100239899</v>
      </c>
      <c r="BH73" s="465">
        <f t="shared" si="103"/>
        <v>0.64901784911692417</v>
      </c>
      <c r="BI73" s="465">
        <f t="shared" si="104"/>
        <v>0.84593975694220958</v>
      </c>
      <c r="BJ73" s="465">
        <f t="shared" si="105"/>
        <v>0.85369104363706017</v>
      </c>
      <c r="BK73" s="465">
        <f t="shared" si="106"/>
        <v>0.77027842899905086</v>
      </c>
      <c r="BL73" s="465">
        <f t="shared" si="107"/>
        <v>0</v>
      </c>
      <c r="BM73" s="465">
        <f t="shared" si="108"/>
        <v>0</v>
      </c>
      <c r="BN73" s="465">
        <f t="shared" si="109"/>
        <v>0</v>
      </c>
      <c r="BO73" s="465">
        <f t="shared" si="110"/>
        <v>0</v>
      </c>
      <c r="BP73" s="465">
        <f t="shared" si="135"/>
        <v>0.54371621420975802</v>
      </c>
    </row>
    <row r="74" spans="2:68" ht="16" customHeight="1">
      <c r="B74" s="769"/>
      <c r="C74" s="769"/>
      <c r="D74" s="292" t="s">
        <v>105</v>
      </c>
      <c r="E74" s="69">
        <v>387</v>
      </c>
      <c r="F74" s="69">
        <v>312</v>
      </c>
      <c r="G74" s="69">
        <v>494</v>
      </c>
      <c r="H74" s="69">
        <v>307</v>
      </c>
      <c r="I74" s="69">
        <v>295</v>
      </c>
      <c r="J74" s="69">
        <v>313</v>
      </c>
      <c r="K74" s="69">
        <v>237</v>
      </c>
      <c r="L74" s="69">
        <v>406</v>
      </c>
      <c r="M74" s="69">
        <v>371</v>
      </c>
      <c r="N74" s="69">
        <v>459</v>
      </c>
      <c r="O74" s="69">
        <v>550</v>
      </c>
      <c r="P74" s="69">
        <v>670</v>
      </c>
      <c r="Q74" s="69">
        <f t="shared" si="132"/>
        <v>4801</v>
      </c>
      <c r="S74" s="769"/>
      <c r="T74" s="769"/>
      <c r="U74" s="292" t="s">
        <v>105</v>
      </c>
      <c r="V74" s="69">
        <v>437.94680609229374</v>
      </c>
      <c r="W74" s="69">
        <v>461.96781086610588</v>
      </c>
      <c r="X74" s="69">
        <v>618.24877707066878</v>
      </c>
      <c r="Y74" s="69">
        <f>Y$67*'Region OP Sales Goals'!V121</f>
        <v>492.69015685383039</v>
      </c>
      <c r="Z74" s="69">
        <f>Z$67*'Region OP Sales Goals'!W121</f>
        <v>541.77040236417361</v>
      </c>
      <c r="AA74" s="69">
        <f>AA$67*'Region OP Sales Goals'!X121</f>
        <v>492.69015685383039</v>
      </c>
      <c r="AB74" s="69">
        <f>AB$67*'Region OP Sales Goals'!Y121</f>
        <v>581.61668882978722</v>
      </c>
      <c r="AC74" s="69">
        <f>AC$67*'Region OP Sales Goals'!Z121</f>
        <v>588.41711258016903</v>
      </c>
      <c r="AD74" s="69">
        <f>AD$67*'Region OP Sales Goals'!AA121</f>
        <v>566.71569037308916</v>
      </c>
      <c r="AE74" s="69">
        <f>AE$67*'Region OP Sales Goals'!AB121</f>
        <v>604.34293089233722</v>
      </c>
      <c r="AF74" s="69">
        <f>AF$67*'Region OP Sales Goals'!AC121</f>
        <v>623.30252659574467</v>
      </c>
      <c r="AG74" s="69">
        <f>AG$67*'Region OP Sales Goals'!AD121</f>
        <v>763.97568705673757</v>
      </c>
      <c r="AH74" s="69">
        <f>AH$67*'Region OP Sales Goals'!AE121</f>
        <v>6949.0069686085099</v>
      </c>
      <c r="AJ74" s="757"/>
      <c r="AK74" s="757"/>
      <c r="AL74" s="292" t="s">
        <v>105</v>
      </c>
      <c r="AM74" s="69">
        <v>513</v>
      </c>
      <c r="AN74" s="69">
        <v>400</v>
      </c>
      <c r="AO74" s="69">
        <v>492</v>
      </c>
      <c r="AP74" s="69">
        <v>350</v>
      </c>
      <c r="AQ74" s="69">
        <v>317</v>
      </c>
      <c r="AR74" s="69">
        <v>380</v>
      </c>
      <c r="AS74" s="69">
        <v>424</v>
      </c>
      <c r="AT74" s="69">
        <v>376</v>
      </c>
      <c r="AU74" s="69"/>
      <c r="AV74" s="69"/>
      <c r="AW74" s="69"/>
      <c r="AX74" s="69"/>
      <c r="AY74" s="69">
        <f t="shared" si="133"/>
        <v>3252</v>
      </c>
      <c r="BA74" s="757"/>
      <c r="BB74" s="757"/>
      <c r="BC74" s="292" t="s">
        <v>105</v>
      </c>
      <c r="BD74" s="465">
        <f t="shared" si="134"/>
        <v>1.1713751370340839</v>
      </c>
      <c r="BE74" s="465">
        <f t="shared" si="131"/>
        <v>0.86586119333741574</v>
      </c>
      <c r="BF74" s="465">
        <f t="shared" si="101"/>
        <v>0.79579615560446482</v>
      </c>
      <c r="BG74" s="465">
        <f t="shared" si="102"/>
        <v>0.71038561483548535</v>
      </c>
      <c r="BH74" s="465">
        <f t="shared" si="103"/>
        <v>0.58511871194269338</v>
      </c>
      <c r="BI74" s="465">
        <f t="shared" si="104"/>
        <v>0.77127581039281268</v>
      </c>
      <c r="BJ74" s="465">
        <f t="shared" si="105"/>
        <v>0.72900246527156576</v>
      </c>
      <c r="BK74" s="465">
        <f t="shared" si="106"/>
        <v>0.63900248983457597</v>
      </c>
      <c r="BL74" s="465">
        <f t="shared" si="107"/>
        <v>0</v>
      </c>
      <c r="BM74" s="465">
        <f t="shared" si="108"/>
        <v>0</v>
      </c>
      <c r="BN74" s="465">
        <f t="shared" si="109"/>
        <v>0</v>
      </c>
      <c r="BO74" s="465">
        <f t="shared" si="110"/>
        <v>0</v>
      </c>
      <c r="BP74" s="465">
        <f t="shared" si="135"/>
        <v>0.46798053516000293</v>
      </c>
    </row>
    <row r="75" spans="2:68">
      <c r="B75" s="769"/>
      <c r="C75" s="769"/>
      <c r="D75" s="182" t="s">
        <v>203</v>
      </c>
      <c r="E75" s="341">
        <f>SUM(E76:E82)</f>
        <v>17163</v>
      </c>
      <c r="F75" s="341">
        <f t="shared" ref="F75:Q75" si="136">SUM(F76:F82)</f>
        <v>17505</v>
      </c>
      <c r="G75" s="341">
        <f t="shared" si="136"/>
        <v>22260</v>
      </c>
      <c r="H75" s="341">
        <f t="shared" si="136"/>
        <v>18191</v>
      </c>
      <c r="I75" s="341">
        <f t="shared" si="136"/>
        <v>15307</v>
      </c>
      <c r="J75" s="341">
        <f t="shared" si="136"/>
        <v>17073</v>
      </c>
      <c r="K75" s="341">
        <f t="shared" si="136"/>
        <v>16955</v>
      </c>
      <c r="L75" s="341">
        <f t="shared" si="136"/>
        <v>23119</v>
      </c>
      <c r="M75" s="341">
        <f t="shared" si="136"/>
        <v>17282</v>
      </c>
      <c r="N75" s="341">
        <f t="shared" si="136"/>
        <v>20327</v>
      </c>
      <c r="O75" s="341">
        <f t="shared" si="136"/>
        <v>19934</v>
      </c>
      <c r="P75" s="341">
        <f t="shared" si="136"/>
        <v>25190</v>
      </c>
      <c r="Q75" s="341">
        <f t="shared" si="136"/>
        <v>230306</v>
      </c>
      <c r="S75" s="769"/>
      <c r="T75" s="769"/>
      <c r="U75" s="182" t="s">
        <v>203</v>
      </c>
      <c r="V75" s="341">
        <v>16004.773812230052</v>
      </c>
      <c r="W75" s="341">
        <v>16644.964764719254</v>
      </c>
      <c r="X75" s="341">
        <v>21238.013076241135</v>
      </c>
      <c r="Y75" s="341" cm="1">
        <f t="array" ref="Y75">INDEX('Shop Goals'!$E$48:$E$59, COLUMN()-COLUMN($V$3)+1)</f>
        <v>18138.743653860725</v>
      </c>
      <c r="Z75" s="341" cm="1">
        <f t="array" ref="Z75">INDEX('Shop Goals'!$E$48:$E$59, COLUMN()-COLUMN($V$3)+1)</f>
        <v>19952.618019246798</v>
      </c>
      <c r="AA75" s="341" cm="1">
        <f t="array" ref="AA75">INDEX('Shop Goals'!$E$48:$E$59, COLUMN()-COLUMN($V$3)+1)</f>
        <v>18138.743653860725</v>
      </c>
      <c r="AB75" s="341" cm="1">
        <f t="array" ref="AB75">INDEX('Shop Goals'!$E$48:$E$59, COLUMN()-COLUMN($V$3)+1)</f>
        <v>19169.703014184397</v>
      </c>
      <c r="AC75" s="341" cm="1">
        <f t="array" ref="AC75">INDEX('Shop Goals'!$E$48:$E$59, COLUMN()-COLUMN($V$3)+1)</f>
        <v>19472.382535460991</v>
      </c>
      <c r="AD75" s="341" cm="1">
        <f t="array" ref="AD75">INDEX('Shop Goals'!$E$48:$E$59, COLUMN()-COLUMN($V$3)+1)</f>
        <v>20912.904447980603</v>
      </c>
      <c r="AE75" s="341" cm="1">
        <f t="array" ref="AE75">INDEX('Shop Goals'!$E$48:$E$59, COLUMN()-COLUMN($V$3)+1)</f>
        <v>22193.286352959007</v>
      </c>
      <c r="AF75" s="341" cm="1">
        <f t="array" ref="AF75">INDEX('Shop Goals'!$E$48:$E$59, COLUMN()-COLUMN($V$3)+1)</f>
        <v>20683.100620567377</v>
      </c>
      <c r="AG75" s="341" cm="1">
        <f t="array" ref="AG75">INDEX('Shop Goals'!$E$48:$E$59, COLUMN()-COLUMN($V$3)+1)</f>
        <v>25324.186613475176</v>
      </c>
      <c r="AH75" s="342">
        <f t="shared" si="127"/>
        <v>237873.42056478627</v>
      </c>
      <c r="AJ75" s="757"/>
      <c r="AK75" s="757"/>
      <c r="AL75" s="182" t="s">
        <v>203</v>
      </c>
      <c r="AM75" s="341">
        <f>SUM(AM76:AM82)</f>
        <v>20000</v>
      </c>
      <c r="AN75" s="341">
        <f>SUM(AN76:AN82)</f>
        <v>18942</v>
      </c>
      <c r="AO75" s="341">
        <f t="shared" ref="AO75:AS75" si="137">SUM(AO76:AO82)</f>
        <v>20588</v>
      </c>
      <c r="AP75" s="341">
        <f t="shared" si="137"/>
        <v>17373</v>
      </c>
      <c r="AQ75" s="341">
        <f t="shared" si="137"/>
        <v>16278</v>
      </c>
      <c r="AR75" s="341">
        <f t="shared" si="137"/>
        <v>20094</v>
      </c>
      <c r="AS75" s="341">
        <f t="shared" si="137"/>
        <v>26687</v>
      </c>
      <c r="AT75" s="341">
        <f t="shared" ref="AT75:AY75" si="138">SUM(AT76:AT82)</f>
        <v>21960</v>
      </c>
      <c r="AU75" s="341">
        <f t="shared" si="138"/>
        <v>0</v>
      </c>
      <c r="AV75" s="341">
        <f t="shared" si="138"/>
        <v>0</v>
      </c>
      <c r="AW75" s="341">
        <f t="shared" si="138"/>
        <v>0</v>
      </c>
      <c r="AX75" s="341">
        <f t="shared" si="138"/>
        <v>0</v>
      </c>
      <c r="AY75" s="341">
        <f t="shared" si="138"/>
        <v>161922</v>
      </c>
      <c r="BA75" s="757"/>
      <c r="BB75" s="757"/>
      <c r="BC75" s="182" t="s">
        <v>203</v>
      </c>
      <c r="BD75" s="464">
        <f>AM75/V75</f>
        <v>1.2496271571621334</v>
      </c>
      <c r="BE75" s="464">
        <f t="shared" si="131"/>
        <v>1.1380018082194774</v>
      </c>
      <c r="BF75" s="464">
        <f t="shared" si="101"/>
        <v>0.96939388473358168</v>
      </c>
      <c r="BG75" s="464">
        <f t="shared" si="102"/>
        <v>0.95778408535490045</v>
      </c>
      <c r="BH75" s="464">
        <f t="shared" si="103"/>
        <v>0.81583278867454045</v>
      </c>
      <c r="BI75" s="464">
        <f t="shared" si="104"/>
        <v>1.1077944748242312</v>
      </c>
      <c r="BJ75" s="464">
        <f t="shared" si="105"/>
        <v>1.3921446764330812</v>
      </c>
      <c r="BK75" s="464">
        <f t="shared" si="106"/>
        <v>1.1277510576843297</v>
      </c>
      <c r="BL75" s="464">
        <f t="shared" si="107"/>
        <v>0</v>
      </c>
      <c r="BM75" s="464">
        <f t="shared" si="108"/>
        <v>0</v>
      </c>
      <c r="BN75" s="464">
        <f t="shared" si="109"/>
        <v>0</v>
      </c>
      <c r="BO75" s="464">
        <f t="shared" si="110"/>
        <v>0</v>
      </c>
      <c r="BP75" s="464">
        <f t="shared" si="135"/>
        <v>0.68070656913053285</v>
      </c>
    </row>
    <row r="76" spans="2:68" ht="16" customHeight="1">
      <c r="B76" s="769"/>
      <c r="C76" s="769"/>
      <c r="D76" s="292" t="s">
        <v>99</v>
      </c>
      <c r="E76" s="69">
        <v>3080</v>
      </c>
      <c r="F76" s="69">
        <v>3204</v>
      </c>
      <c r="G76" s="69">
        <v>3926</v>
      </c>
      <c r="H76" s="69">
        <v>3276</v>
      </c>
      <c r="I76" s="69">
        <v>2542</v>
      </c>
      <c r="J76" s="69">
        <v>3278</v>
      </c>
      <c r="K76" s="69">
        <v>3340</v>
      </c>
      <c r="L76" s="69">
        <v>4305</v>
      </c>
      <c r="M76" s="69">
        <v>3163</v>
      </c>
      <c r="N76" s="69">
        <v>3727</v>
      </c>
      <c r="O76" s="69">
        <v>3352</v>
      </c>
      <c r="P76" s="69">
        <v>4251</v>
      </c>
      <c r="Q76" s="69">
        <f>SUM(E76:P76)</f>
        <v>41444</v>
      </c>
      <c r="S76" s="769"/>
      <c r="T76" s="769"/>
      <c r="U76" s="292" t="s">
        <v>99</v>
      </c>
      <c r="V76" s="69">
        <v>1899.2331590512997</v>
      </c>
      <c r="W76" s="69">
        <v>2413.5198908842917</v>
      </c>
      <c r="X76" s="69">
        <v>3001.4947051626505</v>
      </c>
      <c r="Y76" s="69">
        <f>Y$75*'Region OP Sales Goals'!V115</f>
        <v>2304.6874289611274</v>
      </c>
      <c r="Z76" s="69">
        <f>Z$75*'Region OP Sales Goals'!W115</f>
        <v>2539.4241115405011</v>
      </c>
      <c r="AA76" s="69">
        <f>AA$75*'Region OP Sales Goals'!X115</f>
        <v>2304.6874289611274</v>
      </c>
      <c r="AB76" s="69">
        <f>AB$75*'Region OP Sales Goals'!Y115</f>
        <v>2441.614804964539</v>
      </c>
      <c r="AC76" s="69">
        <f>AC$75*'Region OP Sales Goals'!Z115</f>
        <v>2478.3032317859438</v>
      </c>
      <c r="AD76" s="69">
        <f>AD$75*'Region OP Sales Goals'!AA115</f>
        <v>2662.569785816067</v>
      </c>
      <c r="AE76" s="69">
        <f>AE$75*'Region OP Sales Goals'!AB115</f>
        <v>2822.7405683947859</v>
      </c>
      <c r="AF76" s="69">
        <f>AF$75*'Region OP Sales Goals'!AC115</f>
        <v>2633.3118351063831</v>
      </c>
      <c r="AG76" s="69">
        <f>AG$75*'Region OP Sales Goals'!AD115</f>
        <v>3216.6159838870221</v>
      </c>
      <c r="AH76" s="69">
        <f>AH$75*'Region OP Sales Goals'!AE115</f>
        <v>30565.543943818328</v>
      </c>
      <c r="AJ76" s="757"/>
      <c r="AK76" s="757"/>
      <c r="AL76" s="292" t="s">
        <v>99</v>
      </c>
      <c r="AM76" s="69">
        <v>3297</v>
      </c>
      <c r="AN76" s="69">
        <v>3277</v>
      </c>
      <c r="AO76" s="69">
        <v>3414</v>
      </c>
      <c r="AP76" s="69">
        <v>2849</v>
      </c>
      <c r="AQ76" s="69">
        <v>2729</v>
      </c>
      <c r="AR76" s="69">
        <v>3497</v>
      </c>
      <c r="AS76" s="69">
        <v>4940</v>
      </c>
      <c r="AT76" s="69">
        <v>3848</v>
      </c>
      <c r="AU76" s="69"/>
      <c r="AV76" s="69"/>
      <c r="AW76" s="69"/>
      <c r="AX76" s="69"/>
      <c r="AY76" s="69">
        <f>SUM(AM76:AX76)</f>
        <v>27851</v>
      </c>
      <c r="BA76" s="757"/>
      <c r="BB76" s="757"/>
      <c r="BC76" s="292" t="s">
        <v>99</v>
      </c>
      <c r="BD76" s="465">
        <f>AM76/V76</f>
        <v>1.7359637937486883</v>
      </c>
      <c r="BE76" s="465">
        <f t="shared" si="131"/>
        <v>1.3577679688396258</v>
      </c>
      <c r="BF76" s="465">
        <f t="shared" si="101"/>
        <v>1.137433290862659</v>
      </c>
      <c r="BG76" s="465">
        <f t="shared" si="102"/>
        <v>1.2361763092899021</v>
      </c>
      <c r="BH76" s="465">
        <f t="shared" si="103"/>
        <v>1.0746531024880659</v>
      </c>
      <c r="BI76" s="465">
        <f t="shared" si="104"/>
        <v>1.5173424196513823</v>
      </c>
      <c r="BJ76" s="465">
        <f t="shared" si="105"/>
        <v>2.023251165562844</v>
      </c>
      <c r="BK76" s="465">
        <f t="shared" si="106"/>
        <v>1.5526752136892503</v>
      </c>
      <c r="BL76" s="465">
        <f t="shared" si="107"/>
        <v>0</v>
      </c>
      <c r="BM76" s="465">
        <f t="shared" si="108"/>
        <v>0</v>
      </c>
      <c r="BN76" s="465">
        <f t="shared" si="109"/>
        <v>0</v>
      </c>
      <c r="BO76" s="465">
        <f t="shared" si="110"/>
        <v>0</v>
      </c>
      <c r="BP76" s="465">
        <f>AY76/AH76</f>
        <v>0.91118941155413902</v>
      </c>
    </row>
    <row r="77" spans="2:68" ht="16" customHeight="1">
      <c r="B77" s="769"/>
      <c r="C77" s="769"/>
      <c r="D77" s="292" t="s">
        <v>100</v>
      </c>
      <c r="E77" s="69">
        <v>3289</v>
      </c>
      <c r="F77" s="69">
        <v>3392</v>
      </c>
      <c r="G77" s="69">
        <v>4491</v>
      </c>
      <c r="H77" s="69">
        <v>3827</v>
      </c>
      <c r="I77" s="69">
        <v>3324</v>
      </c>
      <c r="J77" s="69">
        <v>3633</v>
      </c>
      <c r="K77" s="69">
        <v>3542</v>
      </c>
      <c r="L77" s="69">
        <v>5040</v>
      </c>
      <c r="M77" s="69">
        <v>3841</v>
      </c>
      <c r="N77" s="69">
        <v>4130</v>
      </c>
      <c r="O77" s="69">
        <v>3670</v>
      </c>
      <c r="P77" s="69">
        <v>4506</v>
      </c>
      <c r="Q77" s="69">
        <f t="shared" ref="Q77:Q82" si="139">SUM(E77:P77)</f>
        <v>46685</v>
      </c>
      <c r="S77" s="769"/>
      <c r="T77" s="769"/>
      <c r="U77" s="292" t="s">
        <v>100</v>
      </c>
      <c r="V77" s="69">
        <v>2987.5577782829432</v>
      </c>
      <c r="W77" s="69">
        <v>2892.0626278699701</v>
      </c>
      <c r="X77" s="69">
        <v>3684.1451254704011</v>
      </c>
      <c r="Y77" s="69">
        <f>Y$75*'Region OP Sales Goals'!V116</f>
        <v>3115.5959687807831</v>
      </c>
      <c r="Z77" s="69">
        <f>Z$75*'Region OP Sales Goals'!W116</f>
        <v>3425.0215958172312</v>
      </c>
      <c r="AA77" s="69">
        <f>AA$75*'Region OP Sales Goals'!X116</f>
        <v>3115.5959687807831</v>
      </c>
      <c r="AB77" s="69">
        <f>AB$75*'Region OP Sales Goals'!Y116</f>
        <v>3289.117464539007</v>
      </c>
      <c r="AC77" s="69">
        <f>AC$75*'Region OP Sales Goals'!Z116</f>
        <v>3344.7776699667443</v>
      </c>
      <c r="AD77" s="69">
        <f>AD$75*'Region OP Sales Goals'!AA116</f>
        <v>3590.8987149703285</v>
      </c>
      <c r="AE77" s="69">
        <f>AE$75*'Region OP Sales Goals'!AB116</f>
        <v>3814.7906956929542</v>
      </c>
      <c r="AF77" s="69">
        <f>AF$75*'Region OP Sales Goals'!AC116</f>
        <v>3551.439716312057</v>
      </c>
      <c r="AG77" s="69">
        <f>AG$75*'Region OP Sales Goals'!AD116</f>
        <v>4353.98296161503</v>
      </c>
      <c r="AH77" s="69">
        <f>AH$75*'Region OP Sales Goals'!AE116</f>
        <v>40665.105811084017</v>
      </c>
      <c r="AJ77" s="757"/>
      <c r="AK77" s="757"/>
      <c r="AL77" s="292" t="s">
        <v>100</v>
      </c>
      <c r="AM77" s="69">
        <v>3680</v>
      </c>
      <c r="AN77" s="69">
        <v>3629</v>
      </c>
      <c r="AO77" s="69">
        <v>3973</v>
      </c>
      <c r="AP77" s="69">
        <v>3161</v>
      </c>
      <c r="AQ77" s="69">
        <v>2825</v>
      </c>
      <c r="AR77" s="69">
        <v>3720</v>
      </c>
      <c r="AS77" s="69">
        <v>4959</v>
      </c>
      <c r="AT77" s="69">
        <v>4306</v>
      </c>
      <c r="AU77" s="69"/>
      <c r="AV77" s="69"/>
      <c r="AW77" s="69"/>
      <c r="AX77" s="69"/>
      <c r="AY77" s="69">
        <f t="shared" ref="AY77:AY82" si="140">SUM(AM77:AX77)</f>
        <v>30253</v>
      </c>
      <c r="BA77" s="757"/>
      <c r="BB77" s="757"/>
      <c r="BC77" s="292" t="s">
        <v>100</v>
      </c>
      <c r="BD77" s="465">
        <f t="shared" ref="BD77:BD78" si="141">AM77/V77</f>
        <v>1.2317753406312457</v>
      </c>
      <c r="BE77" s="465">
        <f t="shared" si="131"/>
        <v>1.2548137668349149</v>
      </c>
      <c r="BF77" s="465">
        <f t="shared" si="101"/>
        <v>1.0784048577599714</v>
      </c>
      <c r="BG77" s="465">
        <f t="shared" si="102"/>
        <v>1.0145731448089479</v>
      </c>
      <c r="BH77" s="465">
        <f t="shared" si="103"/>
        <v>0.82481231751939876</v>
      </c>
      <c r="BI77" s="465">
        <f t="shared" si="104"/>
        <v>1.193993071398066</v>
      </c>
      <c r="BJ77" s="465">
        <f t="shared" si="105"/>
        <v>1.5076992699301601</v>
      </c>
      <c r="BK77" s="465">
        <f t="shared" si="106"/>
        <v>1.2873800368449639</v>
      </c>
      <c r="BL77" s="465">
        <f t="shared" si="107"/>
        <v>0</v>
      </c>
      <c r="BM77" s="465">
        <f t="shared" si="108"/>
        <v>0</v>
      </c>
      <c r="BN77" s="465">
        <f t="shared" si="109"/>
        <v>0</v>
      </c>
      <c r="BO77" s="465">
        <f t="shared" si="110"/>
        <v>0</v>
      </c>
      <c r="BP77" s="465">
        <f t="shared" ref="BP77:BP83" si="142">AY77/AH77</f>
        <v>0.74395478375354407</v>
      </c>
    </row>
    <row r="78" spans="2:68" ht="16" customHeight="1">
      <c r="B78" s="769"/>
      <c r="C78" s="769"/>
      <c r="D78" s="292" t="s">
        <v>101</v>
      </c>
      <c r="E78" s="69">
        <v>1852</v>
      </c>
      <c r="F78" s="69">
        <v>1828</v>
      </c>
      <c r="G78" s="69">
        <v>2237</v>
      </c>
      <c r="H78" s="69">
        <v>1814</v>
      </c>
      <c r="I78" s="69">
        <v>1612</v>
      </c>
      <c r="J78" s="69">
        <v>1683</v>
      </c>
      <c r="K78" s="69">
        <v>1575</v>
      </c>
      <c r="L78" s="69">
        <v>2242</v>
      </c>
      <c r="M78" s="69">
        <v>1567</v>
      </c>
      <c r="N78" s="69">
        <v>1816</v>
      </c>
      <c r="O78" s="69">
        <v>1946</v>
      </c>
      <c r="P78" s="69">
        <v>2421</v>
      </c>
      <c r="Q78" s="69">
        <f t="shared" si="139"/>
        <v>22593</v>
      </c>
      <c r="S78" s="769"/>
      <c r="T78" s="769"/>
      <c r="U78" s="292" t="s">
        <v>101</v>
      </c>
      <c r="V78" s="69">
        <v>1504.448738349625</v>
      </c>
      <c r="W78" s="69">
        <v>1529.2561377585814</v>
      </c>
      <c r="X78" s="69">
        <v>1950.4297723078594</v>
      </c>
      <c r="Y78" s="69">
        <f>Y$75*'Region OP Sales Goals'!V117</f>
        <v>1643.1567780556186</v>
      </c>
      <c r="Z78" s="69">
        <f>Z$75*'Region OP Sales Goals'!W117</f>
        <v>1813.8743653860727</v>
      </c>
      <c r="AA78" s="69">
        <f>AA$75*'Region OP Sales Goals'!X117</f>
        <v>1643.1567780556186</v>
      </c>
      <c r="AB78" s="69">
        <f>AB$75*'Region OP Sales Goals'!Y117</f>
        <v>1735.3625886524824</v>
      </c>
      <c r="AC78" s="69">
        <f>AC$75*'Region OP Sales Goals'!Z117</f>
        <v>1770.2165941328174</v>
      </c>
      <c r="AD78" s="69">
        <f>AD$75*'Region OP Sales Goals'!AA117</f>
        <v>1897.4635255240937</v>
      </c>
      <c r="AE78" s="69">
        <f>AE$75*'Region OP Sales Goals'!AB117</f>
        <v>2014.7822172962785</v>
      </c>
      <c r="AF78" s="69">
        <f>AF$75*'Region OP Sales Goals'!AC117</f>
        <v>1876.6130319148936</v>
      </c>
      <c r="AG78" s="69">
        <f>AG$75*'Region OP Sales Goals'!AD117</f>
        <v>2301.390993996516</v>
      </c>
      <c r="AH78" s="69">
        <f>AH$75*'Region OP Sales Goals'!AE117</f>
        <v>21061.281454907723</v>
      </c>
      <c r="AJ78" s="757"/>
      <c r="AK78" s="757"/>
      <c r="AL78" s="292" t="s">
        <v>101</v>
      </c>
      <c r="AM78" s="69">
        <v>1866</v>
      </c>
      <c r="AN78" s="69">
        <v>1786</v>
      </c>
      <c r="AO78" s="69">
        <v>1849</v>
      </c>
      <c r="AP78" s="69">
        <v>1540</v>
      </c>
      <c r="AQ78" s="69">
        <v>1619</v>
      </c>
      <c r="AR78" s="69">
        <v>1912</v>
      </c>
      <c r="AS78" s="69">
        <v>2539</v>
      </c>
      <c r="AT78" s="69">
        <v>1851</v>
      </c>
      <c r="AU78" s="69"/>
      <c r="AV78" s="69"/>
      <c r="AW78" s="69"/>
      <c r="AX78" s="69"/>
      <c r="AY78" s="69">
        <f t="shared" si="140"/>
        <v>14962</v>
      </c>
      <c r="BA78" s="757"/>
      <c r="BB78" s="757"/>
      <c r="BC78" s="292" t="s">
        <v>101</v>
      </c>
      <c r="BD78" s="465">
        <f t="shared" si="141"/>
        <v>1.2403214230130535</v>
      </c>
      <c r="BE78" s="465">
        <f t="shared" si="131"/>
        <v>1.167888070482245</v>
      </c>
      <c r="BF78" s="465">
        <f t="shared" si="101"/>
        <v>0.94799619358361109</v>
      </c>
      <c r="BG78" s="465">
        <f t="shared" si="102"/>
        <v>0.93722036787160012</v>
      </c>
      <c r="BH78" s="465">
        <f t="shared" si="103"/>
        <v>0.89256457387301202</v>
      </c>
      <c r="BI78" s="465">
        <f t="shared" si="104"/>
        <v>1.1636138593314931</v>
      </c>
      <c r="BJ78" s="465">
        <f t="shared" si="105"/>
        <v>1.4630948117716114</v>
      </c>
      <c r="BK78" s="465">
        <f t="shared" si="106"/>
        <v>1.0456347579922876</v>
      </c>
      <c r="BL78" s="465">
        <f t="shared" si="107"/>
        <v>0</v>
      </c>
      <c r="BM78" s="465">
        <f t="shared" si="108"/>
        <v>0</v>
      </c>
      <c r="BN78" s="465">
        <f t="shared" si="109"/>
        <v>0</v>
      </c>
      <c r="BO78" s="465">
        <f t="shared" si="110"/>
        <v>0</v>
      </c>
      <c r="BP78" s="465">
        <f t="shared" si="142"/>
        <v>0.71040311730478956</v>
      </c>
    </row>
    <row r="79" spans="2:68" ht="16" customHeight="1">
      <c r="B79" s="769"/>
      <c r="C79" s="769"/>
      <c r="D79" s="292" t="s">
        <v>102</v>
      </c>
      <c r="E79" s="69">
        <v>946</v>
      </c>
      <c r="F79" s="69">
        <v>944</v>
      </c>
      <c r="G79" s="69">
        <v>1194</v>
      </c>
      <c r="H79" s="69">
        <v>931</v>
      </c>
      <c r="I79" s="69">
        <v>714</v>
      </c>
      <c r="J79" s="69">
        <v>916</v>
      </c>
      <c r="K79" s="69">
        <v>915</v>
      </c>
      <c r="L79" s="69">
        <v>1220</v>
      </c>
      <c r="M79" s="69">
        <v>943</v>
      </c>
      <c r="N79" s="69">
        <v>1101</v>
      </c>
      <c r="O79" s="69">
        <v>1138</v>
      </c>
      <c r="P79" s="69">
        <v>1390</v>
      </c>
      <c r="Q79" s="69">
        <f t="shared" si="139"/>
        <v>12352</v>
      </c>
      <c r="S79" s="769"/>
      <c r="T79" s="769"/>
      <c r="U79" s="292" t="s">
        <v>102</v>
      </c>
      <c r="V79" s="69">
        <v>938.94673031749642</v>
      </c>
      <c r="W79" s="69">
        <v>1019.5040918390544</v>
      </c>
      <c r="X79" s="69">
        <v>1300.2865148719063</v>
      </c>
      <c r="Y79" s="69">
        <f>Y$75*'Region OP Sales Goals'!V118</f>
        <v>1141.6738652724105</v>
      </c>
      <c r="Z79" s="69">
        <f>Z$75*'Region OP Sales Goals'!W118</f>
        <v>1259.0422065620974</v>
      </c>
      <c r="AA79" s="69">
        <f>AA$75*'Region OP Sales Goals'!X118</f>
        <v>1141.6738652724105</v>
      </c>
      <c r="AB79" s="69">
        <f>AB$75*'Region OP Sales Goals'!Y118</f>
        <v>1200.6287677304965</v>
      </c>
      <c r="AC79" s="69">
        <f>AC$75*'Region OP Sales Goals'!Z118</f>
        <v>1220.5177570073636</v>
      </c>
      <c r="AD79" s="69">
        <f>AD$75*'Region OP Sales Goals'!AA118</f>
        <v>1315.982767702194</v>
      </c>
      <c r="AE79" s="69">
        <f>AE$75*'Region OP Sales Goals'!AB118</f>
        <v>1390.9156423974309</v>
      </c>
      <c r="AF79" s="69">
        <f>AF$75*'Region OP Sales Goals'!AC118</f>
        <v>1301.5219414893618</v>
      </c>
      <c r="AG79" s="69">
        <f>AG$75*'Region OP Sales Goals'!AD118</f>
        <v>1590.5366329165111</v>
      </c>
      <c r="AH79" s="69">
        <f>AH$75*'Region OP Sales Goals'!AE118</f>
        <v>14718.263940710369</v>
      </c>
      <c r="AJ79" s="757"/>
      <c r="AK79" s="757"/>
      <c r="AL79" s="292" t="s">
        <v>102</v>
      </c>
      <c r="AM79" s="69">
        <v>1134</v>
      </c>
      <c r="AN79" s="69">
        <v>1048</v>
      </c>
      <c r="AO79" s="69">
        <v>1163</v>
      </c>
      <c r="AP79" s="69">
        <v>1070</v>
      </c>
      <c r="AQ79" s="69">
        <v>880</v>
      </c>
      <c r="AR79" s="69">
        <v>1179</v>
      </c>
      <c r="AS79" s="69">
        <v>1578</v>
      </c>
      <c r="AT79" s="69">
        <v>1282</v>
      </c>
      <c r="AU79" s="69"/>
      <c r="AV79" s="69"/>
      <c r="AW79" s="69"/>
      <c r="AX79" s="69"/>
      <c r="AY79" s="69">
        <f t="shared" si="140"/>
        <v>9334</v>
      </c>
      <c r="BA79" s="757"/>
      <c r="BB79" s="757"/>
      <c r="BC79" s="292" t="s">
        <v>102</v>
      </c>
      <c r="BD79" s="465">
        <f>AM79/V79</f>
        <v>1.2077362467799937</v>
      </c>
      <c r="BE79" s="465">
        <f t="shared" si="131"/>
        <v>1.027950754086276</v>
      </c>
      <c r="BF79" s="465">
        <f t="shared" si="101"/>
        <v>0.89441825835944266</v>
      </c>
      <c r="BG79" s="465">
        <f t="shared" si="102"/>
        <v>0.93722036787160001</v>
      </c>
      <c r="BH79" s="465">
        <f t="shared" si="103"/>
        <v>0.69894400315848138</v>
      </c>
      <c r="BI79" s="465">
        <f t="shared" si="104"/>
        <v>1.0326942184304826</v>
      </c>
      <c r="BJ79" s="465">
        <f t="shared" si="105"/>
        <v>1.3143113362033081</v>
      </c>
      <c r="BK79" s="465">
        <f t="shared" si="106"/>
        <v>1.0503739029109966</v>
      </c>
      <c r="BL79" s="465">
        <f t="shared" si="107"/>
        <v>0</v>
      </c>
      <c r="BM79" s="465">
        <f t="shared" si="108"/>
        <v>0</v>
      </c>
      <c r="BN79" s="465">
        <f t="shared" si="109"/>
        <v>0</v>
      </c>
      <c r="BO79" s="465">
        <f t="shared" si="110"/>
        <v>0</v>
      </c>
      <c r="BP79" s="465">
        <f t="shared" si="142"/>
        <v>0.63417805507498592</v>
      </c>
    </row>
    <row r="80" spans="2:68" ht="16" customHeight="1">
      <c r="B80" s="769"/>
      <c r="C80" s="769"/>
      <c r="D80" s="292" t="s">
        <v>103</v>
      </c>
      <c r="E80" s="69">
        <v>2650</v>
      </c>
      <c r="F80" s="69">
        <v>2690</v>
      </c>
      <c r="G80" s="69">
        <v>3302</v>
      </c>
      <c r="H80" s="69">
        <v>2761</v>
      </c>
      <c r="I80" s="69">
        <v>2547</v>
      </c>
      <c r="J80" s="69">
        <v>2660</v>
      </c>
      <c r="K80" s="69">
        <v>2475</v>
      </c>
      <c r="L80" s="69">
        <v>3483</v>
      </c>
      <c r="M80" s="69">
        <v>2583</v>
      </c>
      <c r="N80" s="69">
        <v>3214</v>
      </c>
      <c r="O80" s="69">
        <v>3183</v>
      </c>
      <c r="P80" s="69">
        <v>4259</v>
      </c>
      <c r="Q80" s="69">
        <f t="shared" si="139"/>
        <v>35807</v>
      </c>
      <c r="S80" s="769"/>
      <c r="T80" s="769"/>
      <c r="U80" s="292" t="s">
        <v>103</v>
      </c>
      <c r="V80" s="69">
        <v>2144.6396908388269</v>
      </c>
      <c r="W80" s="69">
        <v>2153.4423164355535</v>
      </c>
      <c r="X80" s="69">
        <v>2752.273123145535</v>
      </c>
      <c r="Y80" s="69">
        <f>Y$75*'Region OP Sales Goals'!V119</f>
        <v>2358.0366750018943</v>
      </c>
      <c r="Z80" s="69">
        <f>Z$75*'Region OP Sales Goals'!W119</f>
        <v>2592.7733575812686</v>
      </c>
      <c r="AA80" s="69">
        <f>AA$75*'Region OP Sales Goals'!X119</f>
        <v>2358.0366750018943</v>
      </c>
      <c r="AB80" s="69">
        <f>AB$75*'Region OP Sales Goals'!Y119</f>
        <v>2492.0613918439717</v>
      </c>
      <c r="AC80" s="69">
        <f>AC$75*'Region OP Sales Goals'!Z119</f>
        <v>2534.2048084427697</v>
      </c>
      <c r="AD80" s="69">
        <f>AD$75*'Region OP Sales Goals'!AA119</f>
        <v>2723.778286639425</v>
      </c>
      <c r="AE80" s="69">
        <f>AE$75*'Region OP Sales Goals'!AB119</f>
        <v>2884.1044937946726</v>
      </c>
      <c r="AF80" s="69">
        <f>AF$75*'Region OP Sales Goals'!AC119</f>
        <v>2693.8477393617022</v>
      </c>
      <c r="AG80" s="69">
        <f>AG$75*'Region OP Sales Goals'!AD119</f>
        <v>3296.5870995085229</v>
      </c>
      <c r="AH80" s="69">
        <f>AH$75*'Region OP Sales Goals'!AE119</f>
        <v>30976.095239235627</v>
      </c>
      <c r="AJ80" s="757"/>
      <c r="AK80" s="757"/>
      <c r="AL80" s="292" t="s">
        <v>103</v>
      </c>
      <c r="AM80" s="69">
        <v>3266</v>
      </c>
      <c r="AN80" s="69">
        <v>2768</v>
      </c>
      <c r="AO80" s="69">
        <v>3125</v>
      </c>
      <c r="AP80" s="69">
        <v>3017</v>
      </c>
      <c r="AQ80" s="69">
        <v>2789</v>
      </c>
      <c r="AR80" s="69">
        <v>3142</v>
      </c>
      <c r="AS80" s="69">
        <v>4317</v>
      </c>
      <c r="AT80" s="69">
        <v>3575</v>
      </c>
      <c r="AU80" s="69"/>
      <c r="AV80" s="69"/>
      <c r="AW80" s="69"/>
      <c r="AX80" s="69"/>
      <c r="AY80" s="69">
        <f t="shared" si="140"/>
        <v>25999</v>
      </c>
      <c r="BA80" s="757"/>
      <c r="BB80" s="757"/>
      <c r="BC80" s="292" t="s">
        <v>103</v>
      </c>
      <c r="BD80" s="465">
        <f t="shared" ref="BD80:BD82" si="143">AM80/V80</f>
        <v>1.5228665280938536</v>
      </c>
      <c r="BE80" s="465">
        <f t="shared" si="131"/>
        <v>1.2853838613990283</v>
      </c>
      <c r="BF80" s="465">
        <f t="shared" si="101"/>
        <v>1.1354251050595154</v>
      </c>
      <c r="BG80" s="465">
        <f t="shared" si="102"/>
        <v>1.2794542307097816</v>
      </c>
      <c r="BH80" s="465">
        <f t="shared" si="103"/>
        <v>1.0756821423843179</v>
      </c>
      <c r="BI80" s="465">
        <f t="shared" si="104"/>
        <v>1.3324644325124739</v>
      </c>
      <c r="BJ80" s="465">
        <f t="shared" si="105"/>
        <v>1.7323008229767913</v>
      </c>
      <c r="BK80" s="465">
        <f t="shared" si="106"/>
        <v>1.410698925394583</v>
      </c>
      <c r="BL80" s="465">
        <f t="shared" si="107"/>
        <v>0</v>
      </c>
      <c r="BM80" s="465">
        <f t="shared" si="108"/>
        <v>0</v>
      </c>
      <c r="BN80" s="465">
        <f t="shared" si="109"/>
        <v>0</v>
      </c>
      <c r="BO80" s="465">
        <f t="shared" si="110"/>
        <v>0</v>
      </c>
      <c r="BP80" s="465">
        <f t="shared" si="142"/>
        <v>0.83932464047529698</v>
      </c>
    </row>
    <row r="81" spans="2:68" ht="16" customHeight="1">
      <c r="B81" s="769"/>
      <c r="C81" s="769"/>
      <c r="D81" s="292" t="s">
        <v>104</v>
      </c>
      <c r="E81" s="69">
        <v>3352</v>
      </c>
      <c r="F81" s="69">
        <v>3384</v>
      </c>
      <c r="G81" s="69">
        <v>4426</v>
      </c>
      <c r="H81" s="69">
        <v>3399</v>
      </c>
      <c r="I81" s="69">
        <v>2828</v>
      </c>
      <c r="J81" s="69">
        <v>3035</v>
      </c>
      <c r="K81" s="69">
        <v>3049</v>
      </c>
      <c r="L81" s="69">
        <v>4067</v>
      </c>
      <c r="M81" s="69">
        <v>3007</v>
      </c>
      <c r="N81" s="69">
        <v>3825</v>
      </c>
      <c r="O81" s="69">
        <v>4090</v>
      </c>
      <c r="P81" s="69">
        <v>5272</v>
      </c>
      <c r="Q81" s="69">
        <f t="shared" si="139"/>
        <v>43734</v>
      </c>
      <c r="S81" s="769"/>
      <c r="T81" s="769"/>
      <c r="U81" s="292" t="s">
        <v>104</v>
      </c>
      <c r="V81" s="69">
        <v>4054.5426990982805</v>
      </c>
      <c r="W81" s="69">
        <v>4026.0008524664695</v>
      </c>
      <c r="X81" s="69">
        <v>5407.0247576756765</v>
      </c>
      <c r="Y81" s="69">
        <f>Y$75*'Region OP Sales Goals'!V120</f>
        <v>4790.762294460862</v>
      </c>
      <c r="Z81" s="69">
        <f>Z$75*'Region OP Sales Goals'!W120</f>
        <v>5260.2356596196096</v>
      </c>
      <c r="AA81" s="69">
        <f>AA$75*'Region OP Sales Goals'!X120</f>
        <v>4790.762294460862</v>
      </c>
      <c r="AB81" s="69">
        <f>AB$75*'Region OP Sales Goals'!Y120</f>
        <v>5054.7480053191493</v>
      </c>
      <c r="AC81" s="69">
        <f>AC$75*'Region OP Sales Goals'!Z120</f>
        <v>5133.6281229851702</v>
      </c>
      <c r="AD81" s="69">
        <f>AD$75*'Region OP Sales Goals'!AA120</f>
        <v>5518.9664909061012</v>
      </c>
      <c r="AE81" s="69">
        <f>AE$75*'Region OP Sales Goals'!AB120</f>
        <v>5850.0275547891943</v>
      </c>
      <c r="AF81" s="69">
        <f>AF$75*'Region OP Sales Goals'!AC120</f>
        <v>5458.3207003546104</v>
      </c>
      <c r="AG81" s="69">
        <f>AG$75*'Region OP Sales Goals'!AD120</f>
        <v>6682.0309941520463</v>
      </c>
      <c r="AH81" s="69">
        <f>AH$75*'Region OP Sales Goals'!AE120</f>
        <v>62311.4228619614</v>
      </c>
      <c r="AJ81" s="757"/>
      <c r="AK81" s="757"/>
      <c r="AL81" s="292" t="s">
        <v>104</v>
      </c>
      <c r="AM81" s="69">
        <v>4153</v>
      </c>
      <c r="AN81" s="69">
        <v>3974</v>
      </c>
      <c r="AO81" s="69">
        <v>4498</v>
      </c>
      <c r="AP81" s="69">
        <v>3596</v>
      </c>
      <c r="AQ81" s="156">
        <v>3442</v>
      </c>
      <c r="AR81" s="156">
        <v>4215</v>
      </c>
      <c r="AS81" s="156">
        <v>5429</v>
      </c>
      <c r="AT81" s="156">
        <v>4570</v>
      </c>
      <c r="AU81" s="69"/>
      <c r="AV81" s="69"/>
      <c r="AW81" s="69"/>
      <c r="AX81" s="69"/>
      <c r="AY81" s="69">
        <f t="shared" si="140"/>
        <v>33877</v>
      </c>
      <c r="BA81" s="757"/>
      <c r="BB81" s="757"/>
      <c r="BC81" s="292" t="s">
        <v>104</v>
      </c>
      <c r="BD81" s="465">
        <f t="shared" si="143"/>
        <v>1.0242832073080932</v>
      </c>
      <c r="BE81" s="465">
        <f t="shared" si="131"/>
        <v>0.98708374529165532</v>
      </c>
      <c r="BF81" s="465">
        <f t="shared" si="101"/>
        <v>0.831880785013006</v>
      </c>
      <c r="BG81" s="465">
        <f t="shared" si="102"/>
        <v>0.75061123449137501</v>
      </c>
      <c r="BH81" s="465">
        <f t="shared" si="103"/>
        <v>0.65434330754848846</v>
      </c>
      <c r="BI81" s="465">
        <f t="shared" si="104"/>
        <v>0.87981822952757116</v>
      </c>
      <c r="BJ81" s="465">
        <f t="shared" si="105"/>
        <v>1.0740396938258885</v>
      </c>
      <c r="BK81" s="465">
        <f t="shared" si="106"/>
        <v>0.89020861864504819</v>
      </c>
      <c r="BL81" s="465">
        <f t="shared" si="107"/>
        <v>0</v>
      </c>
      <c r="BM81" s="465">
        <f t="shared" si="108"/>
        <v>0</v>
      </c>
      <c r="BN81" s="465">
        <f t="shared" si="109"/>
        <v>0</v>
      </c>
      <c r="BO81" s="465">
        <f t="shared" si="110"/>
        <v>0</v>
      </c>
      <c r="BP81" s="465">
        <f t="shared" si="142"/>
        <v>0.54367238692410824</v>
      </c>
    </row>
    <row r="82" spans="2:68" ht="16" customHeight="1">
      <c r="B82" s="769"/>
      <c r="C82" s="769"/>
      <c r="D82" s="292" t="s">
        <v>105</v>
      </c>
      <c r="E82" s="69">
        <v>1994</v>
      </c>
      <c r="F82" s="69">
        <v>2063</v>
      </c>
      <c r="G82" s="69">
        <v>2684</v>
      </c>
      <c r="H82" s="69">
        <v>2183</v>
      </c>
      <c r="I82" s="69">
        <v>1740</v>
      </c>
      <c r="J82" s="69">
        <v>1868</v>
      </c>
      <c r="K82" s="69">
        <v>2059</v>
      </c>
      <c r="L82" s="69">
        <v>2762</v>
      </c>
      <c r="M82" s="69">
        <v>2178</v>
      </c>
      <c r="N82" s="69">
        <v>2514</v>
      </c>
      <c r="O82" s="69">
        <v>2555</v>
      </c>
      <c r="P82" s="69">
        <v>3091</v>
      </c>
      <c r="Q82" s="69">
        <f t="shared" si="139"/>
        <v>27691</v>
      </c>
      <c r="S82" s="769"/>
      <c r="T82" s="769"/>
      <c r="U82" s="292" t="s">
        <v>105</v>
      </c>
      <c r="V82" s="69">
        <v>2475.4050162915814</v>
      </c>
      <c r="W82" s="69">
        <v>2611.1788474653326</v>
      </c>
      <c r="X82" s="69">
        <v>3142.3590776071069</v>
      </c>
      <c r="Y82" s="69">
        <f>Y$75*'Region OP Sales Goals'!V121</f>
        <v>2784.8306433280291</v>
      </c>
      <c r="Z82" s="69">
        <f>Z$75*'Region OP Sales Goals'!W121</f>
        <v>3062.2467227400166</v>
      </c>
      <c r="AA82" s="69">
        <f>AA$75*'Region OP Sales Goals'!X121</f>
        <v>2784.8306433280291</v>
      </c>
      <c r="AB82" s="69">
        <f>AB$75*'Region OP Sales Goals'!Y121</f>
        <v>2956.1699911347514</v>
      </c>
      <c r="AC82" s="69">
        <f>AC$75*'Region OP Sales Goals'!Z121</f>
        <v>2990.7343511401809</v>
      </c>
      <c r="AD82" s="69">
        <f>AD$75*'Region OP Sales Goals'!AA121</f>
        <v>3203.244876422395</v>
      </c>
      <c r="AE82" s="69">
        <f>AE$75*'Region OP Sales Goals'!AB121</f>
        <v>3415.9251805936901</v>
      </c>
      <c r="AF82" s="69">
        <f>AF$75*'Region OP Sales Goals'!AC121</f>
        <v>3168.0456560283687</v>
      </c>
      <c r="AG82" s="69">
        <f>AG$75*'Region OP Sales Goals'!AD121</f>
        <v>3883.0419473995266</v>
      </c>
      <c r="AH82" s="69">
        <f>AH$75*'Region OP Sales Goals'!AE121</f>
        <v>37411.486794901881</v>
      </c>
      <c r="AJ82" s="757"/>
      <c r="AK82" s="757"/>
      <c r="AL82" s="292" t="s">
        <v>105</v>
      </c>
      <c r="AM82" s="69">
        <v>2604</v>
      </c>
      <c r="AN82" s="69">
        <v>2460</v>
      </c>
      <c r="AO82" s="69">
        <v>2566</v>
      </c>
      <c r="AP82" s="69">
        <v>2140</v>
      </c>
      <c r="AQ82" s="69">
        <v>1994</v>
      </c>
      <c r="AR82" s="69">
        <v>2429</v>
      </c>
      <c r="AS82" s="69">
        <v>2925</v>
      </c>
      <c r="AT82" s="69">
        <v>2528</v>
      </c>
      <c r="AU82" s="69"/>
      <c r="AV82" s="69"/>
      <c r="AW82" s="69"/>
      <c r="AX82" s="69"/>
      <c r="AY82" s="69">
        <f t="shared" si="140"/>
        <v>19646</v>
      </c>
      <c r="BA82" s="757"/>
      <c r="BB82" s="757"/>
      <c r="BC82" s="292" t="s">
        <v>105</v>
      </c>
      <c r="BD82" s="465">
        <f t="shared" si="143"/>
        <v>1.0519490680765717</v>
      </c>
      <c r="BE82" s="465">
        <f t="shared" si="131"/>
        <v>0.94210321992609514</v>
      </c>
      <c r="BF82" s="465">
        <f t="shared" si="101"/>
        <v>0.81658395384718352</v>
      </c>
      <c r="BG82" s="465">
        <f t="shared" si="102"/>
        <v>0.76844888400200162</v>
      </c>
      <c r="BH82" s="465">
        <f t="shared" si="103"/>
        <v>0.65115589321810818</v>
      </c>
      <c r="BI82" s="465">
        <f t="shared" si="104"/>
        <v>0.87222539216862705</v>
      </c>
      <c r="BJ82" s="465">
        <f t="shared" si="105"/>
        <v>0.98945595441797085</v>
      </c>
      <c r="BK82" s="465">
        <f t="shared" si="106"/>
        <v>0.84527734769764185</v>
      </c>
      <c r="BL82" s="465">
        <f t="shared" si="107"/>
        <v>0</v>
      </c>
      <c r="BM82" s="465">
        <f t="shared" si="108"/>
        <v>0</v>
      </c>
      <c r="BN82" s="465">
        <f t="shared" si="109"/>
        <v>0</v>
      </c>
      <c r="BO82" s="465">
        <f t="shared" si="110"/>
        <v>0</v>
      </c>
      <c r="BP82" s="465">
        <f t="shared" si="142"/>
        <v>0.52513283173437497</v>
      </c>
    </row>
    <row r="83" spans="2:68">
      <c r="B83" s="769"/>
      <c r="C83" s="769"/>
      <c r="D83" s="182" t="s">
        <v>7</v>
      </c>
      <c r="E83" s="341">
        <f>SUM(E84:E90)</f>
        <v>288769</v>
      </c>
      <c r="F83" s="341">
        <f t="shared" ref="F83:Q83" si="144">SUM(F84:F90)</f>
        <v>279382</v>
      </c>
      <c r="G83" s="341">
        <f t="shared" si="144"/>
        <v>307269</v>
      </c>
      <c r="H83" s="341">
        <f t="shared" si="144"/>
        <v>303419</v>
      </c>
      <c r="I83" s="341">
        <f t="shared" si="144"/>
        <v>288270</v>
      </c>
      <c r="J83" s="341">
        <f t="shared" si="144"/>
        <v>276173</v>
      </c>
      <c r="K83" s="341">
        <f t="shared" si="144"/>
        <v>316201</v>
      </c>
      <c r="L83" s="341">
        <f t="shared" si="144"/>
        <v>359858</v>
      </c>
      <c r="M83" s="341">
        <f t="shared" si="144"/>
        <v>335033</v>
      </c>
      <c r="N83" s="341">
        <f t="shared" si="144"/>
        <v>358533</v>
      </c>
      <c r="O83" s="341">
        <f t="shared" si="144"/>
        <v>355736</v>
      </c>
      <c r="P83" s="341">
        <f t="shared" si="144"/>
        <v>372800</v>
      </c>
      <c r="Q83" s="341">
        <f t="shared" si="144"/>
        <v>3841443</v>
      </c>
      <c r="S83" s="769"/>
      <c r="T83" s="769"/>
      <c r="U83" s="182" t="s">
        <v>7</v>
      </c>
      <c r="V83" s="341">
        <v>277697.27920723229</v>
      </c>
      <c r="W83" s="341">
        <v>288805.17037552159</v>
      </c>
      <c r="X83" s="341">
        <v>336391.84566576465</v>
      </c>
      <c r="Y83" s="341" cm="1">
        <f t="array" ref="Y83">INDEX('Shop Goals'!$G$48:$G$59, COLUMN()-COLUMN($V$3)+1)</f>
        <v>314723.58310152992</v>
      </c>
      <c r="Z83" s="341" cm="1">
        <f t="array" ref="Z83">INDEX('Shop Goals'!$G$48:$G$59, COLUMN()-COLUMN($V$3)+1)</f>
        <v>346195.94141168293</v>
      </c>
      <c r="AA83" s="341" cm="1">
        <f t="array" ref="AA83">INDEX('Shop Goals'!$G$48:$G$59, COLUMN()-COLUMN($V$3)+1)</f>
        <v>314723.58310152992</v>
      </c>
      <c r="AB83" s="341" cm="1">
        <f t="array" ref="AB83">INDEX('Shop Goals'!$G$48:$G$59, COLUMN()-COLUMN($V$3)+1)</f>
        <v>303631.59466268547</v>
      </c>
      <c r="AC83" s="341" cm="1">
        <f t="array" ref="AC83">INDEX('Shop Goals'!$G$48:$G$59, COLUMN()-COLUMN($V$3)+1)</f>
        <v>308425.77773630677</v>
      </c>
      <c r="AD83" s="341" cm="1">
        <f t="array" ref="AD83">INDEX('Shop Goals'!$G$48:$G$59, COLUMN()-COLUMN($V$3)+1)</f>
        <v>362857.77816411684</v>
      </c>
      <c r="AE83" s="341" cm="1">
        <f t="array" ref="AE83">INDEX('Shop Goals'!$G$48:$G$59, COLUMN()-COLUMN($V$3)+1)</f>
        <v>385073.56050069543</v>
      </c>
      <c r="AF83" s="341" cm="1">
        <f t="array" ref="AF83">INDEX('Shop Goals'!$G$48:$G$59, COLUMN()-COLUMN($V$3)+1)</f>
        <v>327602.51003079221</v>
      </c>
      <c r="AG83" s="341" cm="1">
        <f t="array" ref="AG83">INDEX('Shop Goals'!$G$48:$G$59, COLUMN()-COLUMN($V$3)+1)</f>
        <v>401113.31715965288</v>
      </c>
      <c r="AH83" s="342">
        <f t="shared" si="127"/>
        <v>3967241.9411175102</v>
      </c>
      <c r="AJ83" s="757"/>
      <c r="AK83" s="757"/>
      <c r="AL83" s="182" t="s">
        <v>7</v>
      </c>
      <c r="AM83" s="341">
        <f>SUM(AM84:AM90)</f>
        <v>372846</v>
      </c>
      <c r="AN83" s="341">
        <f t="shared" ref="AN83:AY83" si="145">SUM(AN84:AN90)</f>
        <v>327198</v>
      </c>
      <c r="AO83" s="341">
        <f t="shared" si="145"/>
        <v>348544</v>
      </c>
      <c r="AP83" s="341">
        <f t="shared" si="145"/>
        <v>318661</v>
      </c>
      <c r="AQ83" s="341">
        <f t="shared" si="145"/>
        <v>312983</v>
      </c>
      <c r="AR83" s="341">
        <f t="shared" si="145"/>
        <v>300191</v>
      </c>
      <c r="AS83" s="341">
        <f t="shared" si="145"/>
        <v>331067</v>
      </c>
      <c r="AT83" s="341">
        <f t="shared" si="145"/>
        <v>244944</v>
      </c>
      <c r="AU83" s="341">
        <f t="shared" si="145"/>
        <v>0</v>
      </c>
      <c r="AV83" s="341">
        <f t="shared" si="145"/>
        <v>0</v>
      </c>
      <c r="AW83" s="341">
        <f t="shared" si="145"/>
        <v>0</v>
      </c>
      <c r="AX83" s="341">
        <f t="shared" si="145"/>
        <v>0</v>
      </c>
      <c r="AY83" s="341">
        <f t="shared" si="145"/>
        <v>2556434</v>
      </c>
      <c r="BA83" s="757"/>
      <c r="BB83" s="757"/>
      <c r="BC83" s="182" t="s">
        <v>6</v>
      </c>
      <c r="BD83" s="464">
        <f>AM83/V83</f>
        <v>1.3426346886235163</v>
      </c>
      <c r="BE83" s="464">
        <f t="shared" si="131"/>
        <v>1.1329367807874</v>
      </c>
      <c r="BF83" s="464">
        <f t="shared" si="101"/>
        <v>1.0361249967584221</v>
      </c>
      <c r="BG83" s="464">
        <f t="shared" si="102"/>
        <v>1.012510714512296</v>
      </c>
      <c r="BH83" s="464">
        <f t="shared" si="103"/>
        <v>0.90406316932471664</v>
      </c>
      <c r="BI83" s="464">
        <f t="shared" si="104"/>
        <v>0.95382429572542804</v>
      </c>
      <c r="BJ83" s="464">
        <f t="shared" si="105"/>
        <v>1.0903575445361458</v>
      </c>
      <c r="BK83" s="464">
        <f t="shared" si="106"/>
        <v>0.79417486371524537</v>
      </c>
      <c r="BL83" s="464">
        <f t="shared" si="107"/>
        <v>0</v>
      </c>
      <c r="BM83" s="464">
        <f t="shared" si="108"/>
        <v>0</v>
      </c>
      <c r="BN83" s="464">
        <f t="shared" si="109"/>
        <v>0</v>
      </c>
      <c r="BO83" s="464">
        <f t="shared" si="110"/>
        <v>0</v>
      </c>
      <c r="BP83" s="464">
        <f t="shared" si="142"/>
        <v>0.64438570622690394</v>
      </c>
    </row>
    <row r="84" spans="2:68" ht="16" customHeight="1">
      <c r="B84" s="769"/>
      <c r="C84" s="769"/>
      <c r="D84" s="292" t="s">
        <v>99</v>
      </c>
      <c r="E84" s="69">
        <v>38865</v>
      </c>
      <c r="F84" s="69">
        <v>39325</v>
      </c>
      <c r="G84" s="69">
        <v>45802</v>
      </c>
      <c r="H84" s="69">
        <v>44909</v>
      </c>
      <c r="I84" s="69">
        <v>37183</v>
      </c>
      <c r="J84" s="69">
        <v>37366</v>
      </c>
      <c r="K84" s="69">
        <v>43257</v>
      </c>
      <c r="L84" s="69">
        <v>43417</v>
      </c>
      <c r="M84" s="69">
        <v>46418</v>
      </c>
      <c r="N84" s="69">
        <v>43393</v>
      </c>
      <c r="O84" s="69">
        <v>40453</v>
      </c>
      <c r="P84" s="69">
        <v>45721</v>
      </c>
      <c r="Q84" s="69">
        <f>SUM(E84:P84)</f>
        <v>506109</v>
      </c>
      <c r="S84" s="769"/>
      <c r="T84" s="769"/>
      <c r="U84" s="292" t="s">
        <v>99</v>
      </c>
      <c r="V84" s="69">
        <v>32953.410465924899</v>
      </c>
      <c r="W84" s="69">
        <v>41876.749704450624</v>
      </c>
      <c r="X84" s="69">
        <v>47541.09247419225</v>
      </c>
      <c r="Y84" s="69">
        <f>Y$83*'Region OP Sales Goals'!V115</f>
        <v>39988.408205841442</v>
      </c>
      <c r="Z84" s="69">
        <f>Z$83*'Region OP Sales Goals'!W115</f>
        <v>44061.301634214185</v>
      </c>
      <c r="AA84" s="69">
        <f>AA$83*'Region OP Sales Goals'!X115</f>
        <v>39988.408205841442</v>
      </c>
      <c r="AB84" s="69">
        <f>AB$83*'Region OP Sales Goals'!Y115</f>
        <v>38673.076793878885</v>
      </c>
      <c r="AC84" s="69">
        <f>AC$83*'Region OP Sales Goals'!Z115</f>
        <v>39254.189893711766</v>
      </c>
      <c r="AD84" s="69">
        <f>AD$83*'Region OP Sales Goals'!AA115</f>
        <v>46197.990293089999</v>
      </c>
      <c r="AE84" s="69">
        <f>AE$83*'Region OP Sales Goals'!AB115</f>
        <v>48977.098017599965</v>
      </c>
      <c r="AF84" s="69">
        <f>AF$83*'Region OP Sales Goals'!AC115</f>
        <v>41709.39274050574</v>
      </c>
      <c r="AG84" s="69">
        <f>AG$83*'Region OP Sales Goals'!AD115</f>
        <v>50948.428355015552</v>
      </c>
      <c r="AH84" s="69">
        <f>AH$83*'Region OP Sales Goals'!AE115</f>
        <v>509770.73268242774</v>
      </c>
      <c r="AJ84" s="757"/>
      <c r="AK84" s="757"/>
      <c r="AL84" s="292" t="s">
        <v>99</v>
      </c>
      <c r="AM84" s="69">
        <v>48673</v>
      </c>
      <c r="AN84" s="69">
        <v>40628</v>
      </c>
      <c r="AO84" s="69">
        <v>43509</v>
      </c>
      <c r="AP84" s="69">
        <v>36594</v>
      </c>
      <c r="AQ84" s="69">
        <v>35167</v>
      </c>
      <c r="AR84" s="69">
        <v>39982</v>
      </c>
      <c r="AS84" s="69">
        <v>44485</v>
      </c>
      <c r="AT84" s="69">
        <v>35014</v>
      </c>
      <c r="AU84" s="69"/>
      <c r="AV84" s="69"/>
      <c r="AW84" s="69"/>
      <c r="AX84" s="69"/>
      <c r="AY84" s="69">
        <f>SUM(AM84:AX84)</f>
        <v>324052</v>
      </c>
      <c r="BA84" s="757"/>
      <c r="BB84" s="757"/>
      <c r="BC84" s="292" t="s">
        <v>99</v>
      </c>
      <c r="BD84" s="465">
        <f>AM84/V84</f>
        <v>1.4770246633601025</v>
      </c>
      <c r="BE84" s="465">
        <f t="shared" si="131"/>
        <v>0.97018035751905773</v>
      </c>
      <c r="BF84" s="465">
        <f t="shared" si="101"/>
        <v>0.91518721458954533</v>
      </c>
      <c r="BG84" s="465">
        <f t="shared" si="102"/>
        <v>0.91511519567449062</v>
      </c>
      <c r="BH84" s="465">
        <f t="shared" si="103"/>
        <v>0.79813801897972891</v>
      </c>
      <c r="BI84" s="465">
        <f t="shared" si="104"/>
        <v>0.9998397484138789</v>
      </c>
      <c r="BJ84" s="465">
        <f t="shared" si="105"/>
        <v>1.1502834449169304</v>
      </c>
      <c r="BK84" s="465">
        <f t="shared" si="106"/>
        <v>0.89198121512142037</v>
      </c>
      <c r="BL84" s="465">
        <f t="shared" si="107"/>
        <v>0</v>
      </c>
      <c r="BM84" s="465">
        <f t="shared" si="108"/>
        <v>0</v>
      </c>
      <c r="BN84" s="465">
        <f t="shared" si="109"/>
        <v>0</v>
      </c>
      <c r="BO84" s="465">
        <f t="shared" si="110"/>
        <v>0</v>
      </c>
      <c r="BP84" s="465">
        <f>AY84/AH84</f>
        <v>0.63568184523821014</v>
      </c>
    </row>
    <row r="85" spans="2:68" ht="16" customHeight="1">
      <c r="B85" s="769"/>
      <c r="C85" s="769"/>
      <c r="D85" s="292" t="s">
        <v>100</v>
      </c>
      <c r="E85" s="69">
        <v>54793</v>
      </c>
      <c r="F85" s="69">
        <v>51151</v>
      </c>
      <c r="G85" s="69">
        <v>47115</v>
      </c>
      <c r="H85" s="69">
        <v>42311</v>
      </c>
      <c r="I85" s="69">
        <v>39162</v>
      </c>
      <c r="J85" s="69">
        <v>38003</v>
      </c>
      <c r="K85" s="69">
        <v>46055</v>
      </c>
      <c r="L85" s="69">
        <v>48395</v>
      </c>
      <c r="M85" s="69">
        <v>43340</v>
      </c>
      <c r="N85" s="69">
        <v>44328</v>
      </c>
      <c r="O85" s="69">
        <v>48448</v>
      </c>
      <c r="P85" s="69">
        <v>50719</v>
      </c>
      <c r="Q85" s="69">
        <f t="shared" ref="Q85:Q90" si="146">SUM(E85:P85)</f>
        <v>553820</v>
      </c>
      <c r="S85" s="769"/>
      <c r="T85" s="769"/>
      <c r="U85" s="292" t="s">
        <v>100</v>
      </c>
      <c r="V85" s="69">
        <v>51836.825452016696</v>
      </c>
      <c r="W85" s="69">
        <v>50179.898352746874</v>
      </c>
      <c r="X85" s="69">
        <v>58353.687513448967</v>
      </c>
      <c r="Y85" s="69">
        <f>Y$83*'Region OP Sales Goals'!V116</f>
        <v>54058.403685674544</v>
      </c>
      <c r="Z85" s="69">
        <f>Z$83*'Region OP Sales Goals'!W116</f>
        <v>59427.217750347714</v>
      </c>
      <c r="AA85" s="69">
        <f>AA$83*'Region OP Sales Goals'!X116</f>
        <v>54058.403685674544</v>
      </c>
      <c r="AB85" s="69">
        <f>AB$83*'Region OP Sales Goals'!Y116</f>
        <v>52096.789400018664</v>
      </c>
      <c r="AC85" s="69">
        <f>AC$83*'Region OP Sales Goals'!Z116</f>
        <v>52978.399142265131</v>
      </c>
      <c r="AD85" s="69">
        <f>AD$83*'Region OP Sales Goals'!AA116</f>
        <v>62305.335567692266</v>
      </c>
      <c r="AE85" s="69">
        <f>AE$83*'Region OP Sales Goals'!AB116</f>
        <v>66190.063625234747</v>
      </c>
      <c r="AF85" s="69">
        <f>AF$83*'Region OP Sales Goals'!AC116</f>
        <v>56251.748063823841</v>
      </c>
      <c r="AG85" s="69">
        <f>AG$83*'Region OP Sales Goals'!AD116</f>
        <v>68963.342248501722</v>
      </c>
      <c r="AH85" s="69">
        <f>AH$83*'Region OP Sales Goals'!AE116</f>
        <v>678210.75986829377</v>
      </c>
      <c r="AJ85" s="757"/>
      <c r="AK85" s="757"/>
      <c r="AL85" s="292" t="s">
        <v>100</v>
      </c>
      <c r="AM85" s="69">
        <v>53839</v>
      </c>
      <c r="AN85" s="69">
        <v>44422</v>
      </c>
      <c r="AO85" s="69">
        <v>48426</v>
      </c>
      <c r="AP85" s="69">
        <v>47627</v>
      </c>
      <c r="AQ85" s="69">
        <v>43777</v>
      </c>
      <c r="AR85" s="69">
        <v>41580</v>
      </c>
      <c r="AS85" s="69">
        <v>45283</v>
      </c>
      <c r="AT85" s="69">
        <v>34943</v>
      </c>
      <c r="AU85" s="69"/>
      <c r="AV85" s="69"/>
      <c r="AW85" s="69"/>
      <c r="AX85" s="69"/>
      <c r="AY85" s="69">
        <f t="shared" ref="AY85:AY90" si="147">SUM(AM85:AX85)</f>
        <v>359897</v>
      </c>
      <c r="BA85" s="757"/>
      <c r="BB85" s="757"/>
      <c r="BC85" s="292" t="s">
        <v>100</v>
      </c>
      <c r="BD85" s="465">
        <f t="shared" ref="BD85:BD86" si="148">AM85/V85</f>
        <v>1.0386245594811094</v>
      </c>
      <c r="BE85" s="465">
        <f t="shared" si="131"/>
        <v>0.88525488209898529</v>
      </c>
      <c r="BF85" s="465">
        <f t="shared" si="101"/>
        <v>0.82987043430355789</v>
      </c>
      <c r="BG85" s="465">
        <f t="shared" si="102"/>
        <v>0.88102860522722271</v>
      </c>
      <c r="BH85" s="465">
        <f t="shared" si="103"/>
        <v>0.73664899110549154</v>
      </c>
      <c r="BI85" s="465">
        <f t="shared" si="104"/>
        <v>0.76916810643853106</v>
      </c>
      <c r="BJ85" s="465">
        <f t="shared" si="105"/>
        <v>0.86920903421322504</v>
      </c>
      <c r="BK85" s="465">
        <f t="shared" si="106"/>
        <v>0.65957070364029102</v>
      </c>
      <c r="BL85" s="465">
        <f t="shared" si="107"/>
        <v>0</v>
      </c>
      <c r="BM85" s="465">
        <f t="shared" si="108"/>
        <v>0</v>
      </c>
      <c r="BN85" s="465">
        <f t="shared" si="109"/>
        <v>0</v>
      </c>
      <c r="BO85" s="465">
        <f t="shared" si="110"/>
        <v>0</v>
      </c>
      <c r="BP85" s="465">
        <f t="shared" ref="BP85:BP90" si="149">AY85/AH85</f>
        <v>0.53065657653365861</v>
      </c>
    </row>
    <row r="86" spans="2:68" ht="16" customHeight="1">
      <c r="B86" s="769"/>
      <c r="C86" s="769"/>
      <c r="D86" s="292" t="s">
        <v>101</v>
      </c>
      <c r="E86" s="69">
        <v>36510</v>
      </c>
      <c r="F86" s="69">
        <v>32182</v>
      </c>
      <c r="G86" s="69">
        <v>34014</v>
      </c>
      <c r="H86" s="69">
        <v>34026</v>
      </c>
      <c r="I86" s="69">
        <v>34274</v>
      </c>
      <c r="J86" s="69">
        <v>34085</v>
      </c>
      <c r="K86" s="69">
        <v>37654</v>
      </c>
      <c r="L86" s="69">
        <v>46649</v>
      </c>
      <c r="M86" s="69">
        <v>33129</v>
      </c>
      <c r="N86" s="69">
        <v>42381</v>
      </c>
      <c r="O86" s="69">
        <v>49615</v>
      </c>
      <c r="P86" s="69">
        <v>46011</v>
      </c>
      <c r="Q86" s="69">
        <f t="shared" si="146"/>
        <v>460530</v>
      </c>
      <c r="S86" s="769"/>
      <c r="T86" s="769"/>
      <c r="U86" s="292" t="s">
        <v>101</v>
      </c>
      <c r="V86" s="69">
        <v>26103.544245479836</v>
      </c>
      <c r="W86" s="69">
        <v>26533.975028251047</v>
      </c>
      <c r="X86" s="69">
        <v>30893.128683590632</v>
      </c>
      <c r="Y86" s="69">
        <f>Y$83*'Region OP Sales Goals'!V117</f>
        <v>28510.253998609183</v>
      </c>
      <c r="Z86" s="69">
        <f>Z$83*'Region OP Sales Goals'!W117</f>
        <v>31472.358310152995</v>
      </c>
      <c r="AA86" s="69">
        <f>AA$83*'Region OP Sales Goals'!X117</f>
        <v>28510.253998609183</v>
      </c>
      <c r="AB86" s="69">
        <f>AB$83*'Region OP Sales Goals'!Y117</f>
        <v>27486.649622095738</v>
      </c>
      <c r="AC86" s="69">
        <f>AC$83*'Region OP Sales Goals'!Z117</f>
        <v>28038.707066936979</v>
      </c>
      <c r="AD86" s="69">
        <f>AD$83*'Region OP Sales Goals'!AA117</f>
        <v>32922.705726110114</v>
      </c>
      <c r="AE86" s="69">
        <f>AE$83*'Region OP Sales Goals'!AB117</f>
        <v>34958.290976330412</v>
      </c>
      <c r="AF86" s="69">
        <f>AF$83*'Region OP Sales Goals'!AC117</f>
        <v>29723.935056452367</v>
      </c>
      <c r="AG86" s="69">
        <f>AG$83*'Region OP Sales Goals'!AD117</f>
        <v>36452.052331350911</v>
      </c>
      <c r="AH86" s="69">
        <f>AH$83*'Region OP Sales Goals'!AE117</f>
        <v>351259.08108272054</v>
      </c>
      <c r="AJ86" s="757"/>
      <c r="AK86" s="757"/>
      <c r="AL86" s="292" t="s">
        <v>101</v>
      </c>
      <c r="AM86" s="69">
        <v>38280</v>
      </c>
      <c r="AN86" s="69">
        <v>32216</v>
      </c>
      <c r="AO86" s="69">
        <v>34934</v>
      </c>
      <c r="AP86" s="69">
        <v>31025</v>
      </c>
      <c r="AQ86" s="69">
        <v>29213</v>
      </c>
      <c r="AR86" s="69">
        <v>28763</v>
      </c>
      <c r="AS86" s="69">
        <v>32925</v>
      </c>
      <c r="AT86" s="69">
        <v>27506</v>
      </c>
      <c r="AU86" s="69"/>
      <c r="AV86" s="69"/>
      <c r="AW86" s="69"/>
      <c r="AX86" s="69"/>
      <c r="AY86" s="69">
        <f t="shared" si="147"/>
        <v>254862</v>
      </c>
      <c r="BA86" s="757"/>
      <c r="BB86" s="757"/>
      <c r="BC86" s="292" t="s">
        <v>101</v>
      </c>
      <c r="BD86" s="465">
        <f t="shared" si="148"/>
        <v>1.4664675279345898</v>
      </c>
      <c r="BE86" s="465">
        <f t="shared" si="131"/>
        <v>1.2141414908885393</v>
      </c>
      <c r="BF86" s="465">
        <f t="shared" si="101"/>
        <v>1.130801621221218</v>
      </c>
      <c r="BG86" s="465">
        <f t="shared" si="102"/>
        <v>1.0882049665889857</v>
      </c>
      <c r="BH86" s="465">
        <f t="shared" si="103"/>
        <v>0.92821134381200388</v>
      </c>
      <c r="BI86" s="465">
        <f t="shared" si="104"/>
        <v>1.0088650911844961</v>
      </c>
      <c r="BJ86" s="465">
        <f t="shared" si="105"/>
        <v>1.1978542475228602</v>
      </c>
      <c r="BK86" s="465">
        <f t="shared" si="106"/>
        <v>0.98100101172050325</v>
      </c>
      <c r="BL86" s="465">
        <f t="shared" si="107"/>
        <v>0</v>
      </c>
      <c r="BM86" s="465">
        <f t="shared" si="108"/>
        <v>0</v>
      </c>
      <c r="BN86" s="465">
        <f t="shared" si="109"/>
        <v>0</v>
      </c>
      <c r="BO86" s="465">
        <f t="shared" si="110"/>
        <v>0</v>
      </c>
      <c r="BP86" s="465">
        <f t="shared" si="149"/>
        <v>0.72556700659357676</v>
      </c>
    </row>
    <row r="87" spans="2:68" ht="16" customHeight="1">
      <c r="B87" s="769"/>
      <c r="C87" s="769"/>
      <c r="D87" s="292" t="s">
        <v>102</v>
      </c>
      <c r="E87" s="69">
        <v>17230</v>
      </c>
      <c r="F87" s="69">
        <v>16775</v>
      </c>
      <c r="G87" s="69">
        <v>19090</v>
      </c>
      <c r="H87" s="69">
        <v>20889</v>
      </c>
      <c r="I87" s="69">
        <v>18420</v>
      </c>
      <c r="J87" s="69">
        <v>18857</v>
      </c>
      <c r="K87" s="69">
        <v>22039</v>
      </c>
      <c r="L87" s="69">
        <v>23214</v>
      </c>
      <c r="M87" s="69">
        <v>23484</v>
      </c>
      <c r="N87" s="69">
        <v>24402</v>
      </c>
      <c r="O87" s="69">
        <v>22383</v>
      </c>
      <c r="P87" s="69">
        <v>20019</v>
      </c>
      <c r="Q87" s="69">
        <f t="shared" si="146"/>
        <v>246802</v>
      </c>
      <c r="S87" s="769"/>
      <c r="T87" s="769"/>
      <c r="U87" s="292" t="s">
        <v>102</v>
      </c>
      <c r="V87" s="69">
        <v>16291.573713490961</v>
      </c>
      <c r="W87" s="69">
        <v>17689.316685500697</v>
      </c>
      <c r="X87" s="69">
        <v>20595.419122393752</v>
      </c>
      <c r="Y87" s="69">
        <f>Y$83*'Region OP Sales Goals'!V118</f>
        <v>19809.072583449237</v>
      </c>
      <c r="Z87" s="69">
        <f>Z$83*'Region OP Sales Goals'!W118</f>
        <v>21845.519297635605</v>
      </c>
      <c r="AA87" s="69">
        <f>AA$83*'Region OP Sales Goals'!X118</f>
        <v>19809.072583449237</v>
      </c>
      <c r="AB87" s="69">
        <f>AB$83*'Region OP Sales Goals'!Y118</f>
        <v>19016.926192031355</v>
      </c>
      <c r="AC87" s="69">
        <f>AC$83*'Region OP Sales Goals'!Z118</f>
        <v>19331.950661940758</v>
      </c>
      <c r="AD87" s="69">
        <f>AD$83*'Region OP Sales Goals'!AA118</f>
        <v>22833.489455205403</v>
      </c>
      <c r="AE87" s="69">
        <f>AE$83*'Region OP Sales Goals'!AB118</f>
        <v>24133.642501426075</v>
      </c>
      <c r="AF87" s="69">
        <f>AF$83*'Region OP Sales Goals'!AC118</f>
        <v>20614.987216571804</v>
      </c>
      <c r="AG87" s="69">
        <f>AG$83*'Region OP Sales Goals'!AD118</f>
        <v>25192.731147922055</v>
      </c>
      <c r="AH87" s="69">
        <f>AH$83*'Region OP Sales Goals'!AE118</f>
        <v>245470.52742330471</v>
      </c>
      <c r="AJ87" s="757"/>
      <c r="AK87" s="757"/>
      <c r="AL87" s="292" t="s">
        <v>102</v>
      </c>
      <c r="AM87" s="69">
        <v>21878</v>
      </c>
      <c r="AN87" s="69">
        <v>21249</v>
      </c>
      <c r="AO87" s="69">
        <v>19545</v>
      </c>
      <c r="AP87" s="69">
        <v>19010</v>
      </c>
      <c r="AQ87" s="69">
        <v>19809</v>
      </c>
      <c r="AR87" s="69">
        <v>19794</v>
      </c>
      <c r="AS87" s="69">
        <v>18868</v>
      </c>
      <c r="AT87" s="69">
        <v>14200</v>
      </c>
      <c r="AU87" s="69"/>
      <c r="AV87" s="69"/>
      <c r="AW87" s="69"/>
      <c r="AX87" s="69"/>
      <c r="AY87" s="69">
        <f t="shared" si="147"/>
        <v>154353</v>
      </c>
      <c r="BA87" s="757"/>
      <c r="BB87" s="757"/>
      <c r="BC87" s="292" t="s">
        <v>102</v>
      </c>
      <c r="BD87" s="465">
        <f>AM87/V87</f>
        <v>1.3429028026852281</v>
      </c>
      <c r="BE87" s="465">
        <f t="shared" si="131"/>
        <v>1.2012335116040433</v>
      </c>
      <c r="BF87" s="465">
        <f t="shared" si="101"/>
        <v>0.94899743888913557</v>
      </c>
      <c r="BG87" s="465">
        <f t="shared" si="102"/>
        <v>0.95966128247130189</v>
      </c>
      <c r="BH87" s="465">
        <f t="shared" si="103"/>
        <v>0.90677633843860961</v>
      </c>
      <c r="BI87" s="465">
        <f t="shared" si="104"/>
        <v>0.99923910706138608</v>
      </c>
      <c r="BJ87" s="465">
        <f t="shared" si="105"/>
        <v>0.99216875584794773</v>
      </c>
      <c r="BK87" s="465">
        <f t="shared" si="106"/>
        <v>0.73453529073793133</v>
      </c>
      <c r="BL87" s="465">
        <f t="shared" si="107"/>
        <v>0</v>
      </c>
      <c r="BM87" s="465">
        <f t="shared" si="108"/>
        <v>0</v>
      </c>
      <c r="BN87" s="465">
        <f t="shared" si="109"/>
        <v>0</v>
      </c>
      <c r="BO87" s="465">
        <f t="shared" si="110"/>
        <v>0</v>
      </c>
      <c r="BP87" s="465">
        <f t="shared" si="149"/>
        <v>0.62880461300278234</v>
      </c>
    </row>
    <row r="88" spans="2:68" ht="16" customHeight="1">
      <c r="B88" s="769"/>
      <c r="C88" s="769"/>
      <c r="D88" s="292" t="s">
        <v>103</v>
      </c>
      <c r="E88" s="69">
        <v>41785</v>
      </c>
      <c r="F88" s="69">
        <v>41107</v>
      </c>
      <c r="G88" s="69">
        <v>48235</v>
      </c>
      <c r="H88" s="69">
        <v>50291</v>
      </c>
      <c r="I88" s="69">
        <v>48650</v>
      </c>
      <c r="J88" s="69">
        <v>46128</v>
      </c>
      <c r="K88" s="69">
        <v>48515</v>
      </c>
      <c r="L88" s="69">
        <v>56186</v>
      </c>
      <c r="M88" s="69">
        <v>46347</v>
      </c>
      <c r="N88" s="69">
        <v>51840</v>
      </c>
      <c r="O88" s="69">
        <v>50957</v>
      </c>
      <c r="P88" s="69">
        <v>57671</v>
      </c>
      <c r="Q88" s="69">
        <f t="shared" si="146"/>
        <v>587712</v>
      </c>
      <c r="S88" s="769"/>
      <c r="T88" s="769"/>
      <c r="U88" s="292" t="s">
        <v>103</v>
      </c>
      <c r="V88" s="69">
        <v>37211.435413769126</v>
      </c>
      <c r="W88" s="69">
        <v>37364.168917333103</v>
      </c>
      <c r="X88" s="69">
        <v>43593.637142400112</v>
      </c>
      <c r="Y88" s="69">
        <f>Y$83*'Region OP Sales Goals'!V119</f>
        <v>40914.065803198893</v>
      </c>
      <c r="Z88" s="69">
        <f>Z$83*'Region OP Sales Goals'!W119</f>
        <v>44986.959231571629</v>
      </c>
      <c r="AA88" s="69">
        <f>AA$83*'Region OP Sales Goals'!X119</f>
        <v>40914.065803198893</v>
      </c>
      <c r="AB88" s="69">
        <f>AB$83*'Region OP Sales Goals'!Y119</f>
        <v>39472.107306149112</v>
      </c>
      <c r="AC88" s="69">
        <f>AC$83*'Region OP Sales Goals'!Z119</f>
        <v>40139.62274845715</v>
      </c>
      <c r="AD88" s="69">
        <f>AD$83*'Region OP Sales Goals'!AA119</f>
        <v>47260.013058448392</v>
      </c>
      <c r="AE88" s="69">
        <f>AE$83*'Region OP Sales Goals'!AB119</f>
        <v>50041.817539721706</v>
      </c>
      <c r="AF88" s="69">
        <f>AF$83*'Region OP Sales Goals'!AC119</f>
        <v>42668.229355230011</v>
      </c>
      <c r="AG88" s="69">
        <f>AG$83*'Region OP Sales Goals'!AD119</f>
        <v>52215.101988151306</v>
      </c>
      <c r="AH88" s="69">
        <f>AH$83*'Region OP Sales Goals'!AE119</f>
        <v>516617.88825908891</v>
      </c>
      <c r="AJ88" s="757"/>
      <c r="AK88" s="757"/>
      <c r="AL88" s="292" t="s">
        <v>103</v>
      </c>
      <c r="AM88" s="69">
        <v>54853</v>
      </c>
      <c r="AN88" s="69">
        <v>49257</v>
      </c>
      <c r="AO88" s="69">
        <v>61763</v>
      </c>
      <c r="AP88" s="69">
        <v>46651</v>
      </c>
      <c r="AQ88" s="69">
        <v>50893</v>
      </c>
      <c r="AR88" s="69">
        <v>47665</v>
      </c>
      <c r="AS88" s="69">
        <v>56661</v>
      </c>
      <c r="AT88" s="69">
        <v>40468</v>
      </c>
      <c r="AU88" s="69"/>
      <c r="AV88" s="69"/>
      <c r="AW88" s="69"/>
      <c r="AX88" s="69"/>
      <c r="AY88" s="69">
        <f t="shared" si="147"/>
        <v>408211</v>
      </c>
      <c r="BA88" s="757"/>
      <c r="BB88" s="757"/>
      <c r="BC88" s="292" t="s">
        <v>103</v>
      </c>
      <c r="BD88" s="465">
        <f t="shared" ref="BD88:BD90" si="150">AM88/V88</f>
        <v>1.4740898702258358</v>
      </c>
      <c r="BE88" s="465">
        <f t="shared" si="131"/>
        <v>1.3182950786080472</v>
      </c>
      <c r="BF88" s="465">
        <f t="shared" si="101"/>
        <v>1.4167893309349031</v>
      </c>
      <c r="BG88" s="465">
        <f t="shared" si="102"/>
        <v>1.1402191174154235</v>
      </c>
      <c r="BH88" s="465">
        <f t="shared" si="103"/>
        <v>1.131283395661993</v>
      </c>
      <c r="BI88" s="465">
        <f t="shared" si="104"/>
        <v>1.165002770178692</v>
      </c>
      <c r="BJ88" s="465">
        <f t="shared" si="105"/>
        <v>1.4354693444799471</v>
      </c>
      <c r="BK88" s="465">
        <f t="shared" si="106"/>
        <v>1.0081808753809345</v>
      </c>
      <c r="BL88" s="465">
        <f t="shared" si="107"/>
        <v>0</v>
      </c>
      <c r="BM88" s="465">
        <f t="shared" si="108"/>
        <v>0</v>
      </c>
      <c r="BN88" s="465">
        <f t="shared" si="109"/>
        <v>0</v>
      </c>
      <c r="BO88" s="465">
        <f t="shared" si="110"/>
        <v>0</v>
      </c>
      <c r="BP88" s="465">
        <f t="shared" si="149"/>
        <v>0.79016040535413712</v>
      </c>
    </row>
    <row r="89" spans="2:68" ht="16" customHeight="1">
      <c r="B89" s="769"/>
      <c r="C89" s="769"/>
      <c r="D89" s="292" t="s">
        <v>104</v>
      </c>
      <c r="E89" s="69">
        <v>63183</v>
      </c>
      <c r="F89" s="69">
        <v>63985</v>
      </c>
      <c r="G89" s="69">
        <v>74453</v>
      </c>
      <c r="H89" s="69">
        <v>74018</v>
      </c>
      <c r="I89" s="69">
        <v>73913</v>
      </c>
      <c r="J89" s="69">
        <v>69782</v>
      </c>
      <c r="K89" s="69">
        <v>89914</v>
      </c>
      <c r="L89" s="69">
        <v>104699</v>
      </c>
      <c r="M89" s="69">
        <v>103381</v>
      </c>
      <c r="N89" s="69">
        <v>113573</v>
      </c>
      <c r="O89" s="69">
        <v>109014</v>
      </c>
      <c r="P89" s="69">
        <v>109210</v>
      </c>
      <c r="Q89" s="69">
        <f t="shared" si="146"/>
        <v>1049125</v>
      </c>
      <c r="S89" s="769"/>
      <c r="T89" s="769"/>
      <c r="U89" s="292" t="s">
        <v>104</v>
      </c>
      <c r="V89" s="69">
        <v>70349.977399165524</v>
      </c>
      <c r="W89" s="69">
        <v>69854.750584579291</v>
      </c>
      <c r="X89" s="69">
        <v>85642.617850620692</v>
      </c>
      <c r="Y89" s="69">
        <f>Y$83*'Region OP Sales Goals'!V120</f>
        <v>83124.052242698192</v>
      </c>
      <c r="Z89" s="69">
        <f>Z$83*'Region OP Sales Goals'!W120</f>
        <v>91269.839099443678</v>
      </c>
      <c r="AA89" s="69">
        <f>AA$83*'Region OP Sales Goals'!X120</f>
        <v>83124.052242698192</v>
      </c>
      <c r="AB89" s="69">
        <f>AB$83*'Region OP Sales Goals'!Y120</f>
        <v>80062.857329476537</v>
      </c>
      <c r="AC89" s="69">
        <f>AC$83*'Region OP Sales Goals'!Z120</f>
        <v>81312.250494117237</v>
      </c>
      <c r="AD89" s="69">
        <f>AD$83*'Region OP Sales Goals'!AA120</f>
        <v>95759.052676481573</v>
      </c>
      <c r="AE89" s="69">
        <f>AE$83*'Region OP Sales Goals'!AB120</f>
        <v>101503.26110893907</v>
      </c>
      <c r="AF89" s="69">
        <f>AF$83*'Region OP Sales Goals'!AC120</f>
        <v>86455.101427638336</v>
      </c>
      <c r="AG89" s="69">
        <f>AG$83*'Region OP Sales Goals'!AD120</f>
        <v>105837.61912423122</v>
      </c>
      <c r="AH89" s="69">
        <f>AH$83*'Region OP Sales Goals'!AE120</f>
        <v>1039227.0376477565</v>
      </c>
      <c r="AJ89" s="757"/>
      <c r="AK89" s="757"/>
      <c r="AL89" s="292" t="s">
        <v>104</v>
      </c>
      <c r="AM89" s="69">
        <v>115705</v>
      </c>
      <c r="AN89" s="69">
        <v>98393</v>
      </c>
      <c r="AO89" s="69">
        <v>98236</v>
      </c>
      <c r="AP89" s="69">
        <v>99049</v>
      </c>
      <c r="AQ89" s="156">
        <v>95926</v>
      </c>
      <c r="AR89" s="156">
        <v>85478</v>
      </c>
      <c r="AS89" s="156">
        <v>88202</v>
      </c>
      <c r="AT89" s="156">
        <v>61962</v>
      </c>
      <c r="AU89" s="69"/>
      <c r="AV89" s="69"/>
      <c r="AW89" s="69"/>
      <c r="AX89" s="69"/>
      <c r="AY89" s="69">
        <f t="shared" si="147"/>
        <v>742951</v>
      </c>
      <c r="BA89" s="757"/>
      <c r="BB89" s="757"/>
      <c r="BC89" s="292" t="s">
        <v>104</v>
      </c>
      <c r="BD89" s="465">
        <f t="shared" si="150"/>
        <v>1.6447055745802197</v>
      </c>
      <c r="BE89" s="465">
        <f t="shared" si="131"/>
        <v>1.4085369882019254</v>
      </c>
      <c r="BF89" s="465">
        <f t="shared" si="101"/>
        <v>1.1470457403736174</v>
      </c>
      <c r="BG89" s="465">
        <f t="shared" si="102"/>
        <v>1.19158050320749</v>
      </c>
      <c r="BH89" s="465">
        <f t="shared" si="103"/>
        <v>1.0510153293409794</v>
      </c>
      <c r="BI89" s="465">
        <f t="shared" si="104"/>
        <v>1.0283184913847674</v>
      </c>
      <c r="BJ89" s="465">
        <f t="shared" si="105"/>
        <v>1.1016594078953375</v>
      </c>
      <c r="BK89" s="465">
        <f t="shared" si="106"/>
        <v>0.7620253974458967</v>
      </c>
      <c r="BL89" s="465">
        <f t="shared" si="107"/>
        <v>0</v>
      </c>
      <c r="BM89" s="465">
        <f t="shared" si="108"/>
        <v>0</v>
      </c>
      <c r="BN89" s="465">
        <f t="shared" si="109"/>
        <v>0</v>
      </c>
      <c r="BO89" s="465">
        <f t="shared" si="110"/>
        <v>0</v>
      </c>
      <c r="BP89" s="465">
        <f t="shared" si="149"/>
        <v>0.71490730426109395</v>
      </c>
    </row>
    <row r="90" spans="2:68" ht="16" customHeight="1">
      <c r="B90" s="770"/>
      <c r="C90" s="770"/>
      <c r="D90" s="292" t="s">
        <v>105</v>
      </c>
      <c r="E90" s="69">
        <v>36403</v>
      </c>
      <c r="F90" s="69">
        <v>34857</v>
      </c>
      <c r="G90" s="69">
        <v>38560</v>
      </c>
      <c r="H90" s="69">
        <v>36975</v>
      </c>
      <c r="I90" s="69">
        <v>36668</v>
      </c>
      <c r="J90" s="69">
        <v>31952</v>
      </c>
      <c r="K90" s="69">
        <v>28767</v>
      </c>
      <c r="L90" s="69">
        <v>37298</v>
      </c>
      <c r="M90" s="69">
        <v>38934</v>
      </c>
      <c r="N90" s="69">
        <v>38616</v>
      </c>
      <c r="O90" s="69">
        <v>34866</v>
      </c>
      <c r="P90" s="69">
        <v>43449</v>
      </c>
      <c r="Q90" s="69">
        <f t="shared" si="146"/>
        <v>437345</v>
      </c>
      <c r="S90" s="770"/>
      <c r="T90" s="770"/>
      <c r="U90" s="292" t="s">
        <v>105</v>
      </c>
      <c r="V90" s="69">
        <v>42950.512517385265</v>
      </c>
      <c r="W90" s="69">
        <v>45306.311102659944</v>
      </c>
      <c r="X90" s="69">
        <v>49772.262879118236</v>
      </c>
      <c r="Y90" s="69">
        <f>Y$83*'Region OP Sales Goals'!V121</f>
        <v>48319.32658205842</v>
      </c>
      <c r="Z90" s="69">
        <f>Z$83*'Region OP Sales Goals'!W121</f>
        <v>53132.746088317115</v>
      </c>
      <c r="AA90" s="69">
        <f>AA$83*'Region OP Sales Goals'!X121</f>
        <v>48319.32658205842</v>
      </c>
      <c r="AB90" s="69">
        <f>AB$83*'Region OP Sales Goals'!Y121</f>
        <v>46823.18801903518</v>
      </c>
      <c r="AC90" s="69">
        <f>AC$83*'Region OP Sales Goals'!Z121</f>
        <v>47370.657728877741</v>
      </c>
      <c r="AD90" s="69">
        <f>AD$83*'Region OP Sales Goals'!AA121</f>
        <v>55579.191387089115</v>
      </c>
      <c r="AE90" s="69">
        <f>AE$83*'Region OP Sales Goals'!AB121</f>
        <v>59269.386731443439</v>
      </c>
      <c r="AF90" s="69">
        <f>AF$83*'Region OP Sales Goals'!AC121</f>
        <v>50179.116170570123</v>
      </c>
      <c r="AG90" s="69">
        <f>AG$83*'Region OP Sales Goals'!AD121</f>
        <v>61504.041964480108</v>
      </c>
      <c r="AH90" s="69">
        <f>AH$83*'Region OP Sales Goals'!AE121</f>
        <v>623947.05192325357</v>
      </c>
      <c r="AJ90" s="757"/>
      <c r="AK90" s="757"/>
      <c r="AL90" s="292" t="s">
        <v>105</v>
      </c>
      <c r="AM90" s="69">
        <v>39618</v>
      </c>
      <c r="AN90" s="69">
        <v>41033</v>
      </c>
      <c r="AO90" s="69">
        <v>42131</v>
      </c>
      <c r="AP90" s="69">
        <v>38705</v>
      </c>
      <c r="AQ90" s="69">
        <v>38198</v>
      </c>
      <c r="AR90" s="69">
        <v>36929</v>
      </c>
      <c r="AS90" s="69">
        <v>44643</v>
      </c>
      <c r="AT90" s="69">
        <v>30851</v>
      </c>
      <c r="AU90" s="69"/>
      <c r="AV90" s="69"/>
      <c r="AW90" s="69"/>
      <c r="AX90" s="69"/>
      <c r="AY90" s="69">
        <f t="shared" si="147"/>
        <v>312108</v>
      </c>
      <c r="BA90" s="757"/>
      <c r="BB90" s="757"/>
      <c r="BC90" s="292" t="s">
        <v>105</v>
      </c>
      <c r="BD90" s="465">
        <f t="shared" si="150"/>
        <v>0.92241041323927508</v>
      </c>
      <c r="BE90" s="465">
        <f t="shared" si="131"/>
        <v>0.90567956210389733</v>
      </c>
      <c r="BF90" s="465">
        <f t="shared" si="101"/>
        <v>0.84647547776406007</v>
      </c>
      <c r="BG90" s="465">
        <f t="shared" si="102"/>
        <v>0.80102523643969115</v>
      </c>
      <c r="BH90" s="465">
        <f t="shared" si="103"/>
        <v>0.71891635219657912</v>
      </c>
      <c r="BI90" s="465">
        <f t="shared" si="104"/>
        <v>0.76426975730477598</v>
      </c>
      <c r="BJ90" s="465">
        <f t="shared" si="105"/>
        <v>0.95343785608641463</v>
      </c>
      <c r="BK90" s="465">
        <f t="shared" si="106"/>
        <v>0.65126813684060059</v>
      </c>
      <c r="BL90" s="465">
        <f t="shared" si="107"/>
        <v>0</v>
      </c>
      <c r="BM90" s="465">
        <f t="shared" si="108"/>
        <v>0</v>
      </c>
      <c r="BN90" s="465">
        <f t="shared" si="109"/>
        <v>0</v>
      </c>
      <c r="BO90" s="465">
        <f t="shared" si="110"/>
        <v>0</v>
      </c>
      <c r="BP90" s="465">
        <f t="shared" si="149"/>
        <v>0.50021552155420679</v>
      </c>
    </row>
    <row r="92" spans="2:68" ht="50" customHeight="1">
      <c r="B92" s="771" t="s">
        <v>340</v>
      </c>
      <c r="C92" s="772"/>
      <c r="D92" s="772"/>
      <c r="E92" s="772"/>
      <c r="F92" s="772"/>
      <c r="G92" s="772"/>
      <c r="H92" s="772"/>
      <c r="I92" s="772"/>
      <c r="J92" s="772"/>
      <c r="K92" s="772"/>
      <c r="L92" s="772"/>
      <c r="M92" s="772"/>
      <c r="N92" s="772"/>
      <c r="O92" s="772"/>
      <c r="P92" s="772"/>
      <c r="Q92" s="773"/>
      <c r="S92" s="771" t="s">
        <v>341</v>
      </c>
      <c r="T92" s="772"/>
      <c r="U92" s="772"/>
      <c r="V92" s="772"/>
      <c r="W92" s="772"/>
      <c r="X92" s="772"/>
      <c r="Y92" s="772"/>
      <c r="Z92" s="772"/>
      <c r="AA92" s="772"/>
      <c r="AB92" s="772"/>
      <c r="AC92" s="772"/>
      <c r="AD92" s="772"/>
      <c r="AE92" s="772"/>
      <c r="AF92" s="772"/>
      <c r="AG92" s="772"/>
      <c r="AH92" s="773"/>
      <c r="AJ92" s="771" t="s">
        <v>342</v>
      </c>
      <c r="AK92" s="772"/>
      <c r="AL92" s="772"/>
      <c r="AM92" s="772"/>
      <c r="AN92" s="772"/>
      <c r="AO92" s="772"/>
      <c r="AP92" s="772"/>
      <c r="AQ92" s="772"/>
      <c r="AR92" s="772"/>
      <c r="AS92" s="772"/>
      <c r="AT92" s="772"/>
      <c r="AU92" s="772"/>
      <c r="AV92" s="772"/>
      <c r="AW92" s="772"/>
      <c r="AX92" s="772"/>
      <c r="AY92" s="773"/>
      <c r="BA92" s="771" t="s">
        <v>343</v>
      </c>
      <c r="BB92" s="772"/>
      <c r="BC92" s="772"/>
      <c r="BD92" s="772"/>
      <c r="BE92" s="772"/>
      <c r="BF92" s="772"/>
      <c r="BG92" s="772"/>
      <c r="BH92" s="772"/>
      <c r="BI92" s="772"/>
      <c r="BJ92" s="772"/>
      <c r="BK92" s="772"/>
      <c r="BL92" s="772"/>
      <c r="BM92" s="772"/>
      <c r="BN92" s="772"/>
      <c r="BO92" s="772"/>
      <c r="BP92" s="773"/>
    </row>
    <row r="93" spans="2:68">
      <c r="B93" s="765" t="s">
        <v>249</v>
      </c>
      <c r="C93" s="766"/>
      <c r="D93" s="767"/>
      <c r="E93" s="234" t="s">
        <v>252</v>
      </c>
      <c r="F93" s="234" t="s">
        <v>253</v>
      </c>
      <c r="G93" s="234" t="s">
        <v>230</v>
      </c>
      <c r="H93" s="234" t="s">
        <v>254</v>
      </c>
      <c r="I93" s="234" t="s">
        <v>78</v>
      </c>
      <c r="J93" s="234" t="s">
        <v>255</v>
      </c>
      <c r="K93" s="234" t="s">
        <v>256</v>
      </c>
      <c r="L93" s="234" t="s">
        <v>236</v>
      </c>
      <c r="M93" s="234" t="s">
        <v>257</v>
      </c>
      <c r="N93" s="234" t="s">
        <v>258</v>
      </c>
      <c r="O93" s="234" t="s">
        <v>259</v>
      </c>
      <c r="P93" s="234" t="s">
        <v>260</v>
      </c>
      <c r="Q93" s="234" t="s">
        <v>24</v>
      </c>
      <c r="S93" s="765" t="s">
        <v>249</v>
      </c>
      <c r="T93" s="766"/>
      <c r="U93" s="767"/>
      <c r="V93" s="234" t="s">
        <v>252</v>
      </c>
      <c r="W93" s="234" t="s">
        <v>253</v>
      </c>
      <c r="X93" s="234" t="s">
        <v>230</v>
      </c>
      <c r="Y93" s="234" t="s">
        <v>254</v>
      </c>
      <c r="Z93" s="234" t="s">
        <v>78</v>
      </c>
      <c r="AA93" s="234" t="s">
        <v>255</v>
      </c>
      <c r="AB93" s="234" t="s">
        <v>256</v>
      </c>
      <c r="AC93" s="234" t="s">
        <v>236</v>
      </c>
      <c r="AD93" s="234" t="s">
        <v>257</v>
      </c>
      <c r="AE93" s="234" t="s">
        <v>258</v>
      </c>
      <c r="AF93" s="234" t="s">
        <v>259</v>
      </c>
      <c r="AG93" s="234" t="s">
        <v>260</v>
      </c>
      <c r="AH93" s="234" t="s">
        <v>24</v>
      </c>
      <c r="AJ93" s="765" t="s">
        <v>249</v>
      </c>
      <c r="AK93" s="766"/>
      <c r="AL93" s="767"/>
      <c r="AM93" s="234" t="s">
        <v>252</v>
      </c>
      <c r="AN93" s="234" t="s">
        <v>253</v>
      </c>
      <c r="AO93" s="234" t="s">
        <v>230</v>
      </c>
      <c r="AP93" s="234" t="s">
        <v>254</v>
      </c>
      <c r="AQ93" s="234" t="s">
        <v>78</v>
      </c>
      <c r="AR93" s="234" t="s">
        <v>255</v>
      </c>
      <c r="AS93" s="234" t="s">
        <v>256</v>
      </c>
      <c r="AT93" s="234" t="s">
        <v>236</v>
      </c>
      <c r="AU93" s="234" t="s">
        <v>257</v>
      </c>
      <c r="AV93" s="234" t="s">
        <v>258</v>
      </c>
      <c r="AW93" s="234" t="s">
        <v>259</v>
      </c>
      <c r="AX93" s="234" t="s">
        <v>260</v>
      </c>
      <c r="AY93" s="234" t="s">
        <v>24</v>
      </c>
      <c r="BA93" s="765" t="s">
        <v>249</v>
      </c>
      <c r="BB93" s="766"/>
      <c r="BC93" s="767"/>
      <c r="BD93" s="234" t="s">
        <v>252</v>
      </c>
      <c r="BE93" s="234" t="s">
        <v>253</v>
      </c>
      <c r="BF93" s="234" t="s">
        <v>230</v>
      </c>
      <c r="BG93" s="234" t="s">
        <v>254</v>
      </c>
      <c r="BH93" s="234" t="s">
        <v>78</v>
      </c>
      <c r="BI93" s="234" t="s">
        <v>255</v>
      </c>
      <c r="BJ93" s="234" t="s">
        <v>256</v>
      </c>
      <c r="BK93" s="234" t="s">
        <v>236</v>
      </c>
      <c r="BL93" s="234" t="s">
        <v>257</v>
      </c>
      <c r="BM93" s="234" t="s">
        <v>258</v>
      </c>
      <c r="BN93" s="234" t="s">
        <v>259</v>
      </c>
      <c r="BO93" s="234" t="s">
        <v>260</v>
      </c>
      <c r="BP93" s="234" t="s">
        <v>24</v>
      </c>
    </row>
    <row r="94" spans="2:68">
      <c r="B94" s="768" t="s">
        <v>48</v>
      </c>
      <c r="C94" s="768" t="s">
        <v>49</v>
      </c>
      <c r="D94" s="343" t="s">
        <v>50</v>
      </c>
      <c r="E94" s="344">
        <f>E95+E103</f>
        <v>27273</v>
      </c>
      <c r="F94" s="344">
        <f t="shared" ref="F94:Q94" si="151">F95+F103</f>
        <v>25861</v>
      </c>
      <c r="G94" s="344">
        <f t="shared" si="151"/>
        <v>29984</v>
      </c>
      <c r="H94" s="344">
        <f t="shared" si="151"/>
        <v>30855</v>
      </c>
      <c r="I94" s="344">
        <f t="shared" si="151"/>
        <v>31077</v>
      </c>
      <c r="J94" s="344">
        <f t="shared" si="151"/>
        <v>28961</v>
      </c>
      <c r="K94" s="344">
        <f t="shared" si="151"/>
        <v>31804</v>
      </c>
      <c r="L94" s="344">
        <f t="shared" si="151"/>
        <v>44466</v>
      </c>
      <c r="M94" s="344">
        <f t="shared" si="151"/>
        <v>38489</v>
      </c>
      <c r="N94" s="344">
        <f t="shared" si="151"/>
        <v>40882</v>
      </c>
      <c r="O94" s="344">
        <f t="shared" si="151"/>
        <v>39508</v>
      </c>
      <c r="P94" s="344">
        <f t="shared" si="151"/>
        <v>45365</v>
      </c>
      <c r="Q94" s="344">
        <f t="shared" si="151"/>
        <v>414525</v>
      </c>
      <c r="S94" s="768" t="s">
        <v>48</v>
      </c>
      <c r="T94" s="768" t="s">
        <v>49</v>
      </c>
      <c r="U94" s="343" t="s">
        <v>50</v>
      </c>
      <c r="V94" s="344">
        <v>34676.863084922014</v>
      </c>
      <c r="W94" s="344">
        <v>33481.109185441943</v>
      </c>
      <c r="X94" s="344">
        <v>39995.204342273304</v>
      </c>
      <c r="Y94" s="344" cm="1">
        <f t="array" ref="Y94">INDEX('Research Goals'!$G$64:$G$75, COLUMN()-COLUMN($V$3)+1)</f>
        <v>35356.38648180243</v>
      </c>
      <c r="Z94" s="344" cm="1">
        <f t="array" ref="Z94">INDEX('Research Goals'!$G$64:$G$75, COLUMN()-COLUMN($V$3)+1)</f>
        <v>41059.029462738305</v>
      </c>
      <c r="AA94" s="344" cm="1">
        <f t="array" ref="AA94">INDEX('Research Goals'!$G$64:$G$75, COLUMN()-COLUMN($V$3)+1)</f>
        <v>34215.857885615253</v>
      </c>
      <c r="AB94" s="344" cm="1">
        <f t="array" ref="AB94">INDEX('Research Goals'!$G$64:$G$75, COLUMN()-COLUMN($V$3)+1)</f>
        <v>35543.895274584931</v>
      </c>
      <c r="AC94" s="344" cm="1">
        <f t="array" ref="AC94">INDEX('Research Goals'!$G$64:$G$75, COLUMN()-COLUMN($V$3)+1)</f>
        <v>38680.121328224777</v>
      </c>
      <c r="AD94" s="344" cm="1">
        <f t="array" ref="AD94">INDEX('Research Goals'!$G$64:$G$75, COLUMN()-COLUMN($V$3)+1)</f>
        <v>40260.659445407284</v>
      </c>
      <c r="AE94" s="344" cm="1">
        <f t="array" ref="AE94">INDEX('Research Goals'!$G$64:$G$75, COLUMN()-COLUMN($V$3)+1)</f>
        <v>41059.029462738305</v>
      </c>
      <c r="AF94" s="344" cm="1">
        <f t="array" ref="AF94">INDEX('Research Goals'!$G$64:$G$75, COLUMN()-COLUMN($V$3)+1)</f>
        <v>34498.486590038316</v>
      </c>
      <c r="AG94" s="344" cm="1">
        <f t="array" ref="AG94">INDEX('Research Goals'!$G$64:$G$75, COLUMN()-COLUMN($V$3)+1)</f>
        <v>39725.530012771393</v>
      </c>
      <c r="AH94" s="345">
        <f>SUM(V94:AG94)</f>
        <v>448552.17255655827</v>
      </c>
      <c r="AI94" s="47"/>
      <c r="AJ94" s="757" t="s">
        <v>48</v>
      </c>
      <c r="AK94" s="757" t="s">
        <v>49</v>
      </c>
      <c r="AL94" s="343" t="s">
        <v>50</v>
      </c>
      <c r="AM94" s="344">
        <f>AM95+AM103</f>
        <v>41181.571428571428</v>
      </c>
      <c r="AN94" s="344">
        <f t="shared" ref="AN94:AY94" si="152">AN95+AN103</f>
        <v>36810.857142857145</v>
      </c>
      <c r="AO94" s="344">
        <f t="shared" si="152"/>
        <v>36003</v>
      </c>
      <c r="AP94" s="344">
        <f t="shared" si="152"/>
        <v>42552.28571428571</v>
      </c>
      <c r="AQ94" s="344">
        <f t="shared" si="152"/>
        <v>37544.71428571429</v>
      </c>
      <c r="AR94" s="344">
        <f t="shared" si="152"/>
        <v>31059.285714285714</v>
      </c>
      <c r="AS94" s="344">
        <f t="shared" si="152"/>
        <v>43315</v>
      </c>
      <c r="AT94" s="344">
        <f t="shared" si="152"/>
        <v>36475.71428571429</v>
      </c>
      <c r="AU94" s="344">
        <f t="shared" si="152"/>
        <v>0</v>
      </c>
      <c r="AV94" s="344">
        <f t="shared" si="152"/>
        <v>0</v>
      </c>
      <c r="AW94" s="344">
        <f t="shared" si="152"/>
        <v>0</v>
      </c>
      <c r="AX94" s="344">
        <f t="shared" si="152"/>
        <v>0</v>
      </c>
      <c r="AY94" s="344">
        <f t="shared" si="152"/>
        <v>304942.42857142858</v>
      </c>
      <c r="BA94" s="757" t="s">
        <v>48</v>
      </c>
      <c r="BB94" s="757" t="s">
        <v>49</v>
      </c>
      <c r="BC94" s="343" t="s">
        <v>50</v>
      </c>
      <c r="BD94" s="463">
        <f>AM94/V94</f>
        <v>1.1875806449885529</v>
      </c>
      <c r="BE94" s="463">
        <f>AN94/W94</f>
        <v>1.0994515426287914</v>
      </c>
      <c r="BF94" s="463">
        <f t="shared" ref="BF94:BF135" si="153">AO94/X94</f>
        <v>0.90018292422990054</v>
      </c>
      <c r="BG94" s="463">
        <f t="shared" ref="BG94:BG135" si="154">AP94/Y94</f>
        <v>1.2035247362223211</v>
      </c>
      <c r="BH94" s="463">
        <f t="shared" ref="BH94:BH135" si="155">AQ94/Z94</f>
        <v>0.91440822583949999</v>
      </c>
      <c r="BI94" s="463">
        <f t="shared" ref="BI94:BI135" si="156">AR94/AA94</f>
        <v>0.90774534480818614</v>
      </c>
      <c r="BJ94" s="463">
        <f t="shared" ref="BJ94:BJ135" si="157">AS94/AB94</f>
        <v>1.2186340204240831</v>
      </c>
      <c r="BK94" s="463">
        <f t="shared" ref="BK94:BK135" si="158">AT94/AC94</f>
        <v>0.94300930382806381</v>
      </c>
      <c r="BL94" s="463">
        <f t="shared" ref="BL94:BL135" si="159">AU94/AD94</f>
        <v>0</v>
      </c>
      <c r="BM94" s="463">
        <f t="shared" ref="BM94:BM135" si="160">AV94/AE94</f>
        <v>0</v>
      </c>
      <c r="BN94" s="463">
        <f t="shared" ref="BN94:BN135" si="161">AW94/AF94</f>
        <v>0</v>
      </c>
      <c r="BO94" s="463">
        <f t="shared" ref="BO94:BO135" si="162">AX94/AG94</f>
        <v>0</v>
      </c>
      <c r="BP94" s="463">
        <f t="shared" ref="BP94:BP95" si="163">AY94/AH94</f>
        <v>0.67983714543925922</v>
      </c>
    </row>
    <row r="95" spans="2:68">
      <c r="B95" s="769"/>
      <c r="C95" s="769"/>
      <c r="D95" s="182" t="s">
        <v>52</v>
      </c>
      <c r="E95" s="341">
        <f>SUM(E96:E102)</f>
        <v>26448</v>
      </c>
      <c r="F95" s="341">
        <f t="shared" ref="F95:Q95" si="164">SUM(F96:F102)</f>
        <v>25148</v>
      </c>
      <c r="G95" s="341">
        <f t="shared" si="164"/>
        <v>29271</v>
      </c>
      <c r="H95" s="341">
        <f t="shared" si="164"/>
        <v>30296</v>
      </c>
      <c r="I95" s="341">
        <f t="shared" si="164"/>
        <v>30523</v>
      </c>
      <c r="J95" s="341">
        <f t="shared" si="164"/>
        <v>28423</v>
      </c>
      <c r="K95" s="341">
        <f t="shared" si="164"/>
        <v>29443</v>
      </c>
      <c r="L95" s="341">
        <f t="shared" si="164"/>
        <v>34995</v>
      </c>
      <c r="M95" s="341">
        <f t="shared" si="164"/>
        <v>30528</v>
      </c>
      <c r="N95" s="341">
        <f t="shared" si="164"/>
        <v>32055</v>
      </c>
      <c r="O95" s="341">
        <f t="shared" si="164"/>
        <v>29987</v>
      </c>
      <c r="P95" s="341">
        <f t="shared" si="164"/>
        <v>35549</v>
      </c>
      <c r="Q95" s="341">
        <f t="shared" si="164"/>
        <v>362666</v>
      </c>
      <c r="S95" s="769"/>
      <c r="T95" s="769"/>
      <c r="U95" s="182" t="s">
        <v>52</v>
      </c>
      <c r="V95" s="341">
        <v>30268.435875216641</v>
      </c>
      <c r="W95" s="341">
        <v>29224.696707105722</v>
      </c>
      <c r="X95" s="341">
        <v>31705.172413793101</v>
      </c>
      <c r="Y95" s="341" cm="1">
        <f t="array" ref="Y95">INDEX('Research Goals'!$D$64:$D$75, COLUMN()-COLUMN($V$3)+1)</f>
        <v>32355.914211438478</v>
      </c>
      <c r="Z95" s="341" cm="1">
        <f t="array" ref="Z95">INDEX('Research Goals'!$D$64:$D$75, COLUMN()-COLUMN($V$3)+1)</f>
        <v>37574.61005199307</v>
      </c>
      <c r="AA95" s="341" cm="1">
        <f t="array" ref="AA95">INDEX('Research Goals'!$D$64:$D$75, COLUMN()-COLUMN($V$3)+1)</f>
        <v>31312.175043327559</v>
      </c>
      <c r="AB95" s="341" cm="1">
        <f t="array" ref="AB95">INDEX('Research Goals'!$D$64:$D$75, COLUMN()-COLUMN($V$3)+1)</f>
        <v>29134.482758620688</v>
      </c>
      <c r="AC95" s="341" cm="1">
        <f t="array" ref="AC95">INDEX('Research Goals'!$D$64:$D$75, COLUMN()-COLUMN($V$3)+1)</f>
        <v>31705.172413793101</v>
      </c>
      <c r="AD95" s="341" cm="1">
        <f t="array" ref="AD95">INDEX('Research Goals'!$D$64:$D$75, COLUMN()-COLUMN($V$3)+1)</f>
        <v>36843.992634315429</v>
      </c>
      <c r="AE95" s="341" cm="1">
        <f t="array" ref="AE95">INDEX('Research Goals'!$D$64:$D$75, COLUMN()-COLUMN($V$3)+1)</f>
        <v>37574.61005199307</v>
      </c>
      <c r="AF95" s="341" cm="1">
        <f t="array" ref="AF95">INDEX('Research Goals'!$D$64:$D$75, COLUMN()-COLUMN($V$3)+1)</f>
        <v>28277.586206896551</v>
      </c>
      <c r="AG95" s="341" cm="1">
        <f t="array" ref="AG95">INDEX('Research Goals'!$D$64:$D$75, COLUMN()-COLUMN($V$3)+1)</f>
        <v>32562.068965517239</v>
      </c>
      <c r="AH95" s="342">
        <f>SUM(V95:AG95)</f>
        <v>388538.91733401059</v>
      </c>
      <c r="AJ95" s="757"/>
      <c r="AK95" s="757"/>
      <c r="AL95" s="182" t="s">
        <v>52</v>
      </c>
      <c r="AM95" s="341">
        <f>SUM(AM96:AM102)</f>
        <v>33335</v>
      </c>
      <c r="AN95" s="341">
        <f t="shared" ref="AN95:AS95" si="165">SUM(AN96:AN102)</f>
        <v>30621</v>
      </c>
      <c r="AO95" s="341">
        <f t="shared" si="165"/>
        <v>29539</v>
      </c>
      <c r="AP95" s="341">
        <f t="shared" si="165"/>
        <v>34911</v>
      </c>
      <c r="AQ95" s="341">
        <f t="shared" si="165"/>
        <v>30356</v>
      </c>
      <c r="AR95" s="341">
        <f t="shared" si="165"/>
        <v>24959</v>
      </c>
      <c r="AS95" s="341">
        <f t="shared" si="165"/>
        <v>36859</v>
      </c>
      <c r="AT95" s="341">
        <f t="shared" ref="AT95" si="166">SUM(AT96:AT102)</f>
        <v>31141</v>
      </c>
      <c r="AU95" s="341">
        <f t="shared" ref="AU95" si="167">SUM(AU96:AU102)</f>
        <v>0</v>
      </c>
      <c r="AV95" s="341">
        <f t="shared" ref="AV95" si="168">SUM(AV96:AV102)</f>
        <v>0</v>
      </c>
      <c r="AW95" s="341">
        <f t="shared" ref="AW95" si="169">SUM(AW96:AW102)</f>
        <v>0</v>
      </c>
      <c r="AX95" s="341">
        <f t="shared" ref="AX95" si="170">SUM(AX96:AX102)</f>
        <v>0</v>
      </c>
      <c r="AY95" s="341">
        <f t="shared" ref="AY95" si="171">SUM(AY96:AY102)</f>
        <v>251721</v>
      </c>
      <c r="BA95" s="757"/>
      <c r="BB95" s="757"/>
      <c r="BC95" s="182" t="s">
        <v>52</v>
      </c>
      <c r="BD95" s="464">
        <f>AM95/V95</f>
        <v>1.1013122758448914</v>
      </c>
      <c r="BE95" s="464">
        <f t="shared" ref="BE95:BE110" si="172">AN95/W95</f>
        <v>1.04777819619099</v>
      </c>
      <c r="BF95" s="464">
        <f t="shared" si="153"/>
        <v>0.93167763336777432</v>
      </c>
      <c r="BG95" s="464">
        <f t="shared" si="154"/>
        <v>1.0789681222377034</v>
      </c>
      <c r="BH95" s="464">
        <f t="shared" si="155"/>
        <v>0.80788596230261678</v>
      </c>
      <c r="BI95" s="464">
        <f t="shared" si="156"/>
        <v>0.79710208458733744</v>
      </c>
      <c r="BJ95" s="464">
        <f t="shared" si="157"/>
        <v>1.2651331518522904</v>
      </c>
      <c r="BK95" s="464">
        <f t="shared" si="158"/>
        <v>0.98220566643101859</v>
      </c>
      <c r="BL95" s="464">
        <f t="shared" si="159"/>
        <v>0</v>
      </c>
      <c r="BM95" s="464">
        <f t="shared" si="160"/>
        <v>0</v>
      </c>
      <c r="BN95" s="464">
        <f t="shared" si="161"/>
        <v>0</v>
      </c>
      <c r="BO95" s="464">
        <f t="shared" si="162"/>
        <v>0</v>
      </c>
      <c r="BP95" s="464">
        <f t="shared" si="163"/>
        <v>0.64786560308347707</v>
      </c>
    </row>
    <row r="96" spans="2:68" ht="16" customHeight="1">
      <c r="B96" s="769"/>
      <c r="C96" s="769"/>
      <c r="D96" s="292" t="s">
        <v>99</v>
      </c>
      <c r="E96" s="69">
        <v>4065</v>
      </c>
      <c r="F96" s="69">
        <v>4181</v>
      </c>
      <c r="G96" s="69">
        <v>4842</v>
      </c>
      <c r="H96" s="69">
        <v>5027</v>
      </c>
      <c r="I96" s="69">
        <v>4944</v>
      </c>
      <c r="J96" s="69">
        <v>4982</v>
      </c>
      <c r="K96" s="69">
        <v>5065</v>
      </c>
      <c r="L96" s="69">
        <v>6239</v>
      </c>
      <c r="M96" s="69">
        <v>5352</v>
      </c>
      <c r="N96" s="69">
        <v>5295</v>
      </c>
      <c r="O96" s="69">
        <v>4829</v>
      </c>
      <c r="P96" s="69">
        <v>5425</v>
      </c>
      <c r="Q96" s="69">
        <f>SUM(E96:P96)</f>
        <v>60246</v>
      </c>
      <c r="S96" s="769"/>
      <c r="T96" s="769"/>
      <c r="U96" s="292" t="s">
        <v>99</v>
      </c>
      <c r="V96" s="69">
        <v>4070.5827556325826</v>
      </c>
      <c r="W96" s="69">
        <v>3676.6553921842678</v>
      </c>
      <c r="X96" s="69">
        <v>4076.379310344827</v>
      </c>
      <c r="Y96" s="69">
        <f>Y$95*'Region OP Sales Goals'!V104</f>
        <v>4174.9566724436745</v>
      </c>
      <c r="Z96" s="69">
        <f>Z$95*'Region OP Sales Goals'!W104</f>
        <v>4801.2001733102252</v>
      </c>
      <c r="AA96" s="69">
        <f>AA$95*'Region OP Sales Goals'!X104</f>
        <v>4070.582755632583</v>
      </c>
      <c r="AB96" s="69">
        <f>AB$95*'Region OP Sales Goals'!Y104</f>
        <v>3770.344827586207</v>
      </c>
      <c r="AC96" s="69">
        <f>AC$95*'Region OP Sales Goals'!Z104</f>
        <v>4088.2985480943739</v>
      </c>
      <c r="AD96" s="69">
        <f>AD$95*'Region OP Sales Goals'!AA104</f>
        <v>4707.8435032736379</v>
      </c>
      <c r="AE96" s="69">
        <f>AE$95*'Region OP Sales Goals'!AB104</f>
        <v>4845.1470856517381</v>
      </c>
      <c r="AF96" s="69">
        <f>AF$95*'Region OP Sales Goals'!AC104</f>
        <v>3659.4523326572012</v>
      </c>
      <c r="AG96" s="69">
        <f>AG$95*'Region OP Sales Goals'!AD104</f>
        <v>4205.9339080459768</v>
      </c>
      <c r="AH96" s="69">
        <f>AH$95*'Region OP Sales Goals'!AE104</f>
        <v>50930.349343499263</v>
      </c>
      <c r="AJ96" s="757"/>
      <c r="AK96" s="757"/>
      <c r="AL96" s="292" t="s">
        <v>99</v>
      </c>
      <c r="AM96" s="69">
        <v>5063</v>
      </c>
      <c r="AN96" s="69">
        <v>4907</v>
      </c>
      <c r="AO96" s="69">
        <v>4479</v>
      </c>
      <c r="AP96" s="69">
        <v>5412</v>
      </c>
      <c r="AQ96" s="69">
        <v>4655</v>
      </c>
      <c r="AR96" s="69">
        <v>3985</v>
      </c>
      <c r="AS96" s="69">
        <v>6089</v>
      </c>
      <c r="AT96" s="69">
        <v>5098</v>
      </c>
      <c r="AU96" s="69"/>
      <c r="AV96" s="69"/>
      <c r="AW96" s="69"/>
      <c r="AX96" s="69"/>
      <c r="AY96" s="69">
        <f>SUM(AM96:AX96)</f>
        <v>39688</v>
      </c>
      <c r="BA96" s="757"/>
      <c r="BB96" s="757"/>
      <c r="BC96" s="292" t="s">
        <v>99</v>
      </c>
      <c r="BD96" s="465">
        <f>AM96/V96</f>
        <v>1.2438022523910566</v>
      </c>
      <c r="BE96" s="465">
        <f t="shared" si="172"/>
        <v>1.3346369122412627</v>
      </c>
      <c r="BF96" s="465">
        <f t="shared" si="153"/>
        <v>1.0987691917269384</v>
      </c>
      <c r="BG96" s="465">
        <f t="shared" si="154"/>
        <v>1.2963008779758816</v>
      </c>
      <c r="BH96" s="465">
        <f t="shared" si="155"/>
        <v>0.96954924434874656</v>
      </c>
      <c r="BI96" s="465">
        <f t="shared" si="156"/>
        <v>0.97897530629633811</v>
      </c>
      <c r="BJ96" s="465">
        <f t="shared" si="157"/>
        <v>1.6149716480702396</v>
      </c>
      <c r="BK96" s="465">
        <f t="shared" si="158"/>
        <v>1.2469735123371226</v>
      </c>
      <c r="BL96" s="465">
        <f t="shared" si="159"/>
        <v>0</v>
      </c>
      <c r="BM96" s="465">
        <f t="shared" si="160"/>
        <v>0</v>
      </c>
      <c r="BN96" s="465">
        <f t="shared" si="161"/>
        <v>0</v>
      </c>
      <c r="BO96" s="465">
        <f t="shared" si="162"/>
        <v>0</v>
      </c>
      <c r="BP96" s="465">
        <f>AY96/AH96</f>
        <v>0.77926031357697267</v>
      </c>
    </row>
    <row r="97" spans="2:68" ht="16" customHeight="1">
      <c r="B97" s="769"/>
      <c r="C97" s="769"/>
      <c r="D97" s="292" t="s">
        <v>100</v>
      </c>
      <c r="E97" s="69">
        <v>5575</v>
      </c>
      <c r="F97" s="69">
        <v>5183</v>
      </c>
      <c r="G97" s="69">
        <v>6274</v>
      </c>
      <c r="H97" s="69">
        <v>6595</v>
      </c>
      <c r="I97" s="69">
        <v>6440</v>
      </c>
      <c r="J97" s="69">
        <v>5926</v>
      </c>
      <c r="K97" s="69">
        <v>6574</v>
      </c>
      <c r="L97" s="69">
        <v>8133</v>
      </c>
      <c r="M97" s="69">
        <v>6725</v>
      </c>
      <c r="N97" s="69">
        <v>6666</v>
      </c>
      <c r="O97" s="69">
        <v>5865</v>
      </c>
      <c r="P97" s="69">
        <v>6976</v>
      </c>
      <c r="Q97" s="69">
        <f t="shared" ref="Q97:Q102" si="173">SUM(E97:P97)</f>
        <v>76932</v>
      </c>
      <c r="S97" s="769"/>
      <c r="T97" s="769"/>
      <c r="U97" s="292" t="s">
        <v>100</v>
      </c>
      <c r="V97" s="69">
        <v>3339.9653379549395</v>
      </c>
      <c r="W97" s="69">
        <v>3865.2018225526926</v>
      </c>
      <c r="X97" s="69">
        <v>4257.5517241379312</v>
      </c>
      <c r="Y97" s="69">
        <f>Y$95*'Region OP Sales Goals'!V105</f>
        <v>4174.9566724436745</v>
      </c>
      <c r="Z97" s="69">
        <f>Z$95*'Region OP Sales Goals'!W105</f>
        <v>4905.5740901213176</v>
      </c>
      <c r="AA97" s="69">
        <f>AA$95*'Region OP Sales Goals'!X105</f>
        <v>4070.582755632583</v>
      </c>
      <c r="AB97" s="69">
        <f>AB$95*'Region OP Sales Goals'!Y105</f>
        <v>3770.344827586207</v>
      </c>
      <c r="AC97" s="69">
        <f>AC$95*'Region OP Sales Goals'!Z105</f>
        <v>4088.2985480943739</v>
      </c>
      <c r="AD97" s="69">
        <f>AD$95*'Region OP Sales Goals'!AA105</f>
        <v>4810.1879272578481</v>
      </c>
      <c r="AE97" s="69">
        <f>AE$95*'Region OP Sales Goals'!AB105</f>
        <v>4845.1470856517381</v>
      </c>
      <c r="AF97" s="69">
        <f>AF$95*'Region OP Sales Goals'!AC105</f>
        <v>3659.4523326572012</v>
      </c>
      <c r="AG97" s="69">
        <f>AG$95*'Region OP Sales Goals'!AD105</f>
        <v>4205.9339080459768</v>
      </c>
      <c r="AH97" s="69">
        <f>AH$95*'Region OP Sales Goals'!AE105</f>
        <v>47718.525511026339</v>
      </c>
      <c r="AJ97" s="757"/>
      <c r="AK97" s="757"/>
      <c r="AL97" s="292" t="s">
        <v>100</v>
      </c>
      <c r="AM97" s="69">
        <v>6538</v>
      </c>
      <c r="AN97" s="69">
        <v>6007</v>
      </c>
      <c r="AO97" s="69">
        <v>5921</v>
      </c>
      <c r="AP97" s="69">
        <v>7209</v>
      </c>
      <c r="AQ97" s="69">
        <v>5845</v>
      </c>
      <c r="AR97" s="69">
        <v>4596</v>
      </c>
      <c r="AS97" s="69">
        <v>7123</v>
      </c>
      <c r="AT97" s="69">
        <v>6118</v>
      </c>
      <c r="AU97" s="69"/>
      <c r="AV97" s="69"/>
      <c r="AW97" s="69"/>
      <c r="AX97" s="69"/>
      <c r="AY97" s="69">
        <f t="shared" ref="AY97:AY102" si="174">SUM(AM97:AX97)</f>
        <v>49357</v>
      </c>
      <c r="BA97" s="757"/>
      <c r="BB97" s="757"/>
      <c r="BC97" s="292" t="s">
        <v>100</v>
      </c>
      <c r="BD97" s="465">
        <f t="shared" ref="BD97:BD102" si="175">AM97/V97</f>
        <v>1.9575053446522344</v>
      </c>
      <c r="BE97" s="465">
        <f t="shared" si="172"/>
        <v>1.5541232452469458</v>
      </c>
      <c r="BF97" s="465">
        <f t="shared" si="153"/>
        <v>1.3907053592399712</v>
      </c>
      <c r="BG97" s="465">
        <f t="shared" si="154"/>
        <v>1.7267245065277401</v>
      </c>
      <c r="BH97" s="465">
        <f t="shared" si="155"/>
        <v>1.1915017269376214</v>
      </c>
      <c r="BI97" s="465">
        <f t="shared" si="156"/>
        <v>1.1290766644260903</v>
      </c>
      <c r="BJ97" s="465">
        <f t="shared" si="157"/>
        <v>1.8892171209072617</v>
      </c>
      <c r="BK97" s="465">
        <f t="shared" si="158"/>
        <v>1.4964660550173627</v>
      </c>
      <c r="BL97" s="465">
        <f t="shared" si="159"/>
        <v>0</v>
      </c>
      <c r="BM97" s="465">
        <f t="shared" si="160"/>
        <v>0</v>
      </c>
      <c r="BN97" s="465">
        <f t="shared" si="161"/>
        <v>0</v>
      </c>
      <c r="BO97" s="465">
        <f t="shared" si="162"/>
        <v>0</v>
      </c>
      <c r="BP97" s="465">
        <f t="shared" ref="BP97:BP103" si="176">AY97/AH97</f>
        <v>1.0343362346473814</v>
      </c>
    </row>
    <row r="98" spans="2:68" ht="16" customHeight="1">
      <c r="B98" s="769"/>
      <c r="C98" s="769"/>
      <c r="D98" s="292" t="s">
        <v>101</v>
      </c>
      <c r="E98" s="69">
        <v>2558</v>
      </c>
      <c r="F98" s="69">
        <v>2376</v>
      </c>
      <c r="G98" s="69">
        <v>2818</v>
      </c>
      <c r="H98" s="69">
        <v>2870</v>
      </c>
      <c r="I98" s="69">
        <v>3021</v>
      </c>
      <c r="J98" s="69">
        <v>2493</v>
      </c>
      <c r="K98" s="69">
        <v>2765</v>
      </c>
      <c r="L98" s="69">
        <v>3064</v>
      </c>
      <c r="M98" s="69">
        <v>2726</v>
      </c>
      <c r="N98" s="69">
        <v>2727</v>
      </c>
      <c r="O98" s="69">
        <v>2856</v>
      </c>
      <c r="P98" s="69">
        <v>3264</v>
      </c>
      <c r="Q98" s="69">
        <f t="shared" si="173"/>
        <v>33538</v>
      </c>
      <c r="S98" s="769"/>
      <c r="T98" s="769"/>
      <c r="U98" s="292" t="s">
        <v>101</v>
      </c>
      <c r="V98" s="69">
        <v>2818.0957538994803</v>
      </c>
      <c r="W98" s="69">
        <v>2545.3768099737244</v>
      </c>
      <c r="X98" s="69">
        <v>2717.5862068965516</v>
      </c>
      <c r="Y98" s="69">
        <f>Y$95*'Region OP Sales Goals'!V106</f>
        <v>2713.7218370883888</v>
      </c>
      <c r="Z98" s="69">
        <f>Z$95*'Region OP Sales Goals'!W106</f>
        <v>3235.5914211438476</v>
      </c>
      <c r="AA98" s="69">
        <f>AA$95*'Region OP Sales Goals'!X106</f>
        <v>2609.3479202772965</v>
      </c>
      <c r="AB98" s="69">
        <f>AB$95*'Region OP Sales Goals'!Y106</f>
        <v>2485</v>
      </c>
      <c r="AC98" s="69">
        <f>AC$95*'Region OP Sales Goals'!Z106</f>
        <v>2669.9092558983662</v>
      </c>
      <c r="AD98" s="69">
        <f>AD$95*'Region OP Sales Goals'!AA106</f>
        <v>3172.6771435104952</v>
      </c>
      <c r="AE98" s="69">
        <f>AE$95*'Region OP Sales Goals'!AB106</f>
        <v>3164.1776885888899</v>
      </c>
      <c r="AF98" s="69">
        <f>AF$95*'Region OP Sales Goals'!AC106</f>
        <v>2411.9117647058824</v>
      </c>
      <c r="AG98" s="69">
        <f>AG$95*'Region OP Sales Goals'!AD106</f>
        <v>2781.3433908045977</v>
      </c>
      <c r="AH98" s="69">
        <f>AH$95*'Region OP Sales Goals'!AE106</f>
        <v>31659.406348661705</v>
      </c>
      <c r="AJ98" s="757"/>
      <c r="AK98" s="757"/>
      <c r="AL98" s="292" t="s">
        <v>101</v>
      </c>
      <c r="AM98" s="69">
        <v>2966</v>
      </c>
      <c r="AN98" s="69">
        <v>2936</v>
      </c>
      <c r="AO98" s="69">
        <v>2723</v>
      </c>
      <c r="AP98" s="69">
        <v>3164</v>
      </c>
      <c r="AQ98" s="69">
        <v>3215</v>
      </c>
      <c r="AR98" s="69">
        <v>2361</v>
      </c>
      <c r="AS98" s="69">
        <v>3443</v>
      </c>
      <c r="AT98" s="69">
        <v>2473</v>
      </c>
      <c r="AU98" s="69"/>
      <c r="AV98" s="69"/>
      <c r="AW98" s="69"/>
      <c r="AX98" s="69"/>
      <c r="AY98" s="69">
        <f t="shared" si="174"/>
        <v>23281</v>
      </c>
      <c r="BA98" s="757"/>
      <c r="BB98" s="757"/>
      <c r="BC98" s="292" t="s">
        <v>101</v>
      </c>
      <c r="BD98" s="465">
        <f t="shared" si="175"/>
        <v>1.0524837546402959</v>
      </c>
      <c r="BE98" s="465">
        <f t="shared" si="172"/>
        <v>1.153463796988984</v>
      </c>
      <c r="BF98" s="465">
        <f t="shared" si="153"/>
        <v>1.0019921329780486</v>
      </c>
      <c r="BG98" s="465">
        <f t="shared" si="154"/>
        <v>1.1659264250144092</v>
      </c>
      <c r="BH98" s="465">
        <f t="shared" si="155"/>
        <v>0.99363596373470164</v>
      </c>
      <c r="BI98" s="465">
        <f t="shared" si="156"/>
        <v>0.90482376138981713</v>
      </c>
      <c r="BJ98" s="465">
        <f t="shared" si="157"/>
        <v>1.3855130784708249</v>
      </c>
      <c r="BK98" s="465">
        <f t="shared" si="158"/>
        <v>0.92624870846701846</v>
      </c>
      <c r="BL98" s="465">
        <f t="shared" si="159"/>
        <v>0</v>
      </c>
      <c r="BM98" s="465">
        <f t="shared" si="160"/>
        <v>0</v>
      </c>
      <c r="BN98" s="465">
        <f t="shared" si="161"/>
        <v>0</v>
      </c>
      <c r="BO98" s="465">
        <f t="shared" si="162"/>
        <v>0</v>
      </c>
      <c r="BP98" s="465">
        <f t="shared" si="176"/>
        <v>0.73535807158254329</v>
      </c>
    </row>
    <row r="99" spans="2:68" ht="16" customHeight="1">
      <c r="B99" s="769"/>
      <c r="C99" s="769"/>
      <c r="D99" s="292" t="s">
        <v>102</v>
      </c>
      <c r="E99" s="69">
        <v>1618</v>
      </c>
      <c r="F99" s="69">
        <v>1642</v>
      </c>
      <c r="G99" s="69">
        <v>1625</v>
      </c>
      <c r="H99" s="69">
        <v>1724</v>
      </c>
      <c r="I99" s="69">
        <v>1779</v>
      </c>
      <c r="J99" s="69">
        <v>1660</v>
      </c>
      <c r="K99" s="69">
        <v>1875</v>
      </c>
      <c r="L99" s="69">
        <v>2148</v>
      </c>
      <c r="M99" s="69">
        <v>1754</v>
      </c>
      <c r="N99" s="69">
        <v>2105</v>
      </c>
      <c r="O99" s="69">
        <v>2030</v>
      </c>
      <c r="P99" s="69">
        <v>2320</v>
      </c>
      <c r="Q99" s="69">
        <f t="shared" si="173"/>
        <v>22280</v>
      </c>
      <c r="S99" s="769"/>
      <c r="T99" s="769"/>
      <c r="U99" s="292" t="s">
        <v>102</v>
      </c>
      <c r="V99" s="69">
        <v>1878.7305025996536</v>
      </c>
      <c r="W99" s="69">
        <v>2074.0107340526642</v>
      </c>
      <c r="X99" s="69">
        <v>2264.655172413793</v>
      </c>
      <c r="Y99" s="69">
        <f>Y$95*'Region OP Sales Goals'!V107</f>
        <v>2296.2261698440211</v>
      </c>
      <c r="Z99" s="69">
        <f>Z$95*'Region OP Sales Goals'!W107</f>
        <v>2609.3479202772965</v>
      </c>
      <c r="AA99" s="69">
        <f>AA$95*'Region OP Sales Goals'!X107</f>
        <v>2191.8522530329292</v>
      </c>
      <c r="AB99" s="69">
        <f>AB$95*'Region OP Sales Goals'!Y107</f>
        <v>2056.5517241379307</v>
      </c>
      <c r="AC99" s="69">
        <f>AC$95*'Region OP Sales Goals'!Z107</f>
        <v>2252.7359346642465</v>
      </c>
      <c r="AD99" s="69">
        <f>AD$95*'Region OP Sales Goals'!AA107</f>
        <v>2558.6105996052383</v>
      </c>
      <c r="AE99" s="69">
        <f>AE$95*'Region OP Sales Goals'!AB107</f>
        <v>2669.774924746876</v>
      </c>
      <c r="AF99" s="69">
        <f>AF$95*'Region OP Sales Goals'!AC107</f>
        <v>1996.0649087221095</v>
      </c>
      <c r="AG99" s="69">
        <f>AG$95*'Region OP Sales Goals'!AD107</f>
        <v>2306.4798850574712</v>
      </c>
      <c r="AH99" s="69">
        <f>AH$95*'Region OP Sales Goals'!AE107</f>
        <v>29089.947282683366</v>
      </c>
      <c r="AJ99" s="757"/>
      <c r="AK99" s="757"/>
      <c r="AL99" s="292" t="s">
        <v>102</v>
      </c>
      <c r="AM99" s="69">
        <v>2199</v>
      </c>
      <c r="AN99" s="69">
        <v>2111</v>
      </c>
      <c r="AO99" s="69">
        <v>1806</v>
      </c>
      <c r="AP99" s="69">
        <v>2155</v>
      </c>
      <c r="AQ99" s="69">
        <v>1811</v>
      </c>
      <c r="AR99" s="69">
        <v>1623</v>
      </c>
      <c r="AS99" s="69">
        <v>2451</v>
      </c>
      <c r="AT99" s="69">
        <v>2102</v>
      </c>
      <c r="AU99" s="69"/>
      <c r="AV99" s="69"/>
      <c r="AW99" s="69"/>
      <c r="AX99" s="69"/>
      <c r="AY99" s="69">
        <f t="shared" si="174"/>
        <v>16258</v>
      </c>
      <c r="BA99" s="757"/>
      <c r="BB99" s="757"/>
      <c r="BC99" s="292" t="s">
        <v>102</v>
      </c>
      <c r="BD99" s="465">
        <f t="shared" si="175"/>
        <v>1.1704712288203019</v>
      </c>
      <c r="BE99" s="465">
        <f t="shared" si="172"/>
        <v>1.0178346550189052</v>
      </c>
      <c r="BF99" s="465">
        <f t="shared" si="153"/>
        <v>0.79747240197944425</v>
      </c>
      <c r="BG99" s="465">
        <f t="shared" si="154"/>
        <v>0.93849640261977574</v>
      </c>
      <c r="BH99" s="465">
        <f t="shared" si="155"/>
        <v>0.69404313082463309</v>
      </c>
      <c r="BI99" s="465">
        <f t="shared" si="156"/>
        <v>0.74046961776470477</v>
      </c>
      <c r="BJ99" s="465">
        <f t="shared" si="157"/>
        <v>1.1918008048289741</v>
      </c>
      <c r="BK99" s="465">
        <f t="shared" si="158"/>
        <v>0.9330876147777557</v>
      </c>
      <c r="BL99" s="465">
        <f t="shared" si="159"/>
        <v>0</v>
      </c>
      <c r="BM99" s="465">
        <f t="shared" si="160"/>
        <v>0</v>
      </c>
      <c r="BN99" s="465">
        <f t="shared" si="161"/>
        <v>0</v>
      </c>
      <c r="BO99" s="465">
        <f t="shared" si="162"/>
        <v>0</v>
      </c>
      <c r="BP99" s="465">
        <f t="shared" si="176"/>
        <v>0.55888722801770241</v>
      </c>
    </row>
    <row r="100" spans="2:68" ht="16" customHeight="1">
      <c r="B100" s="769"/>
      <c r="C100" s="769"/>
      <c r="D100" s="292" t="s">
        <v>103</v>
      </c>
      <c r="E100" s="69">
        <v>3711</v>
      </c>
      <c r="F100" s="69">
        <v>3624</v>
      </c>
      <c r="G100" s="69">
        <v>4166</v>
      </c>
      <c r="H100" s="69">
        <v>4426</v>
      </c>
      <c r="I100" s="69">
        <v>4710</v>
      </c>
      <c r="J100" s="69">
        <v>4431</v>
      </c>
      <c r="K100" s="69">
        <v>4209</v>
      </c>
      <c r="L100" s="69">
        <v>4727</v>
      </c>
      <c r="M100" s="69">
        <v>4336</v>
      </c>
      <c r="N100" s="69">
        <v>4996</v>
      </c>
      <c r="O100" s="69">
        <v>4495</v>
      </c>
      <c r="P100" s="69">
        <v>5453</v>
      </c>
      <c r="Q100" s="69">
        <f t="shared" si="173"/>
        <v>53284</v>
      </c>
      <c r="S100" s="769"/>
      <c r="T100" s="769"/>
      <c r="U100" s="292" t="s">
        <v>103</v>
      </c>
      <c r="V100" s="69">
        <v>4488.0784228769498</v>
      </c>
      <c r="W100" s="69">
        <v>4807.9339743948121</v>
      </c>
      <c r="X100" s="69">
        <v>4891.6551724137926</v>
      </c>
      <c r="Y100" s="69">
        <f>Y$95*'Region OP Sales Goals'!V108</f>
        <v>5218.6958405545929</v>
      </c>
      <c r="Z100" s="69">
        <f>Z$95*'Region OP Sales Goals'!W108</f>
        <v>6053.6871750433284</v>
      </c>
      <c r="AA100" s="69">
        <f>AA$95*'Region OP Sales Goals'!X108</f>
        <v>5114.3219237435014</v>
      </c>
      <c r="AB100" s="69">
        <f>AB$95*'Region OP Sales Goals'!Y108</f>
        <v>4712.9310344827591</v>
      </c>
      <c r="AC100" s="69">
        <f>AC$95*'Region OP Sales Goals'!Z108</f>
        <v>5172.9491833030852</v>
      </c>
      <c r="AD100" s="69">
        <f>AD$95*'Region OP Sales Goals'!AA108</f>
        <v>5935.9765910841525</v>
      </c>
      <c r="AE100" s="69">
        <f>AE$95*'Region OP Sales Goals'!AB108</f>
        <v>6130.5942716409745</v>
      </c>
      <c r="AF100" s="69">
        <f>AF$95*'Region OP Sales Goals'!AC108</f>
        <v>4574.3154158215011</v>
      </c>
      <c r="AG100" s="69">
        <f>AG$95*'Region OP Sales Goals'!AD108</f>
        <v>5291.3362068965516</v>
      </c>
      <c r="AH100" s="69">
        <f>AH$95*'Region OP Sales Goals'!AE108</f>
        <v>62401.148745188286</v>
      </c>
      <c r="AJ100" s="757"/>
      <c r="AK100" s="757"/>
      <c r="AL100" s="292" t="s">
        <v>103</v>
      </c>
      <c r="AM100" s="69">
        <v>5107</v>
      </c>
      <c r="AN100" s="69">
        <v>4200</v>
      </c>
      <c r="AO100" s="69">
        <v>4491</v>
      </c>
      <c r="AP100" s="69">
        <v>5083</v>
      </c>
      <c r="AQ100" s="69">
        <v>4741</v>
      </c>
      <c r="AR100" s="69">
        <v>4046</v>
      </c>
      <c r="AS100" s="69">
        <v>5695</v>
      </c>
      <c r="AT100" s="69">
        <v>4700</v>
      </c>
      <c r="AU100" s="69"/>
      <c r="AV100" s="69"/>
      <c r="AW100" s="69"/>
      <c r="AX100" s="69"/>
      <c r="AY100" s="69">
        <f t="shared" si="174"/>
        <v>38063</v>
      </c>
      <c r="BA100" s="757"/>
      <c r="BB100" s="757"/>
      <c r="BC100" s="292" t="s">
        <v>103</v>
      </c>
      <c r="BD100" s="465">
        <f t="shared" si="175"/>
        <v>1.1379034675437576</v>
      </c>
      <c r="BE100" s="465">
        <f t="shared" si="172"/>
        <v>0.8735560892407358</v>
      </c>
      <c r="BF100" s="465">
        <f t="shared" si="153"/>
        <v>0.91809415048851684</v>
      </c>
      <c r="BG100" s="465">
        <f t="shared" si="154"/>
        <v>0.97399813196620932</v>
      </c>
      <c r="BH100" s="465">
        <f t="shared" si="155"/>
        <v>0.78315906701374394</v>
      </c>
      <c r="BI100" s="465">
        <f t="shared" si="156"/>
        <v>0.7911117173160801</v>
      </c>
      <c r="BJ100" s="465">
        <f t="shared" si="157"/>
        <v>1.2083775379550026</v>
      </c>
      <c r="BK100" s="465">
        <f t="shared" si="158"/>
        <v>0.9085726214304134</v>
      </c>
      <c r="BL100" s="465">
        <f t="shared" si="159"/>
        <v>0</v>
      </c>
      <c r="BM100" s="465">
        <f t="shared" si="160"/>
        <v>0</v>
      </c>
      <c r="BN100" s="465">
        <f t="shared" si="161"/>
        <v>0</v>
      </c>
      <c r="BO100" s="465">
        <f t="shared" si="162"/>
        <v>0</v>
      </c>
      <c r="BP100" s="465">
        <f t="shared" si="176"/>
        <v>0.60997274514012878</v>
      </c>
    </row>
    <row r="101" spans="2:68" ht="16" customHeight="1">
      <c r="B101" s="769"/>
      <c r="C101" s="769"/>
      <c r="D101" s="292" t="s">
        <v>104</v>
      </c>
      <c r="E101" s="69">
        <v>5361</v>
      </c>
      <c r="F101" s="69">
        <v>4774</v>
      </c>
      <c r="G101" s="69">
        <v>5608</v>
      </c>
      <c r="H101" s="69">
        <v>5607</v>
      </c>
      <c r="I101" s="69">
        <v>5725</v>
      </c>
      <c r="J101" s="69">
        <v>5352</v>
      </c>
      <c r="K101" s="69">
        <v>5160</v>
      </c>
      <c r="L101" s="69">
        <v>6169</v>
      </c>
      <c r="M101" s="69">
        <v>5639</v>
      </c>
      <c r="N101" s="69">
        <v>5973</v>
      </c>
      <c r="O101" s="69">
        <v>5834</v>
      </c>
      <c r="P101" s="69">
        <v>7268</v>
      </c>
      <c r="Q101" s="69">
        <f t="shared" si="173"/>
        <v>68470</v>
      </c>
      <c r="S101" s="769"/>
      <c r="T101" s="769"/>
      <c r="U101" s="292" t="s">
        <v>104</v>
      </c>
      <c r="V101" s="69">
        <v>8349.913344887349</v>
      </c>
      <c r="W101" s="69">
        <v>7824.6768602895972</v>
      </c>
      <c r="X101" s="69">
        <v>8515.1034482758623</v>
      </c>
      <c r="Y101" s="69">
        <f>Y$95*'Region OP Sales Goals'!V109</f>
        <v>8767.4090121317167</v>
      </c>
      <c r="Z101" s="69">
        <f>Z$95*'Region OP Sales Goals'!W109</f>
        <v>10124.26993067591</v>
      </c>
      <c r="AA101" s="69">
        <f>AA$95*'Region OP Sales Goals'!X109</f>
        <v>8454.2872616984423</v>
      </c>
      <c r="AB101" s="69">
        <f>AB$95*'Region OP Sales Goals'!Y109</f>
        <v>7883.4482758620679</v>
      </c>
      <c r="AC101" s="69">
        <f>AC$95*'Region OP Sales Goals'!Z109</f>
        <v>8593.7704174228675</v>
      </c>
      <c r="AD101" s="69">
        <f>AD$95*'Region OP Sales Goals'!AA109</f>
        <v>9927.4091264683229</v>
      </c>
      <c r="AE101" s="69">
        <f>AE$95*'Region OP Sales Goals'!AB109</f>
        <v>10184.69693514549</v>
      </c>
      <c r="AF101" s="69">
        <f>AF$95*'Region OP Sales Goals'!AC109</f>
        <v>7651.5821501014188</v>
      </c>
      <c r="AG101" s="69">
        <f>AG$95*'Region OP Sales Goals'!AD109</f>
        <v>8818.8936781609191</v>
      </c>
      <c r="AH101" s="69">
        <f>AH$95*'Region OP Sales Goals'!AE109</f>
        <v>105623.12089075251</v>
      </c>
      <c r="AJ101" s="757"/>
      <c r="AK101" s="757"/>
      <c r="AL101" s="292" t="s">
        <v>104</v>
      </c>
      <c r="AM101" s="69">
        <v>6725</v>
      </c>
      <c r="AN101" s="69">
        <v>6278</v>
      </c>
      <c r="AO101" s="69">
        <v>6235</v>
      </c>
      <c r="AP101" s="69">
        <v>7215</v>
      </c>
      <c r="AQ101" s="156">
        <v>6391</v>
      </c>
      <c r="AR101" s="156">
        <v>5076</v>
      </c>
      <c r="AS101" s="156">
        <v>7435</v>
      </c>
      <c r="AT101" s="156">
        <v>6507</v>
      </c>
      <c r="AU101" s="69"/>
      <c r="AV101" s="69"/>
      <c r="AW101" s="69"/>
      <c r="AX101" s="69"/>
      <c r="AY101" s="69">
        <f t="shared" si="174"/>
        <v>51862</v>
      </c>
      <c r="BA101" s="757"/>
      <c r="BB101" s="757"/>
      <c r="BC101" s="292" t="s">
        <v>104</v>
      </c>
      <c r="BD101" s="465">
        <f t="shared" si="175"/>
        <v>0.80539757985844451</v>
      </c>
      <c r="BE101" s="465">
        <f t="shared" si="172"/>
        <v>0.80233345249833699</v>
      </c>
      <c r="BF101" s="465">
        <f t="shared" si="153"/>
        <v>0.7322283326179041</v>
      </c>
      <c r="BG101" s="465">
        <f t="shared" si="154"/>
        <v>0.82293411770984981</v>
      </c>
      <c r="BH101" s="465">
        <f t="shared" si="155"/>
        <v>0.63125539359985516</v>
      </c>
      <c r="BI101" s="465">
        <f t="shared" si="156"/>
        <v>0.6004054325190088</v>
      </c>
      <c r="BJ101" s="465">
        <f t="shared" si="157"/>
        <v>0.943115213017234</v>
      </c>
      <c r="BK101" s="465">
        <f t="shared" si="158"/>
        <v>0.75717638288402678</v>
      </c>
      <c r="BL101" s="465">
        <f t="shared" si="159"/>
        <v>0</v>
      </c>
      <c r="BM101" s="465">
        <f t="shared" si="160"/>
        <v>0</v>
      </c>
      <c r="BN101" s="465">
        <f t="shared" si="161"/>
        <v>0</v>
      </c>
      <c r="BO101" s="465">
        <f t="shared" si="162"/>
        <v>0</v>
      </c>
      <c r="BP101" s="465">
        <f t="shared" si="176"/>
        <v>0.49100991868666333</v>
      </c>
    </row>
    <row r="102" spans="2:68" ht="16" customHeight="1">
      <c r="B102" s="769"/>
      <c r="C102" s="769"/>
      <c r="D102" s="292" t="s">
        <v>105</v>
      </c>
      <c r="E102" s="69">
        <v>3560</v>
      </c>
      <c r="F102" s="69">
        <v>3368</v>
      </c>
      <c r="G102" s="69">
        <v>3938</v>
      </c>
      <c r="H102" s="69">
        <v>4047</v>
      </c>
      <c r="I102" s="69">
        <v>3904</v>
      </c>
      <c r="J102" s="69">
        <v>3579</v>
      </c>
      <c r="K102" s="69">
        <v>3795</v>
      </c>
      <c r="L102" s="69">
        <v>4515</v>
      </c>
      <c r="M102" s="69">
        <v>3996</v>
      </c>
      <c r="N102" s="69">
        <v>4293</v>
      </c>
      <c r="O102" s="69">
        <v>4078</v>
      </c>
      <c r="P102" s="69">
        <v>4843</v>
      </c>
      <c r="Q102" s="69">
        <f t="shared" si="173"/>
        <v>47916</v>
      </c>
      <c r="S102" s="769"/>
      <c r="T102" s="769"/>
      <c r="U102" s="292" t="s">
        <v>105</v>
      </c>
      <c r="V102" s="69">
        <v>5323.0697573656844</v>
      </c>
      <c r="W102" s="69">
        <v>4430.8411136579643</v>
      </c>
      <c r="X102" s="69">
        <v>4982.2413793103442</v>
      </c>
      <c r="Y102" s="69">
        <f>Y$95*'Region OP Sales Goals'!V110</f>
        <v>5009.94800693241</v>
      </c>
      <c r="Z102" s="69">
        <f>Z$95*'Region OP Sales Goals'!W110</f>
        <v>5844.9393414211445</v>
      </c>
      <c r="AA102" s="69">
        <f>AA$95*'Region OP Sales Goals'!X110</f>
        <v>4801.2001733102252</v>
      </c>
      <c r="AB102" s="69">
        <f>AB$95*'Region OP Sales Goals'!Y110</f>
        <v>4455.8620689655172</v>
      </c>
      <c r="AC102" s="69">
        <f>AC$95*'Region OP Sales Goals'!Z110</f>
        <v>4839.2105263157891</v>
      </c>
      <c r="AD102" s="69">
        <f>AD$95*'Region OP Sales Goals'!AA110</f>
        <v>5731.287743115734</v>
      </c>
      <c r="AE102" s="69">
        <f>AE$95*'Region OP Sales Goals'!AB110</f>
        <v>5735.0720605673632</v>
      </c>
      <c r="AF102" s="69">
        <f>AF$95*'Region OP Sales Goals'!AC110</f>
        <v>4324.8073022312374</v>
      </c>
      <c r="AG102" s="69">
        <f>AG$95*'Region OP Sales Goals'!AD110</f>
        <v>4952.1479885057461</v>
      </c>
      <c r="AH102" s="69">
        <f>AH$95*'Region OP Sales Goals'!AE110</f>
        <v>60565.820840918037</v>
      </c>
      <c r="AJ102" s="757"/>
      <c r="AK102" s="757"/>
      <c r="AL102" s="292" t="s">
        <v>105</v>
      </c>
      <c r="AM102" s="69">
        <v>4737</v>
      </c>
      <c r="AN102" s="69">
        <v>4182</v>
      </c>
      <c r="AO102" s="69">
        <v>3884</v>
      </c>
      <c r="AP102" s="69">
        <v>4673</v>
      </c>
      <c r="AQ102" s="69">
        <v>3698</v>
      </c>
      <c r="AR102" s="69">
        <v>3272</v>
      </c>
      <c r="AS102" s="69">
        <v>4623</v>
      </c>
      <c r="AT102" s="69">
        <v>4143</v>
      </c>
      <c r="AU102" s="69"/>
      <c r="AV102" s="69"/>
      <c r="AW102" s="69"/>
      <c r="AX102" s="69"/>
      <c r="AY102" s="69">
        <f t="shared" si="174"/>
        <v>33212</v>
      </c>
      <c r="BA102" s="757"/>
      <c r="BB102" s="757"/>
      <c r="BC102" s="292" t="s">
        <v>105</v>
      </c>
      <c r="BD102" s="465">
        <f t="shared" si="175"/>
        <v>0.8899000418781432</v>
      </c>
      <c r="BE102" s="465">
        <f t="shared" si="172"/>
        <v>0.94383885423223202</v>
      </c>
      <c r="BF102" s="465">
        <f t="shared" si="153"/>
        <v>0.77956881337163042</v>
      </c>
      <c r="BG102" s="465">
        <f t="shared" si="154"/>
        <v>0.93274421082490966</v>
      </c>
      <c r="BH102" s="465">
        <f t="shared" si="155"/>
        <v>0.63268406804387201</v>
      </c>
      <c r="BI102" s="465">
        <f t="shared" si="156"/>
        <v>0.68149626799336172</v>
      </c>
      <c r="BJ102" s="465">
        <f t="shared" si="157"/>
        <v>1.0375096734251663</v>
      </c>
      <c r="BK102" s="465">
        <f t="shared" si="158"/>
        <v>0.85613138289194635</v>
      </c>
      <c r="BL102" s="465">
        <f t="shared" si="159"/>
        <v>0</v>
      </c>
      <c r="BM102" s="465">
        <f t="shared" si="160"/>
        <v>0</v>
      </c>
      <c r="BN102" s="465">
        <f t="shared" si="161"/>
        <v>0</v>
      </c>
      <c r="BO102" s="465">
        <f t="shared" si="162"/>
        <v>0</v>
      </c>
      <c r="BP102" s="465">
        <f t="shared" si="176"/>
        <v>0.54836208836720823</v>
      </c>
    </row>
    <row r="103" spans="2:68">
      <c r="B103" s="769"/>
      <c r="C103" s="769"/>
      <c r="D103" s="182" t="s">
        <v>14</v>
      </c>
      <c r="E103" s="341">
        <f>SUM(E104:E110)</f>
        <v>825</v>
      </c>
      <c r="F103" s="341">
        <f>SUM(F104:F110)</f>
        <v>713</v>
      </c>
      <c r="G103" s="341">
        <f t="shared" ref="G103:Q103" si="177">SUM(G104:G110)</f>
        <v>713</v>
      </c>
      <c r="H103" s="341">
        <f t="shared" si="177"/>
        <v>559</v>
      </c>
      <c r="I103" s="341">
        <f t="shared" si="177"/>
        <v>554</v>
      </c>
      <c r="J103" s="341">
        <f t="shared" si="177"/>
        <v>538</v>
      </c>
      <c r="K103" s="341">
        <f t="shared" si="177"/>
        <v>2361</v>
      </c>
      <c r="L103" s="341">
        <f t="shared" si="177"/>
        <v>9471</v>
      </c>
      <c r="M103" s="341">
        <f t="shared" si="177"/>
        <v>7961</v>
      </c>
      <c r="N103" s="341">
        <f t="shared" si="177"/>
        <v>8827</v>
      </c>
      <c r="O103" s="341">
        <f t="shared" si="177"/>
        <v>9521</v>
      </c>
      <c r="P103" s="341">
        <f t="shared" si="177"/>
        <v>9816</v>
      </c>
      <c r="Q103" s="341">
        <f t="shared" si="177"/>
        <v>51859</v>
      </c>
      <c r="S103" s="769"/>
      <c r="T103" s="769"/>
      <c r="U103" s="182" t="s">
        <v>14</v>
      </c>
      <c r="V103" s="341">
        <v>4408.4272097053727</v>
      </c>
      <c r="W103" s="341">
        <v>4256.4124783362222</v>
      </c>
      <c r="X103" s="341">
        <v>8290.0319284802044</v>
      </c>
      <c r="Y103" s="341" cm="1">
        <f t="array" ref="Y103">INDEX('Research Goals'!$F$64:$F$75, COLUMN()-COLUMN($V$3)+1)</f>
        <v>3000.4722703639513</v>
      </c>
      <c r="Z103" s="341" cm="1">
        <f t="array" ref="Z103">INDEX('Research Goals'!$F$64:$F$75, COLUMN()-COLUMN($V$3)+1)</f>
        <v>3484.4194107452336</v>
      </c>
      <c r="AA103" s="341" cm="1">
        <f t="array" ref="AA103">INDEX('Research Goals'!$F$64:$F$75, COLUMN()-COLUMN($V$3)+1)</f>
        <v>2903.6828422876947</v>
      </c>
      <c r="AB103" s="341" cm="1">
        <f t="array" ref="AB103">INDEX('Research Goals'!$F$64:$F$75, COLUMN()-COLUMN($V$3)+1)</f>
        <v>6409.4125159642408</v>
      </c>
      <c r="AC103" s="341" cm="1">
        <f t="array" ref="AC103">INDEX('Research Goals'!$F$64:$F$75, COLUMN()-COLUMN($V$3)+1)</f>
        <v>6974.9489144316731</v>
      </c>
      <c r="AD103" s="341" cm="1">
        <f t="array" ref="AD103">INDEX('Research Goals'!$F$64:$F$75, COLUMN()-COLUMN($V$3)+1)</f>
        <v>3416.666811091854</v>
      </c>
      <c r="AE103" s="341" cm="1">
        <f t="array" ref="AE103">INDEX('Research Goals'!$F$64:$F$75, COLUMN()-COLUMN($V$3)+1)</f>
        <v>3484.4194107452336</v>
      </c>
      <c r="AF103" s="341" cm="1">
        <f t="array" ref="AF103">INDEX('Research Goals'!$F$64:$F$75, COLUMN()-COLUMN($V$3)+1)</f>
        <v>6220.9003831417631</v>
      </c>
      <c r="AG103" s="341" cm="1">
        <f t="array" ref="AG103">INDEX('Research Goals'!$F$64:$F$75, COLUMN()-COLUMN($V$3)+1)</f>
        <v>7163.4610472541508</v>
      </c>
      <c r="AH103" s="342">
        <f>SUM(V103:AG103)</f>
        <v>60013.255222547603</v>
      </c>
      <c r="AJ103" s="757"/>
      <c r="AK103" s="757"/>
      <c r="AL103" s="182" t="s">
        <v>14</v>
      </c>
      <c r="AM103" s="341">
        <f>SUM(AM104:AM110)</f>
        <v>7846.5714285714294</v>
      </c>
      <c r="AN103" s="341">
        <f t="shared" ref="AN103:AS103" si="178">SUM(AN104:AN110)</f>
        <v>6189.8571428571431</v>
      </c>
      <c r="AO103" s="341">
        <f t="shared" si="178"/>
        <v>6464</v>
      </c>
      <c r="AP103" s="341">
        <f t="shared" si="178"/>
        <v>7641.2857142857138</v>
      </c>
      <c r="AQ103" s="341">
        <f t="shared" si="178"/>
        <v>7188.7142857142862</v>
      </c>
      <c r="AR103" s="341">
        <f t="shared" si="178"/>
        <v>6100.2857142857138</v>
      </c>
      <c r="AS103" s="341">
        <f t="shared" si="178"/>
        <v>6455.9999999999991</v>
      </c>
      <c r="AT103" s="341">
        <f t="shared" ref="AT103" si="179">SUM(AT104:AT110)</f>
        <v>5334.7142857142862</v>
      </c>
      <c r="AU103" s="341">
        <f t="shared" ref="AU103" si="180">SUM(AU104:AU110)</f>
        <v>0</v>
      </c>
      <c r="AV103" s="341">
        <f t="shared" ref="AV103" si="181">SUM(AV104:AV110)</f>
        <v>0</v>
      </c>
      <c r="AW103" s="341">
        <f t="shared" ref="AW103" si="182">SUM(AW104:AW110)</f>
        <v>0</v>
      </c>
      <c r="AX103" s="341">
        <f t="shared" ref="AX103" si="183">SUM(AX104:AX110)</f>
        <v>0</v>
      </c>
      <c r="AY103" s="341">
        <f t="shared" ref="AY103" si="184">SUM(AY104:AY110)</f>
        <v>53221.428571428572</v>
      </c>
      <c r="BA103" s="757"/>
      <c r="BB103" s="757"/>
      <c r="BC103" s="182" t="s">
        <v>14</v>
      </c>
      <c r="BD103" s="464">
        <f>AM103/V103</f>
        <v>1.7799026853152549</v>
      </c>
      <c r="BE103" s="464">
        <f t="shared" si="172"/>
        <v>1.4542427864690126</v>
      </c>
      <c r="BF103" s="464">
        <f t="shared" si="153"/>
        <v>0.77973161693057946</v>
      </c>
      <c r="BG103" s="464">
        <f t="shared" si="154"/>
        <v>2.5466943286760793</v>
      </c>
      <c r="BH103" s="464">
        <f t="shared" si="155"/>
        <v>2.0631024679594447</v>
      </c>
      <c r="BI103" s="464">
        <f t="shared" si="156"/>
        <v>2.1008787962116222</v>
      </c>
      <c r="BJ103" s="464">
        <f t="shared" si="157"/>
        <v>1.0072686044032462</v>
      </c>
      <c r="BK103" s="464">
        <f t="shared" si="158"/>
        <v>0.76483919110523912</v>
      </c>
      <c r="BL103" s="464">
        <f t="shared" si="159"/>
        <v>0</v>
      </c>
      <c r="BM103" s="464">
        <f t="shared" si="160"/>
        <v>0</v>
      </c>
      <c r="BN103" s="464">
        <f t="shared" si="161"/>
        <v>0</v>
      </c>
      <c r="BO103" s="464">
        <f t="shared" si="162"/>
        <v>0</v>
      </c>
      <c r="BP103" s="464">
        <f t="shared" si="176"/>
        <v>0.88682789117282756</v>
      </c>
    </row>
    <row r="104" spans="2:68" ht="16" customHeight="1">
      <c r="B104" s="769"/>
      <c r="C104" s="769"/>
      <c r="D104" s="292" t="s">
        <v>99</v>
      </c>
      <c r="E104" s="69">
        <v>108</v>
      </c>
      <c r="F104" s="69">
        <v>95</v>
      </c>
      <c r="G104" s="69">
        <v>102</v>
      </c>
      <c r="H104" s="69">
        <v>67</v>
      </c>
      <c r="I104" s="69">
        <v>75</v>
      </c>
      <c r="J104" s="69">
        <v>56</v>
      </c>
      <c r="K104" s="69">
        <v>345</v>
      </c>
      <c r="L104" s="69">
        <v>1292</v>
      </c>
      <c r="M104" s="69">
        <v>1248</v>
      </c>
      <c r="N104" s="69">
        <v>1234</v>
      </c>
      <c r="O104" s="69">
        <v>1400</v>
      </c>
      <c r="P104" s="69">
        <v>1656</v>
      </c>
      <c r="Q104" s="69">
        <f>SUM(E104:P104)</f>
        <v>7678</v>
      </c>
      <c r="S104" s="769"/>
      <c r="T104" s="769"/>
      <c r="U104" s="292" t="s">
        <v>99</v>
      </c>
      <c r="V104" s="69">
        <v>592.85745233968805</v>
      </c>
      <c r="W104" s="69">
        <v>535.4841505003634</v>
      </c>
      <c r="X104" s="69">
        <v>1065.8612479474548</v>
      </c>
      <c r="Y104" s="69">
        <f>Y$103*'Region OP Sales Goals'!V104</f>
        <v>387.157712305026</v>
      </c>
      <c r="Z104" s="69">
        <f>Z$103*'Region OP Sales Goals'!W104</f>
        <v>445.23136915077981</v>
      </c>
      <c r="AA104" s="69">
        <f>AA$103*'Region OP Sales Goals'!X104</f>
        <v>377.47876949740032</v>
      </c>
      <c r="AB104" s="69">
        <f>AB$103*'Region OP Sales Goals'!Y104</f>
        <v>829.45338441890181</v>
      </c>
      <c r="AC104" s="69">
        <f>AC$103*'Region OP Sales Goals'!Z104</f>
        <v>899.40130738724213</v>
      </c>
      <c r="AD104" s="69">
        <f>AD$103*'Region OP Sales Goals'!AA104</f>
        <v>436.57409252840353</v>
      </c>
      <c r="AE104" s="69">
        <f>AE$103*'Region OP Sales Goals'!AB104</f>
        <v>449.30671349083281</v>
      </c>
      <c r="AF104" s="69">
        <f>AF$103*'Region OP Sales Goals'!AC104</f>
        <v>805.05769664187528</v>
      </c>
      <c r="AG104" s="69">
        <f>AG$103*'Region OP Sales Goals'!AD104</f>
        <v>925.28038527032788</v>
      </c>
      <c r="AH104" s="69">
        <f>AH$103*'Region OP Sales Goals'!AE104</f>
        <v>7866.6406822186864</v>
      </c>
      <c r="AJ104" s="757"/>
      <c r="AK104" s="757"/>
      <c r="AL104" s="292" t="s">
        <v>99</v>
      </c>
      <c r="AM104" s="69">
        <v>1285.5714285714284</v>
      </c>
      <c r="AN104" s="69">
        <v>898.71428571428578</v>
      </c>
      <c r="AO104" s="69">
        <v>936</v>
      </c>
      <c r="AP104" s="69">
        <v>1588.7142857142858</v>
      </c>
      <c r="AQ104" s="156">
        <v>1096.2857142857142</v>
      </c>
      <c r="AR104" s="156">
        <v>1066.2857142857142</v>
      </c>
      <c r="AS104" s="156">
        <v>1273.5714285714287</v>
      </c>
      <c r="AT104" s="156">
        <v>949.14285714285711</v>
      </c>
      <c r="AU104" s="69"/>
      <c r="AV104" s="69"/>
      <c r="AW104" s="69"/>
      <c r="AX104" s="69"/>
      <c r="AY104" s="69">
        <f>SUM(AM104:AX104)</f>
        <v>9094.2857142857138</v>
      </c>
      <c r="BA104" s="757"/>
      <c r="BB104" s="757"/>
      <c r="BC104" s="292" t="s">
        <v>99</v>
      </c>
      <c r="BD104" s="465">
        <f>AM104/V104</f>
        <v>2.1684326029772798</v>
      </c>
      <c r="BE104" s="465">
        <f t="shared" si="172"/>
        <v>1.6783209827490047</v>
      </c>
      <c r="BF104" s="465">
        <f t="shared" si="153"/>
        <v>0.87816308342429128</v>
      </c>
      <c r="BG104" s="465">
        <f t="shared" si="154"/>
        <v>4.1035325791536907</v>
      </c>
      <c r="BH104" s="465">
        <f t="shared" si="155"/>
        <v>2.4622831863278969</v>
      </c>
      <c r="BI104" s="465">
        <f t="shared" si="156"/>
        <v>2.8247567822302591</v>
      </c>
      <c r="BJ104" s="465">
        <f t="shared" si="157"/>
        <v>1.5354346036741617</v>
      </c>
      <c r="BK104" s="465">
        <f t="shared" si="158"/>
        <v>1.0553051783970762</v>
      </c>
      <c r="BL104" s="465">
        <f t="shared" si="159"/>
        <v>0</v>
      </c>
      <c r="BM104" s="465">
        <f t="shared" si="160"/>
        <v>0</v>
      </c>
      <c r="BN104" s="465">
        <f t="shared" si="161"/>
        <v>0</v>
      </c>
      <c r="BO104" s="465">
        <f t="shared" si="162"/>
        <v>0</v>
      </c>
      <c r="BP104" s="465">
        <f>AY104/AH104</f>
        <v>1.1560570873463087</v>
      </c>
    </row>
    <row r="105" spans="2:68" ht="16" customHeight="1">
      <c r="B105" s="769"/>
      <c r="C105" s="769"/>
      <c r="D105" s="292" t="s">
        <v>100</v>
      </c>
      <c r="E105" s="69">
        <v>119</v>
      </c>
      <c r="F105" s="69">
        <v>79</v>
      </c>
      <c r="G105" s="69">
        <v>98</v>
      </c>
      <c r="H105" s="69">
        <v>97</v>
      </c>
      <c r="I105" s="69">
        <v>81</v>
      </c>
      <c r="J105" s="69">
        <v>71</v>
      </c>
      <c r="K105" s="69">
        <v>229</v>
      </c>
      <c r="L105" s="69">
        <v>925</v>
      </c>
      <c r="M105" s="69">
        <v>966</v>
      </c>
      <c r="N105" s="69">
        <v>1084</v>
      </c>
      <c r="O105" s="69">
        <v>985</v>
      </c>
      <c r="P105" s="69">
        <v>991</v>
      </c>
      <c r="Q105" s="69">
        <f t="shared" ref="Q105:Q110" si="185">SUM(E105:P105)</f>
        <v>5725</v>
      </c>
      <c r="S105" s="769"/>
      <c r="T105" s="769"/>
      <c r="U105" s="292" t="s">
        <v>100</v>
      </c>
      <c r="V105" s="69">
        <v>486.44714038128251</v>
      </c>
      <c r="W105" s="69">
        <v>562.94487616704873</v>
      </c>
      <c r="X105" s="69">
        <v>1113.2328589673418</v>
      </c>
      <c r="Y105" s="69">
        <f>Y$103*'Region OP Sales Goals'!V105</f>
        <v>387.157712305026</v>
      </c>
      <c r="Z105" s="69">
        <f>Z$103*'Region OP Sales Goals'!W105</f>
        <v>454.91031195840554</v>
      </c>
      <c r="AA105" s="69">
        <f>AA$103*'Region OP Sales Goals'!X105</f>
        <v>377.47876949740032</v>
      </c>
      <c r="AB105" s="69">
        <f>AB$103*'Region OP Sales Goals'!Y105</f>
        <v>829.45338441890181</v>
      </c>
      <c r="AC105" s="69">
        <f>AC$103*'Region OP Sales Goals'!Z105</f>
        <v>899.40130738724213</v>
      </c>
      <c r="AD105" s="69">
        <f>AD$103*'Region OP Sales Goals'!AA105</f>
        <v>446.06483367032541</v>
      </c>
      <c r="AE105" s="69">
        <f>AE$103*'Region OP Sales Goals'!AB105</f>
        <v>449.30671349083281</v>
      </c>
      <c r="AF105" s="69">
        <f>AF$103*'Region OP Sales Goals'!AC105</f>
        <v>805.05769664187528</v>
      </c>
      <c r="AG105" s="69">
        <f>AG$103*'Region OP Sales Goals'!AD105</f>
        <v>925.28038527032788</v>
      </c>
      <c r="AH105" s="69">
        <f>AH$103*'Region OP Sales Goals'!AE105</f>
        <v>7370.5462247814721</v>
      </c>
      <c r="AJ105" s="757"/>
      <c r="AK105" s="757"/>
      <c r="AL105" s="292" t="s">
        <v>100</v>
      </c>
      <c r="AM105" s="69">
        <v>860</v>
      </c>
      <c r="AN105" s="69">
        <v>702.14285714285711</v>
      </c>
      <c r="AO105" s="69">
        <v>1006</v>
      </c>
      <c r="AP105" s="69">
        <v>1040</v>
      </c>
      <c r="AQ105" s="156">
        <v>749</v>
      </c>
      <c r="AR105" s="156">
        <v>575.71428571428567</v>
      </c>
      <c r="AS105" s="156">
        <v>620.42857142857144</v>
      </c>
      <c r="AT105" s="156">
        <v>626.85714285714289</v>
      </c>
      <c r="AU105" s="69"/>
      <c r="AV105" s="69"/>
      <c r="AW105" s="69"/>
      <c r="AX105" s="69"/>
      <c r="AY105" s="69">
        <f t="shared" ref="AY105:AY110" si="186">SUM(AM105:AX105)</f>
        <v>6180.1428571428569</v>
      </c>
      <c r="BA105" s="757"/>
      <c r="BB105" s="757"/>
      <c r="BC105" s="292" t="s">
        <v>100</v>
      </c>
      <c r="BD105" s="465">
        <f t="shared" ref="BD105:BD106" si="187">AM105/V105</f>
        <v>1.7679207638591989</v>
      </c>
      <c r="BE105" s="465">
        <f t="shared" si="172"/>
        <v>1.2472675156465989</v>
      </c>
      <c r="BF105" s="465">
        <f t="shared" si="153"/>
        <v>0.90367436776272192</v>
      </c>
      <c r="BG105" s="465">
        <f t="shared" si="154"/>
        <v>2.6862437888893864</v>
      </c>
      <c r="BH105" s="465">
        <f t="shared" si="155"/>
        <v>1.6464783943356385</v>
      </c>
      <c r="BI105" s="465">
        <f t="shared" si="156"/>
        <v>1.5251567299555124</v>
      </c>
      <c r="BJ105" s="465">
        <f t="shared" si="157"/>
        <v>0.74799691348927477</v>
      </c>
      <c r="BK105" s="465">
        <f t="shared" si="158"/>
        <v>0.6969715717649565</v>
      </c>
      <c r="BL105" s="465">
        <f t="shared" si="159"/>
        <v>0</v>
      </c>
      <c r="BM105" s="465">
        <f t="shared" si="160"/>
        <v>0</v>
      </c>
      <c r="BN105" s="465">
        <f t="shared" si="161"/>
        <v>0</v>
      </c>
      <c r="BO105" s="465">
        <f t="shared" si="162"/>
        <v>0</v>
      </c>
      <c r="BP105" s="465">
        <f t="shared" ref="BP105:BP112" si="188">AY105/AH105</f>
        <v>0.83849183882244638</v>
      </c>
    </row>
    <row r="106" spans="2:68" ht="16" customHeight="1">
      <c r="B106" s="769"/>
      <c r="C106" s="769"/>
      <c r="D106" s="292" t="s">
        <v>101</v>
      </c>
      <c r="E106" s="69">
        <v>68</v>
      </c>
      <c r="F106" s="69">
        <v>61</v>
      </c>
      <c r="G106" s="69">
        <v>50</v>
      </c>
      <c r="H106" s="69">
        <v>34</v>
      </c>
      <c r="I106" s="69">
        <v>38</v>
      </c>
      <c r="J106" s="69">
        <v>57</v>
      </c>
      <c r="K106" s="69">
        <v>137</v>
      </c>
      <c r="L106" s="69">
        <v>579</v>
      </c>
      <c r="M106" s="69">
        <v>461</v>
      </c>
      <c r="N106" s="69">
        <v>743</v>
      </c>
      <c r="O106" s="69">
        <v>795</v>
      </c>
      <c r="P106" s="69">
        <v>844</v>
      </c>
      <c r="Q106" s="69">
        <f t="shared" si="185"/>
        <v>3867</v>
      </c>
      <c r="S106" s="769"/>
      <c r="T106" s="769"/>
      <c r="U106" s="292" t="s">
        <v>101</v>
      </c>
      <c r="V106" s="69">
        <v>410.43977469670716</v>
      </c>
      <c r="W106" s="69">
        <v>370.71979650025162</v>
      </c>
      <c r="X106" s="69">
        <v>710.57416529830323</v>
      </c>
      <c r="Y106" s="69">
        <f>Y$103*'Region OP Sales Goals'!V106</f>
        <v>251.6525129982669</v>
      </c>
      <c r="Z106" s="69">
        <f>Z$103*'Region OP Sales Goals'!W106</f>
        <v>300.0472270363951</v>
      </c>
      <c r="AA106" s="69">
        <f>AA$103*'Region OP Sales Goals'!X106</f>
        <v>241.97357019064123</v>
      </c>
      <c r="AB106" s="69">
        <f>AB$103*'Region OP Sales Goals'!Y106</f>
        <v>546.68518518518522</v>
      </c>
      <c r="AC106" s="69">
        <f>AC$103*'Region OP Sales Goals'!Z106</f>
        <v>587.36411911003563</v>
      </c>
      <c r="AD106" s="69">
        <f>AD$103*'Region OP Sales Goals'!AA106</f>
        <v>294.21297539957629</v>
      </c>
      <c r="AE106" s="69">
        <f>AE$103*'Region OP Sales Goals'!AB106</f>
        <v>293.42479248380914</v>
      </c>
      <c r="AF106" s="69">
        <f>AF$103*'Region OP Sales Goals'!AC106</f>
        <v>530.60620915032689</v>
      </c>
      <c r="AG106" s="69">
        <f>AG$103*'Region OP Sales Goals'!AD106</f>
        <v>611.87896445295871</v>
      </c>
      <c r="AH106" s="69">
        <f>AH$103*'Region OP Sales Goals'!AE106</f>
        <v>4890.0739375953999</v>
      </c>
      <c r="AJ106" s="757"/>
      <c r="AK106" s="757"/>
      <c r="AL106" s="292" t="s">
        <v>101</v>
      </c>
      <c r="AM106" s="69">
        <v>467.85714285714289</v>
      </c>
      <c r="AN106" s="69">
        <v>374.85714285714289</v>
      </c>
      <c r="AO106" s="69">
        <v>379</v>
      </c>
      <c r="AP106" s="69">
        <v>540</v>
      </c>
      <c r="AQ106" s="156">
        <v>654</v>
      </c>
      <c r="AR106" s="156">
        <v>523.42857142857144</v>
      </c>
      <c r="AS106" s="156">
        <v>616.14285714285711</v>
      </c>
      <c r="AT106" s="156">
        <v>550.42857142857144</v>
      </c>
      <c r="AU106" s="69"/>
      <c r="AV106" s="69"/>
      <c r="AW106" s="69"/>
      <c r="AX106" s="69"/>
      <c r="AY106" s="69">
        <f t="shared" si="186"/>
        <v>4105.7142857142862</v>
      </c>
      <c r="BA106" s="757"/>
      <c r="BB106" s="757"/>
      <c r="BC106" s="292" t="s">
        <v>101</v>
      </c>
      <c r="BD106" s="465">
        <f t="shared" si="187"/>
        <v>1.1398923099079861</v>
      </c>
      <c r="BE106" s="465">
        <f t="shared" si="172"/>
        <v>1.0111603059667964</v>
      </c>
      <c r="BF106" s="465">
        <f t="shared" si="153"/>
        <v>0.53337148816956148</v>
      </c>
      <c r="BG106" s="465">
        <f t="shared" si="154"/>
        <v>2.1458160443790955</v>
      </c>
      <c r="BH106" s="465">
        <f t="shared" si="155"/>
        <v>2.1796568708854327</v>
      </c>
      <c r="BI106" s="465">
        <f t="shared" si="156"/>
        <v>2.1631642291188378</v>
      </c>
      <c r="BJ106" s="465">
        <f t="shared" si="157"/>
        <v>1.1270524130522097</v>
      </c>
      <c r="BK106" s="465">
        <f t="shared" si="158"/>
        <v>0.93711643854338889</v>
      </c>
      <c r="BL106" s="465">
        <f t="shared" si="159"/>
        <v>0</v>
      </c>
      <c r="BM106" s="465">
        <f t="shared" si="160"/>
        <v>0</v>
      </c>
      <c r="BN106" s="465">
        <f t="shared" si="161"/>
        <v>0</v>
      </c>
      <c r="BO106" s="465">
        <f t="shared" si="162"/>
        <v>0</v>
      </c>
      <c r="BP106" s="465">
        <f t="shared" si="188"/>
        <v>0.83960167844275835</v>
      </c>
    </row>
    <row r="107" spans="2:68" ht="16" customHeight="1">
      <c r="B107" s="769"/>
      <c r="C107" s="769"/>
      <c r="D107" s="292" t="s">
        <v>102</v>
      </c>
      <c r="E107" s="69">
        <v>66</v>
      </c>
      <c r="F107" s="69">
        <v>49</v>
      </c>
      <c r="G107" s="69">
        <v>44</v>
      </c>
      <c r="H107" s="69">
        <v>30</v>
      </c>
      <c r="I107" s="69">
        <v>34</v>
      </c>
      <c r="J107" s="69">
        <v>32</v>
      </c>
      <c r="K107" s="69">
        <v>168</v>
      </c>
      <c r="L107" s="69">
        <v>406</v>
      </c>
      <c r="M107" s="69">
        <v>326</v>
      </c>
      <c r="N107" s="69">
        <v>395</v>
      </c>
      <c r="O107" s="69">
        <v>492</v>
      </c>
      <c r="P107" s="69">
        <v>442</v>
      </c>
      <c r="Q107" s="69">
        <f t="shared" si="185"/>
        <v>2484</v>
      </c>
      <c r="S107" s="769"/>
      <c r="T107" s="769"/>
      <c r="U107" s="292" t="s">
        <v>102</v>
      </c>
      <c r="V107" s="69">
        <v>273.62651646447142</v>
      </c>
      <c r="W107" s="69">
        <v>302.06798233353834</v>
      </c>
      <c r="X107" s="69">
        <v>592.14513774858597</v>
      </c>
      <c r="Y107" s="69">
        <f>Y$103*'Region OP Sales Goals'!V107</f>
        <v>212.93674176776429</v>
      </c>
      <c r="Z107" s="69">
        <f>Z$103*'Region OP Sales Goals'!W107</f>
        <v>241.97357019064123</v>
      </c>
      <c r="AA107" s="69">
        <f>AA$103*'Region OP Sales Goals'!X107</f>
        <v>203.25779896013864</v>
      </c>
      <c r="AB107" s="69">
        <f>AB$103*'Region OP Sales Goals'!Y107</f>
        <v>452.42911877394641</v>
      </c>
      <c r="AC107" s="69">
        <f>AC$103*'Region OP Sales Goals'!Z107</f>
        <v>495.58847549909257</v>
      </c>
      <c r="AD107" s="69">
        <f>AD$103*'Region OP Sales Goals'!AA107</f>
        <v>237.26852854804542</v>
      </c>
      <c r="AE107" s="69">
        <f>AE$103*'Region OP Sales Goals'!AB107</f>
        <v>247.57716865821396</v>
      </c>
      <c r="AF107" s="69">
        <f>AF$103*'Region OP Sales Goals'!AC107</f>
        <v>439.12237998647737</v>
      </c>
      <c r="AG107" s="69">
        <f>AG$103*'Region OP Sales Goals'!AD107</f>
        <v>507.41182418050232</v>
      </c>
      <c r="AH107" s="69">
        <f>AH$103*'Region OP Sales Goals'!AE107</f>
        <v>4493.1983716456289</v>
      </c>
      <c r="AJ107" s="757"/>
      <c r="AK107" s="757"/>
      <c r="AL107" s="292" t="s">
        <v>102</v>
      </c>
      <c r="AM107" s="69">
        <v>329.57142857142856</v>
      </c>
      <c r="AN107" s="69">
        <v>296.71428571428572</v>
      </c>
      <c r="AO107" s="69">
        <v>390</v>
      </c>
      <c r="AP107" s="69">
        <v>213.85714285714286</v>
      </c>
      <c r="AQ107" s="156">
        <v>211.14285714285714</v>
      </c>
      <c r="AR107" s="156">
        <v>273.57142857142856</v>
      </c>
      <c r="AS107" s="156">
        <v>283.71428571428572</v>
      </c>
      <c r="AT107" s="156">
        <v>229.71428571428572</v>
      </c>
      <c r="AU107" s="69"/>
      <c r="AV107" s="69"/>
      <c r="AW107" s="69"/>
      <c r="AX107" s="69"/>
      <c r="AY107" s="69">
        <f t="shared" si="186"/>
        <v>2228.2857142857142</v>
      </c>
      <c r="BA107" s="757"/>
      <c r="BB107" s="757"/>
      <c r="BC107" s="292" t="s">
        <v>102</v>
      </c>
      <c r="BD107" s="465">
        <f>AM107/V107</f>
        <v>1.2044572025760567</v>
      </c>
      <c r="BE107" s="465">
        <f t="shared" si="172"/>
        <v>0.98227651743195621</v>
      </c>
      <c r="BF107" s="465">
        <f t="shared" si="153"/>
        <v>0.65862231256821857</v>
      </c>
      <c r="BG107" s="465">
        <f t="shared" si="154"/>
        <v>1.0043224155762767</v>
      </c>
      <c r="BH107" s="465">
        <f t="shared" si="155"/>
        <v>0.87258644395132157</v>
      </c>
      <c r="BI107" s="465">
        <f t="shared" si="156"/>
        <v>1.345933243255671</v>
      </c>
      <c r="BJ107" s="465">
        <f t="shared" si="157"/>
        <v>0.62709112641364251</v>
      </c>
      <c r="BK107" s="465">
        <f t="shared" si="158"/>
        <v>0.46351821535589022</v>
      </c>
      <c r="BL107" s="465">
        <f t="shared" si="159"/>
        <v>0</v>
      </c>
      <c r="BM107" s="465">
        <f t="shared" si="160"/>
        <v>0</v>
      </c>
      <c r="BN107" s="465">
        <f t="shared" si="161"/>
        <v>0</v>
      </c>
      <c r="BO107" s="465">
        <f t="shared" si="162"/>
        <v>0</v>
      </c>
      <c r="BP107" s="465">
        <f t="shared" si="188"/>
        <v>0.49592417916540976</v>
      </c>
    </row>
    <row r="108" spans="2:68" ht="16" customHeight="1">
      <c r="B108" s="769"/>
      <c r="C108" s="769"/>
      <c r="D108" s="292" t="s">
        <v>103</v>
      </c>
      <c r="E108" s="69">
        <v>148</v>
      </c>
      <c r="F108" s="69">
        <v>128</v>
      </c>
      <c r="G108" s="69">
        <v>136</v>
      </c>
      <c r="H108" s="69">
        <v>110</v>
      </c>
      <c r="I108" s="69">
        <v>110</v>
      </c>
      <c r="J108" s="69">
        <v>99</v>
      </c>
      <c r="K108" s="69">
        <v>346</v>
      </c>
      <c r="L108" s="69">
        <v>1985</v>
      </c>
      <c r="M108" s="69">
        <v>1499</v>
      </c>
      <c r="N108" s="69">
        <v>1321</v>
      </c>
      <c r="O108" s="69">
        <v>1688</v>
      </c>
      <c r="P108" s="69">
        <v>1383</v>
      </c>
      <c r="Q108" s="69">
        <f t="shared" si="185"/>
        <v>8953</v>
      </c>
      <c r="S108" s="769"/>
      <c r="T108" s="769"/>
      <c r="U108" s="292" t="s">
        <v>103</v>
      </c>
      <c r="V108" s="69">
        <v>653.66334488734833</v>
      </c>
      <c r="W108" s="69">
        <v>700.24850450047529</v>
      </c>
      <c r="X108" s="69">
        <v>1279.0334975369458</v>
      </c>
      <c r="Y108" s="69">
        <f>Y$103*'Region OP Sales Goals'!V108</f>
        <v>483.94714038128245</v>
      </c>
      <c r="Z108" s="69">
        <f>Z$103*'Region OP Sales Goals'!W108</f>
        <v>561.37868284228762</v>
      </c>
      <c r="AA108" s="69">
        <f>AA$103*'Region OP Sales Goals'!X108</f>
        <v>474.26819757365678</v>
      </c>
      <c r="AB108" s="69">
        <f>AB$103*'Region OP Sales Goals'!Y108</f>
        <v>1036.8167305236273</v>
      </c>
      <c r="AC108" s="69">
        <f>AC$103*'Region OP Sales Goals'!Z108</f>
        <v>1138.017980775694</v>
      </c>
      <c r="AD108" s="69">
        <f>AD$103*'Region OP Sales Goals'!AA108</f>
        <v>550.46298623146538</v>
      </c>
      <c r="AE108" s="69">
        <f>AE$103*'Region OP Sales Goals'!AB108</f>
        <v>568.51053543738021</v>
      </c>
      <c r="AF108" s="69">
        <f>AF$103*'Region OP Sales Goals'!AC108</f>
        <v>1006.3221208023441</v>
      </c>
      <c r="AG108" s="69">
        <f>AG$103*'Region OP Sales Goals'!AD108</f>
        <v>1164.0624201787996</v>
      </c>
      <c r="AH108" s="69">
        <f>AH$103*'Region OP Sales Goals'!AE108</f>
        <v>9638.406601637309</v>
      </c>
      <c r="AJ108" s="757"/>
      <c r="AK108" s="757"/>
      <c r="AL108" s="292" t="s">
        <v>103</v>
      </c>
      <c r="AM108" s="69">
        <v>1311.7142857142858</v>
      </c>
      <c r="AN108" s="69">
        <v>1127.8571428571429</v>
      </c>
      <c r="AO108" s="69">
        <v>1273</v>
      </c>
      <c r="AP108" s="69">
        <v>1574.1428571428571</v>
      </c>
      <c r="AQ108" s="156">
        <v>1425.8571428571429</v>
      </c>
      <c r="AR108" s="156">
        <v>1033.5714285714287</v>
      </c>
      <c r="AS108" s="156">
        <v>864.85714285714289</v>
      </c>
      <c r="AT108" s="156">
        <v>872.57142857142856</v>
      </c>
      <c r="AU108" s="69"/>
      <c r="AV108" s="69"/>
      <c r="AW108" s="69"/>
      <c r="AX108" s="69"/>
      <c r="AY108" s="69">
        <f t="shared" si="186"/>
        <v>9483.5714285714294</v>
      </c>
      <c r="BA108" s="757"/>
      <c r="BB108" s="757"/>
      <c r="BC108" s="292" t="s">
        <v>103</v>
      </c>
      <c r="BD108" s="465">
        <f t="shared" ref="BD108:BD110" si="189">AM108/V108</f>
        <v>2.0067123175468029</v>
      </c>
      <c r="BE108" s="465">
        <f t="shared" si="172"/>
        <v>1.6106526977329336</v>
      </c>
      <c r="BF108" s="465">
        <f t="shared" si="153"/>
        <v>0.99528276816161221</v>
      </c>
      <c r="BG108" s="465">
        <f t="shared" si="154"/>
        <v>3.2527165175573791</v>
      </c>
      <c r="BH108" s="465">
        <f t="shared" si="155"/>
        <v>2.5399203540076702</v>
      </c>
      <c r="BI108" s="465">
        <f t="shared" si="156"/>
        <v>2.1792973550812644</v>
      </c>
      <c r="BJ108" s="465">
        <f t="shared" si="157"/>
        <v>0.83414659254231072</v>
      </c>
      <c r="BK108" s="465">
        <f t="shared" si="158"/>
        <v>0.76674660972989883</v>
      </c>
      <c r="BL108" s="465">
        <f t="shared" si="159"/>
        <v>0</v>
      </c>
      <c r="BM108" s="465">
        <f t="shared" si="160"/>
        <v>0</v>
      </c>
      <c r="BN108" s="465">
        <f t="shared" si="161"/>
        <v>0</v>
      </c>
      <c r="BO108" s="465">
        <f t="shared" si="162"/>
        <v>0</v>
      </c>
      <c r="BP108" s="465">
        <f t="shared" si="188"/>
        <v>0.98393560476691477</v>
      </c>
    </row>
    <row r="109" spans="2:68" ht="16" customHeight="1">
      <c r="B109" s="769"/>
      <c r="C109" s="769"/>
      <c r="D109" s="292" t="s">
        <v>104</v>
      </c>
      <c r="E109" s="69">
        <v>182</v>
      </c>
      <c r="F109" s="69">
        <v>174</v>
      </c>
      <c r="G109" s="69">
        <v>180</v>
      </c>
      <c r="H109" s="69">
        <v>126</v>
      </c>
      <c r="I109" s="69">
        <v>129</v>
      </c>
      <c r="J109" s="69">
        <v>139</v>
      </c>
      <c r="K109" s="69">
        <v>648</v>
      </c>
      <c r="L109" s="69">
        <v>2449</v>
      </c>
      <c r="M109" s="69">
        <v>2040</v>
      </c>
      <c r="N109" s="69">
        <v>2269</v>
      </c>
      <c r="O109" s="69">
        <v>2359</v>
      </c>
      <c r="P109" s="69">
        <v>2676</v>
      </c>
      <c r="Q109" s="69">
        <f t="shared" si="185"/>
        <v>13371</v>
      </c>
      <c r="S109" s="769"/>
      <c r="T109" s="769"/>
      <c r="U109" s="292" t="s">
        <v>104</v>
      </c>
      <c r="V109" s="69">
        <v>1216.1178509532062</v>
      </c>
      <c r="W109" s="69">
        <v>1139.6201151674402</v>
      </c>
      <c r="X109" s="69">
        <v>2226.4657179346837</v>
      </c>
      <c r="Y109" s="69">
        <f>Y$103*'Region OP Sales Goals'!V109</f>
        <v>813.03119584055469</v>
      </c>
      <c r="Z109" s="69">
        <f>Z$103*'Region OP Sales Goals'!W109</f>
        <v>938.85745233968794</v>
      </c>
      <c r="AA109" s="69">
        <f>AA$103*'Region OP Sales Goals'!X109</f>
        <v>783.99436741767761</v>
      </c>
      <c r="AB109" s="69">
        <f>AB$103*'Region OP Sales Goals'!Y109</f>
        <v>1734.3116219667945</v>
      </c>
      <c r="AC109" s="69">
        <f>AC$103*'Region OP Sales Goals'!Z109</f>
        <v>1890.5782583854273</v>
      </c>
      <c r="AD109" s="69">
        <f>AD$103*'Region OP Sales Goals'!AA109</f>
        <v>920.6018907664162</v>
      </c>
      <c r="AE109" s="69">
        <f>AE$103*'Region OP Sales Goals'!AB109</f>
        <v>944.46105080726068</v>
      </c>
      <c r="AF109" s="69">
        <f>AF$103*'Region OP Sales Goals'!AC109</f>
        <v>1683.3024566148299</v>
      </c>
      <c r="AG109" s="69">
        <f>AG$103*'Region OP Sales Goals'!AD109</f>
        <v>1940.1040336313324</v>
      </c>
      <c r="AH109" s="69">
        <f>AH$103*'Region OP Sales Goals'!AE109</f>
        <v>16314.420586006681</v>
      </c>
      <c r="AJ109" s="757"/>
      <c r="AK109" s="757"/>
      <c r="AL109" s="292" t="s">
        <v>104</v>
      </c>
      <c r="AM109" s="69">
        <v>2340.5714285714284</v>
      </c>
      <c r="AN109" s="69">
        <v>1855.4285714285716</v>
      </c>
      <c r="AO109" s="69">
        <v>1570</v>
      </c>
      <c r="AP109" s="69">
        <v>1733.7142857142858</v>
      </c>
      <c r="AQ109" s="156">
        <v>2179.2857142857142</v>
      </c>
      <c r="AR109" s="156">
        <v>1562.5714285714287</v>
      </c>
      <c r="AS109" s="156">
        <v>1793.7142857142858</v>
      </c>
      <c r="AT109" s="156">
        <v>1256.7142857142858</v>
      </c>
      <c r="AU109" s="69"/>
      <c r="AV109" s="69"/>
      <c r="AW109" s="69"/>
      <c r="AX109" s="69"/>
      <c r="AY109" s="69">
        <f t="shared" si="186"/>
        <v>14292.000000000002</v>
      </c>
      <c r="BA109" s="757"/>
      <c r="BB109" s="757"/>
      <c r="BC109" s="292" t="s">
        <v>104</v>
      </c>
      <c r="BD109" s="465">
        <f t="shared" si="189"/>
        <v>1.9246255013334961</v>
      </c>
      <c r="BE109" s="465">
        <f t="shared" si="172"/>
        <v>1.6281114616478669</v>
      </c>
      <c r="BF109" s="465">
        <f t="shared" si="153"/>
        <v>0.70515345794606032</v>
      </c>
      <c r="BG109" s="465">
        <f t="shared" si="154"/>
        <v>2.1324080731267392</v>
      </c>
      <c r="BH109" s="465">
        <f t="shared" si="155"/>
        <v>2.3212104338681088</v>
      </c>
      <c r="BI109" s="465">
        <f t="shared" si="156"/>
        <v>1.993090120938279</v>
      </c>
      <c r="BJ109" s="465">
        <f t="shared" si="157"/>
        <v>1.0342514361289499</v>
      </c>
      <c r="BK109" s="465">
        <f t="shared" si="158"/>
        <v>0.66472481641015613</v>
      </c>
      <c r="BL109" s="465">
        <f t="shared" si="159"/>
        <v>0</v>
      </c>
      <c r="BM109" s="465">
        <f t="shared" si="160"/>
        <v>0</v>
      </c>
      <c r="BN109" s="465">
        <f t="shared" si="161"/>
        <v>0</v>
      </c>
      <c r="BO109" s="465">
        <f t="shared" si="162"/>
        <v>0</v>
      </c>
      <c r="BP109" s="465">
        <f t="shared" si="188"/>
        <v>0.876034789262368</v>
      </c>
    </row>
    <row r="110" spans="2:68" ht="16" customHeight="1">
      <c r="B110" s="770"/>
      <c r="C110" s="770"/>
      <c r="D110" s="292" t="s">
        <v>105</v>
      </c>
      <c r="E110" s="69">
        <v>134</v>
      </c>
      <c r="F110" s="69">
        <v>127</v>
      </c>
      <c r="G110" s="69">
        <v>103</v>
      </c>
      <c r="H110" s="69">
        <v>95</v>
      </c>
      <c r="I110" s="69">
        <v>87</v>
      </c>
      <c r="J110" s="69">
        <v>84</v>
      </c>
      <c r="K110" s="69">
        <v>488</v>
      </c>
      <c r="L110" s="69">
        <v>1835</v>
      </c>
      <c r="M110" s="69">
        <v>1421</v>
      </c>
      <c r="N110" s="69">
        <v>1781</v>
      </c>
      <c r="O110" s="69">
        <v>1802</v>
      </c>
      <c r="P110" s="69">
        <v>1824</v>
      </c>
      <c r="Q110" s="69">
        <f t="shared" si="185"/>
        <v>9781</v>
      </c>
      <c r="S110" s="770"/>
      <c r="T110" s="770"/>
      <c r="U110" s="292" t="s">
        <v>105</v>
      </c>
      <c r="V110" s="69">
        <v>775.275129982669</v>
      </c>
      <c r="W110" s="69">
        <v>645.32705316710462</v>
      </c>
      <c r="X110" s="69">
        <v>1302.7193030468893</v>
      </c>
      <c r="Y110" s="69">
        <f>Y$103*'Region OP Sales Goals'!V110</f>
        <v>464.58925476603122</v>
      </c>
      <c r="Z110" s="69">
        <f>Z$103*'Region OP Sales Goals'!W110</f>
        <v>542.02079722703638</v>
      </c>
      <c r="AA110" s="69">
        <f>AA$103*'Region OP Sales Goals'!X110</f>
        <v>445.23136915077981</v>
      </c>
      <c r="AB110" s="69">
        <f>AB$103*'Region OP Sales Goals'!Y110</f>
        <v>980.26309067688396</v>
      </c>
      <c r="AC110" s="69">
        <f>AC$103*'Region OP Sales Goals'!Z110</f>
        <v>1064.5974658869395</v>
      </c>
      <c r="AD110" s="69">
        <f>AD$103*'Region OP Sales Goals'!AA110</f>
        <v>531.48150394762172</v>
      </c>
      <c r="AE110" s="69">
        <f>AE$103*'Region OP Sales Goals'!AB110</f>
        <v>531.83243637690407</v>
      </c>
      <c r="AF110" s="69">
        <f>AF$103*'Region OP Sales Goals'!AC110</f>
        <v>951.43182330403442</v>
      </c>
      <c r="AG110" s="69">
        <f>AG$103*'Region OP Sales Goals'!AD110</f>
        <v>1089.443034269902</v>
      </c>
      <c r="AH110" s="69">
        <f>AH$103*'Region OP Sales Goals'!AE110</f>
        <v>9354.9240545303292</v>
      </c>
      <c r="AJ110" s="757"/>
      <c r="AK110" s="757"/>
      <c r="AL110" s="292" t="s">
        <v>105</v>
      </c>
      <c r="AM110" s="69">
        <v>1251.2857142857142</v>
      </c>
      <c r="AN110" s="69">
        <v>934.14285714285711</v>
      </c>
      <c r="AO110" s="69">
        <v>910</v>
      </c>
      <c r="AP110" s="69">
        <v>950.85714285714289</v>
      </c>
      <c r="AQ110" s="156">
        <v>873.14285714285711</v>
      </c>
      <c r="AR110" s="156">
        <v>1065.1428571428571</v>
      </c>
      <c r="AS110" s="156">
        <v>1003.5714285714286</v>
      </c>
      <c r="AT110" s="156">
        <v>849.28571428571433</v>
      </c>
      <c r="AU110" s="69"/>
      <c r="AV110" s="69"/>
      <c r="AW110" s="69"/>
      <c r="AX110" s="69"/>
      <c r="AY110" s="69">
        <f t="shared" si="186"/>
        <v>7837.4285714285716</v>
      </c>
      <c r="BA110" s="757"/>
      <c r="BB110" s="757"/>
      <c r="BC110" s="292" t="s">
        <v>105</v>
      </c>
      <c r="BD110" s="465">
        <f t="shared" si="189"/>
        <v>1.6139892354262495</v>
      </c>
      <c r="BE110" s="465">
        <f t="shared" si="172"/>
        <v>1.4475495061896388</v>
      </c>
      <c r="BF110" s="465">
        <f t="shared" si="153"/>
        <v>0.69853881636023163</v>
      </c>
      <c r="BG110" s="465">
        <f t="shared" si="154"/>
        <v>2.0466619343919135</v>
      </c>
      <c r="BH110" s="465">
        <f t="shared" si="155"/>
        <v>1.6109028686903384</v>
      </c>
      <c r="BI110" s="465">
        <f t="shared" si="156"/>
        <v>2.3923356055851968</v>
      </c>
      <c r="BJ110" s="465">
        <f t="shared" si="157"/>
        <v>1.0237776349188563</v>
      </c>
      <c r="BK110" s="465">
        <f t="shared" si="158"/>
        <v>0.79775289863024024</v>
      </c>
      <c r="BL110" s="465">
        <f t="shared" si="159"/>
        <v>0</v>
      </c>
      <c r="BM110" s="465">
        <f t="shared" si="160"/>
        <v>0</v>
      </c>
      <c r="BN110" s="465">
        <f t="shared" si="161"/>
        <v>0</v>
      </c>
      <c r="BO110" s="465">
        <f t="shared" si="162"/>
        <v>0</v>
      </c>
      <c r="BP110" s="465">
        <f t="shared" si="188"/>
        <v>0.83778644548515846</v>
      </c>
    </row>
    <row r="111" spans="2:68">
      <c r="B111" s="768" t="s">
        <v>57</v>
      </c>
      <c r="C111" s="768" t="s">
        <v>49</v>
      </c>
      <c r="D111" s="343" t="s">
        <v>58</v>
      </c>
      <c r="E111" s="344">
        <f>E112+E120+E128</f>
        <v>58632</v>
      </c>
      <c r="F111" s="344">
        <f t="shared" ref="F111:P111" si="190">F112+F120+F128</f>
        <v>60185</v>
      </c>
      <c r="G111" s="344">
        <f t="shared" si="190"/>
        <v>69148</v>
      </c>
      <c r="H111" s="344">
        <f t="shared" si="190"/>
        <v>68318</v>
      </c>
      <c r="I111" s="344">
        <f t="shared" si="190"/>
        <v>66616</v>
      </c>
      <c r="J111" s="344">
        <f t="shared" si="190"/>
        <v>75054</v>
      </c>
      <c r="K111" s="344">
        <f t="shared" si="190"/>
        <v>74434</v>
      </c>
      <c r="L111" s="344">
        <f t="shared" si="190"/>
        <v>83995</v>
      </c>
      <c r="M111" s="344">
        <f t="shared" si="190"/>
        <v>82631</v>
      </c>
      <c r="N111" s="344">
        <f t="shared" si="190"/>
        <v>90581</v>
      </c>
      <c r="O111" s="344">
        <f t="shared" si="190"/>
        <v>90942</v>
      </c>
      <c r="P111" s="344">
        <f t="shared" si="190"/>
        <v>104500</v>
      </c>
      <c r="Q111" s="344">
        <f>Q112+Q120+Q128</f>
        <v>925036</v>
      </c>
      <c r="S111" s="768" t="s">
        <v>57</v>
      </c>
      <c r="T111" s="768" t="s">
        <v>49</v>
      </c>
      <c r="U111" s="343" t="s">
        <v>58</v>
      </c>
      <c r="V111" s="344">
        <v>72369.640217293723</v>
      </c>
      <c r="W111" s="344">
        <v>69874.135382214648</v>
      </c>
      <c r="X111" s="344">
        <v>84097.187152225961</v>
      </c>
      <c r="Y111" s="344" cm="1">
        <f t="array" ref="Y111">INDEX('Shop Goals'!$H$68:$H$79, COLUMN()-COLUMN($V$3)+1)</f>
        <v>77360.649887451931</v>
      </c>
      <c r="Z111" s="344" cm="1">
        <f t="array" ref="Z111">INDEX('Shop Goals'!$H$68:$H$79, COLUMN()-COLUMN($V$3)+1)</f>
        <v>89838.174062847393</v>
      </c>
      <c r="AA111" s="344" cm="1">
        <f t="array" ref="AA111">INDEX('Shop Goals'!$H$68:$H$79, COLUMN()-COLUMN($V$3)+1)</f>
        <v>74865.145052372827</v>
      </c>
      <c r="AB111" s="344" cm="1">
        <f t="array" ref="AB111">INDEX('Shop Goals'!$H$68:$H$79, COLUMN()-COLUMN($V$3)+1)</f>
        <v>77278.496302045474</v>
      </c>
      <c r="AC111" s="344" cm="1">
        <f t="array" ref="AC111">INDEX('Shop Goals'!$H$68:$H$79, COLUMN()-COLUMN($V$3)+1)</f>
        <v>84097.187152225961</v>
      </c>
      <c r="AD111" s="344" cm="1">
        <f t="array" ref="AD111">INDEX('Shop Goals'!$H$68:$H$79, COLUMN()-COLUMN($V$3)+1)</f>
        <v>88091.320678292032</v>
      </c>
      <c r="AE111" s="344" cm="1">
        <f t="array" ref="AE111">INDEX('Shop Goals'!$H$68:$H$79, COLUMN()-COLUMN($V$3)+1)</f>
        <v>89838.174062847393</v>
      </c>
      <c r="AF111" s="344" cm="1">
        <f t="array" ref="AF111">INDEX('Shop Goals'!$H$68:$H$79, COLUMN()-COLUMN($V$3)+1)</f>
        <v>75005.599351985322</v>
      </c>
      <c r="AG111" s="344" cm="1">
        <f t="array" ref="AG111">INDEX('Shop Goals'!$H$68:$H$79, COLUMN()-COLUMN($V$3)+1)</f>
        <v>86370.084102286128</v>
      </c>
      <c r="AH111" s="345">
        <f t="shared" ref="AH111:AH120" si="191">SUM(V111:AG111)</f>
        <v>969085.79340408894</v>
      </c>
      <c r="AI111" s="47"/>
      <c r="AJ111" s="757" t="s">
        <v>57</v>
      </c>
      <c r="AK111" s="757" t="s">
        <v>49</v>
      </c>
      <c r="AL111" s="343" t="s">
        <v>58</v>
      </c>
      <c r="AM111" s="344">
        <f>AM112+AM120+AM128</f>
        <v>111795</v>
      </c>
      <c r="AN111" s="344">
        <f t="shared" ref="AN111:AX111" si="192">AN112+AN120+AN128</f>
        <v>93255</v>
      </c>
      <c r="AO111" s="344">
        <f t="shared" si="192"/>
        <v>96094</v>
      </c>
      <c r="AP111" s="344">
        <f t="shared" si="192"/>
        <v>89946</v>
      </c>
      <c r="AQ111" s="344">
        <f t="shared" si="192"/>
        <v>90471</v>
      </c>
      <c r="AR111" s="344">
        <f t="shared" si="192"/>
        <v>84100</v>
      </c>
      <c r="AS111" s="344">
        <f t="shared" si="192"/>
        <v>82130</v>
      </c>
      <c r="AT111" s="344">
        <f t="shared" si="192"/>
        <v>64441</v>
      </c>
      <c r="AU111" s="344">
        <f t="shared" si="192"/>
        <v>0</v>
      </c>
      <c r="AV111" s="344">
        <f t="shared" si="192"/>
        <v>0</v>
      </c>
      <c r="AW111" s="344">
        <f t="shared" si="192"/>
        <v>0</v>
      </c>
      <c r="AX111" s="344">
        <f t="shared" si="192"/>
        <v>0</v>
      </c>
      <c r="AY111" s="344">
        <f>AY112+AY120+AY128</f>
        <v>712232</v>
      </c>
      <c r="BA111" s="757" t="s">
        <v>57</v>
      </c>
      <c r="BB111" s="757" t="s">
        <v>49</v>
      </c>
      <c r="BC111" s="343" t="s">
        <v>58</v>
      </c>
      <c r="BD111" s="463">
        <f>AM111/V111</f>
        <v>1.5447776120529206</v>
      </c>
      <c r="BE111" s="463">
        <f>AN111/W111</f>
        <v>1.3346140097461097</v>
      </c>
      <c r="BF111" s="463">
        <f t="shared" si="153"/>
        <v>1.1426541511555954</v>
      </c>
      <c r="BG111" s="463">
        <f t="shared" si="154"/>
        <v>1.1626841311552818</v>
      </c>
      <c r="BH111" s="463">
        <f t="shared" si="155"/>
        <v>1.0070440649952426</v>
      </c>
      <c r="BI111" s="463">
        <f t="shared" si="156"/>
        <v>1.1233531964863865</v>
      </c>
      <c r="BJ111" s="463">
        <f t="shared" si="157"/>
        <v>1.0627794785109723</v>
      </c>
      <c r="BK111" s="463">
        <f t="shared" si="158"/>
        <v>0.76626819733404505</v>
      </c>
      <c r="BL111" s="463">
        <f t="shared" si="159"/>
        <v>0</v>
      </c>
      <c r="BM111" s="463">
        <f t="shared" si="160"/>
        <v>0</v>
      </c>
      <c r="BN111" s="463">
        <f t="shared" si="161"/>
        <v>0</v>
      </c>
      <c r="BO111" s="463">
        <f t="shared" si="162"/>
        <v>0</v>
      </c>
      <c r="BP111" s="463">
        <f t="shared" si="188"/>
        <v>0.73495247257537066</v>
      </c>
    </row>
    <row r="112" spans="2:68">
      <c r="B112" s="769"/>
      <c r="C112" s="769"/>
      <c r="D112" s="182" t="s">
        <v>60</v>
      </c>
      <c r="E112" s="341">
        <f>SUM(E113:E119)</f>
        <v>914</v>
      </c>
      <c r="F112" s="341">
        <f t="shared" ref="F112:Q112" si="193">SUM(F113:F119)</f>
        <v>906</v>
      </c>
      <c r="G112" s="341">
        <f t="shared" si="193"/>
        <v>1077</v>
      </c>
      <c r="H112" s="341">
        <f t="shared" si="193"/>
        <v>959</v>
      </c>
      <c r="I112" s="341">
        <f t="shared" si="193"/>
        <v>849</v>
      </c>
      <c r="J112" s="341">
        <f t="shared" si="193"/>
        <v>718</v>
      </c>
      <c r="K112" s="341">
        <f t="shared" si="193"/>
        <v>633</v>
      </c>
      <c r="L112" s="341">
        <f t="shared" si="193"/>
        <v>886</v>
      </c>
      <c r="M112" s="341">
        <f t="shared" si="193"/>
        <v>812</v>
      </c>
      <c r="N112" s="341">
        <f t="shared" si="193"/>
        <v>770</v>
      </c>
      <c r="O112" s="341">
        <f t="shared" si="193"/>
        <v>807</v>
      </c>
      <c r="P112" s="341">
        <f t="shared" si="193"/>
        <v>1146</v>
      </c>
      <c r="Q112" s="341">
        <f t="shared" si="193"/>
        <v>10477</v>
      </c>
      <c r="S112" s="769"/>
      <c r="T112" s="769"/>
      <c r="U112" s="182" t="s">
        <v>60</v>
      </c>
      <c r="V112" s="341">
        <v>833.81282495667244</v>
      </c>
      <c r="W112" s="341">
        <v>805.06065857885619</v>
      </c>
      <c r="X112" s="341">
        <v>933.50574712643675</v>
      </c>
      <c r="Y112" s="341" cm="1">
        <f t="array" ref="Y112">INDEX('Shop Goals'!$D$68:$D$79, COLUMN()-COLUMN($V$3)+1)</f>
        <v>891.31715771230506</v>
      </c>
      <c r="Z112" s="341" cm="1">
        <f t="array" ref="Z112">INDEX('Shop Goals'!$D$68:$D$79, COLUMN()-COLUMN($V$3)+1)</f>
        <v>1035.0779896013864</v>
      </c>
      <c r="AA112" s="341" cm="1">
        <f t="array" ref="AA112">INDEX('Shop Goals'!$D$68:$D$79, COLUMN()-COLUMN($V$3)+1)</f>
        <v>862.56499133448881</v>
      </c>
      <c r="AB112" s="341" cm="1">
        <f t="array" ref="AB112">INDEX('Shop Goals'!$D$68:$D$79, COLUMN()-COLUMN($V$3)+1)</f>
        <v>857.81609195402302</v>
      </c>
      <c r="AC112" s="341" cm="1">
        <f t="array" ref="AC112">INDEX('Shop Goals'!$D$68:$D$79, COLUMN()-COLUMN($V$3)+1)</f>
        <v>933.50574712643675</v>
      </c>
      <c r="AD112" s="341" cm="1">
        <f t="array" ref="AD112">INDEX('Shop Goals'!$D$68:$D$79, COLUMN()-COLUMN($V$3)+1)</f>
        <v>1014.9514731369152</v>
      </c>
      <c r="AE112" s="341" cm="1">
        <f t="array" ref="AE112">INDEX('Shop Goals'!$D$68:$D$79, COLUMN()-COLUMN($V$3)+1)</f>
        <v>1035.0779896013864</v>
      </c>
      <c r="AF112" s="341" cm="1">
        <f t="array" ref="AF112">INDEX('Shop Goals'!$D$68:$D$79, COLUMN()-COLUMN($V$3)+1)</f>
        <v>832.58620689655174</v>
      </c>
      <c r="AG112" s="341" cm="1">
        <f t="array" ref="AG112">INDEX('Shop Goals'!$D$68:$D$79, COLUMN()-COLUMN($V$3)+1)</f>
        <v>958.73563218390802</v>
      </c>
      <c r="AH112" s="342">
        <f t="shared" si="191"/>
        <v>10994.01251020937</v>
      </c>
      <c r="AJ112" s="757"/>
      <c r="AK112" s="757"/>
      <c r="AL112" s="182" t="s">
        <v>60</v>
      </c>
      <c r="AM112" s="341">
        <f>SUM(AM113:AM119)</f>
        <v>1045</v>
      </c>
      <c r="AN112" s="341">
        <f t="shared" ref="AN112:AS112" si="194">SUM(AN113:AN119)</f>
        <v>952</v>
      </c>
      <c r="AO112" s="341">
        <f t="shared" si="194"/>
        <v>794</v>
      </c>
      <c r="AP112" s="341">
        <f t="shared" si="194"/>
        <v>711</v>
      </c>
      <c r="AQ112" s="341">
        <f t="shared" si="194"/>
        <v>828</v>
      </c>
      <c r="AR112" s="341">
        <f t="shared" si="194"/>
        <v>655</v>
      </c>
      <c r="AS112" s="341">
        <f t="shared" si="194"/>
        <v>975</v>
      </c>
      <c r="AT112" s="341">
        <f t="shared" ref="AT112" si="195">SUM(AT113:AT119)</f>
        <v>982</v>
      </c>
      <c r="AU112" s="341">
        <f t="shared" ref="AU112" si="196">SUM(AU113:AU119)</f>
        <v>0</v>
      </c>
      <c r="AV112" s="341">
        <f t="shared" ref="AV112" si="197">SUM(AV113:AV119)</f>
        <v>0</v>
      </c>
      <c r="AW112" s="341">
        <f t="shared" ref="AW112" si="198">SUM(AW113:AW119)</f>
        <v>0</v>
      </c>
      <c r="AX112" s="341">
        <f t="shared" ref="AX112" si="199">SUM(AX113:AX119)</f>
        <v>0</v>
      </c>
      <c r="AY112" s="341">
        <f t="shared" ref="AY112" si="200">SUM(AY113:AY119)</f>
        <v>6942</v>
      </c>
      <c r="BA112" s="757"/>
      <c r="BB112" s="757"/>
      <c r="BC112" s="182" t="s">
        <v>60</v>
      </c>
      <c r="BD112" s="464">
        <f>AM112/V112</f>
        <v>1.2532788759327389</v>
      </c>
      <c r="BE112" s="464">
        <f t="shared" ref="BE112:BE135" si="201">AN112/W112</f>
        <v>1.1825195901145267</v>
      </c>
      <c r="BF112" s="464">
        <f t="shared" si="153"/>
        <v>0.85055716308563689</v>
      </c>
      <c r="BG112" s="464">
        <f t="shared" si="154"/>
        <v>0.79769585253456221</v>
      </c>
      <c r="BH112" s="464">
        <f t="shared" si="155"/>
        <v>0.79993972272453284</v>
      </c>
      <c r="BI112" s="464">
        <f t="shared" si="156"/>
        <v>0.75936307012256377</v>
      </c>
      <c r="BJ112" s="464">
        <f t="shared" si="157"/>
        <v>1.1366072624949752</v>
      </c>
      <c r="BK112" s="464">
        <f t="shared" si="158"/>
        <v>1.0519485316751831</v>
      </c>
      <c r="BL112" s="464">
        <f t="shared" si="159"/>
        <v>0</v>
      </c>
      <c r="BM112" s="464">
        <f t="shared" si="160"/>
        <v>0</v>
      </c>
      <c r="BN112" s="464">
        <f t="shared" si="161"/>
        <v>0</v>
      </c>
      <c r="BO112" s="464">
        <f t="shared" si="162"/>
        <v>0</v>
      </c>
      <c r="BP112" s="464">
        <f t="shared" si="188"/>
        <v>0.63143460984362632</v>
      </c>
    </row>
    <row r="113" spans="2:68" ht="16" customHeight="1">
      <c r="B113" s="769"/>
      <c r="C113" s="769"/>
      <c r="D113" s="292" t="s">
        <v>99</v>
      </c>
      <c r="E113" s="69">
        <v>177</v>
      </c>
      <c r="F113" s="69">
        <v>173</v>
      </c>
      <c r="G113" s="69">
        <v>153</v>
      </c>
      <c r="H113" s="69">
        <v>165</v>
      </c>
      <c r="I113" s="69">
        <v>160</v>
      </c>
      <c r="J113" s="69">
        <v>142</v>
      </c>
      <c r="K113" s="69">
        <v>125</v>
      </c>
      <c r="L113" s="69">
        <v>163</v>
      </c>
      <c r="M113" s="69">
        <v>142</v>
      </c>
      <c r="N113" s="69">
        <v>139</v>
      </c>
      <c r="O113" s="69">
        <v>131</v>
      </c>
      <c r="P113" s="69">
        <v>187</v>
      </c>
      <c r="Q113" s="69">
        <f>SUM(E113:P113)</f>
        <v>1857</v>
      </c>
      <c r="S113" s="769"/>
      <c r="T113" s="769"/>
      <c r="U113" s="292" t="s">
        <v>99</v>
      </c>
      <c r="V113" s="69">
        <v>112.13344887348353</v>
      </c>
      <c r="W113" s="69">
        <v>101.28182478895286</v>
      </c>
      <c r="X113" s="69">
        <v>120.02216748768471</v>
      </c>
      <c r="Y113" s="69">
        <f>Y$112*'Region OP Sales Goals'!V104</f>
        <v>115.00866551126516</v>
      </c>
      <c r="Z113" s="69">
        <f>Z$112*'Region OP Sales Goals'!W104</f>
        <v>132.25996533795492</v>
      </c>
      <c r="AA113" s="69">
        <f>AA$112*'Region OP Sales Goals'!X104</f>
        <v>112.13344887348354</v>
      </c>
      <c r="AB113" s="69">
        <f>AB$112*'Region OP Sales Goals'!Y104</f>
        <v>111.01149425287358</v>
      </c>
      <c r="AC113" s="69">
        <f>AC$112*'Region OP Sales Goals'!Z104</f>
        <v>120.37310949788264</v>
      </c>
      <c r="AD113" s="69">
        <f>AD$112*'Region OP Sales Goals'!AA104</f>
        <v>129.68824378971692</v>
      </c>
      <c r="AE113" s="69">
        <f>AE$112*'Region OP Sales Goals'!AB104</f>
        <v>133.47058286965247</v>
      </c>
      <c r="AF113" s="69">
        <f>AF$112*'Region OP Sales Goals'!AC104</f>
        <v>107.74645030425965</v>
      </c>
      <c r="AG113" s="69">
        <f>AG$112*'Region OP Sales Goals'!AD104</f>
        <v>123.83668582375481</v>
      </c>
      <c r="AH113" s="69">
        <f>AH$112*'Region OP Sales Goals'!AE104</f>
        <v>1441.114063100189</v>
      </c>
      <c r="AJ113" s="757"/>
      <c r="AK113" s="757"/>
      <c r="AL113" s="292" t="s">
        <v>99</v>
      </c>
      <c r="AM113" s="69">
        <v>208</v>
      </c>
      <c r="AN113" s="69">
        <v>152</v>
      </c>
      <c r="AO113" s="69">
        <v>119</v>
      </c>
      <c r="AP113" s="69">
        <v>124</v>
      </c>
      <c r="AQ113" s="69">
        <v>104</v>
      </c>
      <c r="AR113" s="69">
        <v>130</v>
      </c>
      <c r="AS113" s="69">
        <v>157</v>
      </c>
      <c r="AT113" s="69">
        <v>197</v>
      </c>
      <c r="AU113" s="69"/>
      <c r="AV113" s="69"/>
      <c r="AW113" s="69"/>
      <c r="AX113" s="69"/>
      <c r="AY113" s="69">
        <f>SUM(AM113:AX113)</f>
        <v>1191</v>
      </c>
      <c r="BA113" s="757"/>
      <c r="BB113" s="757"/>
      <c r="BC113" s="292" t="s">
        <v>99</v>
      </c>
      <c r="BD113" s="465">
        <f>AM113/V113</f>
        <v>1.8549326903757284</v>
      </c>
      <c r="BE113" s="465">
        <f t="shared" si="201"/>
        <v>1.5007628497682748</v>
      </c>
      <c r="BF113" s="465">
        <f t="shared" si="153"/>
        <v>0.99148351084569775</v>
      </c>
      <c r="BG113" s="465">
        <f t="shared" si="154"/>
        <v>1.078179626280892</v>
      </c>
      <c r="BH113" s="465">
        <f t="shared" si="155"/>
        <v>0.78633016222449359</v>
      </c>
      <c r="BI113" s="465">
        <f t="shared" si="156"/>
        <v>1.1593329314848302</v>
      </c>
      <c r="BJ113" s="465">
        <f t="shared" si="157"/>
        <v>1.4142679643818594</v>
      </c>
      <c r="BK113" s="465">
        <f t="shared" si="158"/>
        <v>1.6365781429237336</v>
      </c>
      <c r="BL113" s="465">
        <f t="shared" si="159"/>
        <v>0</v>
      </c>
      <c r="BM113" s="465">
        <f t="shared" si="160"/>
        <v>0</v>
      </c>
      <c r="BN113" s="465">
        <f t="shared" si="161"/>
        <v>0</v>
      </c>
      <c r="BO113" s="465">
        <f t="shared" si="162"/>
        <v>0</v>
      </c>
      <c r="BP113" s="465">
        <f>AY113/AH113</f>
        <v>0.82644395089578648</v>
      </c>
    </row>
    <row r="114" spans="2:68" ht="16" customHeight="1">
      <c r="B114" s="769"/>
      <c r="C114" s="769"/>
      <c r="D114" s="292" t="s">
        <v>100</v>
      </c>
      <c r="E114" s="69">
        <v>185</v>
      </c>
      <c r="F114" s="69">
        <v>169</v>
      </c>
      <c r="G114" s="69">
        <v>212</v>
      </c>
      <c r="H114" s="69">
        <v>240</v>
      </c>
      <c r="I114" s="69">
        <v>176</v>
      </c>
      <c r="J114" s="69">
        <v>179</v>
      </c>
      <c r="K114" s="69">
        <v>111</v>
      </c>
      <c r="L114" s="69">
        <v>177</v>
      </c>
      <c r="M114" s="69">
        <v>150</v>
      </c>
      <c r="N114" s="69">
        <v>140</v>
      </c>
      <c r="O114" s="69">
        <v>118</v>
      </c>
      <c r="P114" s="69">
        <v>219</v>
      </c>
      <c r="Q114" s="69">
        <f t="shared" ref="Q114:Q119" si="202">SUM(E114:P114)</f>
        <v>2076</v>
      </c>
      <c r="S114" s="769"/>
      <c r="T114" s="769"/>
      <c r="U114" s="292" t="s">
        <v>100</v>
      </c>
      <c r="V114" s="69">
        <v>92.006932409012137</v>
      </c>
      <c r="W114" s="69">
        <v>106.4757645217197</v>
      </c>
      <c r="X114" s="69">
        <v>125.35648604269294</v>
      </c>
      <c r="Y114" s="69">
        <f>Y$112*'Region OP Sales Goals'!V105</f>
        <v>115.00866551126516</v>
      </c>
      <c r="Z114" s="69">
        <f>Z$112*'Region OP Sales Goals'!W105</f>
        <v>135.13518197573657</v>
      </c>
      <c r="AA114" s="69">
        <f>AA$112*'Region OP Sales Goals'!X105</f>
        <v>112.13344887348354</v>
      </c>
      <c r="AB114" s="69">
        <f>AB$112*'Region OP Sales Goals'!Y105</f>
        <v>111.01149425287358</v>
      </c>
      <c r="AC114" s="69">
        <f>AC$112*'Region OP Sales Goals'!Z105</f>
        <v>120.37310949788264</v>
      </c>
      <c r="AD114" s="69">
        <f>AD$112*'Region OP Sales Goals'!AA105</f>
        <v>132.5075534373195</v>
      </c>
      <c r="AE114" s="69">
        <f>AE$112*'Region OP Sales Goals'!AB105</f>
        <v>133.47058286965247</v>
      </c>
      <c r="AF114" s="69">
        <f>AF$112*'Region OP Sales Goals'!AC105</f>
        <v>107.74645030425965</v>
      </c>
      <c r="AG114" s="69">
        <f>AG$112*'Region OP Sales Goals'!AD105</f>
        <v>123.83668582375481</v>
      </c>
      <c r="AH114" s="69">
        <f>AH$112*'Region OP Sales Goals'!AE105</f>
        <v>1350.2329960578347</v>
      </c>
      <c r="AJ114" s="757"/>
      <c r="AK114" s="757"/>
      <c r="AL114" s="292" t="s">
        <v>100</v>
      </c>
      <c r="AM114" s="69">
        <v>157</v>
      </c>
      <c r="AN114" s="69">
        <v>131</v>
      </c>
      <c r="AO114" s="69">
        <v>94</v>
      </c>
      <c r="AP114" s="69">
        <v>140</v>
      </c>
      <c r="AQ114" s="69">
        <v>151</v>
      </c>
      <c r="AR114" s="69">
        <v>87</v>
      </c>
      <c r="AS114" s="69">
        <v>178</v>
      </c>
      <c r="AT114" s="69">
        <v>137</v>
      </c>
      <c r="AU114" s="69"/>
      <c r="AV114" s="69"/>
      <c r="AW114" s="69"/>
      <c r="AX114" s="69"/>
      <c r="AY114" s="69">
        <f t="shared" ref="AY114:AY119" si="203">SUM(AM114:AX114)</f>
        <v>1075</v>
      </c>
      <c r="BA114" s="757"/>
      <c r="BB114" s="757"/>
      <c r="BC114" s="292" t="s">
        <v>100</v>
      </c>
      <c r="BD114" s="465">
        <f t="shared" ref="BD114:BD119" si="204">AM114/V114</f>
        <v>1.7063931585292345</v>
      </c>
      <c r="BE114" s="465">
        <f t="shared" si="201"/>
        <v>1.230326925459903</v>
      </c>
      <c r="BF114" s="465">
        <f t="shared" si="153"/>
        <v>0.74986147879086373</v>
      </c>
      <c r="BG114" s="465">
        <f t="shared" si="154"/>
        <v>1.2172995780590716</v>
      </c>
      <c r="BH114" s="465">
        <f t="shared" si="155"/>
        <v>1.1173996126864427</v>
      </c>
      <c r="BI114" s="465">
        <f t="shared" si="156"/>
        <v>0.77586126953215551</v>
      </c>
      <c r="BJ114" s="465">
        <f t="shared" si="157"/>
        <v>1.6034375647131909</v>
      </c>
      <c r="BK114" s="465">
        <f t="shared" si="158"/>
        <v>1.1381279471093984</v>
      </c>
      <c r="BL114" s="465">
        <f t="shared" si="159"/>
        <v>0</v>
      </c>
      <c r="BM114" s="465">
        <f t="shared" si="160"/>
        <v>0</v>
      </c>
      <c r="BN114" s="465">
        <f t="shared" si="161"/>
        <v>0</v>
      </c>
      <c r="BO114" s="465">
        <f t="shared" si="162"/>
        <v>0</v>
      </c>
      <c r="BP114" s="465">
        <f t="shared" ref="BP114:BP120" si="205">AY114/AH114</f>
        <v>0.79615888749466934</v>
      </c>
    </row>
    <row r="115" spans="2:68" ht="16" customHeight="1">
      <c r="B115" s="769"/>
      <c r="C115" s="769"/>
      <c r="D115" s="292" t="s">
        <v>101</v>
      </c>
      <c r="E115" s="69">
        <v>66</v>
      </c>
      <c r="F115" s="69">
        <v>108</v>
      </c>
      <c r="G115" s="69">
        <v>142</v>
      </c>
      <c r="H115" s="69">
        <v>80</v>
      </c>
      <c r="I115" s="69">
        <v>86</v>
      </c>
      <c r="J115" s="69">
        <v>51</v>
      </c>
      <c r="K115" s="69">
        <v>75</v>
      </c>
      <c r="L115" s="69">
        <v>91</v>
      </c>
      <c r="M115" s="69">
        <v>81</v>
      </c>
      <c r="N115" s="69">
        <v>69</v>
      </c>
      <c r="O115" s="69">
        <v>91</v>
      </c>
      <c r="P115" s="69">
        <v>110</v>
      </c>
      <c r="Q115" s="69">
        <f t="shared" si="202"/>
        <v>1050</v>
      </c>
      <c r="S115" s="769"/>
      <c r="T115" s="769"/>
      <c r="U115" s="292" t="s">
        <v>101</v>
      </c>
      <c r="V115" s="69">
        <v>77.630849220103997</v>
      </c>
      <c r="W115" s="69">
        <v>70.118186392351987</v>
      </c>
      <c r="X115" s="69">
        <v>80.014778325123146</v>
      </c>
      <c r="Y115" s="69">
        <f>Y$112*'Region OP Sales Goals'!V106</f>
        <v>74.755632582322363</v>
      </c>
      <c r="Z115" s="69">
        <f>Z$112*'Region OP Sales Goals'!W106</f>
        <v>89.131715771230503</v>
      </c>
      <c r="AA115" s="69">
        <f>AA$112*'Region OP Sales Goals'!X106</f>
        <v>71.880415944540729</v>
      </c>
      <c r="AB115" s="69">
        <f>AB$112*'Region OP Sales Goals'!Y106</f>
        <v>73.166666666666671</v>
      </c>
      <c r="AC115" s="69">
        <f>AC$112*'Region OP Sales Goals'!Z106</f>
        <v>78.611010284331513</v>
      </c>
      <c r="AD115" s="69">
        <f>AD$112*'Region OP Sales Goals'!AA106</f>
        <v>87.398599075678803</v>
      </c>
      <c r="AE115" s="69">
        <f>AE$112*'Region OP Sales Goals'!AB106</f>
        <v>87.164462282222019</v>
      </c>
      <c r="AF115" s="69">
        <f>AF$112*'Region OP Sales Goals'!AC106</f>
        <v>71.014705882352942</v>
      </c>
      <c r="AG115" s="69">
        <f>AG$112*'Region OP Sales Goals'!AD106</f>
        <v>81.892001915708818</v>
      </c>
      <c r="AH115" s="69">
        <f>AH$112*'Region OP Sales Goals'!AE106</f>
        <v>895.82766084606351</v>
      </c>
      <c r="AJ115" s="757"/>
      <c r="AK115" s="757"/>
      <c r="AL115" s="292" t="s">
        <v>101</v>
      </c>
      <c r="AM115" s="69">
        <v>112</v>
      </c>
      <c r="AN115" s="69">
        <v>101</v>
      </c>
      <c r="AO115" s="69">
        <v>95</v>
      </c>
      <c r="AP115" s="69">
        <v>54</v>
      </c>
      <c r="AQ115" s="69">
        <v>83</v>
      </c>
      <c r="AR115" s="69">
        <v>58</v>
      </c>
      <c r="AS115" s="69">
        <v>123</v>
      </c>
      <c r="AT115" s="69">
        <v>61</v>
      </c>
      <c r="AU115" s="69"/>
      <c r="AV115" s="69"/>
      <c r="AW115" s="69"/>
      <c r="AX115" s="69"/>
      <c r="AY115" s="69">
        <f t="shared" si="203"/>
        <v>687</v>
      </c>
      <c r="BA115" s="757"/>
      <c r="BB115" s="757"/>
      <c r="BC115" s="292" t="s">
        <v>101</v>
      </c>
      <c r="BD115" s="465">
        <f t="shared" si="204"/>
        <v>1.4427254258477886</v>
      </c>
      <c r="BE115" s="465">
        <f t="shared" si="201"/>
        <v>1.4404251620948427</v>
      </c>
      <c r="BF115" s="465">
        <f t="shared" si="153"/>
        <v>1.1872806747522011</v>
      </c>
      <c r="BG115" s="465">
        <f t="shared" si="154"/>
        <v>0.72235359577131719</v>
      </c>
      <c r="BH115" s="465">
        <f t="shared" si="155"/>
        <v>0.93120612883781528</v>
      </c>
      <c r="BI115" s="465">
        <f t="shared" si="156"/>
        <v>0.80689572031344181</v>
      </c>
      <c r="BJ115" s="465">
        <f t="shared" si="157"/>
        <v>1.6810933940774486</v>
      </c>
      <c r="BK115" s="465">
        <f t="shared" si="158"/>
        <v>0.77597272671304562</v>
      </c>
      <c r="BL115" s="465">
        <f t="shared" si="159"/>
        <v>0</v>
      </c>
      <c r="BM115" s="465">
        <f t="shared" si="160"/>
        <v>0</v>
      </c>
      <c r="BN115" s="465">
        <f t="shared" si="161"/>
        <v>0</v>
      </c>
      <c r="BO115" s="465">
        <f t="shared" si="162"/>
        <v>0</v>
      </c>
      <c r="BP115" s="465">
        <f t="shared" si="205"/>
        <v>0.76688857692914236</v>
      </c>
    </row>
    <row r="116" spans="2:68" ht="16" customHeight="1">
      <c r="B116" s="769"/>
      <c r="C116" s="769"/>
      <c r="D116" s="292" t="s">
        <v>102</v>
      </c>
      <c r="E116" s="69">
        <v>49</v>
      </c>
      <c r="F116" s="69">
        <v>52</v>
      </c>
      <c r="G116" s="69">
        <v>43</v>
      </c>
      <c r="H116" s="69">
        <v>53</v>
      </c>
      <c r="I116" s="69">
        <v>26</v>
      </c>
      <c r="J116" s="69">
        <v>32</v>
      </c>
      <c r="K116" s="69">
        <v>38</v>
      </c>
      <c r="L116" s="69">
        <v>54</v>
      </c>
      <c r="M116" s="69">
        <v>37</v>
      </c>
      <c r="N116" s="69">
        <v>26</v>
      </c>
      <c r="O116" s="69">
        <v>50</v>
      </c>
      <c r="P116" s="69">
        <v>50</v>
      </c>
      <c r="Q116" s="69">
        <f t="shared" si="202"/>
        <v>510</v>
      </c>
      <c r="S116" s="769"/>
      <c r="T116" s="769"/>
      <c r="U116" s="292" t="s">
        <v>102</v>
      </c>
      <c r="V116" s="69">
        <v>51.753899480069322</v>
      </c>
      <c r="W116" s="69">
        <v>57.133337060434954</v>
      </c>
      <c r="X116" s="69">
        <v>66.678981937602614</v>
      </c>
      <c r="Y116" s="69">
        <f>Y$112*'Region OP Sales Goals'!V107</f>
        <v>63.254766031195842</v>
      </c>
      <c r="Z116" s="69">
        <f>Z$112*'Region OP Sales Goals'!W107</f>
        <v>71.880415944540729</v>
      </c>
      <c r="AA116" s="69">
        <f>AA$112*'Region OP Sales Goals'!X107</f>
        <v>60.379549393414223</v>
      </c>
      <c r="AB116" s="69">
        <f>AB$112*'Region OP Sales Goals'!Y107</f>
        <v>60.551724137931039</v>
      </c>
      <c r="AC116" s="69">
        <f>AC$112*'Region OP Sales Goals'!Z107</f>
        <v>66.328039927404717</v>
      </c>
      <c r="AD116" s="69">
        <f>AD$112*'Region OP Sales Goals'!AA107</f>
        <v>70.482741190063564</v>
      </c>
      <c r="AE116" s="69">
        <f>AE$112*'Region OP Sales Goals'!AB107</f>
        <v>73.545015050624826</v>
      </c>
      <c r="AF116" s="69">
        <f>AF$112*'Region OP Sales Goals'!AC107</f>
        <v>58.77079107505071</v>
      </c>
      <c r="AG116" s="69">
        <f>AG$112*'Region OP Sales Goals'!AD107</f>
        <v>67.910440613026822</v>
      </c>
      <c r="AH116" s="69">
        <f>AH$112*'Region OP Sales Goals'!AE107</f>
        <v>823.12280721218008</v>
      </c>
      <c r="AJ116" s="757"/>
      <c r="AK116" s="757"/>
      <c r="AL116" s="292" t="s">
        <v>102</v>
      </c>
      <c r="AM116" s="69">
        <v>75</v>
      </c>
      <c r="AN116" s="69">
        <v>51</v>
      </c>
      <c r="AO116" s="69">
        <v>38</v>
      </c>
      <c r="AP116" s="69">
        <v>48</v>
      </c>
      <c r="AQ116" s="69">
        <v>47</v>
      </c>
      <c r="AR116" s="69">
        <v>48</v>
      </c>
      <c r="AS116" s="69">
        <v>53</v>
      </c>
      <c r="AT116" s="69">
        <v>55</v>
      </c>
      <c r="AU116" s="69"/>
      <c r="AV116" s="69"/>
      <c r="AW116" s="69"/>
      <c r="AX116" s="69"/>
      <c r="AY116" s="69">
        <f t="shared" si="203"/>
        <v>415</v>
      </c>
      <c r="BA116" s="757"/>
      <c r="BB116" s="757"/>
      <c r="BC116" s="292" t="s">
        <v>102</v>
      </c>
      <c r="BD116" s="465">
        <f t="shared" si="204"/>
        <v>1.4491661643560378</v>
      </c>
      <c r="BE116" s="465">
        <f t="shared" si="201"/>
        <v>0.89264871656372557</v>
      </c>
      <c r="BF116" s="465">
        <f t="shared" si="153"/>
        <v>0.56989472388105655</v>
      </c>
      <c r="BG116" s="465">
        <f t="shared" si="154"/>
        <v>0.75883610060825246</v>
      </c>
      <c r="BH116" s="465">
        <f t="shared" si="155"/>
        <v>0.65386377335744428</v>
      </c>
      <c r="BI116" s="465">
        <f t="shared" si="156"/>
        <v>0.79497115301816912</v>
      </c>
      <c r="BJ116" s="465">
        <f t="shared" si="157"/>
        <v>0.87528473804100226</v>
      </c>
      <c r="BK116" s="465">
        <f t="shared" si="158"/>
        <v>0.829211899826934</v>
      </c>
      <c r="BL116" s="465">
        <f t="shared" si="159"/>
        <v>0</v>
      </c>
      <c r="BM116" s="465">
        <f t="shared" si="160"/>
        <v>0</v>
      </c>
      <c r="BN116" s="465">
        <f t="shared" si="161"/>
        <v>0</v>
      </c>
      <c r="BO116" s="465">
        <f t="shared" si="162"/>
        <v>0</v>
      </c>
      <c r="BP116" s="465">
        <f t="shared" si="205"/>
        <v>0.50417750105303982</v>
      </c>
    </row>
    <row r="117" spans="2:68" ht="16" customHeight="1">
      <c r="B117" s="769"/>
      <c r="C117" s="769"/>
      <c r="D117" s="292" t="s">
        <v>103</v>
      </c>
      <c r="E117" s="69">
        <v>127</v>
      </c>
      <c r="F117" s="69">
        <v>127</v>
      </c>
      <c r="G117" s="69">
        <v>166</v>
      </c>
      <c r="H117" s="69">
        <v>135</v>
      </c>
      <c r="I117" s="69">
        <v>149</v>
      </c>
      <c r="J117" s="69">
        <v>103</v>
      </c>
      <c r="K117" s="69">
        <v>98</v>
      </c>
      <c r="L117" s="69">
        <v>100</v>
      </c>
      <c r="M117" s="69">
        <v>148</v>
      </c>
      <c r="N117" s="69">
        <v>139</v>
      </c>
      <c r="O117" s="69">
        <v>122</v>
      </c>
      <c r="P117" s="69">
        <v>168</v>
      </c>
      <c r="Q117" s="69">
        <f t="shared" si="202"/>
        <v>1582</v>
      </c>
      <c r="S117" s="769"/>
      <c r="T117" s="769"/>
      <c r="U117" s="292" t="s">
        <v>103</v>
      </c>
      <c r="V117" s="69">
        <v>123.63431542461005</v>
      </c>
      <c r="W117" s="69">
        <v>132.44546318555376</v>
      </c>
      <c r="X117" s="69">
        <v>144.02660098522165</v>
      </c>
      <c r="Y117" s="69">
        <f>Y$112*'Region OP Sales Goals'!V108</f>
        <v>143.76083188908146</v>
      </c>
      <c r="Z117" s="69">
        <f>Z$112*'Region OP Sales Goals'!W108</f>
        <v>166.7625649913345</v>
      </c>
      <c r="AA117" s="69">
        <f>AA$112*'Region OP Sales Goals'!X108</f>
        <v>140.88561525129984</v>
      </c>
      <c r="AB117" s="69">
        <f>AB$112*'Region OP Sales Goals'!Y108</f>
        <v>138.76436781609198</v>
      </c>
      <c r="AC117" s="69">
        <f>AC$112*'Region OP Sales Goals'!Z108</f>
        <v>152.30883242589232</v>
      </c>
      <c r="AD117" s="69">
        <f>AD$112*'Region OP Sales Goals'!AA108</f>
        <v>163.51995956094746</v>
      </c>
      <c r="AE117" s="69">
        <f>AE$112*'Region OP Sales Goals'!AB108</f>
        <v>168.88114567180517</v>
      </c>
      <c r="AF117" s="69">
        <f>AF$112*'Region OP Sales Goals'!AC108</f>
        <v>134.68306288032454</v>
      </c>
      <c r="AG117" s="69">
        <f>AG$112*'Region OP Sales Goals'!AD108</f>
        <v>155.79454022988506</v>
      </c>
      <c r="AH117" s="69">
        <f>AH$112*'Region OP Sales Goals'!AE108</f>
        <v>1765.6893025371685</v>
      </c>
      <c r="AJ117" s="757"/>
      <c r="AK117" s="757"/>
      <c r="AL117" s="292" t="s">
        <v>103</v>
      </c>
      <c r="AM117" s="69">
        <v>134</v>
      </c>
      <c r="AN117" s="69">
        <v>155</v>
      </c>
      <c r="AO117" s="69">
        <v>158</v>
      </c>
      <c r="AP117" s="69">
        <v>101</v>
      </c>
      <c r="AQ117" s="69">
        <v>170</v>
      </c>
      <c r="AR117" s="69">
        <v>98</v>
      </c>
      <c r="AS117" s="69">
        <v>162</v>
      </c>
      <c r="AT117" s="69">
        <v>171</v>
      </c>
      <c r="AU117" s="69"/>
      <c r="AV117" s="69"/>
      <c r="AW117" s="69"/>
      <c r="AX117" s="69"/>
      <c r="AY117" s="69">
        <f t="shared" si="203"/>
        <v>1149</v>
      </c>
      <c r="BA117" s="757"/>
      <c r="BB117" s="757"/>
      <c r="BC117" s="292" t="s">
        <v>103</v>
      </c>
      <c r="BD117" s="465">
        <f t="shared" si="204"/>
        <v>1.0838414847834925</v>
      </c>
      <c r="BE117" s="465">
        <f t="shared" si="201"/>
        <v>1.1702930117194557</v>
      </c>
      <c r="BF117" s="465">
        <f t="shared" si="153"/>
        <v>1.0970195708236712</v>
      </c>
      <c r="BG117" s="465">
        <f t="shared" si="154"/>
        <v>0.70255575647980706</v>
      </c>
      <c r="BH117" s="465">
        <f t="shared" si="155"/>
        <v>1.0194134397539023</v>
      </c>
      <c r="BI117" s="465">
        <f t="shared" si="156"/>
        <v>0.69559975889089809</v>
      </c>
      <c r="BJ117" s="465">
        <f t="shared" si="157"/>
        <v>1.1674466763305029</v>
      </c>
      <c r="BK117" s="465">
        <f t="shared" si="158"/>
        <v>1.1227188684753531</v>
      </c>
      <c r="BL117" s="465">
        <f t="shared" si="159"/>
        <v>0</v>
      </c>
      <c r="BM117" s="465">
        <f t="shared" si="160"/>
        <v>0</v>
      </c>
      <c r="BN117" s="465">
        <f t="shared" si="161"/>
        <v>0</v>
      </c>
      <c r="BO117" s="465">
        <f t="shared" si="162"/>
        <v>0</v>
      </c>
      <c r="BP117" s="465">
        <f t="shared" si="205"/>
        <v>0.6507373626543298</v>
      </c>
    </row>
    <row r="118" spans="2:68" ht="16" customHeight="1">
      <c r="B118" s="769"/>
      <c r="C118" s="769"/>
      <c r="D118" s="292" t="s">
        <v>104</v>
      </c>
      <c r="E118" s="69">
        <v>214</v>
      </c>
      <c r="F118" s="69">
        <v>178</v>
      </c>
      <c r="G118" s="69">
        <v>232</v>
      </c>
      <c r="H118" s="69">
        <v>197</v>
      </c>
      <c r="I118" s="69">
        <v>176</v>
      </c>
      <c r="J118" s="69">
        <v>136</v>
      </c>
      <c r="K118" s="69">
        <v>120</v>
      </c>
      <c r="L118" s="69">
        <v>183</v>
      </c>
      <c r="M118" s="69">
        <v>166</v>
      </c>
      <c r="N118" s="69">
        <v>167</v>
      </c>
      <c r="O118" s="69">
        <v>184</v>
      </c>
      <c r="P118" s="69">
        <v>278</v>
      </c>
      <c r="Q118" s="69">
        <f t="shared" si="202"/>
        <v>2231</v>
      </c>
      <c r="S118" s="769"/>
      <c r="T118" s="769"/>
      <c r="U118" s="292" t="s">
        <v>104</v>
      </c>
      <c r="V118" s="69">
        <v>230.01733102253033</v>
      </c>
      <c r="W118" s="69">
        <v>215.5484989098228</v>
      </c>
      <c r="X118" s="69">
        <v>250.71297208538587</v>
      </c>
      <c r="Y118" s="69">
        <f>Y$112*'Region OP Sales Goals'!V109</f>
        <v>241.51819757365689</v>
      </c>
      <c r="Z118" s="69">
        <f>Z$112*'Region OP Sales Goals'!W109</f>
        <v>278.89601386481797</v>
      </c>
      <c r="AA118" s="69">
        <f>AA$112*'Region OP Sales Goals'!X109</f>
        <v>232.892547660312</v>
      </c>
      <c r="AB118" s="69">
        <f>AB$112*'Region OP Sales Goals'!Y109</f>
        <v>232.11494252873564</v>
      </c>
      <c r="AC118" s="69">
        <f>AC$112*'Region OP Sales Goals'!Z109</f>
        <v>253.02918935269207</v>
      </c>
      <c r="AD118" s="69">
        <f>AD$112*'Region OP Sales Goals'!AA109</f>
        <v>273.4730358174466</v>
      </c>
      <c r="AE118" s="69">
        <f>AE$112*'Region OP Sales Goals'!AB109</f>
        <v>280.56061297090213</v>
      </c>
      <c r="AF118" s="69">
        <f>AF$112*'Region OP Sales Goals'!AC109</f>
        <v>225.28803245436106</v>
      </c>
      <c r="AG118" s="69">
        <f>AG$112*'Region OP Sales Goals'!AD109</f>
        <v>259.65756704980839</v>
      </c>
      <c r="AH118" s="69">
        <f>AH$112*'Region OP Sales Goals'!AE109</f>
        <v>2988.688804735707</v>
      </c>
      <c r="AJ118" s="757"/>
      <c r="AK118" s="757"/>
      <c r="AL118" s="292" t="s">
        <v>104</v>
      </c>
      <c r="AM118" s="69">
        <v>213</v>
      </c>
      <c r="AN118" s="69">
        <v>255</v>
      </c>
      <c r="AO118" s="69">
        <v>187</v>
      </c>
      <c r="AP118" s="69">
        <v>171</v>
      </c>
      <c r="AQ118" s="156">
        <v>176</v>
      </c>
      <c r="AR118" s="156">
        <v>151</v>
      </c>
      <c r="AS118" s="156">
        <v>205</v>
      </c>
      <c r="AT118" s="156">
        <v>233</v>
      </c>
      <c r="AU118" s="69"/>
      <c r="AV118" s="69"/>
      <c r="AW118" s="69"/>
      <c r="AX118" s="69"/>
      <c r="AY118" s="69">
        <f t="shared" si="203"/>
        <v>1591</v>
      </c>
      <c r="BA118" s="757"/>
      <c r="BB118" s="757"/>
      <c r="BC118" s="292" t="s">
        <v>104</v>
      </c>
      <c r="BD118" s="465">
        <f t="shared" si="204"/>
        <v>0.92601717902350811</v>
      </c>
      <c r="BE118" s="465">
        <f t="shared" si="201"/>
        <v>1.1830284195422869</v>
      </c>
      <c r="BF118" s="465">
        <f t="shared" si="153"/>
        <v>0.7458728539036783</v>
      </c>
      <c r="BG118" s="465">
        <f t="shared" si="154"/>
        <v>0.70802118315680684</v>
      </c>
      <c r="BH118" s="465">
        <f t="shared" si="155"/>
        <v>0.63105957507627886</v>
      </c>
      <c r="BI118" s="465">
        <f t="shared" si="156"/>
        <v>0.64836767649707161</v>
      </c>
      <c r="BJ118" s="465">
        <f t="shared" si="157"/>
        <v>0.88318312370010887</v>
      </c>
      <c r="BK118" s="465">
        <f t="shared" si="158"/>
        <v>0.92084237631266408</v>
      </c>
      <c r="BL118" s="465">
        <f t="shared" si="159"/>
        <v>0</v>
      </c>
      <c r="BM118" s="465">
        <f t="shared" si="160"/>
        <v>0</v>
      </c>
      <c r="BN118" s="465">
        <f t="shared" si="161"/>
        <v>0</v>
      </c>
      <c r="BO118" s="465">
        <f t="shared" si="162"/>
        <v>0</v>
      </c>
      <c r="BP118" s="465">
        <f t="shared" si="205"/>
        <v>0.53234046899730458</v>
      </c>
    </row>
    <row r="119" spans="2:68" ht="16" customHeight="1">
      <c r="B119" s="769"/>
      <c r="C119" s="769"/>
      <c r="D119" s="292" t="s">
        <v>105</v>
      </c>
      <c r="E119" s="69">
        <v>96</v>
      </c>
      <c r="F119" s="69">
        <v>99</v>
      </c>
      <c r="G119" s="69">
        <v>129</v>
      </c>
      <c r="H119" s="69">
        <v>89</v>
      </c>
      <c r="I119" s="69">
        <v>76</v>
      </c>
      <c r="J119" s="69">
        <v>75</v>
      </c>
      <c r="K119" s="69">
        <v>66</v>
      </c>
      <c r="L119" s="69">
        <v>118</v>
      </c>
      <c r="M119" s="69">
        <v>88</v>
      </c>
      <c r="N119" s="69">
        <v>90</v>
      </c>
      <c r="O119" s="69">
        <v>111</v>
      </c>
      <c r="P119" s="69">
        <v>134</v>
      </c>
      <c r="Q119" s="69">
        <f t="shared" si="202"/>
        <v>1171</v>
      </c>
      <c r="S119" s="769"/>
      <c r="T119" s="769"/>
      <c r="U119" s="292" t="s">
        <v>105</v>
      </c>
      <c r="V119" s="69">
        <v>146.63604852686308</v>
      </c>
      <c r="W119" s="69">
        <v>122.05758372002013</v>
      </c>
      <c r="X119" s="69">
        <v>146.69376026272576</v>
      </c>
      <c r="Y119" s="69">
        <f>Y$112*'Region OP Sales Goals'!V110</f>
        <v>138.01039861351822</v>
      </c>
      <c r="Z119" s="69">
        <f>Z$112*'Region OP Sales Goals'!W110</f>
        <v>161.01213171577123</v>
      </c>
      <c r="AA119" s="69">
        <f>AA$112*'Region OP Sales Goals'!X110</f>
        <v>132.25996533795495</v>
      </c>
      <c r="AB119" s="69">
        <f>AB$112*'Region OP Sales Goals'!Y110</f>
        <v>131.19540229885058</v>
      </c>
      <c r="AC119" s="69">
        <f>AC$112*'Region OP Sales Goals'!Z110</f>
        <v>142.48245614035088</v>
      </c>
      <c r="AD119" s="69">
        <f>AD$112*'Region OP Sales Goals'!AA110</f>
        <v>157.88134026574235</v>
      </c>
      <c r="AE119" s="69">
        <f>AE$112*'Region OP Sales Goals'!AB110</f>
        <v>157.98558788652741</v>
      </c>
      <c r="AF119" s="69">
        <f>AF$112*'Region OP Sales Goals'!AC110</f>
        <v>127.33671399594321</v>
      </c>
      <c r="AG119" s="69">
        <f>AG$112*'Region OP Sales Goals'!AD110</f>
        <v>145.80771072796932</v>
      </c>
      <c r="AH119" s="69">
        <f>AH$112*'Region OP Sales Goals'!AE110</f>
        <v>1713.7572642272517</v>
      </c>
      <c r="AJ119" s="757"/>
      <c r="AK119" s="757"/>
      <c r="AL119" s="292" t="s">
        <v>105</v>
      </c>
      <c r="AM119" s="69">
        <v>146</v>
      </c>
      <c r="AN119" s="69">
        <v>107</v>
      </c>
      <c r="AO119" s="69">
        <v>103</v>
      </c>
      <c r="AP119" s="69">
        <v>73</v>
      </c>
      <c r="AQ119" s="69">
        <v>97</v>
      </c>
      <c r="AR119" s="69">
        <v>83</v>
      </c>
      <c r="AS119" s="69">
        <v>97</v>
      </c>
      <c r="AT119" s="69">
        <v>128</v>
      </c>
      <c r="AU119" s="69"/>
      <c r="AV119" s="69"/>
      <c r="AW119" s="69"/>
      <c r="AX119" s="69"/>
      <c r="AY119" s="69">
        <f t="shared" si="203"/>
        <v>834</v>
      </c>
      <c r="BA119" s="757"/>
      <c r="BB119" s="757"/>
      <c r="BC119" s="292" t="s">
        <v>105</v>
      </c>
      <c r="BD119" s="465">
        <f t="shared" si="204"/>
        <v>0.99566239998108952</v>
      </c>
      <c r="BE119" s="465">
        <f t="shared" si="201"/>
        <v>0.87663541042595328</v>
      </c>
      <c r="BF119" s="465">
        <f t="shared" si="153"/>
        <v>0.70214302104962711</v>
      </c>
      <c r="BG119" s="465">
        <f t="shared" si="154"/>
        <v>0.52894564998995375</v>
      </c>
      <c r="BH119" s="465">
        <f t="shared" si="155"/>
        <v>0.60243907689658138</v>
      </c>
      <c r="BI119" s="465">
        <f t="shared" si="156"/>
        <v>0.62755195639070149</v>
      </c>
      <c r="BJ119" s="465">
        <f t="shared" si="157"/>
        <v>0.73935517785176097</v>
      </c>
      <c r="BK119" s="465">
        <f t="shared" si="158"/>
        <v>0.89835621498491658</v>
      </c>
      <c r="BL119" s="465">
        <f t="shared" si="159"/>
        <v>0</v>
      </c>
      <c r="BM119" s="465">
        <f t="shared" si="160"/>
        <v>0</v>
      </c>
      <c r="BN119" s="465">
        <f t="shared" si="161"/>
        <v>0</v>
      </c>
      <c r="BO119" s="465">
        <f t="shared" si="162"/>
        <v>0</v>
      </c>
      <c r="BP119" s="465">
        <f t="shared" si="205"/>
        <v>0.48665001596714341</v>
      </c>
    </row>
    <row r="120" spans="2:68">
      <c r="B120" s="769"/>
      <c r="C120" s="769"/>
      <c r="D120" s="182" t="s">
        <v>203</v>
      </c>
      <c r="E120" s="341">
        <f>SUM(E121:E127)</f>
        <v>4602</v>
      </c>
      <c r="F120" s="341">
        <f t="shared" ref="F120:Q120" si="206">SUM(F121:F127)</f>
        <v>4298</v>
      </c>
      <c r="G120" s="341">
        <f t="shared" si="206"/>
        <v>5545</v>
      </c>
      <c r="H120" s="341">
        <f t="shared" si="206"/>
        <v>5120</v>
      </c>
      <c r="I120" s="341">
        <f t="shared" si="206"/>
        <v>4328</v>
      </c>
      <c r="J120" s="341">
        <f t="shared" si="206"/>
        <v>4316</v>
      </c>
      <c r="K120" s="341">
        <f t="shared" si="206"/>
        <v>3373</v>
      </c>
      <c r="L120" s="341">
        <f t="shared" si="206"/>
        <v>4969</v>
      </c>
      <c r="M120" s="341">
        <f t="shared" si="206"/>
        <v>4099</v>
      </c>
      <c r="N120" s="341">
        <f t="shared" si="206"/>
        <v>4456</v>
      </c>
      <c r="O120" s="341">
        <f t="shared" si="206"/>
        <v>4189</v>
      </c>
      <c r="P120" s="341">
        <f t="shared" si="206"/>
        <v>5612</v>
      </c>
      <c r="Q120" s="341">
        <f t="shared" si="206"/>
        <v>54907</v>
      </c>
      <c r="S120" s="769"/>
      <c r="T120" s="769"/>
      <c r="U120" s="182" t="s">
        <v>203</v>
      </c>
      <c r="V120" s="341">
        <v>4392.5953206239165</v>
      </c>
      <c r="W120" s="341">
        <v>4241.126516464471</v>
      </c>
      <c r="X120" s="341">
        <v>4852.7650063856963</v>
      </c>
      <c r="Y120" s="341" cm="1">
        <f t="array" ref="Y120">INDEX('Shop Goals'!$E$68:$E$79, COLUMN()-COLUMN($V$3)+1)</f>
        <v>4695.5329289428073</v>
      </c>
      <c r="Z120" s="341" cm="1">
        <f t="array" ref="Z120">INDEX('Shop Goals'!$E$68:$E$79, COLUMN()-COLUMN($V$3)+1)</f>
        <v>5452.8769497400344</v>
      </c>
      <c r="AA120" s="341" cm="1">
        <f t="array" ref="AA120">INDEX('Shop Goals'!$E$68:$E$79, COLUMN()-COLUMN($V$3)+1)</f>
        <v>4544.0641247833619</v>
      </c>
      <c r="AB120" s="341" cm="1">
        <f t="array" ref="AB120">INDEX('Shop Goals'!$E$68:$E$79, COLUMN()-COLUMN($V$3)+1)</f>
        <v>4459.2975734355041</v>
      </c>
      <c r="AC120" s="341" cm="1">
        <f t="array" ref="AC120">INDEX('Shop Goals'!$E$68:$E$79, COLUMN()-COLUMN($V$3)+1)</f>
        <v>4852.7650063856963</v>
      </c>
      <c r="AD120" s="341" cm="1">
        <f t="array" ref="AD120">INDEX('Shop Goals'!$E$68:$E$79, COLUMN()-COLUMN($V$3)+1)</f>
        <v>5346.8487868284228</v>
      </c>
      <c r="AE120" s="341" cm="1">
        <f t="array" ref="AE120">INDEX('Shop Goals'!$E$68:$E$79, COLUMN()-COLUMN($V$3)+1)</f>
        <v>5452.8769497400344</v>
      </c>
      <c r="AF120" s="341" cm="1">
        <f t="array" ref="AF120">INDEX('Shop Goals'!$E$68:$E$79, COLUMN()-COLUMN($V$3)+1)</f>
        <v>4328.1417624521073</v>
      </c>
      <c r="AG120" s="341" cm="1">
        <f t="array" ref="AG120">INDEX('Shop Goals'!$E$68:$E$79, COLUMN()-COLUMN($V$3)+1)</f>
        <v>4983.9208173690931</v>
      </c>
      <c r="AH120" s="342">
        <f t="shared" si="191"/>
        <v>57602.811743151142</v>
      </c>
      <c r="AJ120" s="757"/>
      <c r="AK120" s="757"/>
      <c r="AL120" s="182" t="s">
        <v>203</v>
      </c>
      <c r="AM120" s="341">
        <f>SUM(AM121:AM127)</f>
        <v>5034</v>
      </c>
      <c r="AN120" s="341">
        <f>SUM(AN121:AN127)</f>
        <v>4913</v>
      </c>
      <c r="AO120" s="341">
        <f t="shared" ref="AO120:AS120" si="207">SUM(AO121:AO127)</f>
        <v>5134</v>
      </c>
      <c r="AP120" s="341">
        <f t="shared" si="207"/>
        <v>4752</v>
      </c>
      <c r="AQ120" s="341">
        <f t="shared" si="207"/>
        <v>4639</v>
      </c>
      <c r="AR120" s="341">
        <f t="shared" si="207"/>
        <v>4998</v>
      </c>
      <c r="AS120" s="341">
        <f t="shared" si="207"/>
        <v>7252</v>
      </c>
      <c r="AT120" s="341">
        <f t="shared" ref="AT120" si="208">SUM(AT121:AT127)</f>
        <v>6394</v>
      </c>
      <c r="AU120" s="341">
        <f t="shared" ref="AU120" si="209">SUM(AU121:AU127)</f>
        <v>0</v>
      </c>
      <c r="AV120" s="341">
        <f t="shared" ref="AV120" si="210">SUM(AV121:AV127)</f>
        <v>0</v>
      </c>
      <c r="AW120" s="341">
        <f t="shared" ref="AW120" si="211">SUM(AW121:AW127)</f>
        <v>0</v>
      </c>
      <c r="AX120" s="341">
        <f t="shared" ref="AX120" si="212">SUM(AX121:AX127)</f>
        <v>0</v>
      </c>
      <c r="AY120" s="341">
        <f t="shared" ref="AY120" si="213">SUM(AY121:AY127)</f>
        <v>43116</v>
      </c>
      <c r="BA120" s="757"/>
      <c r="BB120" s="757"/>
      <c r="BC120" s="182" t="s">
        <v>203</v>
      </c>
      <c r="BD120" s="464">
        <f>AM120/V120</f>
        <v>1.1460195243492131</v>
      </c>
      <c r="BE120" s="464">
        <f t="shared" si="201"/>
        <v>1.1584186373425198</v>
      </c>
      <c r="BF120" s="464">
        <f t="shared" si="153"/>
        <v>1.057953557043094</v>
      </c>
      <c r="BG120" s="464">
        <f t="shared" si="154"/>
        <v>1.0120257001519752</v>
      </c>
      <c r="BH120" s="464">
        <f t="shared" si="155"/>
        <v>0.85074356945119844</v>
      </c>
      <c r="BI120" s="464">
        <f t="shared" si="156"/>
        <v>1.0998964501272921</v>
      </c>
      <c r="BJ120" s="464">
        <f t="shared" si="157"/>
        <v>1.6262650968172458</v>
      </c>
      <c r="BK120" s="464">
        <f t="shared" si="158"/>
        <v>1.3175993462667595</v>
      </c>
      <c r="BL120" s="464">
        <f t="shared" si="159"/>
        <v>0</v>
      </c>
      <c r="BM120" s="464">
        <f t="shared" si="160"/>
        <v>0</v>
      </c>
      <c r="BN120" s="464">
        <f t="shared" si="161"/>
        <v>0</v>
      </c>
      <c r="BO120" s="464">
        <f t="shared" si="162"/>
        <v>0</v>
      </c>
      <c r="BP120" s="464">
        <f t="shared" si="205"/>
        <v>0.74850512839985461</v>
      </c>
    </row>
    <row r="121" spans="2:68" ht="16" customHeight="1">
      <c r="B121" s="769"/>
      <c r="C121" s="769"/>
      <c r="D121" s="292" t="s">
        <v>99</v>
      </c>
      <c r="E121" s="69">
        <v>802</v>
      </c>
      <c r="F121" s="69">
        <v>772</v>
      </c>
      <c r="G121" s="69">
        <v>902</v>
      </c>
      <c r="H121" s="69">
        <v>915</v>
      </c>
      <c r="I121" s="69">
        <v>667</v>
      </c>
      <c r="J121" s="69">
        <v>817</v>
      </c>
      <c r="K121" s="69">
        <v>593</v>
      </c>
      <c r="L121" s="69">
        <v>933</v>
      </c>
      <c r="M121" s="69">
        <v>730</v>
      </c>
      <c r="N121" s="69">
        <v>722</v>
      </c>
      <c r="O121" s="69">
        <v>641</v>
      </c>
      <c r="P121" s="69">
        <v>891</v>
      </c>
      <c r="Q121" s="69">
        <f>SUM(E121:P121)</f>
        <v>9385</v>
      </c>
      <c r="S121" s="769"/>
      <c r="T121" s="769"/>
      <c r="U121" s="292" t="s">
        <v>99</v>
      </c>
      <c r="V121" s="69">
        <v>590.72833622183703</v>
      </c>
      <c r="W121" s="69">
        <v>533.56107787778819</v>
      </c>
      <c r="X121" s="69">
        <v>623.9269293924466</v>
      </c>
      <c r="Y121" s="69">
        <f>Y$120*'Region OP Sales Goals'!V104</f>
        <v>605.87521663778159</v>
      </c>
      <c r="Z121" s="69">
        <f>Z$120*'Region OP Sales Goals'!W104</f>
        <v>696.75649913344876</v>
      </c>
      <c r="AA121" s="69">
        <f>AA$120*'Region OP Sales Goals'!X104</f>
        <v>590.72833622183703</v>
      </c>
      <c r="AB121" s="69">
        <f>AB$120*'Region OP Sales Goals'!Y104</f>
        <v>577.08556832694762</v>
      </c>
      <c r="AC121" s="69">
        <f>AC$120*'Region OP Sales Goals'!Z104</f>
        <v>625.75127713920824</v>
      </c>
      <c r="AD121" s="69">
        <f>AD$120*'Region OP Sales Goals'!AA104</f>
        <v>683.20845609474281</v>
      </c>
      <c r="AE121" s="69">
        <f>AE$120*'Region OP Sales Goals'!AB104</f>
        <v>703.13413299279398</v>
      </c>
      <c r="AF121" s="69">
        <f>AF$120*'Region OP Sales Goals'!AC104</f>
        <v>560.11246337615512</v>
      </c>
      <c r="AG121" s="69">
        <f>AG$120*'Region OP Sales Goals'!AD104</f>
        <v>643.75643891017455</v>
      </c>
      <c r="AH121" s="69">
        <f>AH$120*'Region OP Sales Goals'!AE104</f>
        <v>7550.6756063884941</v>
      </c>
      <c r="AJ121" s="757"/>
      <c r="AK121" s="757"/>
      <c r="AL121" s="292" t="s">
        <v>99</v>
      </c>
      <c r="AM121" s="69">
        <v>868</v>
      </c>
      <c r="AN121" s="69">
        <v>748</v>
      </c>
      <c r="AO121" s="69">
        <v>789</v>
      </c>
      <c r="AP121" s="69">
        <v>786</v>
      </c>
      <c r="AQ121" s="69">
        <v>678</v>
      </c>
      <c r="AR121" s="69">
        <v>793</v>
      </c>
      <c r="AS121" s="69">
        <v>1216</v>
      </c>
      <c r="AT121" s="69">
        <v>1074</v>
      </c>
      <c r="AU121" s="69"/>
      <c r="AV121" s="69"/>
      <c r="AW121" s="69"/>
      <c r="AX121" s="69"/>
      <c r="AY121" s="69">
        <f>SUM(AM121:AX121)</f>
        <v>6952</v>
      </c>
      <c r="BA121" s="757"/>
      <c r="BB121" s="757"/>
      <c r="BC121" s="292" t="s">
        <v>99</v>
      </c>
      <c r="BD121" s="465">
        <f>AM121/V121</f>
        <v>1.4693725470349517</v>
      </c>
      <c r="BE121" s="465">
        <f t="shared" si="201"/>
        <v>1.4019013586506939</v>
      </c>
      <c r="BF121" s="465">
        <f t="shared" si="153"/>
        <v>1.2645711586263708</v>
      </c>
      <c r="BG121" s="465">
        <f t="shared" si="154"/>
        <v>1.2972968334334507</v>
      </c>
      <c r="BH121" s="465">
        <f t="shared" si="155"/>
        <v>0.97308026669751047</v>
      </c>
      <c r="BI121" s="465">
        <f t="shared" si="156"/>
        <v>1.3424106334086598</v>
      </c>
      <c r="BJ121" s="465">
        <f t="shared" si="157"/>
        <v>2.1071398536708434</v>
      </c>
      <c r="BK121" s="465">
        <f t="shared" si="158"/>
        <v>1.7163368885319459</v>
      </c>
      <c r="BL121" s="465">
        <f t="shared" si="159"/>
        <v>0</v>
      </c>
      <c r="BM121" s="465">
        <f t="shared" si="160"/>
        <v>0</v>
      </c>
      <c r="BN121" s="465">
        <f t="shared" si="161"/>
        <v>0</v>
      </c>
      <c r="BO121" s="465">
        <f t="shared" si="162"/>
        <v>0</v>
      </c>
      <c r="BP121" s="465">
        <f>AY121/AH121</f>
        <v>0.92071231269928144</v>
      </c>
    </row>
    <row r="122" spans="2:68" ht="16" customHeight="1">
      <c r="B122" s="769"/>
      <c r="C122" s="769"/>
      <c r="D122" s="292" t="s">
        <v>100</v>
      </c>
      <c r="E122" s="69">
        <v>978</v>
      </c>
      <c r="F122" s="69">
        <v>879</v>
      </c>
      <c r="G122" s="69">
        <v>1114</v>
      </c>
      <c r="H122" s="69">
        <v>1097</v>
      </c>
      <c r="I122" s="69">
        <v>949</v>
      </c>
      <c r="J122" s="69">
        <v>883</v>
      </c>
      <c r="K122" s="69">
        <v>732</v>
      </c>
      <c r="L122" s="69">
        <v>1049</v>
      </c>
      <c r="M122" s="69">
        <v>864</v>
      </c>
      <c r="N122" s="69">
        <v>915</v>
      </c>
      <c r="O122" s="69">
        <v>781</v>
      </c>
      <c r="P122" s="69">
        <v>1068</v>
      </c>
      <c r="Q122" s="69">
        <f t="shared" ref="Q122:Q127" si="214">SUM(E122:P122)</f>
        <v>11309</v>
      </c>
      <c r="S122" s="769"/>
      <c r="T122" s="769"/>
      <c r="U122" s="292" t="s">
        <v>100</v>
      </c>
      <c r="V122" s="69">
        <v>484.70017331022524</v>
      </c>
      <c r="W122" s="69">
        <v>560.92318443562363</v>
      </c>
      <c r="X122" s="69">
        <v>651.65701514322211</v>
      </c>
      <c r="Y122" s="69">
        <f>Y$120*'Region OP Sales Goals'!V105</f>
        <v>605.87521663778159</v>
      </c>
      <c r="Z122" s="69">
        <f>Z$120*'Region OP Sales Goals'!W105</f>
        <v>711.90337954939343</v>
      </c>
      <c r="AA122" s="69">
        <f>AA$120*'Region OP Sales Goals'!X105</f>
        <v>590.72833622183703</v>
      </c>
      <c r="AB122" s="69">
        <f>AB$120*'Region OP Sales Goals'!Y105</f>
        <v>577.08556832694762</v>
      </c>
      <c r="AC122" s="69">
        <f>AC$120*'Region OP Sales Goals'!Z105</f>
        <v>625.75127713920824</v>
      </c>
      <c r="AD122" s="69">
        <f>AD$120*'Region OP Sales Goals'!AA105</f>
        <v>698.060813835933</v>
      </c>
      <c r="AE122" s="69">
        <f>AE$120*'Region OP Sales Goals'!AB105</f>
        <v>703.13413299279398</v>
      </c>
      <c r="AF122" s="69">
        <f>AF$120*'Region OP Sales Goals'!AC105</f>
        <v>560.11246337615512</v>
      </c>
      <c r="AG122" s="69">
        <f>AG$120*'Region OP Sales Goals'!AD105</f>
        <v>643.75643891017455</v>
      </c>
      <c r="AH122" s="69">
        <f>AH$120*'Region OP Sales Goals'!AE105</f>
        <v>7074.5068744540849</v>
      </c>
      <c r="AJ122" s="757"/>
      <c r="AK122" s="757"/>
      <c r="AL122" s="292" t="s">
        <v>100</v>
      </c>
      <c r="AM122" s="69">
        <v>826</v>
      </c>
      <c r="AN122" s="69">
        <v>840</v>
      </c>
      <c r="AO122" s="69">
        <v>849</v>
      </c>
      <c r="AP122" s="69">
        <v>858</v>
      </c>
      <c r="AQ122" s="69">
        <v>791</v>
      </c>
      <c r="AR122" s="69">
        <v>825</v>
      </c>
      <c r="AS122" s="69">
        <v>1284</v>
      </c>
      <c r="AT122" s="69">
        <v>1117</v>
      </c>
      <c r="AU122" s="69"/>
      <c r="AV122" s="69"/>
      <c r="AW122" s="69"/>
      <c r="AX122" s="69"/>
      <c r="AY122" s="69">
        <f t="shared" ref="AY122:AY127" si="215">SUM(AM122:AX122)</f>
        <v>7390</v>
      </c>
      <c r="BA122" s="757"/>
      <c r="BB122" s="757"/>
      <c r="BC122" s="292" t="s">
        <v>100</v>
      </c>
      <c r="BD122" s="465">
        <f t="shared" ref="BD122:BD123" si="216">AM122/V122</f>
        <v>1.7041462856489031</v>
      </c>
      <c r="BE122" s="465">
        <f t="shared" si="201"/>
        <v>1.4975312543823114</v>
      </c>
      <c r="BF122" s="465">
        <f t="shared" si="153"/>
        <v>1.3028325948634276</v>
      </c>
      <c r="BG122" s="465">
        <f t="shared" si="154"/>
        <v>1.4161331845876599</v>
      </c>
      <c r="BH122" s="465">
        <f t="shared" si="155"/>
        <v>1.111105836441838</v>
      </c>
      <c r="BI122" s="465">
        <f t="shared" si="156"/>
        <v>1.3965810498892111</v>
      </c>
      <c r="BJ122" s="465">
        <f t="shared" si="157"/>
        <v>2.2249733323300682</v>
      </c>
      <c r="BK122" s="465">
        <f t="shared" si="158"/>
        <v>1.7850542872348076</v>
      </c>
      <c r="BL122" s="465">
        <f t="shared" si="159"/>
        <v>0</v>
      </c>
      <c r="BM122" s="465">
        <f t="shared" si="160"/>
        <v>0</v>
      </c>
      <c r="BN122" s="465">
        <f t="shared" si="161"/>
        <v>0</v>
      </c>
      <c r="BO122" s="465">
        <f t="shared" si="162"/>
        <v>0</v>
      </c>
      <c r="BP122" s="465">
        <f t="shared" ref="BP122:BP128" si="217">AY122/AH122</f>
        <v>1.0445957762349705</v>
      </c>
    </row>
    <row r="123" spans="2:68" ht="16" customHeight="1">
      <c r="B123" s="769"/>
      <c r="C123" s="769"/>
      <c r="D123" s="292" t="s">
        <v>101</v>
      </c>
      <c r="E123" s="69">
        <v>430</v>
      </c>
      <c r="F123" s="69">
        <v>404</v>
      </c>
      <c r="G123" s="69">
        <v>509</v>
      </c>
      <c r="H123" s="69">
        <v>464</v>
      </c>
      <c r="I123" s="69">
        <v>423</v>
      </c>
      <c r="J123" s="69">
        <v>391</v>
      </c>
      <c r="K123" s="69">
        <v>327</v>
      </c>
      <c r="L123" s="69">
        <v>431</v>
      </c>
      <c r="M123" s="69">
        <v>359</v>
      </c>
      <c r="N123" s="69">
        <v>399</v>
      </c>
      <c r="O123" s="69">
        <v>434</v>
      </c>
      <c r="P123" s="69">
        <v>518</v>
      </c>
      <c r="Q123" s="69">
        <f t="shared" si="214"/>
        <v>5089</v>
      </c>
      <c r="S123" s="769"/>
      <c r="T123" s="769"/>
      <c r="U123" s="292" t="s">
        <v>101</v>
      </c>
      <c r="V123" s="69">
        <v>408.96577123050258</v>
      </c>
      <c r="W123" s="69">
        <v>369.38843853077651</v>
      </c>
      <c r="X123" s="69">
        <v>415.95128626163114</v>
      </c>
      <c r="Y123" s="69">
        <f>Y$120*'Region OP Sales Goals'!V106</f>
        <v>393.81889081455807</v>
      </c>
      <c r="Z123" s="69">
        <f>Z$120*'Region OP Sales Goals'!W106</f>
        <v>469.55329289428073</v>
      </c>
      <c r="AA123" s="69">
        <f>AA$120*'Region OP Sales Goals'!X106</f>
        <v>378.67201039861345</v>
      </c>
      <c r="AB123" s="69">
        <f>AB$120*'Region OP Sales Goals'!Y106</f>
        <v>380.35185185185185</v>
      </c>
      <c r="AC123" s="69">
        <f>AC$120*'Region OP Sales Goals'!Z106</f>
        <v>408.65389527458495</v>
      </c>
      <c r="AD123" s="69">
        <f>AD$120*'Region OP Sales Goals'!AA106</f>
        <v>460.42308997689196</v>
      </c>
      <c r="AE123" s="69">
        <f>AE$120*'Region OP Sales Goals'!AB106</f>
        <v>459.18963787284497</v>
      </c>
      <c r="AF123" s="69">
        <f>AF$120*'Region OP Sales Goals'!AC106</f>
        <v>369.16503267973854</v>
      </c>
      <c r="AG123" s="69">
        <f>AG$120*'Region OP Sales Goals'!AD106</f>
        <v>425.70990315027672</v>
      </c>
      <c r="AH123" s="69">
        <f>AH$120*'Region OP Sales Goals'!AE106</f>
        <v>4693.6632147820374</v>
      </c>
      <c r="AJ123" s="757"/>
      <c r="AK123" s="757"/>
      <c r="AL123" s="292" t="s">
        <v>101</v>
      </c>
      <c r="AM123" s="69">
        <v>429</v>
      </c>
      <c r="AN123" s="69">
        <v>455</v>
      </c>
      <c r="AO123" s="69">
        <v>491</v>
      </c>
      <c r="AP123" s="69">
        <v>398</v>
      </c>
      <c r="AQ123" s="69">
        <v>494</v>
      </c>
      <c r="AR123" s="69">
        <v>443</v>
      </c>
      <c r="AS123" s="69">
        <v>679</v>
      </c>
      <c r="AT123" s="69">
        <v>464</v>
      </c>
      <c r="AU123" s="69"/>
      <c r="AV123" s="69"/>
      <c r="AW123" s="69"/>
      <c r="AX123" s="69"/>
      <c r="AY123" s="69">
        <f t="shared" si="215"/>
        <v>3853</v>
      </c>
      <c r="BA123" s="757"/>
      <c r="BB123" s="757"/>
      <c r="BC123" s="292" t="s">
        <v>101</v>
      </c>
      <c r="BD123" s="465">
        <f t="shared" si="216"/>
        <v>1.0489875441390073</v>
      </c>
      <c r="BE123" s="465">
        <f t="shared" si="201"/>
        <v>1.231765676829895</v>
      </c>
      <c r="BF123" s="465">
        <f t="shared" si="153"/>
        <v>1.180426689896479</v>
      </c>
      <c r="BG123" s="465">
        <f t="shared" si="154"/>
        <v>1.0106168324652836</v>
      </c>
      <c r="BH123" s="465">
        <f t="shared" si="155"/>
        <v>1.0520637539458666</v>
      </c>
      <c r="BI123" s="465">
        <f t="shared" si="156"/>
        <v>1.1698778569181043</v>
      </c>
      <c r="BJ123" s="465">
        <f t="shared" si="157"/>
        <v>1.7851891523443206</v>
      </c>
      <c r="BK123" s="465">
        <f t="shared" si="158"/>
        <v>1.1354351576368227</v>
      </c>
      <c r="BL123" s="465">
        <f t="shared" si="159"/>
        <v>0</v>
      </c>
      <c r="BM123" s="465">
        <f t="shared" si="160"/>
        <v>0</v>
      </c>
      <c r="BN123" s="465">
        <f t="shared" si="161"/>
        <v>0</v>
      </c>
      <c r="BO123" s="465">
        <f t="shared" si="162"/>
        <v>0</v>
      </c>
      <c r="BP123" s="465">
        <f t="shared" si="217"/>
        <v>0.82089400617102526</v>
      </c>
    </row>
    <row r="124" spans="2:68" ht="16" customHeight="1">
      <c r="B124" s="769"/>
      <c r="C124" s="769"/>
      <c r="D124" s="292" t="s">
        <v>102</v>
      </c>
      <c r="E124" s="69">
        <v>235</v>
      </c>
      <c r="F124" s="69">
        <v>227</v>
      </c>
      <c r="G124" s="69">
        <v>324</v>
      </c>
      <c r="H124" s="69">
        <v>284</v>
      </c>
      <c r="I124" s="69">
        <v>233</v>
      </c>
      <c r="J124" s="69">
        <v>244</v>
      </c>
      <c r="K124" s="69">
        <v>225</v>
      </c>
      <c r="L124" s="69">
        <v>297</v>
      </c>
      <c r="M124" s="69">
        <v>227</v>
      </c>
      <c r="N124" s="69">
        <v>252</v>
      </c>
      <c r="O124" s="69">
        <v>288</v>
      </c>
      <c r="P124" s="69">
        <v>356</v>
      </c>
      <c r="Q124" s="69">
        <f t="shared" si="214"/>
        <v>3192</v>
      </c>
      <c r="S124" s="769"/>
      <c r="T124" s="769"/>
      <c r="U124" s="292" t="s">
        <v>102</v>
      </c>
      <c r="V124" s="69">
        <v>272.64384748700172</v>
      </c>
      <c r="W124" s="69">
        <v>300.98317213618827</v>
      </c>
      <c r="X124" s="69">
        <v>346.62607188469258</v>
      </c>
      <c r="Y124" s="69">
        <f>Y$120*'Region OP Sales Goals'!V107</f>
        <v>333.23136915077987</v>
      </c>
      <c r="Z124" s="69">
        <f>Z$120*'Region OP Sales Goals'!W107</f>
        <v>378.67201039861351</v>
      </c>
      <c r="AA124" s="69">
        <f>AA$120*'Region OP Sales Goals'!X107</f>
        <v>318.08448873483536</v>
      </c>
      <c r="AB124" s="69">
        <f>AB$120*'Region OP Sales Goals'!Y107</f>
        <v>314.77394636015322</v>
      </c>
      <c r="AC124" s="69">
        <f>AC$120*'Region OP Sales Goals'!Z107</f>
        <v>344.80172413793105</v>
      </c>
      <c r="AD124" s="69">
        <f>AD$120*'Region OP Sales Goals'!AA107</f>
        <v>371.30894352975162</v>
      </c>
      <c r="AE124" s="69">
        <f>AE$120*'Region OP Sales Goals'!AB107</f>
        <v>387.44125695521296</v>
      </c>
      <c r="AF124" s="69">
        <f>AF$120*'Region OP Sales Goals'!AC107</f>
        <v>305.51588911426637</v>
      </c>
      <c r="AG124" s="69">
        <f>AG$120*'Region OP Sales Goals'!AD107</f>
        <v>353.02772456364409</v>
      </c>
      <c r="AH124" s="69">
        <f>AH$120*'Region OP Sales Goals'!AE107</f>
        <v>4312.7282292345099</v>
      </c>
      <c r="AJ124" s="757"/>
      <c r="AK124" s="757"/>
      <c r="AL124" s="292" t="s">
        <v>102</v>
      </c>
      <c r="AM124" s="69">
        <v>310</v>
      </c>
      <c r="AN124" s="69">
        <v>316</v>
      </c>
      <c r="AO124" s="69">
        <v>321</v>
      </c>
      <c r="AP124" s="69">
        <v>297</v>
      </c>
      <c r="AQ124" s="69">
        <v>320</v>
      </c>
      <c r="AR124" s="69">
        <v>313</v>
      </c>
      <c r="AS124" s="69">
        <v>451</v>
      </c>
      <c r="AT124" s="69">
        <v>432</v>
      </c>
      <c r="AU124" s="69"/>
      <c r="AV124" s="69"/>
      <c r="AW124" s="69"/>
      <c r="AX124" s="69"/>
      <c r="AY124" s="69">
        <f t="shared" si="215"/>
        <v>2760</v>
      </c>
      <c r="BA124" s="757"/>
      <c r="BB124" s="757"/>
      <c r="BC124" s="292" t="s">
        <v>102</v>
      </c>
      <c r="BD124" s="465">
        <f>AM124/V124</f>
        <v>1.137014470919903</v>
      </c>
      <c r="BE124" s="465">
        <f t="shared" si="201"/>
        <v>1.0498925828883781</v>
      </c>
      <c r="BF124" s="465">
        <f t="shared" si="153"/>
        <v>0.92606998156440679</v>
      </c>
      <c r="BG124" s="465">
        <f t="shared" si="154"/>
        <v>0.89127263365656917</v>
      </c>
      <c r="BH124" s="465">
        <f t="shared" si="155"/>
        <v>0.84505849709659886</v>
      </c>
      <c r="BI124" s="465">
        <f t="shared" si="156"/>
        <v>0.98401528865786991</v>
      </c>
      <c r="BJ124" s="465">
        <f t="shared" si="157"/>
        <v>1.4327742343833685</v>
      </c>
      <c r="BK124" s="465">
        <f t="shared" si="158"/>
        <v>1.2528939670475285</v>
      </c>
      <c r="BL124" s="465">
        <f t="shared" si="159"/>
        <v>0</v>
      </c>
      <c r="BM124" s="465">
        <f t="shared" si="160"/>
        <v>0</v>
      </c>
      <c r="BN124" s="465">
        <f t="shared" si="161"/>
        <v>0</v>
      </c>
      <c r="BO124" s="465">
        <f t="shared" si="162"/>
        <v>0</v>
      </c>
      <c r="BP124" s="465">
        <f t="shared" si="217"/>
        <v>0.63996613125095703</v>
      </c>
    </row>
    <row r="125" spans="2:68" ht="16" customHeight="1">
      <c r="B125" s="769"/>
      <c r="C125" s="769"/>
      <c r="D125" s="292" t="s">
        <v>103</v>
      </c>
      <c r="E125" s="69">
        <v>657</v>
      </c>
      <c r="F125" s="69">
        <v>615</v>
      </c>
      <c r="G125" s="69">
        <v>837</v>
      </c>
      <c r="H125" s="69">
        <v>758</v>
      </c>
      <c r="I125" s="69">
        <v>705</v>
      </c>
      <c r="J125" s="69">
        <v>676</v>
      </c>
      <c r="K125" s="69">
        <v>501</v>
      </c>
      <c r="L125" s="69">
        <v>712</v>
      </c>
      <c r="M125" s="69">
        <v>632</v>
      </c>
      <c r="N125" s="69">
        <v>714</v>
      </c>
      <c r="O125" s="69">
        <v>628</v>
      </c>
      <c r="P125" s="69">
        <v>900</v>
      </c>
      <c r="Q125" s="69">
        <f t="shared" si="214"/>
        <v>8335</v>
      </c>
      <c r="S125" s="769"/>
      <c r="T125" s="769"/>
      <c r="U125" s="292" t="s">
        <v>103</v>
      </c>
      <c r="V125" s="69">
        <v>651.31585788561517</v>
      </c>
      <c r="W125" s="69">
        <v>697.7337172248001</v>
      </c>
      <c r="X125" s="69">
        <v>748.71231527093596</v>
      </c>
      <c r="Y125" s="69">
        <f>Y$120*'Region OP Sales Goals'!V108</f>
        <v>757.34402079722702</v>
      </c>
      <c r="Z125" s="69">
        <f>Z$120*'Region OP Sales Goals'!W108</f>
        <v>878.51906412478343</v>
      </c>
      <c r="AA125" s="69">
        <f>AA$120*'Region OP Sales Goals'!X108</f>
        <v>742.19714038128245</v>
      </c>
      <c r="AB125" s="69">
        <f>AB$120*'Region OP Sales Goals'!Y108</f>
        <v>721.35696040868447</v>
      </c>
      <c r="AC125" s="69">
        <f>AC$120*'Region OP Sales Goals'!Z108</f>
        <v>791.76692209450835</v>
      </c>
      <c r="AD125" s="69">
        <f>AD$120*'Region OP Sales Goals'!AA108</f>
        <v>861.43674898902373</v>
      </c>
      <c r="AE125" s="69">
        <f>AE$120*'Region OP Sales Goals'!AB108</f>
        <v>889.67992337863723</v>
      </c>
      <c r="AF125" s="69">
        <f>AF$120*'Region OP Sales Goals'!AC108</f>
        <v>700.1405792201939</v>
      </c>
      <c r="AG125" s="69">
        <f>AG$120*'Region OP Sales Goals'!AD108</f>
        <v>809.88713282247761</v>
      </c>
      <c r="AH125" s="69">
        <f>AH$120*'Region OP Sales Goals'!AE108</f>
        <v>9251.2782204399573</v>
      </c>
      <c r="AJ125" s="757"/>
      <c r="AK125" s="757"/>
      <c r="AL125" s="292" t="s">
        <v>103</v>
      </c>
      <c r="AM125" s="69">
        <v>828</v>
      </c>
      <c r="AN125" s="69">
        <v>796</v>
      </c>
      <c r="AO125" s="69">
        <v>860</v>
      </c>
      <c r="AP125" s="69">
        <v>767</v>
      </c>
      <c r="AQ125" s="69">
        <v>849</v>
      </c>
      <c r="AR125" s="69">
        <v>879</v>
      </c>
      <c r="AS125" s="69">
        <v>1258</v>
      </c>
      <c r="AT125" s="69">
        <v>1078</v>
      </c>
      <c r="AU125" s="69"/>
      <c r="AV125" s="69"/>
      <c r="AW125" s="69"/>
      <c r="AX125" s="69"/>
      <c r="AY125" s="69">
        <f t="shared" si="215"/>
        <v>7315</v>
      </c>
      <c r="BA125" s="757"/>
      <c r="BB125" s="757"/>
      <c r="BC125" s="292" t="s">
        <v>103</v>
      </c>
      <c r="BD125" s="465">
        <f t="shared" ref="BD125:BD127" si="218">AM125/V125</f>
        <v>1.2712725937427034</v>
      </c>
      <c r="BE125" s="465">
        <f t="shared" si="201"/>
        <v>1.1408363683011464</v>
      </c>
      <c r="BF125" s="465">
        <f t="shared" si="153"/>
        <v>1.1486387794874089</v>
      </c>
      <c r="BG125" s="465">
        <f t="shared" si="154"/>
        <v>1.0127497926142053</v>
      </c>
      <c r="BH125" s="465">
        <f t="shared" si="155"/>
        <v>0.96639906254716113</v>
      </c>
      <c r="BI125" s="465">
        <f t="shared" si="156"/>
        <v>1.184321458781745</v>
      </c>
      <c r="BJ125" s="465">
        <f t="shared" si="157"/>
        <v>1.7439354841565273</v>
      </c>
      <c r="BK125" s="465">
        <f t="shared" si="158"/>
        <v>1.3615117908036651</v>
      </c>
      <c r="BL125" s="465">
        <f t="shared" si="159"/>
        <v>0</v>
      </c>
      <c r="BM125" s="465">
        <f t="shared" si="160"/>
        <v>0</v>
      </c>
      <c r="BN125" s="465">
        <f t="shared" si="161"/>
        <v>0</v>
      </c>
      <c r="BO125" s="465">
        <f t="shared" si="162"/>
        <v>0</v>
      </c>
      <c r="BP125" s="465">
        <f t="shared" si="217"/>
        <v>0.79070154693197903</v>
      </c>
    </row>
    <row r="126" spans="2:68" ht="16" customHeight="1">
      <c r="B126" s="769"/>
      <c r="C126" s="769"/>
      <c r="D126" s="292" t="s">
        <v>104</v>
      </c>
      <c r="E126" s="69">
        <v>944</v>
      </c>
      <c r="F126" s="69">
        <v>854</v>
      </c>
      <c r="G126" s="69">
        <v>1125</v>
      </c>
      <c r="H126" s="69">
        <v>968</v>
      </c>
      <c r="I126" s="69">
        <v>832</v>
      </c>
      <c r="J126" s="69">
        <v>837</v>
      </c>
      <c r="K126" s="69">
        <v>588</v>
      </c>
      <c r="L126" s="69">
        <v>914</v>
      </c>
      <c r="M126" s="69">
        <v>757</v>
      </c>
      <c r="N126" s="69">
        <v>894</v>
      </c>
      <c r="O126" s="69">
        <v>858</v>
      </c>
      <c r="P126" s="69">
        <v>1170</v>
      </c>
      <c r="Q126" s="69">
        <f t="shared" si="214"/>
        <v>10741</v>
      </c>
      <c r="S126" s="769"/>
      <c r="T126" s="769"/>
      <c r="U126" s="292" t="s">
        <v>104</v>
      </c>
      <c r="V126" s="69">
        <v>1211.7504332755632</v>
      </c>
      <c r="W126" s="69">
        <v>1135.527422150165</v>
      </c>
      <c r="X126" s="69">
        <v>1303.3140302864442</v>
      </c>
      <c r="Y126" s="69">
        <f>Y$120*'Region OP Sales Goals'!V109</f>
        <v>1272.3379549393414</v>
      </c>
      <c r="Z126" s="69">
        <f>Z$120*'Region OP Sales Goals'!W109</f>
        <v>1469.2474003466202</v>
      </c>
      <c r="AA126" s="69">
        <f>AA$120*'Region OP Sales Goals'!X109</f>
        <v>1226.8973136915079</v>
      </c>
      <c r="AB126" s="69">
        <f>AB$120*'Region OP Sales Goals'!Y109</f>
        <v>1206.6334610472541</v>
      </c>
      <c r="AC126" s="69">
        <f>AC$120*'Region OP Sales Goals'!Z109</f>
        <v>1315.3547254150703</v>
      </c>
      <c r="AD126" s="69">
        <f>AD$120*'Region OP Sales Goals'!AA109</f>
        <v>1440.6787008954361</v>
      </c>
      <c r="AE126" s="69">
        <f>AE$120*'Region OP Sales Goals'!AB109</f>
        <v>1478.0166469032199</v>
      </c>
      <c r="AF126" s="69">
        <f>AF$120*'Region OP Sales Goals'!AC109</f>
        <v>1171.1442416046877</v>
      </c>
      <c r="AG126" s="69">
        <f>AG$120*'Region OP Sales Goals'!AD109</f>
        <v>1349.8118880374627</v>
      </c>
      <c r="AH126" s="69">
        <f>AH$120*'Region OP Sales Goals'!AE109</f>
        <v>15659.148870185867</v>
      </c>
      <c r="AJ126" s="757"/>
      <c r="AK126" s="757"/>
      <c r="AL126" s="292" t="s">
        <v>104</v>
      </c>
      <c r="AM126" s="69">
        <v>1099</v>
      </c>
      <c r="AN126" s="69">
        <v>1144</v>
      </c>
      <c r="AO126" s="69">
        <v>1202</v>
      </c>
      <c r="AP126" s="69">
        <v>1019</v>
      </c>
      <c r="AQ126" s="156">
        <v>996</v>
      </c>
      <c r="AR126" s="156">
        <v>1173</v>
      </c>
      <c r="AS126" s="156">
        <v>1564</v>
      </c>
      <c r="AT126" s="156">
        <v>1409</v>
      </c>
      <c r="AU126" s="69"/>
      <c r="AV126" s="69"/>
      <c r="AW126" s="69"/>
      <c r="AX126" s="69"/>
      <c r="AY126" s="69">
        <f t="shared" si="215"/>
        <v>9606</v>
      </c>
      <c r="BA126" s="757"/>
      <c r="BB126" s="757"/>
      <c r="BC126" s="292" t="s">
        <v>104</v>
      </c>
      <c r="BD126" s="465">
        <f t="shared" si="218"/>
        <v>0.90695242998941628</v>
      </c>
      <c r="BE126" s="465">
        <f t="shared" si="201"/>
        <v>1.0074613590870327</v>
      </c>
      <c r="BF126" s="465">
        <f t="shared" si="153"/>
        <v>0.92226429860179038</v>
      </c>
      <c r="BG126" s="465">
        <f t="shared" si="154"/>
        <v>0.80088784276547087</v>
      </c>
      <c r="BH126" s="465">
        <f t="shared" si="155"/>
        <v>0.67789808562194964</v>
      </c>
      <c r="BI126" s="465">
        <f t="shared" si="156"/>
        <v>0.95607023253695067</v>
      </c>
      <c r="BJ126" s="465">
        <f t="shared" si="157"/>
        <v>1.296168265251473</v>
      </c>
      <c r="BK126" s="465">
        <f t="shared" si="158"/>
        <v>1.0711939317778929</v>
      </c>
      <c r="BL126" s="465">
        <f t="shared" si="159"/>
        <v>0</v>
      </c>
      <c r="BM126" s="465">
        <f t="shared" si="160"/>
        <v>0</v>
      </c>
      <c r="BN126" s="465">
        <f t="shared" si="161"/>
        <v>0</v>
      </c>
      <c r="BO126" s="465">
        <f t="shared" si="162"/>
        <v>0</v>
      </c>
      <c r="BP126" s="465">
        <f t="shared" si="217"/>
        <v>0.61344330267459679</v>
      </c>
    </row>
    <row r="127" spans="2:68" ht="16" customHeight="1">
      <c r="B127" s="769"/>
      <c r="C127" s="769"/>
      <c r="D127" s="292" t="s">
        <v>105</v>
      </c>
      <c r="E127" s="69">
        <v>556</v>
      </c>
      <c r="F127" s="69">
        <v>547</v>
      </c>
      <c r="G127" s="69">
        <v>734</v>
      </c>
      <c r="H127" s="69">
        <v>634</v>
      </c>
      <c r="I127" s="69">
        <v>519</v>
      </c>
      <c r="J127" s="69">
        <v>468</v>
      </c>
      <c r="K127" s="69">
        <v>407</v>
      </c>
      <c r="L127" s="69">
        <v>633</v>
      </c>
      <c r="M127" s="69">
        <v>530</v>
      </c>
      <c r="N127" s="69">
        <v>560</v>
      </c>
      <c r="O127" s="69">
        <v>559</v>
      </c>
      <c r="P127" s="69">
        <v>709</v>
      </c>
      <c r="Q127" s="69">
        <f t="shared" si="214"/>
        <v>6856</v>
      </c>
      <c r="S127" s="769"/>
      <c r="T127" s="769"/>
      <c r="U127" s="292" t="s">
        <v>105</v>
      </c>
      <c r="V127" s="69">
        <v>772.49090121317147</v>
      </c>
      <c r="W127" s="69">
        <v>643.00950410912947</v>
      </c>
      <c r="X127" s="69">
        <v>762.57735814632372</v>
      </c>
      <c r="Y127" s="69">
        <f>Y$120*'Region OP Sales Goals'!V110</f>
        <v>727.05025996533789</v>
      </c>
      <c r="Z127" s="69">
        <f>Z$120*'Region OP Sales Goals'!W110</f>
        <v>848.2253032928943</v>
      </c>
      <c r="AA127" s="69">
        <f>AA$120*'Region OP Sales Goals'!X110</f>
        <v>696.75649913344876</v>
      </c>
      <c r="AB127" s="69">
        <f>AB$120*'Region OP Sales Goals'!Y110</f>
        <v>682.01021711366536</v>
      </c>
      <c r="AC127" s="69">
        <f>AC$120*'Region OP Sales Goals'!Z110</f>
        <v>740.68518518518522</v>
      </c>
      <c r="AD127" s="69">
        <f>AD$120*'Region OP Sales Goals'!AA110</f>
        <v>831.73203350664357</v>
      </c>
      <c r="AE127" s="69">
        <f>AE$120*'Region OP Sales Goals'!AB110</f>
        <v>832.28121864453158</v>
      </c>
      <c r="AF127" s="69">
        <f>AF$120*'Region OP Sales Goals'!AC110</f>
        <v>661.9510930809106</v>
      </c>
      <c r="AG127" s="69">
        <f>AG$120*'Region OP Sales Goals'!AD110</f>
        <v>757.97129097488289</v>
      </c>
      <c r="AH127" s="69">
        <f>AH$120*'Region OP Sales Goals'!AE110</f>
        <v>8979.1818021917225</v>
      </c>
      <c r="AJ127" s="757"/>
      <c r="AK127" s="757"/>
      <c r="AL127" s="292" t="s">
        <v>105</v>
      </c>
      <c r="AM127" s="69">
        <v>674</v>
      </c>
      <c r="AN127" s="69">
        <v>614</v>
      </c>
      <c r="AO127" s="69">
        <v>622</v>
      </c>
      <c r="AP127" s="69">
        <v>627</v>
      </c>
      <c r="AQ127" s="69">
        <v>511</v>
      </c>
      <c r="AR127" s="69">
        <v>572</v>
      </c>
      <c r="AS127" s="69">
        <v>800</v>
      </c>
      <c r="AT127" s="69">
        <v>820</v>
      </c>
      <c r="AU127" s="69"/>
      <c r="AV127" s="69"/>
      <c r="AW127" s="69"/>
      <c r="AX127" s="69"/>
      <c r="AY127" s="69">
        <f t="shared" si="215"/>
        <v>5240</v>
      </c>
      <c r="BA127" s="757"/>
      <c r="BB127" s="757"/>
      <c r="BC127" s="292" t="s">
        <v>105</v>
      </c>
      <c r="BD127" s="465">
        <f t="shared" si="218"/>
        <v>0.8725021860341724</v>
      </c>
      <c r="BE127" s="465">
        <f t="shared" si="201"/>
        <v>0.95488479731054476</v>
      </c>
      <c r="BF127" s="465">
        <f t="shared" si="153"/>
        <v>0.81565495402585808</v>
      </c>
      <c r="BG127" s="465">
        <f t="shared" si="154"/>
        <v>0.86238879830658777</v>
      </c>
      <c r="BH127" s="465">
        <f t="shared" si="155"/>
        <v>0.60243428015675504</v>
      </c>
      <c r="BI127" s="465">
        <f t="shared" si="156"/>
        <v>0.82094677367400581</v>
      </c>
      <c r="BJ127" s="465">
        <f t="shared" si="157"/>
        <v>1.1730029549787084</v>
      </c>
      <c r="BK127" s="465">
        <f t="shared" si="158"/>
        <v>1.1070830312273421</v>
      </c>
      <c r="BL127" s="465">
        <f t="shared" si="159"/>
        <v>0</v>
      </c>
      <c r="BM127" s="465">
        <f t="shared" si="160"/>
        <v>0</v>
      </c>
      <c r="BN127" s="465">
        <f t="shared" si="161"/>
        <v>0</v>
      </c>
      <c r="BO127" s="465">
        <f t="shared" si="162"/>
        <v>0</v>
      </c>
      <c r="BP127" s="465">
        <f t="shared" si="217"/>
        <v>0.58357210216202238</v>
      </c>
    </row>
    <row r="128" spans="2:68">
      <c r="B128" s="769"/>
      <c r="C128" s="769"/>
      <c r="D128" s="182" t="s">
        <v>7</v>
      </c>
      <c r="E128" s="341">
        <f>SUM(E129:E135)</f>
        <v>53116</v>
      </c>
      <c r="F128" s="341">
        <f t="shared" ref="F128:Q128" si="219">SUM(F129:F135)</f>
        <v>54981</v>
      </c>
      <c r="G128" s="341">
        <f t="shared" si="219"/>
        <v>62526</v>
      </c>
      <c r="H128" s="341">
        <f t="shared" si="219"/>
        <v>62239</v>
      </c>
      <c r="I128" s="341">
        <f t="shared" si="219"/>
        <v>61439</v>
      </c>
      <c r="J128" s="341">
        <f t="shared" si="219"/>
        <v>70020</v>
      </c>
      <c r="K128" s="341">
        <f t="shared" si="219"/>
        <v>70428</v>
      </c>
      <c r="L128" s="341">
        <f t="shared" si="219"/>
        <v>78140</v>
      </c>
      <c r="M128" s="341">
        <f t="shared" si="219"/>
        <v>77720</v>
      </c>
      <c r="N128" s="341">
        <f t="shared" si="219"/>
        <v>85355</v>
      </c>
      <c r="O128" s="341">
        <f t="shared" si="219"/>
        <v>85946</v>
      </c>
      <c r="P128" s="341">
        <f t="shared" si="219"/>
        <v>97742</v>
      </c>
      <c r="Q128" s="341">
        <f t="shared" si="219"/>
        <v>859652</v>
      </c>
      <c r="S128" s="769"/>
      <c r="T128" s="769"/>
      <c r="U128" s="182" t="s">
        <v>7</v>
      </c>
      <c r="V128" s="341">
        <v>67143.232071713137</v>
      </c>
      <c r="W128" s="341">
        <v>64827.948207171314</v>
      </c>
      <c r="X128" s="341">
        <v>78310.916398713831</v>
      </c>
      <c r="Y128" s="341" cm="1">
        <f t="array" ref="Y128">INDEX('Shop Goals'!$G$68:$G$79, COLUMN()-COLUMN($V$3)+1)</f>
        <v>71773.799800796813</v>
      </c>
      <c r="Z128" s="341" cm="1">
        <f t="array" ref="Z128">INDEX('Shop Goals'!$G$68:$G$79, COLUMN()-COLUMN($V$3)+1)</f>
        <v>83350.219123505973</v>
      </c>
      <c r="AA128" s="341" cm="1">
        <f t="array" ref="AA128">INDEX('Shop Goals'!$G$68:$G$79, COLUMN()-COLUMN($V$3)+1)</f>
        <v>69458.515936254975</v>
      </c>
      <c r="AB128" s="341" cm="1">
        <f t="array" ref="AB128">INDEX('Shop Goals'!$G$68:$G$79, COLUMN()-COLUMN($V$3)+1)</f>
        <v>71961.382636655952</v>
      </c>
      <c r="AC128" s="341" cm="1">
        <f t="array" ref="AC128">INDEX('Shop Goals'!$G$68:$G$79, COLUMN()-COLUMN($V$3)+1)</f>
        <v>78310.916398713831</v>
      </c>
      <c r="AD128" s="341" cm="1">
        <f t="array" ref="AD128">INDEX('Shop Goals'!$G$68:$G$79, COLUMN()-COLUMN($V$3)+1)</f>
        <v>81729.520418326691</v>
      </c>
      <c r="AE128" s="341" cm="1">
        <f t="array" ref="AE128">INDEX('Shop Goals'!$G$68:$G$79, COLUMN()-COLUMN($V$3)+1)</f>
        <v>83350.219123505973</v>
      </c>
      <c r="AF128" s="341" cm="1">
        <f t="array" ref="AF128">INDEX('Shop Goals'!$G$68:$G$79, COLUMN()-COLUMN($V$3)+1)</f>
        <v>69844.871382636658</v>
      </c>
      <c r="AG128" s="341" cm="1">
        <f t="array" ref="AG128">INDEX('Shop Goals'!$G$68:$G$79, COLUMN()-COLUMN($V$3)+1)</f>
        <v>80427.427652733124</v>
      </c>
      <c r="AH128" s="342">
        <f>SUM(V128:AG128)</f>
        <v>900488.96915072831</v>
      </c>
      <c r="AJ128" s="757"/>
      <c r="AK128" s="757"/>
      <c r="AL128" s="182" t="s">
        <v>7</v>
      </c>
      <c r="AM128" s="341">
        <f>SUM(AM129:AM135)</f>
        <v>105716</v>
      </c>
      <c r="AN128" s="341">
        <f t="shared" ref="AN128:AS128" si="220">SUM(AN129:AN135)</f>
        <v>87390</v>
      </c>
      <c r="AO128" s="341">
        <f t="shared" si="220"/>
        <v>90166</v>
      </c>
      <c r="AP128" s="341">
        <f t="shared" si="220"/>
        <v>84483</v>
      </c>
      <c r="AQ128" s="341">
        <f t="shared" si="220"/>
        <v>85004</v>
      </c>
      <c r="AR128" s="341">
        <f t="shared" si="220"/>
        <v>78447</v>
      </c>
      <c r="AS128" s="341">
        <f t="shared" si="220"/>
        <v>73903</v>
      </c>
      <c r="AT128" s="341">
        <f t="shared" ref="AT128" si="221">SUM(AT129:AT135)</f>
        <v>57065</v>
      </c>
      <c r="AU128" s="341">
        <f t="shared" ref="AU128" si="222">SUM(AU129:AU135)</f>
        <v>0</v>
      </c>
      <c r="AV128" s="341">
        <f t="shared" ref="AV128" si="223">SUM(AV129:AV135)</f>
        <v>0</v>
      </c>
      <c r="AW128" s="341">
        <f t="shared" ref="AW128" si="224">SUM(AW129:AW135)</f>
        <v>0</v>
      </c>
      <c r="AX128" s="341">
        <f t="shared" ref="AX128" si="225">SUM(AX129:AX135)</f>
        <v>0</v>
      </c>
      <c r="AY128" s="341">
        <f t="shared" ref="AY128" si="226">SUM(AY129:AY135)</f>
        <v>662174</v>
      </c>
      <c r="BA128" s="757"/>
      <c r="BB128" s="757"/>
      <c r="BC128" s="182" t="s">
        <v>6</v>
      </c>
      <c r="BD128" s="464">
        <f>AM128/V128</f>
        <v>1.5744848250243413</v>
      </c>
      <c r="BE128" s="464">
        <f t="shared" si="201"/>
        <v>1.3480297065815952</v>
      </c>
      <c r="BF128" s="464">
        <f t="shared" si="153"/>
        <v>1.1513848151249686</v>
      </c>
      <c r="BG128" s="464">
        <f t="shared" si="154"/>
        <v>1.1770729741838482</v>
      </c>
      <c r="BH128" s="464">
        <f t="shared" si="155"/>
        <v>1.0198413500754389</v>
      </c>
      <c r="BI128" s="464">
        <f t="shared" si="156"/>
        <v>1.129407948652317</v>
      </c>
      <c r="BJ128" s="464">
        <f t="shared" si="157"/>
        <v>1.0269813793482481</v>
      </c>
      <c r="BK128" s="464">
        <f t="shared" si="158"/>
        <v>0.72869789582665678</v>
      </c>
      <c r="BL128" s="464">
        <f t="shared" si="159"/>
        <v>0</v>
      </c>
      <c r="BM128" s="464">
        <f t="shared" si="160"/>
        <v>0</v>
      </c>
      <c r="BN128" s="464">
        <f t="shared" si="161"/>
        <v>0</v>
      </c>
      <c r="BO128" s="464">
        <f t="shared" si="162"/>
        <v>0</v>
      </c>
      <c r="BP128" s="464">
        <f t="shared" si="217"/>
        <v>0.73534937426775082</v>
      </c>
    </row>
    <row r="129" spans="2:68" ht="16" customHeight="1">
      <c r="B129" s="769"/>
      <c r="C129" s="769"/>
      <c r="D129" s="292" t="s">
        <v>99</v>
      </c>
      <c r="E129" s="69">
        <v>6765</v>
      </c>
      <c r="F129" s="69">
        <v>6583</v>
      </c>
      <c r="G129" s="69">
        <v>8049</v>
      </c>
      <c r="H129" s="69">
        <v>7797</v>
      </c>
      <c r="I129" s="69">
        <v>7449</v>
      </c>
      <c r="J129" s="69">
        <v>8546</v>
      </c>
      <c r="K129" s="69">
        <v>9160</v>
      </c>
      <c r="L129" s="69">
        <v>10468</v>
      </c>
      <c r="M129" s="69">
        <v>10430</v>
      </c>
      <c r="N129" s="69">
        <v>10707</v>
      </c>
      <c r="O129" s="69">
        <v>11360</v>
      </c>
      <c r="P129" s="69">
        <v>12232</v>
      </c>
      <c r="Q129" s="69">
        <f>SUM(E129:P129)</f>
        <v>109546</v>
      </c>
      <c r="S129" s="769"/>
      <c r="T129" s="769"/>
      <c r="U129" s="292" t="s">
        <v>99</v>
      </c>
      <c r="V129" s="69">
        <v>9029.6070717131461</v>
      </c>
      <c r="W129" s="69">
        <v>8155.7741292892933</v>
      </c>
      <c r="X129" s="69">
        <v>10068.546394120349</v>
      </c>
      <c r="Y129" s="69">
        <f>Y$128*'Region OP Sales Goals'!V104</f>
        <v>9261.1354581673313</v>
      </c>
      <c r="Z129" s="69">
        <f>Z$128*'Region OP Sales Goals'!W104</f>
        <v>10650.305776892428</v>
      </c>
      <c r="AA129" s="69">
        <f>AA$128*'Region OP Sales Goals'!X104</f>
        <v>9029.6070717131479</v>
      </c>
      <c r="AB129" s="69">
        <f>AB$128*'Region OP Sales Goals'!Y104</f>
        <v>9312.6495176848894</v>
      </c>
      <c r="AC129" s="69">
        <f>AC$128*'Region OP Sales Goals'!Z104</f>
        <v>10097.986588255206</v>
      </c>
      <c r="AD129" s="69">
        <f>AD$128*'Region OP Sales Goals'!AA104</f>
        <v>10443.216497897298</v>
      </c>
      <c r="AE129" s="69">
        <f>AE$128*'Region OP Sales Goals'!AB104</f>
        <v>10747.791413294191</v>
      </c>
      <c r="AF129" s="69">
        <f>AF$128*'Region OP Sales Goals'!AC104</f>
        <v>9038.7480612823911</v>
      </c>
      <c r="AG129" s="69">
        <f>AG$128*'Region OP Sales Goals'!AD104</f>
        <v>10388.542738478029</v>
      </c>
      <c r="AH129" s="69">
        <f>AH$128*'Region OP Sales Goals'!AE104</f>
        <v>118037.64238985692</v>
      </c>
      <c r="AJ129" s="757"/>
      <c r="AK129" s="757"/>
      <c r="AL129" s="292" t="s">
        <v>99</v>
      </c>
      <c r="AM129" s="69">
        <v>12527</v>
      </c>
      <c r="AN129" s="69">
        <v>9053</v>
      </c>
      <c r="AO129" s="69">
        <v>10240</v>
      </c>
      <c r="AP129" s="69">
        <v>10726</v>
      </c>
      <c r="AQ129" s="69">
        <v>11037</v>
      </c>
      <c r="AR129" s="69">
        <v>10388</v>
      </c>
      <c r="AS129" s="69">
        <v>11428</v>
      </c>
      <c r="AT129" s="69">
        <v>8291</v>
      </c>
      <c r="AU129" s="69"/>
      <c r="AV129" s="69"/>
      <c r="AW129" s="69"/>
      <c r="AX129" s="69"/>
      <c r="AY129" s="69">
        <f>SUM(AM129:AX129)</f>
        <v>83690</v>
      </c>
      <c r="BA129" s="757"/>
      <c r="BB129" s="757"/>
      <c r="BC129" s="292" t="s">
        <v>99</v>
      </c>
      <c r="BD129" s="465">
        <f>AM129/V129</f>
        <v>1.3873250408916531</v>
      </c>
      <c r="BE129" s="465">
        <f t="shared" si="201"/>
        <v>1.1100111229771015</v>
      </c>
      <c r="BF129" s="465">
        <f t="shared" si="153"/>
        <v>1.017028635432397</v>
      </c>
      <c r="BG129" s="465">
        <f t="shared" si="154"/>
        <v>1.1581733199400313</v>
      </c>
      <c r="BH129" s="465">
        <f t="shared" si="155"/>
        <v>1.0363082742606853</v>
      </c>
      <c r="BI129" s="465">
        <f t="shared" si="156"/>
        <v>1.1504376566442476</v>
      </c>
      <c r="BJ129" s="465">
        <f t="shared" si="157"/>
        <v>1.2271480826480179</v>
      </c>
      <c r="BK129" s="465">
        <f t="shared" si="158"/>
        <v>0.82105476448573611</v>
      </c>
      <c r="BL129" s="465">
        <f t="shared" si="159"/>
        <v>0</v>
      </c>
      <c r="BM129" s="465">
        <f t="shared" si="160"/>
        <v>0</v>
      </c>
      <c r="BN129" s="465">
        <f t="shared" si="161"/>
        <v>0</v>
      </c>
      <c r="BO129" s="465">
        <f t="shared" si="162"/>
        <v>0</v>
      </c>
      <c r="BP129" s="465">
        <f>AY129/AH129</f>
        <v>0.70901111124862282</v>
      </c>
    </row>
    <row r="130" spans="2:68" ht="16" customHeight="1">
      <c r="B130" s="769"/>
      <c r="C130" s="769"/>
      <c r="D130" s="292" t="s">
        <v>100</v>
      </c>
      <c r="E130" s="69">
        <v>9799</v>
      </c>
      <c r="F130" s="69">
        <v>10133</v>
      </c>
      <c r="G130" s="69">
        <v>9147</v>
      </c>
      <c r="H130" s="69">
        <v>8784</v>
      </c>
      <c r="I130" s="69">
        <v>6852</v>
      </c>
      <c r="J130" s="69">
        <v>6088</v>
      </c>
      <c r="K130" s="69">
        <v>6998</v>
      </c>
      <c r="L130" s="69">
        <v>8474</v>
      </c>
      <c r="M130" s="69">
        <v>9205</v>
      </c>
      <c r="N130" s="69">
        <v>9498</v>
      </c>
      <c r="O130" s="69">
        <v>10779</v>
      </c>
      <c r="P130" s="69">
        <v>10153</v>
      </c>
      <c r="Q130" s="69">
        <f t="shared" ref="Q130:Q135" si="227">SUM(E130:P130)</f>
        <v>105910</v>
      </c>
      <c r="S130" s="769"/>
      <c r="T130" s="769"/>
      <c r="U130" s="292" t="s">
        <v>100</v>
      </c>
      <c r="V130" s="69">
        <v>7408.908366533863</v>
      </c>
      <c r="W130" s="69">
        <v>8574.0189564323355</v>
      </c>
      <c r="X130" s="69">
        <v>10516.037344970144</v>
      </c>
      <c r="Y130" s="69">
        <f>Y$128*'Region OP Sales Goals'!V105</f>
        <v>9261.1354581673313</v>
      </c>
      <c r="Z130" s="69">
        <f>Z$128*'Region OP Sales Goals'!W105</f>
        <v>10881.834163346613</v>
      </c>
      <c r="AA130" s="69">
        <f>AA$128*'Region OP Sales Goals'!X105</f>
        <v>9029.6070717131479</v>
      </c>
      <c r="AB130" s="69">
        <f>AB$128*'Region OP Sales Goals'!Y105</f>
        <v>9312.6495176848894</v>
      </c>
      <c r="AC130" s="69">
        <f>AC$128*'Region OP Sales Goals'!Z105</f>
        <v>10097.986588255206</v>
      </c>
      <c r="AD130" s="69">
        <f>AD$128*'Region OP Sales Goals'!AA105</f>
        <v>10670.242943503763</v>
      </c>
      <c r="AE130" s="69">
        <f>AE$128*'Region OP Sales Goals'!AB105</f>
        <v>10747.791413294191</v>
      </c>
      <c r="AF130" s="69">
        <f>AF$128*'Region OP Sales Goals'!AC105</f>
        <v>9038.7480612823911</v>
      </c>
      <c r="AG130" s="69">
        <f>AG$128*'Region OP Sales Goals'!AD105</f>
        <v>10388.542738478029</v>
      </c>
      <c r="AH130" s="69">
        <f>AH$128*'Region OP Sales Goals'!AE105</f>
        <v>110593.8271040101</v>
      </c>
      <c r="AJ130" s="757"/>
      <c r="AK130" s="757"/>
      <c r="AL130" s="292" t="s">
        <v>100</v>
      </c>
      <c r="AM130" s="69">
        <v>10938</v>
      </c>
      <c r="AN130" s="69">
        <v>7193</v>
      </c>
      <c r="AO130" s="69">
        <v>8275</v>
      </c>
      <c r="AP130" s="69">
        <v>9211</v>
      </c>
      <c r="AQ130" s="69">
        <v>10461</v>
      </c>
      <c r="AR130" s="69">
        <v>8544</v>
      </c>
      <c r="AS130" s="69">
        <v>8501</v>
      </c>
      <c r="AT130" s="69">
        <v>6526</v>
      </c>
      <c r="AU130" s="69"/>
      <c r="AV130" s="69"/>
      <c r="AW130" s="69"/>
      <c r="AX130" s="69"/>
      <c r="AY130" s="69">
        <f t="shared" ref="AY130:AY135" si="228">SUM(AM130:AX130)</f>
        <v>69649</v>
      </c>
      <c r="BA130" s="757"/>
      <c r="BB130" s="757"/>
      <c r="BC130" s="292" t="s">
        <v>100</v>
      </c>
      <c r="BD130" s="465">
        <f t="shared" ref="BD130:BD131" si="229">AM130/V130</f>
        <v>1.4763308518441247</v>
      </c>
      <c r="BE130" s="465">
        <f t="shared" si="201"/>
        <v>0.83892979903009457</v>
      </c>
      <c r="BF130" s="465">
        <f t="shared" si="153"/>
        <v>0.78689336377813079</v>
      </c>
      <c r="BG130" s="465">
        <f t="shared" si="154"/>
        <v>0.99458646745922319</v>
      </c>
      <c r="BH130" s="465">
        <f t="shared" si="155"/>
        <v>0.96132690895399664</v>
      </c>
      <c r="BI130" s="465">
        <f t="shared" si="156"/>
        <v>0.94622057550716698</v>
      </c>
      <c r="BJ130" s="465">
        <f t="shared" si="157"/>
        <v>0.91284440414690227</v>
      </c>
      <c r="BK130" s="465">
        <f t="shared" si="158"/>
        <v>0.64626744578867612</v>
      </c>
      <c r="BL130" s="465">
        <f t="shared" si="159"/>
        <v>0</v>
      </c>
      <c r="BM130" s="465">
        <f t="shared" si="160"/>
        <v>0</v>
      </c>
      <c r="BN130" s="465">
        <f t="shared" si="161"/>
        <v>0</v>
      </c>
      <c r="BO130" s="465">
        <f t="shared" si="162"/>
        <v>0</v>
      </c>
      <c r="BP130" s="465">
        <f t="shared" ref="BP130:BP135" si="230">AY130/AH130</f>
        <v>0.62977294324480926</v>
      </c>
    </row>
    <row r="131" spans="2:68" ht="16" customHeight="1">
      <c r="B131" s="769"/>
      <c r="C131" s="769"/>
      <c r="D131" s="292" t="s">
        <v>101</v>
      </c>
      <c r="E131" s="69">
        <v>6144</v>
      </c>
      <c r="F131" s="69">
        <v>6715</v>
      </c>
      <c r="G131" s="69">
        <v>8113</v>
      </c>
      <c r="H131" s="69">
        <v>8929</v>
      </c>
      <c r="I131" s="69">
        <v>8448</v>
      </c>
      <c r="J131" s="69">
        <v>8162</v>
      </c>
      <c r="K131" s="69">
        <v>6600</v>
      </c>
      <c r="L131" s="69">
        <v>6605</v>
      </c>
      <c r="M131" s="69">
        <v>7268</v>
      </c>
      <c r="N131" s="69">
        <v>9199</v>
      </c>
      <c r="O131" s="69">
        <v>9818</v>
      </c>
      <c r="P131" s="69">
        <v>13087</v>
      </c>
      <c r="Q131" s="69">
        <f t="shared" si="227"/>
        <v>99088</v>
      </c>
      <c r="S131" s="769"/>
      <c r="T131" s="769"/>
      <c r="U131" s="292" t="s">
        <v>101</v>
      </c>
      <c r="V131" s="69">
        <v>6251.2664342629478</v>
      </c>
      <c r="W131" s="69">
        <v>5646.3051664310497</v>
      </c>
      <c r="X131" s="69">
        <v>6712.3642627468998</v>
      </c>
      <c r="Y131" s="69">
        <f>Y$128*'Region OP Sales Goals'!V106</f>
        <v>6019.7380478087653</v>
      </c>
      <c r="Z131" s="69">
        <f>Z$128*'Region OP Sales Goals'!W106</f>
        <v>7177.3799800796805</v>
      </c>
      <c r="AA131" s="69">
        <f>AA$128*'Region OP Sales Goals'!X106</f>
        <v>5788.2096613545809</v>
      </c>
      <c r="AB131" s="69">
        <f>AB$128*'Region OP Sales Goals'!Y106</f>
        <v>6137.8826366559488</v>
      </c>
      <c r="AC131" s="69">
        <f>AC$128*'Region OP Sales Goals'!Z106</f>
        <v>6594.6034862074803</v>
      </c>
      <c r="AD131" s="69">
        <f>AD$128*'Region OP Sales Goals'!AA106</f>
        <v>7037.8198138003536</v>
      </c>
      <c r="AE131" s="69">
        <f>AE$128*'Region OP Sales Goals'!AB106</f>
        <v>7018.9658209268182</v>
      </c>
      <c r="AF131" s="69">
        <f>AF$128*'Region OP Sales Goals'!AC106</f>
        <v>5957.3566767543034</v>
      </c>
      <c r="AG131" s="69">
        <f>AG$128*'Region OP Sales Goals'!AD106</f>
        <v>6869.8427786709544</v>
      </c>
      <c r="AH131" s="69">
        <f>AH$128*'Region OP Sales Goals'!AE106</f>
        <v>73374.750674775933</v>
      </c>
      <c r="AJ131" s="757"/>
      <c r="AK131" s="757"/>
      <c r="AL131" s="292" t="s">
        <v>101</v>
      </c>
      <c r="AM131" s="69">
        <v>15213</v>
      </c>
      <c r="AN131" s="69">
        <v>8506</v>
      </c>
      <c r="AO131" s="69">
        <v>7691</v>
      </c>
      <c r="AP131" s="69">
        <v>5787</v>
      </c>
      <c r="AQ131" s="69">
        <v>5537</v>
      </c>
      <c r="AR131" s="69">
        <v>5527</v>
      </c>
      <c r="AS131" s="69">
        <v>5887</v>
      </c>
      <c r="AT131" s="69">
        <v>4679</v>
      </c>
      <c r="AU131" s="69"/>
      <c r="AV131" s="69"/>
      <c r="AW131" s="69"/>
      <c r="AX131" s="69"/>
      <c r="AY131" s="69">
        <f t="shared" si="228"/>
        <v>58827</v>
      </c>
      <c r="BA131" s="757"/>
      <c r="BB131" s="757"/>
      <c r="BC131" s="292" t="s">
        <v>101</v>
      </c>
      <c r="BD131" s="465">
        <f t="shared" si="229"/>
        <v>2.4335868835502099</v>
      </c>
      <c r="BE131" s="465">
        <f t="shared" si="201"/>
        <v>1.506471887238876</v>
      </c>
      <c r="BF131" s="465">
        <f t="shared" si="153"/>
        <v>1.1457959817056491</v>
      </c>
      <c r="BG131" s="465">
        <f t="shared" si="154"/>
        <v>0.96133751237008003</v>
      </c>
      <c r="BH131" s="465">
        <f t="shared" si="155"/>
        <v>0.77145142313317094</v>
      </c>
      <c r="BI131" s="465">
        <f t="shared" si="156"/>
        <v>0.95487211475794198</v>
      </c>
      <c r="BJ131" s="465">
        <f t="shared" si="157"/>
        <v>0.95912554027057206</v>
      </c>
      <c r="BK131" s="465">
        <f t="shared" si="158"/>
        <v>0.7095195351450716</v>
      </c>
      <c r="BL131" s="465">
        <f t="shared" si="159"/>
        <v>0</v>
      </c>
      <c r="BM131" s="465">
        <f t="shared" si="160"/>
        <v>0</v>
      </c>
      <c r="BN131" s="465">
        <f t="shared" si="161"/>
        <v>0</v>
      </c>
      <c r="BO131" s="465">
        <f t="shared" si="162"/>
        <v>0</v>
      </c>
      <c r="BP131" s="465">
        <f t="shared" si="230"/>
        <v>0.80173355901055188</v>
      </c>
    </row>
    <row r="132" spans="2:68" ht="16" customHeight="1">
      <c r="B132" s="769"/>
      <c r="C132" s="769"/>
      <c r="D132" s="292" t="s">
        <v>102</v>
      </c>
      <c r="E132" s="69">
        <v>3873</v>
      </c>
      <c r="F132" s="69">
        <v>3011</v>
      </c>
      <c r="G132" s="69">
        <v>3357</v>
      </c>
      <c r="H132" s="69">
        <v>3752</v>
      </c>
      <c r="I132" s="69">
        <v>4233</v>
      </c>
      <c r="J132" s="69">
        <v>4502</v>
      </c>
      <c r="K132" s="69">
        <v>4479</v>
      </c>
      <c r="L132" s="69">
        <v>5182</v>
      </c>
      <c r="M132" s="69">
        <v>5301</v>
      </c>
      <c r="N132" s="69">
        <v>5222</v>
      </c>
      <c r="O132" s="69">
        <v>5527</v>
      </c>
      <c r="P132" s="69">
        <v>5241</v>
      </c>
      <c r="Q132" s="69">
        <f t="shared" si="227"/>
        <v>53680</v>
      </c>
      <c r="S132" s="769"/>
      <c r="T132" s="769"/>
      <c r="U132" s="292" t="s">
        <v>102</v>
      </c>
      <c r="V132" s="69">
        <v>4167.5109561752979</v>
      </c>
      <c r="W132" s="69">
        <v>4600.693098573448</v>
      </c>
      <c r="X132" s="69">
        <v>5593.6368856224162</v>
      </c>
      <c r="Y132" s="69">
        <f>Y$128*'Region OP Sales Goals'!V107</f>
        <v>5093.6245019920316</v>
      </c>
      <c r="Z132" s="69">
        <f>Z$128*'Region OP Sales Goals'!W107</f>
        <v>5788.2096613545818</v>
      </c>
      <c r="AA132" s="69">
        <f>AA$128*'Region OP Sales Goals'!X107</f>
        <v>4862.0961155378491</v>
      </c>
      <c r="AB132" s="69">
        <f>AB$128*'Region OP Sales Goals'!Y107</f>
        <v>5079.6270096463022</v>
      </c>
      <c r="AC132" s="69">
        <f>AC$128*'Region OP Sales Goals'!Z107</f>
        <v>5564.196691487562</v>
      </c>
      <c r="AD132" s="69">
        <f>AD$128*'Region OP Sales Goals'!AA107</f>
        <v>5675.6611401615755</v>
      </c>
      <c r="AE132" s="69">
        <f>AE$128*'Region OP Sales Goals'!AB107</f>
        <v>5922.2524114070029</v>
      </c>
      <c r="AF132" s="69">
        <f>AF$128*'Region OP Sales Goals'!AC107</f>
        <v>4930.2262152449402</v>
      </c>
      <c r="AG132" s="69">
        <f>AG$128*'Region OP Sales Goals'!AD107</f>
        <v>5696.9427920685957</v>
      </c>
      <c r="AH132" s="69">
        <f>AH$128*'Region OP Sales Goals'!AE107</f>
        <v>67419.698446098468</v>
      </c>
      <c r="AJ132" s="757"/>
      <c r="AK132" s="757"/>
      <c r="AL132" s="292" t="s">
        <v>102</v>
      </c>
      <c r="AM132" s="69">
        <v>5934</v>
      </c>
      <c r="AN132" s="69">
        <v>5213</v>
      </c>
      <c r="AO132" s="69">
        <v>4319</v>
      </c>
      <c r="AP132" s="69">
        <v>5095</v>
      </c>
      <c r="AQ132" s="69">
        <v>5423</v>
      </c>
      <c r="AR132" s="69">
        <v>5950</v>
      </c>
      <c r="AS132" s="69">
        <v>5847</v>
      </c>
      <c r="AT132" s="69">
        <v>3991</v>
      </c>
      <c r="AU132" s="69"/>
      <c r="AV132" s="69"/>
      <c r="AW132" s="69"/>
      <c r="AX132" s="69"/>
      <c r="AY132" s="69">
        <f t="shared" si="228"/>
        <v>41772</v>
      </c>
      <c r="BA132" s="757"/>
      <c r="BB132" s="757"/>
      <c r="BC132" s="292" t="s">
        <v>102</v>
      </c>
      <c r="BD132" s="465">
        <f>AM132/V132</f>
        <v>1.4238714816591351</v>
      </c>
      <c r="BE132" s="465">
        <f t="shared" si="201"/>
        <v>1.1330901427909661</v>
      </c>
      <c r="BF132" s="465">
        <f t="shared" si="153"/>
        <v>0.7721273454666544</v>
      </c>
      <c r="BG132" s="465">
        <f t="shared" si="154"/>
        <v>1.0002700430719678</v>
      </c>
      <c r="BH132" s="465">
        <f t="shared" si="155"/>
        <v>0.93690455551516527</v>
      </c>
      <c r="BI132" s="465">
        <f t="shared" si="156"/>
        <v>1.2237520317596202</v>
      </c>
      <c r="BJ132" s="465">
        <f t="shared" si="157"/>
        <v>1.1510687672335869</v>
      </c>
      <c r="BK132" s="465">
        <f t="shared" si="158"/>
        <v>0.7172643638039734</v>
      </c>
      <c r="BL132" s="465">
        <f t="shared" si="159"/>
        <v>0</v>
      </c>
      <c r="BM132" s="465">
        <f t="shared" si="160"/>
        <v>0</v>
      </c>
      <c r="BN132" s="465">
        <f t="shared" si="161"/>
        <v>0</v>
      </c>
      <c r="BO132" s="465">
        <f t="shared" si="162"/>
        <v>0</v>
      </c>
      <c r="BP132" s="465">
        <f t="shared" si="230"/>
        <v>0.61958153125523685</v>
      </c>
    </row>
    <row r="133" spans="2:68" ht="16" customHeight="1">
      <c r="B133" s="769"/>
      <c r="C133" s="769"/>
      <c r="D133" s="292" t="s">
        <v>103</v>
      </c>
      <c r="E133" s="69">
        <v>6324</v>
      </c>
      <c r="F133" s="69">
        <v>7318</v>
      </c>
      <c r="G133" s="69">
        <v>7744</v>
      </c>
      <c r="H133" s="69">
        <v>9429</v>
      </c>
      <c r="I133" s="69">
        <v>10837</v>
      </c>
      <c r="J133" s="69">
        <v>15241</v>
      </c>
      <c r="K133" s="69">
        <v>15235</v>
      </c>
      <c r="L133" s="69">
        <v>14917</v>
      </c>
      <c r="M133" s="69">
        <v>12482</v>
      </c>
      <c r="N133" s="69">
        <v>13132</v>
      </c>
      <c r="O133" s="69">
        <v>13701</v>
      </c>
      <c r="P133" s="69">
        <v>13914</v>
      </c>
      <c r="Q133" s="69">
        <f t="shared" si="227"/>
        <v>140274</v>
      </c>
      <c r="S133" s="769"/>
      <c r="T133" s="769"/>
      <c r="U133" s="292" t="s">
        <v>103</v>
      </c>
      <c r="V133" s="69">
        <v>9955.7206175298779</v>
      </c>
      <c r="W133" s="69">
        <v>10665.243092147539</v>
      </c>
      <c r="X133" s="69">
        <v>12082.255672944419</v>
      </c>
      <c r="Y133" s="69">
        <f>Y$128*'Region OP Sales Goals'!V108</f>
        <v>11576.419322709164</v>
      </c>
      <c r="Z133" s="69">
        <f>Z$128*'Region OP Sales Goals'!W108</f>
        <v>13428.646414342629</v>
      </c>
      <c r="AA133" s="69">
        <f>AA$128*'Region OP Sales Goals'!X108</f>
        <v>11344.890936254978</v>
      </c>
      <c r="AB133" s="69">
        <f>AB$128*'Region OP Sales Goals'!Y108</f>
        <v>11640.81189710611</v>
      </c>
      <c r="AC133" s="69">
        <f>AC$128*'Region OP Sales Goals'!Z108</f>
        <v>12777.044254526994</v>
      </c>
      <c r="AD133" s="69">
        <f>AD$128*'Region OP Sales Goals'!AA108</f>
        <v>13167.533845174856</v>
      </c>
      <c r="AE133" s="69">
        <f>AE$128*'Region OP Sales Goals'!AB108</f>
        <v>13599.246278045712</v>
      </c>
      <c r="AF133" s="69">
        <f>AF$128*'Region OP Sales Goals'!AC108</f>
        <v>11298.435076602989</v>
      </c>
      <c r="AG133" s="69">
        <f>AG$128*'Region OP Sales Goals'!AD108</f>
        <v>13069.456993569132</v>
      </c>
      <c r="AH133" s="69">
        <f>AH$128*'Region OP Sales Goals'!AE108</f>
        <v>144622.69698216705</v>
      </c>
      <c r="AJ133" s="757"/>
      <c r="AK133" s="757"/>
      <c r="AL133" s="292" t="s">
        <v>103</v>
      </c>
      <c r="AM133" s="69">
        <v>16837</v>
      </c>
      <c r="AN133" s="69">
        <v>16588</v>
      </c>
      <c r="AO133" s="69">
        <v>22474</v>
      </c>
      <c r="AP133" s="69">
        <v>18122</v>
      </c>
      <c r="AQ133" s="69">
        <v>18666</v>
      </c>
      <c r="AR133" s="69">
        <v>16360</v>
      </c>
      <c r="AS133" s="69">
        <v>13578</v>
      </c>
      <c r="AT133" s="69">
        <v>9449</v>
      </c>
      <c r="AU133" s="69"/>
      <c r="AV133" s="69"/>
      <c r="AW133" s="69"/>
      <c r="AX133" s="69"/>
      <c r="AY133" s="69">
        <f t="shared" si="228"/>
        <v>132074</v>
      </c>
      <c r="BA133" s="757"/>
      <c r="BB133" s="757"/>
      <c r="BC133" s="292" t="s">
        <v>103</v>
      </c>
      <c r="BD133" s="465">
        <f t="shared" ref="BD133:BD135" si="231">AM133/V133</f>
        <v>1.6911884781452859</v>
      </c>
      <c r="BE133" s="465">
        <f t="shared" si="201"/>
        <v>1.5553325748583442</v>
      </c>
      <c r="BF133" s="465">
        <f t="shared" si="153"/>
        <v>1.8600831341721753</v>
      </c>
      <c r="BG133" s="465">
        <f t="shared" si="154"/>
        <v>1.5654235990269063</v>
      </c>
      <c r="BH133" s="465">
        <f t="shared" si="155"/>
        <v>1.3900135146952377</v>
      </c>
      <c r="BI133" s="465">
        <f t="shared" si="156"/>
        <v>1.442058816777003</v>
      </c>
      <c r="BJ133" s="465">
        <f t="shared" si="157"/>
        <v>1.1664134873080005</v>
      </c>
      <c r="BK133" s="465">
        <f t="shared" si="158"/>
        <v>0.73952941007088979</v>
      </c>
      <c r="BL133" s="465">
        <f t="shared" si="159"/>
        <v>0</v>
      </c>
      <c r="BM133" s="465">
        <f t="shared" si="160"/>
        <v>0</v>
      </c>
      <c r="BN133" s="465">
        <f t="shared" si="161"/>
        <v>0</v>
      </c>
      <c r="BO133" s="465">
        <f t="shared" si="162"/>
        <v>0</v>
      </c>
      <c r="BP133" s="465">
        <f t="shared" si="230"/>
        <v>0.91323148272007137</v>
      </c>
    </row>
    <row r="134" spans="2:68" ht="16" customHeight="1">
      <c r="B134" s="769"/>
      <c r="C134" s="769"/>
      <c r="D134" s="292" t="s">
        <v>104</v>
      </c>
      <c r="E134" s="69">
        <v>13272</v>
      </c>
      <c r="F134" s="69">
        <v>12947</v>
      </c>
      <c r="G134" s="69">
        <v>16879</v>
      </c>
      <c r="H134" s="69">
        <v>15448</v>
      </c>
      <c r="I134" s="69">
        <v>15236</v>
      </c>
      <c r="J134" s="69">
        <v>19595</v>
      </c>
      <c r="K134" s="69">
        <v>21349</v>
      </c>
      <c r="L134" s="69">
        <v>23811</v>
      </c>
      <c r="M134" s="69">
        <v>24511</v>
      </c>
      <c r="N134" s="69">
        <v>26898</v>
      </c>
      <c r="O134" s="69">
        <v>24890</v>
      </c>
      <c r="P134" s="69">
        <v>29333</v>
      </c>
      <c r="Q134" s="69">
        <f t="shared" si="227"/>
        <v>244169</v>
      </c>
      <c r="S134" s="769"/>
      <c r="T134" s="769"/>
      <c r="U134" s="292" t="s">
        <v>104</v>
      </c>
      <c r="V134" s="69">
        <v>18522.270916334659</v>
      </c>
      <c r="W134" s="69">
        <v>17357.160326436191</v>
      </c>
      <c r="X134" s="69">
        <v>21032.074689940287</v>
      </c>
      <c r="Y134" s="69">
        <f>Y$128*'Region OP Sales Goals'!V109</f>
        <v>19448.384462151396</v>
      </c>
      <c r="Z134" s="69">
        <f>Z$128*'Region OP Sales Goals'!W109</f>
        <v>22458.253486055775</v>
      </c>
      <c r="AA134" s="69">
        <f>AA$128*'Region OP Sales Goals'!X109</f>
        <v>18753.799302788844</v>
      </c>
      <c r="AB134" s="69">
        <f>AB$128*'Region OP Sales Goals'!Y109</f>
        <v>19471.90353697749</v>
      </c>
      <c r="AC134" s="69">
        <f>AC$128*'Region OP Sales Goals'!Z109</f>
        <v>21226.37997123033</v>
      </c>
      <c r="AD134" s="69">
        <f>AD$128*'Region OP Sales Goals'!AA109</f>
        <v>22021.565223826914</v>
      </c>
      <c r="AE134" s="69">
        <f>AE$128*'Region OP Sales Goals'!AB109</f>
        <v>22592.296236108199</v>
      </c>
      <c r="AF134" s="69">
        <f>AF$128*'Region OP Sales Goals'!AC109</f>
        <v>18899.20049177227</v>
      </c>
      <c r="AG134" s="69">
        <f>AG$128*'Region OP Sales Goals'!AD109</f>
        <v>21782.428322615218</v>
      </c>
      <c r="AH134" s="69">
        <f>AH$128*'Region OP Sales Goals'!AE109</f>
        <v>244795.18268599155</v>
      </c>
      <c r="AJ134" s="757"/>
      <c r="AK134" s="757"/>
      <c r="AL134" s="292" t="s">
        <v>104</v>
      </c>
      <c r="AM134" s="69">
        <v>33136</v>
      </c>
      <c r="AN134" s="69">
        <v>29540</v>
      </c>
      <c r="AO134" s="69">
        <v>25373</v>
      </c>
      <c r="AP134" s="69">
        <v>22653</v>
      </c>
      <c r="AQ134" s="156">
        <v>20462</v>
      </c>
      <c r="AR134" s="156">
        <v>20842</v>
      </c>
      <c r="AS134" s="156">
        <v>17338</v>
      </c>
      <c r="AT134" s="156">
        <v>16496</v>
      </c>
      <c r="AU134" s="69"/>
      <c r="AV134" s="69"/>
      <c r="AW134" s="69"/>
      <c r="AX134" s="69"/>
      <c r="AY134" s="69">
        <f t="shared" si="228"/>
        <v>185840</v>
      </c>
      <c r="BA134" s="757"/>
      <c r="BB134" s="757"/>
      <c r="BC134" s="292" t="s">
        <v>104</v>
      </c>
      <c r="BD134" s="465">
        <f t="shared" si="231"/>
        <v>1.7889814996052993</v>
      </c>
      <c r="BE134" s="465">
        <f t="shared" si="201"/>
        <v>1.7018912912274295</v>
      </c>
      <c r="BF134" s="465">
        <f t="shared" si="153"/>
        <v>1.2063954875614811</v>
      </c>
      <c r="BG134" s="465">
        <f t="shared" si="154"/>
        <v>1.1647754107332218</v>
      </c>
      <c r="BH134" s="465">
        <f t="shared" si="155"/>
        <v>0.91111270129285704</v>
      </c>
      <c r="BI134" s="465">
        <f t="shared" si="156"/>
        <v>1.111348141435033</v>
      </c>
      <c r="BJ134" s="465">
        <f t="shared" si="157"/>
        <v>0.89041114891899653</v>
      </c>
      <c r="BK134" s="465">
        <f t="shared" si="158"/>
        <v>0.77714617482388604</v>
      </c>
      <c r="BL134" s="465">
        <f t="shared" si="159"/>
        <v>0</v>
      </c>
      <c r="BM134" s="465">
        <f t="shared" si="160"/>
        <v>0</v>
      </c>
      <c r="BN134" s="465">
        <f t="shared" si="161"/>
        <v>0</v>
      </c>
      <c r="BO134" s="465">
        <f t="shared" si="162"/>
        <v>0</v>
      </c>
      <c r="BP134" s="465">
        <f t="shared" si="230"/>
        <v>0.75916526608444057</v>
      </c>
    </row>
    <row r="135" spans="2:68" ht="16" customHeight="1">
      <c r="B135" s="770"/>
      <c r="C135" s="770"/>
      <c r="D135" s="292" t="s">
        <v>105</v>
      </c>
      <c r="E135" s="69">
        <v>6939</v>
      </c>
      <c r="F135" s="69">
        <v>8274</v>
      </c>
      <c r="G135" s="69">
        <v>9237</v>
      </c>
      <c r="H135" s="69">
        <v>8100</v>
      </c>
      <c r="I135" s="69">
        <v>8384</v>
      </c>
      <c r="J135" s="69">
        <v>7886</v>
      </c>
      <c r="K135" s="69">
        <v>6607</v>
      </c>
      <c r="L135" s="69">
        <v>8683</v>
      </c>
      <c r="M135" s="69">
        <v>8523</v>
      </c>
      <c r="N135" s="69">
        <v>10699</v>
      </c>
      <c r="O135" s="69">
        <v>9871</v>
      </c>
      <c r="P135" s="69">
        <v>13782</v>
      </c>
      <c r="Q135" s="69">
        <f t="shared" si="227"/>
        <v>106985</v>
      </c>
      <c r="S135" s="770"/>
      <c r="T135" s="770"/>
      <c r="U135" s="292" t="s">
        <v>105</v>
      </c>
      <c r="V135" s="69">
        <v>11807.947709163343</v>
      </c>
      <c r="W135" s="69">
        <v>9828.7534378614564</v>
      </c>
      <c r="X135" s="69">
        <v>12306.001148369316</v>
      </c>
      <c r="Y135" s="69">
        <f>Y$128*'Region OP Sales Goals'!V110</f>
        <v>11113.362549800797</v>
      </c>
      <c r="Z135" s="69">
        <f>Z$128*'Region OP Sales Goals'!W110</f>
        <v>12965.589641434262</v>
      </c>
      <c r="AA135" s="69">
        <f>AA$128*'Region OP Sales Goals'!X110</f>
        <v>10650.305776892428</v>
      </c>
      <c r="AB135" s="69">
        <f>AB$128*'Region OP Sales Goals'!Y110</f>
        <v>11005.858520900323</v>
      </c>
      <c r="AC135" s="69">
        <f>AC$128*'Region OP Sales Goals'!Z110</f>
        <v>11952.718818751058</v>
      </c>
      <c r="AD135" s="69">
        <f>AD$128*'Region OP Sales Goals'!AA110</f>
        <v>12713.480953961929</v>
      </c>
      <c r="AE135" s="69">
        <f>AE$128*'Region OP Sales Goals'!AB110</f>
        <v>12721.875550429859</v>
      </c>
      <c r="AF135" s="69">
        <f>AF$128*'Region OP Sales Goals'!AC110</f>
        <v>10682.156799697372</v>
      </c>
      <c r="AG135" s="69">
        <f>AG$128*'Region OP Sales Goals'!AD110</f>
        <v>12231.671288853162</v>
      </c>
      <c r="AH135" s="69">
        <f>AH$128*'Region OP Sales Goals'!AE110</f>
        <v>140369.08824739742</v>
      </c>
      <c r="AJ135" s="757"/>
      <c r="AK135" s="757"/>
      <c r="AL135" s="292" t="s">
        <v>105</v>
      </c>
      <c r="AM135" s="69">
        <v>11131</v>
      </c>
      <c r="AN135" s="69">
        <v>11297</v>
      </c>
      <c r="AO135" s="69">
        <v>11794</v>
      </c>
      <c r="AP135" s="69">
        <v>12889</v>
      </c>
      <c r="AQ135" s="69">
        <v>13418</v>
      </c>
      <c r="AR135" s="69">
        <v>10836</v>
      </c>
      <c r="AS135" s="69">
        <v>11324</v>
      </c>
      <c r="AT135" s="69">
        <v>7633</v>
      </c>
      <c r="AU135" s="69"/>
      <c r="AV135" s="69"/>
      <c r="AW135" s="69"/>
      <c r="AX135" s="69"/>
      <c r="AY135" s="69">
        <f t="shared" si="228"/>
        <v>90322</v>
      </c>
      <c r="BA135" s="757"/>
      <c r="BB135" s="757"/>
      <c r="BC135" s="292" t="s">
        <v>105</v>
      </c>
      <c r="BD135" s="465">
        <f t="shared" si="231"/>
        <v>0.94267016370355283</v>
      </c>
      <c r="BE135" s="465">
        <f t="shared" si="201"/>
        <v>1.1493827850521403</v>
      </c>
      <c r="BF135" s="465">
        <f t="shared" si="153"/>
        <v>0.95839418977811797</v>
      </c>
      <c r="BG135" s="465">
        <f t="shared" si="154"/>
        <v>1.1597749953933638</v>
      </c>
      <c r="BH135" s="465">
        <f t="shared" si="155"/>
        <v>1.0348931572783984</v>
      </c>
      <c r="BI135" s="465">
        <f t="shared" si="156"/>
        <v>1.0174355766864898</v>
      </c>
      <c r="BJ135" s="465">
        <f t="shared" si="157"/>
        <v>1.0289065572209128</v>
      </c>
      <c r="BK135" s="465">
        <f t="shared" si="158"/>
        <v>0.63859947813928186</v>
      </c>
      <c r="BL135" s="465">
        <f t="shared" si="159"/>
        <v>0</v>
      </c>
      <c r="BM135" s="465">
        <f t="shared" si="160"/>
        <v>0</v>
      </c>
      <c r="BN135" s="465">
        <f t="shared" si="161"/>
        <v>0</v>
      </c>
      <c r="BO135" s="465">
        <f t="shared" si="162"/>
        <v>0</v>
      </c>
      <c r="BP135" s="465">
        <f t="shared" si="230"/>
        <v>0.64346075854542473</v>
      </c>
    </row>
    <row r="137" spans="2:68" ht="50" customHeight="1">
      <c r="B137" s="771" t="s">
        <v>344</v>
      </c>
      <c r="C137" s="772"/>
      <c r="D137" s="772"/>
      <c r="E137" s="772"/>
      <c r="F137" s="772"/>
      <c r="G137" s="772"/>
      <c r="H137" s="772"/>
      <c r="I137" s="772"/>
      <c r="J137" s="772"/>
      <c r="K137" s="772"/>
      <c r="L137" s="772"/>
      <c r="M137" s="772"/>
      <c r="N137" s="772"/>
      <c r="O137" s="772"/>
      <c r="P137" s="772"/>
      <c r="Q137" s="773"/>
      <c r="S137" s="771" t="s">
        <v>345</v>
      </c>
      <c r="T137" s="772"/>
      <c r="U137" s="772"/>
      <c r="V137" s="772"/>
      <c r="W137" s="772"/>
      <c r="X137" s="772"/>
      <c r="Y137" s="772"/>
      <c r="Z137" s="772"/>
      <c r="AA137" s="772"/>
      <c r="AB137" s="772"/>
      <c r="AC137" s="772"/>
      <c r="AD137" s="772"/>
      <c r="AE137" s="772"/>
      <c r="AF137" s="772"/>
      <c r="AG137" s="772"/>
      <c r="AH137" s="773"/>
      <c r="AJ137" s="771" t="s">
        <v>346</v>
      </c>
      <c r="AK137" s="772"/>
      <c r="AL137" s="772"/>
      <c r="AM137" s="772"/>
      <c r="AN137" s="772"/>
      <c r="AO137" s="772"/>
      <c r="AP137" s="772"/>
      <c r="AQ137" s="772"/>
      <c r="AR137" s="772"/>
      <c r="AS137" s="772"/>
      <c r="AT137" s="772"/>
      <c r="AU137" s="772"/>
      <c r="AV137" s="772"/>
      <c r="AW137" s="772"/>
      <c r="AX137" s="772"/>
      <c r="AY137" s="773"/>
      <c r="BA137" s="771" t="s">
        <v>347</v>
      </c>
      <c r="BB137" s="772"/>
      <c r="BC137" s="772"/>
      <c r="BD137" s="772"/>
      <c r="BE137" s="772"/>
      <c r="BF137" s="772"/>
      <c r="BG137" s="772"/>
      <c r="BH137" s="772"/>
      <c r="BI137" s="772"/>
      <c r="BJ137" s="772"/>
      <c r="BK137" s="772"/>
      <c r="BL137" s="772"/>
      <c r="BM137" s="772"/>
      <c r="BN137" s="772"/>
      <c r="BO137" s="772"/>
      <c r="BP137" s="773"/>
    </row>
    <row r="138" spans="2:68">
      <c r="B138" s="765" t="s">
        <v>94</v>
      </c>
      <c r="C138" s="766"/>
      <c r="D138" s="767"/>
      <c r="E138" s="234" t="s">
        <v>252</v>
      </c>
      <c r="F138" s="234" t="s">
        <v>253</v>
      </c>
      <c r="G138" s="234" t="s">
        <v>230</v>
      </c>
      <c r="H138" s="234" t="s">
        <v>254</v>
      </c>
      <c r="I138" s="234" t="s">
        <v>78</v>
      </c>
      <c r="J138" s="234" t="s">
        <v>255</v>
      </c>
      <c r="K138" s="234" t="s">
        <v>256</v>
      </c>
      <c r="L138" s="234" t="s">
        <v>236</v>
      </c>
      <c r="M138" s="234" t="s">
        <v>257</v>
      </c>
      <c r="N138" s="234" t="s">
        <v>258</v>
      </c>
      <c r="O138" s="234" t="s">
        <v>259</v>
      </c>
      <c r="P138" s="234" t="s">
        <v>260</v>
      </c>
      <c r="Q138" s="234" t="s">
        <v>24</v>
      </c>
      <c r="S138" s="765" t="s">
        <v>94</v>
      </c>
      <c r="T138" s="766"/>
      <c r="U138" s="767"/>
      <c r="V138" s="234" t="s">
        <v>252</v>
      </c>
      <c r="W138" s="234" t="s">
        <v>253</v>
      </c>
      <c r="X138" s="234" t="s">
        <v>230</v>
      </c>
      <c r="Y138" s="234" t="s">
        <v>254</v>
      </c>
      <c r="Z138" s="234" t="s">
        <v>78</v>
      </c>
      <c r="AA138" s="234" t="s">
        <v>255</v>
      </c>
      <c r="AB138" s="234" t="s">
        <v>256</v>
      </c>
      <c r="AC138" s="234" t="s">
        <v>236</v>
      </c>
      <c r="AD138" s="234" t="s">
        <v>257</v>
      </c>
      <c r="AE138" s="234" t="s">
        <v>258</v>
      </c>
      <c r="AF138" s="234" t="s">
        <v>259</v>
      </c>
      <c r="AG138" s="234" t="s">
        <v>260</v>
      </c>
      <c r="AH138" s="234" t="s">
        <v>24</v>
      </c>
      <c r="AJ138" s="765" t="s">
        <v>94</v>
      </c>
      <c r="AK138" s="766"/>
      <c r="AL138" s="767"/>
      <c r="AM138" s="234" t="s">
        <v>252</v>
      </c>
      <c r="AN138" s="234" t="s">
        <v>253</v>
      </c>
      <c r="AO138" s="234" t="s">
        <v>230</v>
      </c>
      <c r="AP138" s="234" t="s">
        <v>254</v>
      </c>
      <c r="AQ138" s="234" t="s">
        <v>78</v>
      </c>
      <c r="AR138" s="234" t="s">
        <v>255</v>
      </c>
      <c r="AS138" s="234" t="s">
        <v>256</v>
      </c>
      <c r="AT138" s="234" t="s">
        <v>236</v>
      </c>
      <c r="AU138" s="234" t="s">
        <v>257</v>
      </c>
      <c r="AV138" s="234" t="s">
        <v>258</v>
      </c>
      <c r="AW138" s="234" t="s">
        <v>259</v>
      </c>
      <c r="AX138" s="234" t="s">
        <v>260</v>
      </c>
      <c r="AY138" s="234" t="s">
        <v>24</v>
      </c>
      <c r="BA138" s="765" t="s">
        <v>94</v>
      </c>
      <c r="BB138" s="766"/>
      <c r="BC138" s="767"/>
      <c r="BD138" s="234" t="s">
        <v>252</v>
      </c>
      <c r="BE138" s="234" t="s">
        <v>253</v>
      </c>
      <c r="BF138" s="234" t="s">
        <v>230</v>
      </c>
      <c r="BG138" s="234" t="s">
        <v>254</v>
      </c>
      <c r="BH138" s="234" t="s">
        <v>78</v>
      </c>
      <c r="BI138" s="234" t="s">
        <v>255</v>
      </c>
      <c r="BJ138" s="234" t="s">
        <v>256</v>
      </c>
      <c r="BK138" s="234" t="s">
        <v>236</v>
      </c>
      <c r="BL138" s="234" t="s">
        <v>257</v>
      </c>
      <c r="BM138" s="234" t="s">
        <v>258</v>
      </c>
      <c r="BN138" s="234" t="s">
        <v>259</v>
      </c>
      <c r="BO138" s="234" t="s">
        <v>260</v>
      </c>
      <c r="BP138" s="234" t="s">
        <v>24</v>
      </c>
    </row>
    <row r="139" spans="2:68">
      <c r="B139" s="768" t="s">
        <v>48</v>
      </c>
      <c r="C139" s="768" t="s">
        <v>49</v>
      </c>
      <c r="D139" s="343" t="s">
        <v>50</v>
      </c>
      <c r="E139" s="344">
        <f>E140+E148</f>
        <v>137588</v>
      </c>
      <c r="F139" s="344">
        <f t="shared" ref="F139:Q139" si="232">F140+F148</f>
        <v>142432</v>
      </c>
      <c r="G139" s="344">
        <f t="shared" si="232"/>
        <v>205026</v>
      </c>
      <c r="H139" s="344">
        <f t="shared" si="232"/>
        <v>150507</v>
      </c>
      <c r="I139" s="344">
        <f t="shared" si="232"/>
        <v>184811</v>
      </c>
      <c r="J139" s="344">
        <f t="shared" si="232"/>
        <v>154382</v>
      </c>
      <c r="K139" s="344">
        <f t="shared" si="232"/>
        <v>185951</v>
      </c>
      <c r="L139" s="344">
        <f t="shared" si="232"/>
        <v>202168</v>
      </c>
      <c r="M139" s="344">
        <f t="shared" si="232"/>
        <v>173448</v>
      </c>
      <c r="N139" s="344">
        <f t="shared" si="232"/>
        <v>161379</v>
      </c>
      <c r="O139" s="344">
        <f t="shared" si="232"/>
        <v>160505</v>
      </c>
      <c r="P139" s="344">
        <f t="shared" si="232"/>
        <v>204905</v>
      </c>
      <c r="Q139" s="344">
        <f t="shared" si="232"/>
        <v>2063102</v>
      </c>
      <c r="S139" s="768" t="s">
        <v>48</v>
      </c>
      <c r="T139" s="768" t="s">
        <v>49</v>
      </c>
      <c r="U139" s="343" t="s">
        <v>50</v>
      </c>
      <c r="V139" s="344">
        <v>142577.47264593327</v>
      </c>
      <c r="W139" s="344">
        <v>162360.94971163693</v>
      </c>
      <c r="X139" s="344">
        <v>185410.12662445853</v>
      </c>
      <c r="Y139" s="344" cm="1">
        <f t="array" ref="Y139">INDEX('Research Goals'!$G$83:$G$94, COLUMN()-COLUMN($V$3)+1)</f>
        <v>191578.88018110278</v>
      </c>
      <c r="Z139" s="344" cm="1">
        <f t="array" ref="Z139">INDEX('Research Goals'!$G$83:$G$94, COLUMN()-COLUMN($V$3)+1)</f>
        <v>217277.57236026519</v>
      </c>
      <c r="AA139" s="344" cm="1">
        <f t="array" ref="AA139">INDEX('Research Goals'!$G$83:$G$94, COLUMN()-COLUMN($V$3)+1)</f>
        <v>208211.85296178516</v>
      </c>
      <c r="AB139" s="344" cm="1">
        <f t="array" ref="AB139">INDEX('Research Goals'!$G$83:$G$94, COLUMN()-COLUMN($V$3)+1)</f>
        <v>191709.34863378873</v>
      </c>
      <c r="AC139" s="344" cm="1">
        <f t="array" ref="AC139">INDEX('Research Goals'!$G$83:$G$94, COLUMN()-COLUMN($V$3)+1)</f>
        <v>213352.84780073311</v>
      </c>
      <c r="AD139" s="344" cm="1">
        <f t="array" ref="AD139">INDEX('Research Goals'!$G$83:$G$94, COLUMN()-COLUMN($V$3)+1)</f>
        <v>196074.27822993585</v>
      </c>
      <c r="AE139" s="344" cm="1">
        <f t="array" ref="AE139">INDEX('Research Goals'!$G$83:$G$94, COLUMN()-COLUMN($V$3)+1)</f>
        <v>203042.14520562714</v>
      </c>
      <c r="AF139" s="344" cm="1">
        <f t="array" ref="AF139">INDEX('Research Goals'!$G$83:$G$94, COLUMN()-COLUMN($V$3)+1)</f>
        <v>168627.51566144617</v>
      </c>
      <c r="AG139" s="344" cm="1">
        <f t="array" ref="AG139">INDEX('Research Goals'!$G$83:$G$94, COLUMN()-COLUMN($V$3)+1)</f>
        <v>232873.09230256581</v>
      </c>
      <c r="AH139" s="345">
        <f>SUM(V139:AG139)</f>
        <v>2313096.0823192787</v>
      </c>
      <c r="AI139" s="47"/>
      <c r="AJ139" s="757" t="s">
        <v>48</v>
      </c>
      <c r="AK139" s="757" t="s">
        <v>49</v>
      </c>
      <c r="AL139" s="343" t="s">
        <v>50</v>
      </c>
      <c r="AM139" s="344">
        <f>AM140+AM148</f>
        <v>172418.57142857142</v>
      </c>
      <c r="AN139" s="344">
        <f t="shared" ref="AN139:AY139" si="233">AN140+AN148</f>
        <v>159144.14285714284</v>
      </c>
      <c r="AO139" s="344">
        <f t="shared" si="233"/>
        <v>185839</v>
      </c>
      <c r="AP139" s="344">
        <f t="shared" si="233"/>
        <v>176261</v>
      </c>
      <c r="AQ139" s="344">
        <f t="shared" si="233"/>
        <v>176442</v>
      </c>
      <c r="AR139" s="344">
        <f t="shared" si="233"/>
        <v>170919</v>
      </c>
      <c r="AS139" s="344">
        <f t="shared" si="233"/>
        <v>222889.57142857142</v>
      </c>
      <c r="AT139" s="344">
        <f t="shared" si="233"/>
        <v>196331.42857142858</v>
      </c>
      <c r="AU139" s="344">
        <f t="shared" si="233"/>
        <v>0</v>
      </c>
      <c r="AV139" s="344">
        <f t="shared" si="233"/>
        <v>0</v>
      </c>
      <c r="AW139" s="344">
        <f t="shared" si="233"/>
        <v>0</v>
      </c>
      <c r="AX139" s="344">
        <f t="shared" si="233"/>
        <v>0</v>
      </c>
      <c r="AY139" s="344">
        <f t="shared" si="233"/>
        <v>1460244.7142857143</v>
      </c>
      <c r="BA139" s="757" t="s">
        <v>48</v>
      </c>
      <c r="BB139" s="757" t="s">
        <v>49</v>
      </c>
      <c r="BC139" s="343" t="s">
        <v>50</v>
      </c>
      <c r="BD139" s="463">
        <f>AM139/V139</f>
        <v>1.2092974312761413</v>
      </c>
      <c r="BE139" s="463">
        <f>AN139/W139</f>
        <v>0.98018731191085451</v>
      </c>
      <c r="BF139" s="463">
        <f t="shared" ref="BF139:BF180" si="234">AO139/X139</f>
        <v>1.0023131065349529</v>
      </c>
      <c r="BG139" s="463">
        <f t="shared" ref="BG139:BG180" si="235">AP139/Y139</f>
        <v>0.9200440039809058</v>
      </c>
      <c r="BH139" s="463">
        <f t="shared" ref="BH139:BH180" si="236">AQ139/Z139</f>
        <v>0.81205804208564958</v>
      </c>
      <c r="BI139" s="463">
        <f t="shared" ref="BI139:BI180" si="237">AR139/AA139</f>
        <v>0.82088986562820787</v>
      </c>
      <c r="BJ139" s="463">
        <f t="shared" ref="BJ139:BJ180" si="238">AS139/AB139</f>
        <v>1.1626432045019592</v>
      </c>
      <c r="BK139" s="463">
        <f t="shared" ref="BK139:BK180" si="239">AT139/AC139</f>
        <v>0.92021939521893714</v>
      </c>
      <c r="BL139" s="463">
        <f t="shared" ref="BL139:BL180" si="240">AU139/AD139</f>
        <v>0</v>
      </c>
      <c r="BM139" s="463">
        <f t="shared" ref="BM139:BM180" si="241">AV139/AE139</f>
        <v>0</v>
      </c>
      <c r="BN139" s="463">
        <f t="shared" ref="BN139:BN180" si="242">AW139/AF139</f>
        <v>0</v>
      </c>
      <c r="BO139" s="463">
        <f t="shared" ref="BO139:BO180" si="243">AX139/AG139</f>
        <v>0</v>
      </c>
      <c r="BP139" s="463">
        <f t="shared" ref="BP139:BP140" si="244">AY139/AH139</f>
        <v>0.63129444792520961</v>
      </c>
    </row>
    <row r="140" spans="2:68">
      <c r="B140" s="769"/>
      <c r="C140" s="769"/>
      <c r="D140" s="182" t="s">
        <v>52</v>
      </c>
      <c r="E140" s="341">
        <f>SUM(E141:E147)</f>
        <v>107775</v>
      </c>
      <c r="F140" s="341">
        <f t="shared" ref="F140:Q140" si="245">SUM(F141:F147)</f>
        <v>110413</v>
      </c>
      <c r="G140" s="341">
        <f t="shared" si="245"/>
        <v>169684</v>
      </c>
      <c r="H140" s="341">
        <f t="shared" si="245"/>
        <v>119687</v>
      </c>
      <c r="I140" s="341">
        <f t="shared" si="245"/>
        <v>153198</v>
      </c>
      <c r="J140" s="341">
        <f t="shared" si="245"/>
        <v>126039</v>
      </c>
      <c r="K140" s="341">
        <f t="shared" si="245"/>
        <v>154495</v>
      </c>
      <c r="L140" s="341">
        <f t="shared" si="245"/>
        <v>172748</v>
      </c>
      <c r="M140" s="341">
        <f t="shared" si="245"/>
        <v>149551</v>
      </c>
      <c r="N140" s="341">
        <f t="shared" si="245"/>
        <v>136907</v>
      </c>
      <c r="O140" s="341">
        <f t="shared" si="245"/>
        <v>135295</v>
      </c>
      <c r="P140" s="341">
        <f t="shared" si="245"/>
        <v>178092</v>
      </c>
      <c r="Q140" s="341">
        <f t="shared" si="245"/>
        <v>1713884</v>
      </c>
      <c r="S140" s="769"/>
      <c r="T140" s="769"/>
      <c r="U140" s="182" t="s">
        <v>52</v>
      </c>
      <c r="V140" s="341">
        <v>121504.66716972996</v>
      </c>
      <c r="W140" s="341">
        <v>138364.16644208482</v>
      </c>
      <c r="X140" s="341">
        <v>162416.55864711764</v>
      </c>
      <c r="Y140" s="341" cm="1">
        <f t="array" ref="Y140">INDEX('Research Goals'!$D$83:$D$94, COLUMN()-COLUMN($V$3)+1)</f>
        <v>148654.27461866004</v>
      </c>
      <c r="Z140" s="341" cm="1">
        <f t="array" ref="Z140">INDEX('Research Goals'!$D$83:$D$94, COLUMN()-COLUMN($V$3)+1)</f>
        <v>168594.99272354876</v>
      </c>
      <c r="AA140" s="341" cm="1">
        <f t="array" ref="AA140">INDEX('Research Goals'!$D$83:$D$94, COLUMN()-COLUMN($V$3)+1)</f>
        <v>161560.51199266964</v>
      </c>
      <c r="AB140" s="341" cm="1">
        <f t="array" ref="AB140">INDEX('Research Goals'!$D$83:$D$94, COLUMN()-COLUMN($V$3)+1)</f>
        <v>155154.93093968678</v>
      </c>
      <c r="AC140" s="341" cm="1">
        <f t="array" ref="AC140">INDEX('Research Goals'!$D$83:$D$94, COLUMN()-COLUMN($V$3)+1)</f>
        <v>172671.52907364213</v>
      </c>
      <c r="AD140" s="341" cm="1">
        <f t="array" ref="AD140">INDEX('Research Goals'!$D$83:$D$94, COLUMN()-COLUMN($V$3)+1)</f>
        <v>152142.4468819059</v>
      </c>
      <c r="AE140" s="341" cm="1">
        <f t="array" ref="AE140">INDEX('Research Goals'!$D$83:$D$94, COLUMN()-COLUMN($V$3)+1)</f>
        <v>157549.11388993694</v>
      </c>
      <c r="AF140" s="341" cm="1">
        <f t="array" ref="AF140">INDEX('Research Goals'!$D$83:$D$94, COLUMN()-COLUMN($V$3)+1)</f>
        <v>136474.25508163945</v>
      </c>
      <c r="AG140" s="341" cm="1">
        <f t="array" ref="AG140">INDEX('Research Goals'!$D$83:$D$94, COLUMN()-COLUMN($V$3)+1)</f>
        <v>188469.72675774741</v>
      </c>
      <c r="AH140" s="342">
        <f>SUM(V140:AG140)</f>
        <v>1863557.1742183692</v>
      </c>
      <c r="AJ140" s="757"/>
      <c r="AK140" s="757"/>
      <c r="AL140" s="182" t="s">
        <v>52</v>
      </c>
      <c r="AM140" s="341">
        <f>SUM(AM141:AM147)</f>
        <v>147799</v>
      </c>
      <c r="AN140" s="341">
        <f t="shared" ref="AN140:AY140" si="246">SUM(AN141:AN147)</f>
        <v>137318</v>
      </c>
      <c r="AO140" s="341">
        <f t="shared" si="246"/>
        <v>164421</v>
      </c>
      <c r="AP140" s="341">
        <f t="shared" si="246"/>
        <v>157593</v>
      </c>
      <c r="AQ140" s="341">
        <f t="shared" si="246"/>
        <v>153878</v>
      </c>
      <c r="AR140" s="341">
        <f t="shared" si="246"/>
        <v>149494</v>
      </c>
      <c r="AS140" s="341">
        <f t="shared" si="246"/>
        <v>200028</v>
      </c>
      <c r="AT140" s="341">
        <f t="shared" si="246"/>
        <v>176982</v>
      </c>
      <c r="AU140" s="341">
        <f t="shared" si="246"/>
        <v>0</v>
      </c>
      <c r="AV140" s="341">
        <f t="shared" si="246"/>
        <v>0</v>
      </c>
      <c r="AW140" s="341">
        <f t="shared" si="246"/>
        <v>0</v>
      </c>
      <c r="AX140" s="341">
        <f t="shared" si="246"/>
        <v>0</v>
      </c>
      <c r="AY140" s="341">
        <f t="shared" si="246"/>
        <v>1287513</v>
      </c>
      <c r="BA140" s="757"/>
      <c r="BB140" s="757"/>
      <c r="BC140" s="182" t="s">
        <v>52</v>
      </c>
      <c r="BD140" s="464">
        <f>AM140/V140</f>
        <v>1.2164059491932064</v>
      </c>
      <c r="BE140" s="464">
        <f t="shared" ref="BE140:BE155" si="247">AN140/W140</f>
        <v>0.99243903628384367</v>
      </c>
      <c r="BF140" s="464">
        <f t="shared" si="234"/>
        <v>1.0123413608167713</v>
      </c>
      <c r="BG140" s="464">
        <f t="shared" si="235"/>
        <v>1.0601309676716011</v>
      </c>
      <c r="BH140" s="464">
        <f t="shared" si="236"/>
        <v>0.91270800819286058</v>
      </c>
      <c r="BI140" s="464">
        <f t="shared" si="237"/>
        <v>0.92531273982829965</v>
      </c>
      <c r="BJ140" s="464">
        <f t="shared" si="238"/>
        <v>1.2892145856309052</v>
      </c>
      <c r="BK140" s="464">
        <f t="shared" si="239"/>
        <v>1.0249634143479409</v>
      </c>
      <c r="BL140" s="464">
        <f t="shared" si="240"/>
        <v>0</v>
      </c>
      <c r="BM140" s="464">
        <f t="shared" si="241"/>
        <v>0</v>
      </c>
      <c r="BN140" s="464">
        <f t="shared" si="242"/>
        <v>0</v>
      </c>
      <c r="BO140" s="464">
        <f t="shared" si="243"/>
        <v>0</v>
      </c>
      <c r="BP140" s="464">
        <f t="shared" si="244"/>
        <v>0.6908899913629003</v>
      </c>
    </row>
    <row r="141" spans="2:68" ht="16" customHeight="1">
      <c r="B141" s="769"/>
      <c r="C141" s="769"/>
      <c r="D141" s="292" t="s">
        <v>99</v>
      </c>
      <c r="E141" s="69">
        <v>16692</v>
      </c>
      <c r="F141" s="69">
        <v>18581</v>
      </c>
      <c r="G141" s="69">
        <v>28523</v>
      </c>
      <c r="H141" s="69">
        <v>19575</v>
      </c>
      <c r="I141" s="69">
        <v>24590</v>
      </c>
      <c r="J141" s="69">
        <v>21998</v>
      </c>
      <c r="K141" s="69">
        <v>26637</v>
      </c>
      <c r="L141" s="69">
        <v>29968</v>
      </c>
      <c r="M141" s="69">
        <v>25623</v>
      </c>
      <c r="N141" s="69">
        <v>23877</v>
      </c>
      <c r="O141" s="69">
        <v>21516</v>
      </c>
      <c r="P141" s="69">
        <v>27935</v>
      </c>
      <c r="Q141" s="69">
        <f>SUM(E141:P141)</f>
        <v>285515</v>
      </c>
      <c r="S141" s="769"/>
      <c r="T141" s="769"/>
      <c r="U141" s="292" t="s">
        <v>99</v>
      </c>
      <c r="V141" s="69">
        <v>14592.187301245081</v>
      </c>
      <c r="W141" s="69">
        <v>19866.047750629608</v>
      </c>
      <c r="X141" s="69">
        <v>23101.849858109872</v>
      </c>
      <c r="Y141" s="69">
        <f>Y$140*'Region OP Sales Goals'!V82</f>
        <v>19824.445696113835</v>
      </c>
      <c r="Z141" s="69">
        <f>Z$140*'Region OP Sales Goals'!W82</f>
        <v>22498.711097935648</v>
      </c>
      <c r="AA141" s="69">
        <f>AA$140*'Region OP Sales Goals'!X82</f>
        <v>21549.125299846939</v>
      </c>
      <c r="AB141" s="69">
        <f>AB$140*'Region OP Sales Goals'!Y82</f>
        <v>20725.074716761079</v>
      </c>
      <c r="AC141" s="69">
        <f>AC$140*'Region OP Sales Goals'!Z82</f>
        <v>23052.283344868225</v>
      </c>
      <c r="AD141" s="69">
        <f>AD$140*'Region OP Sales Goals'!AA82</f>
        <v>20304.725053788196</v>
      </c>
      <c r="AE141" s="69">
        <f>AE$140*'Region OP Sales Goals'!AB82</f>
        <v>21027.224255389221</v>
      </c>
      <c r="AF141" s="69">
        <f>AF$140*'Region OP Sales Goals'!AC82</f>
        <v>18215.24965155352</v>
      </c>
      <c r="AG141" s="69">
        <f>AG$140*'Region OP Sales Goals'!AD82</f>
        <v>25176.864526318885</v>
      </c>
      <c r="AH141" s="69">
        <f>AH$140*'Region OP Sales Goals'!AE82</f>
        <v>243946.9755442137</v>
      </c>
      <c r="AJ141" s="757"/>
      <c r="AK141" s="757"/>
      <c r="AL141" s="292" t="s">
        <v>99</v>
      </c>
      <c r="AM141" s="69">
        <v>22843</v>
      </c>
      <c r="AN141" s="69">
        <v>22160</v>
      </c>
      <c r="AO141" s="69">
        <v>25729</v>
      </c>
      <c r="AP141" s="69">
        <v>24431</v>
      </c>
      <c r="AQ141" s="69">
        <v>24081</v>
      </c>
      <c r="AR141" s="69">
        <v>24381</v>
      </c>
      <c r="AS141" s="69">
        <v>33841</v>
      </c>
      <c r="AT141" s="69">
        <v>28993</v>
      </c>
      <c r="AU141" s="69"/>
      <c r="AV141" s="69"/>
      <c r="AW141" s="69"/>
      <c r="AX141" s="69"/>
      <c r="AY141" s="69">
        <f>SUM(AM141:AX141)</f>
        <v>206459</v>
      </c>
      <c r="BA141" s="757"/>
      <c r="BB141" s="757"/>
      <c r="BC141" s="292" t="s">
        <v>99</v>
      </c>
      <c r="BD141" s="465">
        <f>AM141/V141</f>
        <v>1.5654267265368034</v>
      </c>
      <c r="BE141" s="465">
        <f t="shared" si="247"/>
        <v>1.115470992427152</v>
      </c>
      <c r="BF141" s="465">
        <f t="shared" si="234"/>
        <v>1.1137203365975419</v>
      </c>
      <c r="BG141" s="465">
        <f t="shared" si="235"/>
        <v>1.2323673697867468</v>
      </c>
      <c r="BH141" s="465">
        <f t="shared" si="236"/>
        <v>1.0703279799085705</v>
      </c>
      <c r="BI141" s="465">
        <f t="shared" si="237"/>
        <v>1.131414832887587</v>
      </c>
      <c r="BJ141" s="465">
        <f t="shared" si="238"/>
        <v>1.6328529794216675</v>
      </c>
      <c r="BK141" s="465">
        <f t="shared" si="239"/>
        <v>1.2577062135779389</v>
      </c>
      <c r="BL141" s="465">
        <f t="shared" si="240"/>
        <v>0</v>
      </c>
      <c r="BM141" s="465">
        <f t="shared" si="241"/>
        <v>0</v>
      </c>
      <c r="BN141" s="465">
        <f t="shared" si="242"/>
        <v>0</v>
      </c>
      <c r="BO141" s="465">
        <f t="shared" si="243"/>
        <v>0</v>
      </c>
      <c r="BP141" s="465">
        <f>AY141/AH141</f>
        <v>0.84632736085133686</v>
      </c>
    </row>
    <row r="142" spans="2:68" ht="16" customHeight="1">
      <c r="B142" s="769"/>
      <c r="C142" s="769"/>
      <c r="D142" s="292" t="s">
        <v>100</v>
      </c>
      <c r="E142" s="69">
        <v>26815</v>
      </c>
      <c r="F142" s="69">
        <v>28513</v>
      </c>
      <c r="G142" s="69">
        <v>42262</v>
      </c>
      <c r="H142" s="69">
        <v>30399</v>
      </c>
      <c r="I142" s="69">
        <v>38647</v>
      </c>
      <c r="J142" s="69">
        <v>32463</v>
      </c>
      <c r="K142" s="69">
        <v>40536</v>
      </c>
      <c r="L142" s="69">
        <v>44395</v>
      </c>
      <c r="M142" s="69">
        <v>37467</v>
      </c>
      <c r="N142" s="69">
        <v>32930</v>
      </c>
      <c r="O142" s="69">
        <v>31072</v>
      </c>
      <c r="P142" s="69">
        <v>39973</v>
      </c>
      <c r="Q142" s="69">
        <f t="shared" ref="Q142:Q147" si="248">SUM(E142:P142)</f>
        <v>425472</v>
      </c>
      <c r="S142" s="769"/>
      <c r="T142" s="769"/>
      <c r="U142" s="292" t="s">
        <v>100</v>
      </c>
      <c r="V142" s="69">
        <v>25231.112704144882</v>
      </c>
      <c r="W142" s="69">
        <v>30973.262946668532</v>
      </c>
      <c r="X142" s="69">
        <v>36646.33543481896</v>
      </c>
      <c r="Y142" s="69">
        <f>Y$140*'Region OP Sales Goals'!V83</f>
        <v>32963.227887673151</v>
      </c>
      <c r="Z142" s="69">
        <f>Z$140*'Region OP Sales Goals'!W83</f>
        <v>37381.57942111788</v>
      </c>
      <c r="AA142" s="69">
        <f>AA$140*'Region OP Sales Goals'!X83</f>
        <v>35857.281076895837</v>
      </c>
      <c r="AB142" s="69">
        <f>AB$140*'Region OP Sales Goals'!Y83</f>
        <v>34428.539420193272</v>
      </c>
      <c r="AC142" s="69">
        <f>AC$140*'Region OP Sales Goals'!Z83</f>
        <v>38328.557236084729</v>
      </c>
      <c r="AD142" s="69">
        <f>AD$140*'Region OP Sales Goals'!AA83</f>
        <v>33745.881075309953</v>
      </c>
      <c r="AE142" s="69">
        <f>AE$140*'Region OP Sales Goals'!AB83</f>
        <v>34921.319338596259</v>
      </c>
      <c r="AF142" s="69">
        <f>AF$140*'Region OP Sales Goals'!AC83</f>
        <v>30265.337882581236</v>
      </c>
      <c r="AG142" s="69">
        <f>AG$140*'Region OP Sales Goals'!AD83</f>
        <v>41791.556501177089</v>
      </c>
      <c r="AH142" s="69">
        <f>AH$140*'Region OP Sales Goals'!AE83</f>
        <v>407233.61102821765</v>
      </c>
      <c r="AJ142" s="757"/>
      <c r="AK142" s="757"/>
      <c r="AL142" s="292" t="s">
        <v>100</v>
      </c>
      <c r="AM142" s="69">
        <v>33934</v>
      </c>
      <c r="AN142" s="69">
        <v>31424</v>
      </c>
      <c r="AO142" s="69">
        <v>39573</v>
      </c>
      <c r="AP142" s="69">
        <v>37057</v>
      </c>
      <c r="AQ142" s="69">
        <v>36563</v>
      </c>
      <c r="AR142" s="69">
        <v>35346</v>
      </c>
      <c r="AS142" s="69">
        <v>46916</v>
      </c>
      <c r="AT142" s="69">
        <v>41600</v>
      </c>
      <c r="AU142" s="69"/>
      <c r="AV142" s="69"/>
      <c r="AW142" s="69"/>
      <c r="AX142" s="69"/>
      <c r="AY142" s="69">
        <f t="shared" ref="AY142:AY147" si="249">SUM(AM142:AX142)</f>
        <v>302413</v>
      </c>
      <c r="BA142" s="757"/>
      <c r="BB142" s="757"/>
      <c r="BC142" s="292" t="s">
        <v>100</v>
      </c>
      <c r="BD142" s="465">
        <f t="shared" ref="BD142:BD147" si="250">AM142/V142</f>
        <v>1.344926813093956</v>
      </c>
      <c r="BE142" s="465">
        <f t="shared" si="247"/>
        <v>1.0145524562299932</v>
      </c>
      <c r="BF142" s="465">
        <f t="shared" si="234"/>
        <v>1.0798624072627003</v>
      </c>
      <c r="BG142" s="465">
        <f t="shared" si="235"/>
        <v>1.1241920884167338</v>
      </c>
      <c r="BH142" s="465">
        <f t="shared" si="236"/>
        <v>0.97810206433772451</v>
      </c>
      <c r="BI142" s="465">
        <f t="shared" si="237"/>
        <v>0.98574122014997745</v>
      </c>
      <c r="BJ142" s="465">
        <f t="shared" si="238"/>
        <v>1.3627066611046095</v>
      </c>
      <c r="BK142" s="465">
        <f t="shared" si="239"/>
        <v>1.0853526195563485</v>
      </c>
      <c r="BL142" s="465">
        <f t="shared" si="240"/>
        <v>0</v>
      </c>
      <c r="BM142" s="465">
        <f t="shared" si="241"/>
        <v>0</v>
      </c>
      <c r="BN142" s="465">
        <f t="shared" si="242"/>
        <v>0</v>
      </c>
      <c r="BO142" s="465">
        <f t="shared" si="243"/>
        <v>0</v>
      </c>
      <c r="BP142" s="465">
        <f t="shared" ref="BP142:BP148" si="251">AY142/AH142</f>
        <v>0.74260324248885601</v>
      </c>
    </row>
    <row r="143" spans="2:68" ht="16" customHeight="1">
      <c r="B143" s="769"/>
      <c r="C143" s="769"/>
      <c r="D143" s="292" t="s">
        <v>101</v>
      </c>
      <c r="E143" s="69">
        <v>10787</v>
      </c>
      <c r="F143" s="69">
        <v>10347</v>
      </c>
      <c r="G143" s="69">
        <v>16047</v>
      </c>
      <c r="H143" s="69">
        <v>11538</v>
      </c>
      <c r="I143" s="69">
        <v>14778</v>
      </c>
      <c r="J143" s="69">
        <v>11492</v>
      </c>
      <c r="K143" s="69">
        <v>13989</v>
      </c>
      <c r="L143" s="69">
        <v>15421</v>
      </c>
      <c r="M143" s="69">
        <v>13280</v>
      </c>
      <c r="N143" s="69">
        <v>11548</v>
      </c>
      <c r="O143" s="69">
        <v>12283</v>
      </c>
      <c r="P143" s="69">
        <v>16186</v>
      </c>
      <c r="Q143" s="69">
        <f t="shared" si="248"/>
        <v>157696</v>
      </c>
      <c r="S143" s="769"/>
      <c r="T143" s="769"/>
      <c r="U143" s="292" t="s">
        <v>101</v>
      </c>
      <c r="V143" s="69">
        <v>9708.7461327009114</v>
      </c>
      <c r="W143" s="69">
        <v>12313.141417323146</v>
      </c>
      <c r="X143" s="69">
        <v>14365.363490449032</v>
      </c>
      <c r="Y143" s="69">
        <f>Y$140*'Region OP Sales Goals'!V84</f>
        <v>13196.918395946745</v>
      </c>
      <c r="Z143" s="69">
        <f>Z$140*'Region OP Sales Goals'!W84</f>
        <v>14941.004527569667</v>
      </c>
      <c r="AA143" s="69">
        <f>AA$140*'Region OP Sales Goals'!X84</f>
        <v>14308.155777048907</v>
      </c>
      <c r="AB143" s="69">
        <f>AB$140*'Region OP Sales Goals'!Y84</f>
        <v>13760.090590636453</v>
      </c>
      <c r="AC143" s="69">
        <f>AC$140*'Region OP Sales Goals'!Z84</f>
        <v>15331.422894433892</v>
      </c>
      <c r="AD143" s="69">
        <f>AD$140*'Region OP Sales Goals'!AA84</f>
        <v>13498.352430123983</v>
      </c>
      <c r="AE143" s="69">
        <f>AE$140*'Region OP Sales Goals'!AB84</f>
        <v>13956.122293399925</v>
      </c>
      <c r="AF143" s="69">
        <f>AF$140*'Region OP Sales Goals'!AC84</f>
        <v>12106.135153032494</v>
      </c>
      <c r="AG143" s="69">
        <f>AG$140*'Region OP Sales Goals'!AD84</f>
        <v>16716.622600470837</v>
      </c>
      <c r="AH143" s="69">
        <f>AH$140*'Region OP Sales Goals'!AE84</f>
        <v>163679.82655672086</v>
      </c>
      <c r="AJ143" s="757"/>
      <c r="AK143" s="757"/>
      <c r="AL143" s="292" t="s">
        <v>101</v>
      </c>
      <c r="AM143" s="69">
        <v>12649</v>
      </c>
      <c r="AN143" s="69">
        <v>12417</v>
      </c>
      <c r="AO143" s="69">
        <v>14469</v>
      </c>
      <c r="AP143" s="69">
        <v>14069</v>
      </c>
      <c r="AQ143" s="69">
        <v>14485</v>
      </c>
      <c r="AR143" s="69">
        <v>13840</v>
      </c>
      <c r="AS143" s="69">
        <v>17949</v>
      </c>
      <c r="AT143" s="69">
        <v>14381</v>
      </c>
      <c r="AU143" s="69"/>
      <c r="AV143" s="69"/>
      <c r="AW143" s="69"/>
      <c r="AX143" s="69"/>
      <c r="AY143" s="69">
        <f t="shared" si="249"/>
        <v>114259</v>
      </c>
      <c r="BA143" s="757"/>
      <c r="BB143" s="757"/>
      <c r="BC143" s="292" t="s">
        <v>101</v>
      </c>
      <c r="BD143" s="465">
        <f t="shared" si="250"/>
        <v>1.3028458904075937</v>
      </c>
      <c r="BE143" s="465">
        <f t="shared" si="247"/>
        <v>1.0084347754286926</v>
      </c>
      <c r="BF143" s="465">
        <f t="shared" si="234"/>
        <v>1.0072143325589966</v>
      </c>
      <c r="BG143" s="465">
        <f t="shared" si="235"/>
        <v>1.0660822153997029</v>
      </c>
      <c r="BH143" s="465">
        <f t="shared" si="236"/>
        <v>0.96947966070633129</v>
      </c>
      <c r="BI143" s="465">
        <f t="shared" si="237"/>
        <v>0.96728049482101286</v>
      </c>
      <c r="BJ143" s="465">
        <f t="shared" si="238"/>
        <v>1.3044245516969226</v>
      </c>
      <c r="BK143" s="465">
        <f t="shared" si="239"/>
        <v>0.93800817438941397</v>
      </c>
      <c r="BL143" s="465">
        <f t="shared" si="240"/>
        <v>0</v>
      </c>
      <c r="BM143" s="465">
        <f t="shared" si="241"/>
        <v>0</v>
      </c>
      <c r="BN143" s="465">
        <f t="shared" si="242"/>
        <v>0</v>
      </c>
      <c r="BO143" s="465">
        <f t="shared" si="243"/>
        <v>0</v>
      </c>
      <c r="BP143" s="465">
        <f t="shared" si="251"/>
        <v>0.69806403393520955</v>
      </c>
    </row>
    <row r="144" spans="2:68" ht="16" customHeight="1">
      <c r="B144" s="769"/>
      <c r="C144" s="769"/>
      <c r="D144" s="292" t="s">
        <v>102</v>
      </c>
      <c r="E144" s="69">
        <v>6074</v>
      </c>
      <c r="F144" s="69">
        <v>6499</v>
      </c>
      <c r="G144" s="69">
        <v>9380</v>
      </c>
      <c r="H144" s="69">
        <v>6320</v>
      </c>
      <c r="I144" s="69">
        <v>8263</v>
      </c>
      <c r="J144" s="69">
        <v>6677</v>
      </c>
      <c r="K144" s="69">
        <v>8408</v>
      </c>
      <c r="L144" s="69">
        <v>9439</v>
      </c>
      <c r="M144" s="69">
        <v>7802</v>
      </c>
      <c r="N144" s="69">
        <v>7744</v>
      </c>
      <c r="O144" s="69">
        <v>7996</v>
      </c>
      <c r="P144" s="69">
        <v>10291</v>
      </c>
      <c r="Q144" s="69">
        <f t="shared" si="248"/>
        <v>94893</v>
      </c>
      <c r="S144" s="769"/>
      <c r="T144" s="769"/>
      <c r="U144" s="292" t="s">
        <v>102</v>
      </c>
      <c r="V144" s="69">
        <v>6511.2548913922274</v>
      </c>
      <c r="W144" s="69">
        <v>7362.496929945798</v>
      </c>
      <c r="X144" s="69">
        <v>8326.0474107908685</v>
      </c>
      <c r="Y144" s="69">
        <f>Y$140*'Region OP Sales Goals'!V85</f>
        <v>8255.3410230151439</v>
      </c>
      <c r="Z144" s="69">
        <f>Z$140*'Region OP Sales Goals'!W85</f>
        <v>9359.9289063763263</v>
      </c>
      <c r="AA144" s="69">
        <f>AA$140*'Region OP Sales Goals'!X85</f>
        <v>8920.8744520871714</v>
      </c>
      <c r="AB144" s="69">
        <f>AB$140*'Region OP Sales Goals'!Y85</f>
        <v>8607.1348550483181</v>
      </c>
      <c r="AC144" s="69">
        <f>AC$140*'Region OP Sales Goals'!Z85</f>
        <v>9540.7775566081418</v>
      </c>
      <c r="AD144" s="69">
        <f>AD$140*'Region OP Sales Goals'!AA85</f>
        <v>8407.8720645263784</v>
      </c>
      <c r="AE144" s="69">
        <f>AE$140*'Region OP Sales Goals'!AB85</f>
        <v>8745.8366371972879</v>
      </c>
      <c r="AF144" s="69">
        <f>AF$140*'Region OP Sales Goals'!AC85</f>
        <v>7566.334470645309</v>
      </c>
      <c r="AG144" s="69">
        <f>AG$140*'Region OP Sales Goals'!AD85</f>
        <v>10447.889125294272</v>
      </c>
      <c r="AH144" s="69">
        <f>AH$140*'Region OP Sales Goals'!AE85</f>
        <v>101443.29676096015</v>
      </c>
      <c r="AJ144" s="757"/>
      <c r="AK144" s="757"/>
      <c r="AL144" s="292" t="s">
        <v>102</v>
      </c>
      <c r="AM144" s="69">
        <v>8653</v>
      </c>
      <c r="AN144" s="69">
        <v>7966</v>
      </c>
      <c r="AO144" s="69">
        <v>9232</v>
      </c>
      <c r="AP144" s="69">
        <v>8985</v>
      </c>
      <c r="AQ144" s="69">
        <v>8702</v>
      </c>
      <c r="AR144" s="69">
        <v>8493</v>
      </c>
      <c r="AS144" s="69">
        <v>11577</v>
      </c>
      <c r="AT144" s="69">
        <v>9899</v>
      </c>
      <c r="AU144" s="69"/>
      <c r="AV144" s="69"/>
      <c r="AW144" s="69"/>
      <c r="AX144" s="69"/>
      <c r="AY144" s="69">
        <f t="shared" si="249"/>
        <v>73507</v>
      </c>
      <c r="BA144" s="757"/>
      <c r="BB144" s="757"/>
      <c r="BC144" s="292" t="s">
        <v>102</v>
      </c>
      <c r="BD144" s="465">
        <f t="shared" si="250"/>
        <v>1.3289296985499868</v>
      </c>
      <c r="BE144" s="465">
        <f t="shared" si="247"/>
        <v>1.0819698908938824</v>
      </c>
      <c r="BF144" s="465">
        <f t="shared" si="234"/>
        <v>1.1088094439667715</v>
      </c>
      <c r="BG144" s="465">
        <f t="shared" si="235"/>
        <v>1.0883862913658724</v>
      </c>
      <c r="BH144" s="465">
        <f t="shared" si="236"/>
        <v>0.92970791627187244</v>
      </c>
      <c r="BI144" s="465">
        <f t="shared" si="237"/>
        <v>0.95203671407043911</v>
      </c>
      <c r="BJ144" s="465">
        <f t="shared" si="238"/>
        <v>1.3450468936489097</v>
      </c>
      <c r="BK144" s="465">
        <f t="shared" si="239"/>
        <v>1.037546462148019</v>
      </c>
      <c r="BL144" s="465">
        <f t="shared" si="240"/>
        <v>0</v>
      </c>
      <c r="BM144" s="465">
        <f t="shared" si="241"/>
        <v>0</v>
      </c>
      <c r="BN144" s="465">
        <f t="shared" si="242"/>
        <v>0</v>
      </c>
      <c r="BO144" s="465">
        <f t="shared" si="243"/>
        <v>0</v>
      </c>
      <c r="BP144" s="465">
        <f t="shared" si="251"/>
        <v>0.7246117027644623</v>
      </c>
    </row>
    <row r="145" spans="2:68" ht="16" customHeight="1">
      <c r="B145" s="769"/>
      <c r="C145" s="769"/>
      <c r="D145" s="292" t="s">
        <v>103</v>
      </c>
      <c r="E145" s="69">
        <v>13459</v>
      </c>
      <c r="F145" s="69">
        <v>12747</v>
      </c>
      <c r="G145" s="69">
        <v>20661</v>
      </c>
      <c r="H145" s="69">
        <v>15262</v>
      </c>
      <c r="I145" s="69">
        <v>20166</v>
      </c>
      <c r="J145" s="69">
        <v>16486</v>
      </c>
      <c r="K145" s="69">
        <v>19482</v>
      </c>
      <c r="L145" s="69">
        <v>22634</v>
      </c>
      <c r="M145" s="69">
        <v>19480</v>
      </c>
      <c r="N145" s="69">
        <v>17730</v>
      </c>
      <c r="O145" s="69">
        <v>18028</v>
      </c>
      <c r="P145" s="69">
        <v>24234</v>
      </c>
      <c r="Q145" s="69">
        <f t="shared" si="248"/>
        <v>220369</v>
      </c>
      <c r="S145" s="769"/>
      <c r="T145" s="769"/>
      <c r="U145" s="292" t="s">
        <v>103</v>
      </c>
      <c r="V145" s="69">
        <v>16452.545841642863</v>
      </c>
      <c r="W145" s="69">
        <v>17454.195308061157</v>
      </c>
      <c r="X145" s="69">
        <v>20580.581980194329</v>
      </c>
      <c r="Y145" s="69">
        <f>Y$140*'Region OP Sales Goals'!V86</f>
        <v>18719.857812752653</v>
      </c>
      <c r="Z145" s="69">
        <f>Z$140*'Region OP Sales Goals'!W86</f>
        <v>21219.714601412172</v>
      </c>
      <c r="AA145" s="69">
        <f>AA$140*'Region OP Sales Goals'!X86</f>
        <v>20332.642420016866</v>
      </c>
      <c r="AB145" s="69">
        <f>AB$140*'Region OP Sales Goals'!Y86</f>
        <v>19535.931085471511</v>
      </c>
      <c r="AC145" s="69">
        <f>AC$140*'Region OP Sales Goals'!Z86</f>
        <v>21728.707267650912</v>
      </c>
      <c r="AD145" s="69">
        <f>AD$140*'Region OP Sales Goals'!AA86</f>
        <v>19160.79688174379</v>
      </c>
      <c r="AE145" s="69">
        <f>AE$140*'Region OP Sales Goals'!AB86</f>
        <v>19848.707261724339</v>
      </c>
      <c r="AF145" s="69">
        <f>AF$140*'Region OP Sales Goals'!AC86</f>
        <v>17206.40505546748</v>
      </c>
      <c r="AG145" s="69">
        <f>AG$140*'Region OP Sales Goals'!AD86</f>
        <v>23749.835767742105</v>
      </c>
      <c r="AH145" s="69">
        <f>AH$140*'Region OP Sales Goals'!AE86</f>
        <v>231308.6910640276</v>
      </c>
      <c r="AJ145" s="757"/>
      <c r="AK145" s="757"/>
      <c r="AL145" s="292" t="s">
        <v>103</v>
      </c>
      <c r="AM145" s="69">
        <v>19464</v>
      </c>
      <c r="AN145" s="69">
        <v>16835</v>
      </c>
      <c r="AO145" s="69">
        <v>21561</v>
      </c>
      <c r="AP145" s="69">
        <v>21499</v>
      </c>
      <c r="AQ145" s="69">
        <v>20872</v>
      </c>
      <c r="AR145" s="69">
        <v>20430</v>
      </c>
      <c r="AS145" s="69">
        <v>27557</v>
      </c>
      <c r="AT145" s="69">
        <v>24449</v>
      </c>
      <c r="AU145" s="69"/>
      <c r="AV145" s="69"/>
      <c r="AW145" s="69"/>
      <c r="AX145" s="69"/>
      <c r="AY145" s="69">
        <f t="shared" si="249"/>
        <v>172667</v>
      </c>
      <c r="BA145" s="757"/>
      <c r="BB145" s="757"/>
      <c r="BC145" s="292" t="s">
        <v>103</v>
      </c>
      <c r="BD145" s="465">
        <f t="shared" si="250"/>
        <v>1.1830387945636278</v>
      </c>
      <c r="BE145" s="465">
        <f t="shared" si="247"/>
        <v>0.96452455715473839</v>
      </c>
      <c r="BF145" s="465">
        <f t="shared" si="234"/>
        <v>1.0476380124113678</v>
      </c>
      <c r="BG145" s="465">
        <f t="shared" si="235"/>
        <v>1.1484595777941269</v>
      </c>
      <c r="BH145" s="465">
        <f t="shared" si="236"/>
        <v>0.98361360612319304</v>
      </c>
      <c r="BI145" s="465">
        <f t="shared" si="237"/>
        <v>1.0047882404053536</v>
      </c>
      <c r="BJ145" s="465">
        <f t="shared" si="238"/>
        <v>1.4105803239904753</v>
      </c>
      <c r="BK145" s="465">
        <f t="shared" si="239"/>
        <v>1.1251934916716828</v>
      </c>
      <c r="BL145" s="465">
        <f t="shared" si="240"/>
        <v>0</v>
      </c>
      <c r="BM145" s="465">
        <f t="shared" si="241"/>
        <v>0</v>
      </c>
      <c r="BN145" s="465">
        <f t="shared" si="242"/>
        <v>0</v>
      </c>
      <c r="BO145" s="465">
        <f t="shared" si="243"/>
        <v>0</v>
      </c>
      <c r="BP145" s="465">
        <f t="shared" si="251"/>
        <v>0.74647865242644407</v>
      </c>
    </row>
    <row r="146" spans="2:68" ht="16" customHeight="1">
      <c r="B146" s="769"/>
      <c r="C146" s="769"/>
      <c r="D146" s="292" t="s">
        <v>104</v>
      </c>
      <c r="E146" s="69">
        <v>19255</v>
      </c>
      <c r="F146" s="69">
        <v>19460</v>
      </c>
      <c r="G146" s="69">
        <v>30892</v>
      </c>
      <c r="H146" s="69">
        <v>20570</v>
      </c>
      <c r="I146" s="69">
        <v>26899</v>
      </c>
      <c r="J146" s="69">
        <v>21144</v>
      </c>
      <c r="K146" s="69">
        <v>26269</v>
      </c>
      <c r="L146" s="69">
        <v>29307</v>
      </c>
      <c r="M146" s="69">
        <v>25859</v>
      </c>
      <c r="N146" s="69">
        <v>24181</v>
      </c>
      <c r="O146" s="69">
        <v>25655</v>
      </c>
      <c r="P146" s="69">
        <v>35414</v>
      </c>
      <c r="Q146" s="69">
        <f t="shared" si="248"/>
        <v>304905</v>
      </c>
      <c r="S146" s="769"/>
      <c r="T146" s="769"/>
      <c r="U146" s="292" t="s">
        <v>104</v>
      </c>
      <c r="V146" s="69">
        <v>33893.40715787204</v>
      </c>
      <c r="W146" s="69">
        <v>31417.551554510086</v>
      </c>
      <c r="X146" s="69">
        <v>38463.993672385979</v>
      </c>
      <c r="Y146" s="69">
        <f>Y$140*'Region OP Sales Goals'!V87</f>
        <v>35986.310515819539</v>
      </c>
      <c r="Z146" s="69">
        <f>Z$140*'Region OP Sales Goals'!W87</f>
        <v>40811.615479976288</v>
      </c>
      <c r="AA146" s="69">
        <f>AA$140*'Region OP Sales Goals'!X87</f>
        <v>39101.235423109363</v>
      </c>
      <c r="AB146" s="69">
        <f>AB$140*'Region OP Sales Goals'!Y87</f>
        <v>37542.963216427859</v>
      </c>
      <c r="AC146" s="69">
        <f>AC$140*'Region OP Sales Goals'!Z87</f>
        <v>41802.944438780178</v>
      </c>
      <c r="AD146" s="69">
        <f>AD$140*'Region OP Sales Goals'!AA87</f>
        <v>36834.487139829849</v>
      </c>
      <c r="AE146" s="69">
        <f>AE$140*'Region OP Sales Goals'!AB87</f>
        <v>38146.73426862646</v>
      </c>
      <c r="AF146" s="69">
        <f>AF$140*'Region OP Sales Goals'!AC87</f>
        <v>33011.637060815461</v>
      </c>
      <c r="AG146" s="69">
        <f>AG$140*'Region OP Sales Goals'!AD87</f>
        <v>45613.954961650605</v>
      </c>
      <c r="AH146" s="69">
        <f>AH$140*'Region OP Sales Goals'!AE87</f>
        <v>460932.27753069712</v>
      </c>
      <c r="AJ146" s="757"/>
      <c r="AK146" s="757"/>
      <c r="AL146" s="292" t="s">
        <v>104</v>
      </c>
      <c r="AM146" s="69">
        <v>29890</v>
      </c>
      <c r="AN146" s="69">
        <v>27974</v>
      </c>
      <c r="AO146" s="69">
        <v>32759</v>
      </c>
      <c r="AP146" s="69">
        <v>31253</v>
      </c>
      <c r="AQ146" s="156">
        <v>29842</v>
      </c>
      <c r="AR146" s="156">
        <v>28384</v>
      </c>
      <c r="AS146" s="156">
        <v>37987</v>
      </c>
      <c r="AT146" s="156">
        <v>35804</v>
      </c>
      <c r="AU146" s="69"/>
      <c r="AV146" s="69"/>
      <c r="AW146" s="69"/>
      <c r="AX146" s="69"/>
      <c r="AY146" s="69">
        <f t="shared" si="249"/>
        <v>253893</v>
      </c>
      <c r="BA146" s="757"/>
      <c r="BB146" s="757"/>
      <c r="BC146" s="292" t="s">
        <v>104</v>
      </c>
      <c r="BD146" s="465">
        <f t="shared" si="250"/>
        <v>0.88188242217064294</v>
      </c>
      <c r="BE146" s="465">
        <f t="shared" si="247"/>
        <v>0.89039401913495853</v>
      </c>
      <c r="BF146" s="465">
        <f t="shared" si="234"/>
        <v>0.85167963262011193</v>
      </c>
      <c r="BG146" s="465">
        <f t="shared" si="235"/>
        <v>0.86846913595827557</v>
      </c>
      <c r="BH146" s="465">
        <f t="shared" si="236"/>
        <v>0.73121339719182654</v>
      </c>
      <c r="BI146" s="465">
        <f t="shared" si="237"/>
        <v>0.72591056760382233</v>
      </c>
      <c r="BJ146" s="465">
        <f t="shared" si="238"/>
        <v>1.0118274303765624</v>
      </c>
      <c r="BK146" s="465">
        <f t="shared" si="239"/>
        <v>0.85649469147883717</v>
      </c>
      <c r="BL146" s="465">
        <f t="shared" si="240"/>
        <v>0</v>
      </c>
      <c r="BM146" s="465">
        <f t="shared" si="241"/>
        <v>0</v>
      </c>
      <c r="BN146" s="465">
        <f t="shared" si="242"/>
        <v>0</v>
      </c>
      <c r="BO146" s="465">
        <f t="shared" si="243"/>
        <v>0</v>
      </c>
      <c r="BP146" s="465">
        <f t="shared" si="251"/>
        <v>0.55082495276779841</v>
      </c>
    </row>
    <row r="147" spans="2:68" ht="16" customHeight="1">
      <c r="B147" s="769"/>
      <c r="C147" s="769"/>
      <c r="D147" s="292" t="s">
        <v>105</v>
      </c>
      <c r="E147" s="69">
        <v>14693</v>
      </c>
      <c r="F147" s="69">
        <v>14266</v>
      </c>
      <c r="G147" s="69">
        <v>21919</v>
      </c>
      <c r="H147" s="69">
        <v>16023</v>
      </c>
      <c r="I147" s="69">
        <v>19855</v>
      </c>
      <c r="J147" s="69">
        <v>15779</v>
      </c>
      <c r="K147" s="69">
        <v>19174</v>
      </c>
      <c r="L147" s="69">
        <v>21584</v>
      </c>
      <c r="M147" s="69">
        <v>20040</v>
      </c>
      <c r="N147" s="69">
        <v>18897</v>
      </c>
      <c r="O147" s="69">
        <v>18745</v>
      </c>
      <c r="P147" s="69">
        <v>24059</v>
      </c>
      <c r="Q147" s="69">
        <f t="shared" si="248"/>
        <v>225034</v>
      </c>
      <c r="S147" s="769"/>
      <c r="T147" s="769"/>
      <c r="U147" s="292" t="s">
        <v>105</v>
      </c>
      <c r="V147" s="69">
        <v>15115.413140731956</v>
      </c>
      <c r="W147" s="69">
        <v>18977.470534946497</v>
      </c>
      <c r="X147" s="69">
        <v>20932.386800368589</v>
      </c>
      <c r="Y147" s="69">
        <f>Y$140*'Region OP Sales Goals'!V88</f>
        <v>19708.17328733897</v>
      </c>
      <c r="Z147" s="69">
        <f>Z$140*'Region OP Sales Goals'!W88</f>
        <v>22382.438689160783</v>
      </c>
      <c r="AA147" s="69">
        <f>AA$140*'Region OP Sales Goals'!X88</f>
        <v>21491.197543664552</v>
      </c>
      <c r="AB147" s="69">
        <f>AB$140*'Region OP Sales Goals'!Y88</f>
        <v>20555.197055148285</v>
      </c>
      <c r="AC147" s="69">
        <f>AC$140*'Region OP Sales Goals'!Z88</f>
        <v>22886.83633521606</v>
      </c>
      <c r="AD147" s="69">
        <f>AD$140*'Region OP Sales Goals'!AA88</f>
        <v>20190.332236583756</v>
      </c>
      <c r="AE147" s="69">
        <f>AE$140*'Region OP Sales Goals'!AB88</f>
        <v>20903.169835003446</v>
      </c>
      <c r="AF147" s="69">
        <f>AF$140*'Region OP Sales Goals'!AC88</f>
        <v>18103.155807543961</v>
      </c>
      <c r="AG147" s="69">
        <f>AG$140*'Region OP Sales Goals'!AD88</f>
        <v>24973.003275093626</v>
      </c>
      <c r="AH147" s="69">
        <f>AH$140*'Region OP Sales Goals'!AE88</f>
        <v>252709.51945047601</v>
      </c>
      <c r="AJ147" s="757"/>
      <c r="AK147" s="757"/>
      <c r="AL147" s="292" t="s">
        <v>105</v>
      </c>
      <c r="AM147" s="69">
        <v>20366</v>
      </c>
      <c r="AN147" s="69">
        <v>18542</v>
      </c>
      <c r="AO147" s="69">
        <v>21098</v>
      </c>
      <c r="AP147" s="69">
        <v>20299</v>
      </c>
      <c r="AQ147" s="69">
        <v>19333</v>
      </c>
      <c r="AR147" s="69">
        <v>18620</v>
      </c>
      <c r="AS147" s="69">
        <v>24201</v>
      </c>
      <c r="AT147" s="69">
        <v>21856</v>
      </c>
      <c r="AU147" s="69"/>
      <c r="AV147" s="69"/>
      <c r="AW147" s="69"/>
      <c r="AX147" s="69"/>
      <c r="AY147" s="69">
        <f t="shared" si="249"/>
        <v>164315</v>
      </c>
      <c r="BA147" s="757"/>
      <c r="BB147" s="757"/>
      <c r="BC147" s="292" t="s">
        <v>105</v>
      </c>
      <c r="BD147" s="465">
        <f t="shared" si="250"/>
        <v>1.3473664140293413</v>
      </c>
      <c r="BE147" s="465">
        <f t="shared" si="247"/>
        <v>0.97705328883822584</v>
      </c>
      <c r="BF147" s="465">
        <f t="shared" si="234"/>
        <v>1.0079118163261007</v>
      </c>
      <c r="BG147" s="465">
        <f t="shared" si="235"/>
        <v>1.0299787658676915</v>
      </c>
      <c r="BH147" s="465">
        <f t="shared" si="236"/>
        <v>0.86375753189765048</v>
      </c>
      <c r="BI147" s="465">
        <f t="shared" si="237"/>
        <v>0.86640123065124586</v>
      </c>
      <c r="BJ147" s="465">
        <f t="shared" si="238"/>
        <v>1.1773664798770966</v>
      </c>
      <c r="BK147" s="465">
        <f t="shared" si="239"/>
        <v>0.95495942208360585</v>
      </c>
      <c r="BL147" s="465">
        <f t="shared" si="240"/>
        <v>0</v>
      </c>
      <c r="BM147" s="465">
        <f t="shared" si="241"/>
        <v>0</v>
      </c>
      <c r="BN147" s="465">
        <f t="shared" si="242"/>
        <v>0</v>
      </c>
      <c r="BO147" s="465">
        <f t="shared" si="243"/>
        <v>0</v>
      </c>
      <c r="BP147" s="465">
        <f t="shared" si="251"/>
        <v>0.65021294155165821</v>
      </c>
    </row>
    <row r="148" spans="2:68">
      <c r="B148" s="769"/>
      <c r="C148" s="769"/>
      <c r="D148" s="182" t="s">
        <v>14</v>
      </c>
      <c r="E148" s="341">
        <f>SUM(E149:E155)</f>
        <v>29813</v>
      </c>
      <c r="F148" s="341">
        <f t="shared" ref="F148:Q148" si="252">SUM(F149:F155)</f>
        <v>32019</v>
      </c>
      <c r="G148" s="341">
        <f t="shared" si="252"/>
        <v>35342</v>
      </c>
      <c r="H148" s="341">
        <f t="shared" si="252"/>
        <v>30820</v>
      </c>
      <c r="I148" s="341">
        <f t="shared" si="252"/>
        <v>31613</v>
      </c>
      <c r="J148" s="341">
        <f t="shared" si="252"/>
        <v>28343</v>
      </c>
      <c r="K148" s="341">
        <f t="shared" si="252"/>
        <v>31456</v>
      </c>
      <c r="L148" s="341">
        <f t="shared" si="252"/>
        <v>29420</v>
      </c>
      <c r="M148" s="341">
        <f t="shared" si="252"/>
        <v>23897</v>
      </c>
      <c r="N148" s="341">
        <f t="shared" si="252"/>
        <v>24472</v>
      </c>
      <c r="O148" s="341">
        <f t="shared" si="252"/>
        <v>25210</v>
      </c>
      <c r="P148" s="341">
        <f t="shared" si="252"/>
        <v>26813</v>
      </c>
      <c r="Q148" s="341">
        <f t="shared" si="252"/>
        <v>349218</v>
      </c>
      <c r="S148" s="769"/>
      <c r="T148" s="769"/>
      <c r="U148" s="182" t="s">
        <v>14</v>
      </c>
      <c r="V148" s="341">
        <v>21072.80547620331</v>
      </c>
      <c r="W148" s="341">
        <v>23996.783269552092</v>
      </c>
      <c r="X148" s="341">
        <v>22993.567977340888</v>
      </c>
      <c r="Y148" s="341" cm="1">
        <f t="array" ref="Y148">INDEX('Research Goals'!$F$83:$F$94, COLUMN()-COLUMN($V$3)+1)</f>
        <v>42924.605562442732</v>
      </c>
      <c r="Z148" s="341" cm="1">
        <f t="array" ref="Z148">INDEX('Research Goals'!$F$83:$F$94, COLUMN()-COLUMN($V$3)+1)</f>
        <v>48682.579636716437</v>
      </c>
      <c r="AA148" s="341" cm="1">
        <f t="array" ref="AA148">INDEX('Research Goals'!$F$83:$F$94, COLUMN()-COLUMN($V$3)+1)</f>
        <v>46651.34096911551</v>
      </c>
      <c r="AB148" s="341" cm="1">
        <f t="array" ref="AB148">INDEX('Research Goals'!$F$83:$F$94, COLUMN()-COLUMN($V$3)+1)</f>
        <v>36554.417694101961</v>
      </c>
      <c r="AC148" s="341" cm="1">
        <f t="array" ref="AC148">INDEX('Research Goals'!$F$83:$F$94, COLUMN()-COLUMN($V$3)+1)</f>
        <v>40681.318727090969</v>
      </c>
      <c r="AD148" s="341" cm="1">
        <f t="array" ref="AD148">INDEX('Research Goals'!$F$83:$F$94, COLUMN()-COLUMN($V$3)+1)</f>
        <v>43931.831348029969</v>
      </c>
      <c r="AE148" s="341" cm="1">
        <f t="array" ref="AE148">INDEX('Research Goals'!$F$83:$F$94, COLUMN()-COLUMN($V$3)+1)</f>
        <v>45493.03131569019</v>
      </c>
      <c r="AF148" s="341" cm="1">
        <f t="array" ref="AF148">INDEX('Research Goals'!$F$83:$F$94, COLUMN()-COLUMN($V$3)+1)</f>
        <v>32153.260579806727</v>
      </c>
      <c r="AG148" s="341" cm="1">
        <f t="array" ref="AG148">INDEX('Research Goals'!$F$83:$F$94, COLUMN()-COLUMN($V$3)+1)</f>
        <v>44403.365544818393</v>
      </c>
      <c r="AH148" s="342">
        <f>SUM(V148:AG148)</f>
        <v>449538.9081009092</v>
      </c>
      <c r="AJ148" s="757"/>
      <c r="AK148" s="757"/>
      <c r="AL148" s="182" t="s">
        <v>14</v>
      </c>
      <c r="AM148" s="341">
        <f>SUM(AM149:AM155)</f>
        <v>24619.571428571428</v>
      </c>
      <c r="AN148" s="341">
        <f t="shared" ref="AN148:AY148" si="253">SUM(AN149:AN155)</f>
        <v>21826.142857142855</v>
      </c>
      <c r="AO148" s="341">
        <f t="shared" si="253"/>
        <v>21418</v>
      </c>
      <c r="AP148" s="341">
        <f t="shared" si="253"/>
        <v>18668</v>
      </c>
      <c r="AQ148" s="341">
        <f t="shared" si="253"/>
        <v>22564</v>
      </c>
      <c r="AR148" s="341">
        <f t="shared" si="253"/>
        <v>21425</v>
      </c>
      <c r="AS148" s="341">
        <f t="shared" si="253"/>
        <v>22861.571428571428</v>
      </c>
      <c r="AT148" s="341">
        <f t="shared" si="253"/>
        <v>19349.428571428572</v>
      </c>
      <c r="AU148" s="341">
        <f t="shared" si="253"/>
        <v>0</v>
      </c>
      <c r="AV148" s="341">
        <f t="shared" si="253"/>
        <v>0</v>
      </c>
      <c r="AW148" s="341">
        <f t="shared" si="253"/>
        <v>0</v>
      </c>
      <c r="AX148" s="341">
        <f t="shared" si="253"/>
        <v>0</v>
      </c>
      <c r="AY148" s="341">
        <f t="shared" si="253"/>
        <v>172731.71428571429</v>
      </c>
      <c r="BA148" s="757"/>
      <c r="BB148" s="757"/>
      <c r="BC148" s="182" t="s">
        <v>14</v>
      </c>
      <c r="BD148" s="464">
        <f>AM148/V148</f>
        <v>1.1683100978829488</v>
      </c>
      <c r="BE148" s="464">
        <f t="shared" si="247"/>
        <v>0.90954452569634958</v>
      </c>
      <c r="BF148" s="464">
        <f t="shared" si="234"/>
        <v>0.93147788203668358</v>
      </c>
      <c r="BG148" s="464">
        <f t="shared" si="235"/>
        <v>0.43490207435554712</v>
      </c>
      <c r="BH148" s="464">
        <f t="shared" si="236"/>
        <v>0.46349228344880505</v>
      </c>
      <c r="BI148" s="464">
        <f t="shared" si="237"/>
        <v>0.45925796675778191</v>
      </c>
      <c r="BJ148" s="464">
        <f t="shared" si="238"/>
        <v>0.62541199862308661</v>
      </c>
      <c r="BK148" s="464">
        <f t="shared" si="239"/>
        <v>0.47563425122065128</v>
      </c>
      <c r="BL148" s="464">
        <f t="shared" si="240"/>
        <v>0</v>
      </c>
      <c r="BM148" s="464">
        <f t="shared" si="241"/>
        <v>0</v>
      </c>
      <c r="BN148" s="464">
        <f t="shared" si="242"/>
        <v>0</v>
      </c>
      <c r="BO148" s="464">
        <f t="shared" si="243"/>
        <v>0</v>
      </c>
      <c r="BP148" s="464">
        <f t="shared" si="251"/>
        <v>0.38424196698662788</v>
      </c>
    </row>
    <row r="149" spans="2:68" ht="16" customHeight="1">
      <c r="B149" s="769"/>
      <c r="C149" s="769"/>
      <c r="D149" s="292" t="s">
        <v>99</v>
      </c>
      <c r="E149" s="69">
        <v>5556</v>
      </c>
      <c r="F149" s="69">
        <v>5804</v>
      </c>
      <c r="G149" s="69">
        <v>6167</v>
      </c>
      <c r="H149" s="69">
        <v>5209</v>
      </c>
      <c r="I149" s="69">
        <v>5288</v>
      </c>
      <c r="J149" s="69">
        <v>4369</v>
      </c>
      <c r="K149" s="69">
        <v>5019</v>
      </c>
      <c r="L149" s="69">
        <v>4568</v>
      </c>
      <c r="M149" s="69">
        <v>3999</v>
      </c>
      <c r="N149" s="69">
        <v>4197</v>
      </c>
      <c r="O149" s="69">
        <v>4234</v>
      </c>
      <c r="P149" s="69">
        <v>4034</v>
      </c>
      <c r="Q149" s="69">
        <f>SUM(E149:P149)</f>
        <v>58444</v>
      </c>
      <c r="S149" s="769"/>
      <c r="T149" s="769"/>
      <c r="U149" s="292" t="s">
        <v>99</v>
      </c>
      <c r="V149" s="69">
        <v>2530.7531935536035</v>
      </c>
      <c r="W149" s="69">
        <v>3445.4097079678004</v>
      </c>
      <c r="X149" s="69">
        <v>3270.565264647043</v>
      </c>
      <c r="Y149" s="69">
        <f>Y$148*'Region OP Sales Goals'!V82</f>
        <v>5724.3998814207953</v>
      </c>
      <c r="Z149" s="69">
        <f>Z$148*'Region OP Sales Goals'!W82</f>
        <v>6496.6063170376765</v>
      </c>
      <c r="AA149" s="69">
        <f>AA$148*'Region OP Sales Goals'!X82</f>
        <v>6222.4090500218617</v>
      </c>
      <c r="AB149" s="69">
        <f>AB$148*'Region OP Sales Goals'!Y82</f>
        <v>4882.8163781172689</v>
      </c>
      <c r="AC149" s="69">
        <f>AC$148*'Region OP Sales Goals'!Z82</f>
        <v>5431.1054704324579</v>
      </c>
      <c r="AD149" s="69">
        <f>AD$148*'Region OP Sales Goals'!AA82</f>
        <v>5863.0827550942258</v>
      </c>
      <c r="AE149" s="69">
        <f>AE$148*'Region OP Sales Goals'!AB82</f>
        <v>6071.7077228421158</v>
      </c>
      <c r="AF149" s="69">
        <f>AF$148*'Region OP Sales Goals'!AC82</f>
        <v>4291.5029521302613</v>
      </c>
      <c r="AG149" s="69">
        <f>AG$148*'Region OP Sales Goals'!AD82</f>
        <v>5931.6556460628144</v>
      </c>
      <c r="AH149" s="69">
        <f>AH$148*'Region OP Sales Goals'!AE82</f>
        <v>58846.414018212883</v>
      </c>
      <c r="AJ149" s="757"/>
      <c r="AK149" s="757"/>
      <c r="AL149" s="292" t="s">
        <v>99</v>
      </c>
      <c r="AM149" s="69">
        <v>3994</v>
      </c>
      <c r="AN149" s="69">
        <v>3823.5714285714284</v>
      </c>
      <c r="AO149" s="69">
        <v>3754</v>
      </c>
      <c r="AP149" s="69">
        <v>3450.7142857142858</v>
      </c>
      <c r="AQ149" s="156">
        <v>3654.2857142857142</v>
      </c>
      <c r="AR149" s="156">
        <v>3579.2857142857142</v>
      </c>
      <c r="AS149" s="156">
        <v>3976.2857142857142</v>
      </c>
      <c r="AT149" s="156">
        <v>2955.4285714285716</v>
      </c>
      <c r="AU149" s="69"/>
      <c r="AV149" s="69"/>
      <c r="AW149" s="69"/>
      <c r="AX149" s="69"/>
      <c r="AY149" s="69">
        <f>SUM(AM149:AX149)</f>
        <v>29187.571428571428</v>
      </c>
      <c r="BA149" s="757"/>
      <c r="BB149" s="757"/>
      <c r="BC149" s="292" t="s">
        <v>99</v>
      </c>
      <c r="BD149" s="465">
        <f>AM149/V149</f>
        <v>1.5781862925921084</v>
      </c>
      <c r="BE149" s="465">
        <f t="shared" si="247"/>
        <v>1.1097581282507847</v>
      </c>
      <c r="BF149" s="465">
        <f t="shared" si="234"/>
        <v>1.1478138169504253</v>
      </c>
      <c r="BG149" s="465">
        <f t="shared" si="235"/>
        <v>0.60280804227426177</v>
      </c>
      <c r="BH149" s="465">
        <f t="shared" si="236"/>
        <v>0.56249148185294318</v>
      </c>
      <c r="BI149" s="465">
        <f t="shared" si="237"/>
        <v>0.575225075290275</v>
      </c>
      <c r="BJ149" s="465">
        <f t="shared" si="238"/>
        <v>0.81434266750348339</v>
      </c>
      <c r="BK149" s="465">
        <f t="shared" si="239"/>
        <v>0.544167036990582</v>
      </c>
      <c r="BL149" s="465">
        <f t="shared" si="240"/>
        <v>0</v>
      </c>
      <c r="BM149" s="465">
        <f t="shared" si="241"/>
        <v>0</v>
      </c>
      <c r="BN149" s="465">
        <f t="shared" si="242"/>
        <v>0</v>
      </c>
      <c r="BO149" s="465">
        <f t="shared" si="243"/>
        <v>0</v>
      </c>
      <c r="BP149" s="465">
        <f>AY149/AH149</f>
        <v>0.49599575293641368</v>
      </c>
    </row>
    <row r="150" spans="2:68" ht="16" customHeight="1">
      <c r="B150" s="769"/>
      <c r="C150" s="769"/>
      <c r="D150" s="292" t="s">
        <v>100</v>
      </c>
      <c r="E150" s="69">
        <v>3317</v>
      </c>
      <c r="F150" s="69">
        <v>3537</v>
      </c>
      <c r="G150" s="69">
        <v>3878</v>
      </c>
      <c r="H150" s="69">
        <v>3840</v>
      </c>
      <c r="I150" s="69">
        <v>4174</v>
      </c>
      <c r="J150" s="69">
        <v>4061</v>
      </c>
      <c r="K150" s="69">
        <v>4359</v>
      </c>
      <c r="L150" s="69">
        <v>4003</v>
      </c>
      <c r="M150" s="69">
        <v>3023</v>
      </c>
      <c r="N150" s="69">
        <v>3557</v>
      </c>
      <c r="O150" s="69">
        <v>3304</v>
      </c>
      <c r="P150" s="69">
        <v>2954</v>
      </c>
      <c r="Q150" s="69">
        <f t="shared" ref="Q150:Q155" si="254">SUM(E150:P150)</f>
        <v>44007</v>
      </c>
      <c r="S150" s="769"/>
      <c r="T150" s="769"/>
      <c r="U150" s="292" t="s">
        <v>100</v>
      </c>
      <c r="V150" s="69">
        <v>4375.8840079771471</v>
      </c>
      <c r="W150" s="69">
        <v>5371.7569887804684</v>
      </c>
      <c r="X150" s="69">
        <v>5188.0794172700553</v>
      </c>
      <c r="Y150" s="69">
        <f>Y$148*'Region OP Sales Goals'!V83</f>
        <v>9518.2836737993857</v>
      </c>
      <c r="Z150" s="69">
        <f>Z$148*'Region OP Sales Goals'!W83</f>
        <v>10794.103002209886</v>
      </c>
      <c r="AA150" s="69">
        <f>AA$148*'Region OP Sales Goals'!X83</f>
        <v>10353.954843987989</v>
      </c>
      <c r="AB150" s="69">
        <f>AB$148*'Region OP Sales Goals'!Y83</f>
        <v>8111.3452401510922</v>
      </c>
      <c r="AC150" s="69">
        <f>AC$148*'Region OP Sales Goals'!Z83</f>
        <v>9030.1873252405694</v>
      </c>
      <c r="AD150" s="69">
        <f>AD$148*'Region OP Sales Goals'!AA83</f>
        <v>9744.2783817058953</v>
      </c>
      <c r="AE150" s="69">
        <f>AE$148*'Region OP Sales Goals'!AB83</f>
        <v>10083.691586902984</v>
      </c>
      <c r="AF150" s="69">
        <f>AF$148*'Region OP Sales Goals'!AC83</f>
        <v>7130.4972127702804</v>
      </c>
      <c r="AG150" s="69">
        <f>AG$148*'Region OP Sales Goals'!AD83</f>
        <v>9846.0680764605422</v>
      </c>
      <c r="AH150" s="69">
        <f>AH$148*'Region OP Sales Goals'!AE83</f>
        <v>98235.4367101182</v>
      </c>
      <c r="AJ150" s="757"/>
      <c r="AK150" s="757"/>
      <c r="AL150" s="292" t="s">
        <v>100</v>
      </c>
      <c r="AM150" s="69">
        <v>2735.4285714285716</v>
      </c>
      <c r="AN150" s="69">
        <v>2651.7142857142858</v>
      </c>
      <c r="AO150" s="69">
        <v>2959</v>
      </c>
      <c r="AP150" s="69">
        <v>2604.8571428571431</v>
      </c>
      <c r="AQ150" s="156">
        <v>3040.1428571428569</v>
      </c>
      <c r="AR150" s="156">
        <v>2827.2857142857142</v>
      </c>
      <c r="AS150" s="156">
        <v>3462.2857142857142</v>
      </c>
      <c r="AT150" s="156">
        <v>2667.4285714285716</v>
      </c>
      <c r="AU150" s="69"/>
      <c r="AV150" s="69"/>
      <c r="AW150" s="69"/>
      <c r="AX150" s="69"/>
      <c r="AY150" s="69">
        <f t="shared" ref="AY150:AY155" si="255">SUM(AM150:AX150)</f>
        <v>22948.142857142859</v>
      </c>
      <c r="BA150" s="757"/>
      <c r="BB150" s="757"/>
      <c r="BC150" s="292" t="s">
        <v>100</v>
      </c>
      <c r="BD150" s="465">
        <f t="shared" ref="BD150:BD151" si="256">AM150/V150</f>
        <v>0.62511450633562071</v>
      </c>
      <c r="BE150" s="465">
        <f t="shared" si="247"/>
        <v>0.49364003086005115</v>
      </c>
      <c r="BF150" s="465">
        <f t="shared" si="234"/>
        <v>0.57034593382477805</v>
      </c>
      <c r="BG150" s="465">
        <f t="shared" si="235"/>
        <v>0.27366878653001625</v>
      </c>
      <c r="BH150" s="465">
        <f t="shared" si="236"/>
        <v>0.28164849423064109</v>
      </c>
      <c r="BI150" s="465">
        <f t="shared" si="237"/>
        <v>0.27306336147751059</v>
      </c>
      <c r="BJ150" s="465">
        <f t="shared" si="238"/>
        <v>0.42684482188570011</v>
      </c>
      <c r="BK150" s="465">
        <f t="shared" si="239"/>
        <v>0.29539017025402736</v>
      </c>
      <c r="BL150" s="465">
        <f t="shared" si="240"/>
        <v>0</v>
      </c>
      <c r="BM150" s="465">
        <f t="shared" si="241"/>
        <v>0</v>
      </c>
      <c r="BN150" s="465">
        <f t="shared" si="242"/>
        <v>0</v>
      </c>
      <c r="BO150" s="465">
        <f t="shared" si="243"/>
        <v>0</v>
      </c>
      <c r="BP150" s="465">
        <f t="shared" ref="BP150:BP157" si="257">AY150/AH150</f>
        <v>0.23360351035910051</v>
      </c>
    </row>
    <row r="151" spans="2:68" ht="16" customHeight="1">
      <c r="B151" s="769"/>
      <c r="C151" s="769"/>
      <c r="D151" s="292" t="s">
        <v>101</v>
      </c>
      <c r="E151" s="69">
        <v>2923</v>
      </c>
      <c r="F151" s="69">
        <v>2759</v>
      </c>
      <c r="G151" s="69">
        <v>3006</v>
      </c>
      <c r="H151" s="69">
        <v>2920</v>
      </c>
      <c r="I151" s="69">
        <v>3106</v>
      </c>
      <c r="J151" s="69">
        <v>3280</v>
      </c>
      <c r="K151" s="69">
        <v>3322</v>
      </c>
      <c r="L151" s="69">
        <v>2685</v>
      </c>
      <c r="M151" s="69">
        <v>2190</v>
      </c>
      <c r="N151" s="69">
        <v>2141</v>
      </c>
      <c r="O151" s="69">
        <v>2350</v>
      </c>
      <c r="P151" s="69">
        <v>2415</v>
      </c>
      <c r="Q151" s="69">
        <f t="shared" si="254"/>
        <v>33097</v>
      </c>
      <c r="S151" s="769"/>
      <c r="T151" s="769"/>
      <c r="U151" s="292" t="s">
        <v>101</v>
      </c>
      <c r="V151" s="69">
        <v>1683.8079016870588</v>
      </c>
      <c r="W151" s="69">
        <v>2135.4935570151861</v>
      </c>
      <c r="X151" s="69">
        <v>2033.7271315698617</v>
      </c>
      <c r="Y151" s="69">
        <f>Y$148*'Region OP Sales Goals'!V84</f>
        <v>3810.6708888050448</v>
      </c>
      <c r="Z151" s="69">
        <f>Z$148*'Region OP Sales Goals'!W84</f>
        <v>4314.2837815986641</v>
      </c>
      <c r="AA151" s="69">
        <f>AA$148*'Region OP Sales Goals'!X84</f>
        <v>4131.5457939661283</v>
      </c>
      <c r="AB151" s="69">
        <f>AB$148*'Region OP Sales Goals'!Y84</f>
        <v>3241.8698903893342</v>
      </c>
      <c r="AC151" s="69">
        <f>AC$148*'Region OP Sales Goals'!Z84</f>
        <v>3612.0749300962279</v>
      </c>
      <c r="AD151" s="69">
        <f>AD$148*'Region OP Sales Goals'!AA84</f>
        <v>3897.7113526823587</v>
      </c>
      <c r="AE151" s="69">
        <f>AE$148*'Region OP Sales Goals'!AB84</f>
        <v>4029.8945063111387</v>
      </c>
      <c r="AF151" s="69">
        <f>AF$148*'Region OP Sales Goals'!AC84</f>
        <v>2852.1988851081123</v>
      </c>
      <c r="AG151" s="69">
        <f>AG$148*'Region OP Sales Goals'!AD84</f>
        <v>3938.4272305842169</v>
      </c>
      <c r="AH151" s="69">
        <f>AH$148*'Region OP Sales Goals'!AE84</f>
        <v>39483.870699763371</v>
      </c>
      <c r="AJ151" s="757"/>
      <c r="AK151" s="757"/>
      <c r="AL151" s="292" t="s">
        <v>101</v>
      </c>
      <c r="AM151" s="69">
        <v>1932.5714285714287</v>
      </c>
      <c r="AN151" s="69">
        <v>1981.2857142857142</v>
      </c>
      <c r="AO151" s="69">
        <v>1758</v>
      </c>
      <c r="AP151" s="69">
        <v>1479.2857142857142</v>
      </c>
      <c r="AQ151" s="156">
        <v>2089.7142857142858</v>
      </c>
      <c r="AR151" s="156">
        <v>2088.5714285714284</v>
      </c>
      <c r="AS151" s="156">
        <v>2068</v>
      </c>
      <c r="AT151" s="156">
        <v>1644.4285714285713</v>
      </c>
      <c r="AU151" s="69"/>
      <c r="AV151" s="69"/>
      <c r="AW151" s="69"/>
      <c r="AX151" s="69"/>
      <c r="AY151" s="69">
        <f t="shared" si="255"/>
        <v>15041.857142857143</v>
      </c>
      <c r="BA151" s="757"/>
      <c r="BB151" s="757"/>
      <c r="BC151" s="292" t="s">
        <v>101</v>
      </c>
      <c r="BD151" s="465">
        <f t="shared" si="256"/>
        <v>1.1477386622518673</v>
      </c>
      <c r="BE151" s="465">
        <f t="shared" si="247"/>
        <v>0.92778819574383986</v>
      </c>
      <c r="BF151" s="465">
        <f t="shared" si="234"/>
        <v>0.86442275008790181</v>
      </c>
      <c r="BG151" s="465">
        <f t="shared" si="235"/>
        <v>0.38819561107508566</v>
      </c>
      <c r="BH151" s="465">
        <f t="shared" si="236"/>
        <v>0.48437107791271422</v>
      </c>
      <c r="BI151" s="465">
        <f t="shared" si="237"/>
        <v>0.50551816020571771</v>
      </c>
      <c r="BJ151" s="465">
        <f t="shared" si="238"/>
        <v>0.63790345384639802</v>
      </c>
      <c r="BK151" s="465">
        <f t="shared" si="239"/>
        <v>0.45525870953755732</v>
      </c>
      <c r="BL151" s="465">
        <f t="shared" si="240"/>
        <v>0</v>
      </c>
      <c r="BM151" s="465">
        <f t="shared" si="241"/>
        <v>0</v>
      </c>
      <c r="BN151" s="465">
        <f t="shared" si="242"/>
        <v>0</v>
      </c>
      <c r="BO151" s="465">
        <f t="shared" si="243"/>
        <v>0</v>
      </c>
      <c r="BP151" s="465">
        <f t="shared" si="257"/>
        <v>0.38096207074620192</v>
      </c>
    </row>
    <row r="152" spans="2:68" ht="16" customHeight="1">
      <c r="B152" s="769"/>
      <c r="C152" s="769"/>
      <c r="D152" s="292" t="s">
        <v>102</v>
      </c>
      <c r="E152" s="69">
        <v>2326</v>
      </c>
      <c r="F152" s="69">
        <v>2330</v>
      </c>
      <c r="G152" s="69">
        <v>2781</v>
      </c>
      <c r="H152" s="69">
        <v>2237</v>
      </c>
      <c r="I152" s="69">
        <v>2023</v>
      </c>
      <c r="J152" s="69">
        <v>1671</v>
      </c>
      <c r="K152" s="69">
        <v>1953</v>
      </c>
      <c r="L152" s="69">
        <v>1850</v>
      </c>
      <c r="M152" s="69">
        <v>1410</v>
      </c>
      <c r="N152" s="69">
        <v>1776</v>
      </c>
      <c r="O152" s="69">
        <v>1894</v>
      </c>
      <c r="P152" s="69">
        <v>1679</v>
      </c>
      <c r="Q152" s="69">
        <f t="shared" si="254"/>
        <v>23930</v>
      </c>
      <c r="S152" s="769"/>
      <c r="T152" s="769"/>
      <c r="U152" s="292" t="s">
        <v>102</v>
      </c>
      <c r="V152" s="69">
        <v>1129.2603891553927</v>
      </c>
      <c r="W152" s="69">
        <v>1276.8930547101113</v>
      </c>
      <c r="X152" s="69">
        <v>1178.7316436037568</v>
      </c>
      <c r="Y152" s="69">
        <f>Y$148*'Region OP Sales Goals'!V85</f>
        <v>2383.7676925564597</v>
      </c>
      <c r="Z152" s="69">
        <f>Z$148*'Region OP Sales Goals'!W85</f>
        <v>2702.7225246590847</v>
      </c>
      <c r="AA152" s="69">
        <f>AA$148*'Region OP Sales Goals'!X85</f>
        <v>2575.9435314606626</v>
      </c>
      <c r="AB152" s="69">
        <f>AB$148*'Region OP Sales Goals'!Y85</f>
        <v>2027.836310037773</v>
      </c>
      <c r="AC152" s="69">
        <f>AC$148*'Region OP Sales Goals'!Z85</f>
        <v>2247.8020248440557</v>
      </c>
      <c r="AD152" s="69">
        <f>AD$148*'Region OP Sales Goals'!AA85</f>
        <v>2427.8117323911297</v>
      </c>
      <c r="AE152" s="69">
        <f>AE$148*'Region OP Sales Goals'!AB85</f>
        <v>2525.4005572883138</v>
      </c>
      <c r="AF152" s="69">
        <f>AF$148*'Region OP Sales Goals'!AC85</f>
        <v>1782.6243031925701</v>
      </c>
      <c r="AG152" s="69">
        <f>AG$148*'Region OP Sales Goals'!AD85</f>
        <v>2461.5170191151356</v>
      </c>
      <c r="AH152" s="69">
        <f>AH$148*'Region OP Sales Goals'!AE85</f>
        <v>24470.786027375652</v>
      </c>
      <c r="AJ152" s="757"/>
      <c r="AK152" s="757"/>
      <c r="AL152" s="292" t="s">
        <v>102</v>
      </c>
      <c r="AM152" s="69">
        <v>1809.1428571428571</v>
      </c>
      <c r="AN152" s="69">
        <v>1460.2857142857142</v>
      </c>
      <c r="AO152" s="69">
        <v>1470</v>
      </c>
      <c r="AP152" s="69">
        <v>1120</v>
      </c>
      <c r="AQ152" s="156">
        <v>1363</v>
      </c>
      <c r="AR152" s="156">
        <v>1269.1428571428571</v>
      </c>
      <c r="AS152" s="156">
        <v>1420.8571428571429</v>
      </c>
      <c r="AT152" s="156">
        <v>1125</v>
      </c>
      <c r="AU152" s="69"/>
      <c r="AV152" s="69"/>
      <c r="AW152" s="69"/>
      <c r="AX152" s="69"/>
      <c r="AY152" s="69">
        <f t="shared" si="255"/>
        <v>11037.428571428572</v>
      </c>
      <c r="BA152" s="757"/>
      <c r="BB152" s="757"/>
      <c r="BC152" s="292" t="s">
        <v>102</v>
      </c>
      <c r="BD152" s="465">
        <f>AM152/V152</f>
        <v>1.602059962889488</v>
      </c>
      <c r="BE152" s="465">
        <f t="shared" si="247"/>
        <v>1.1436241342993583</v>
      </c>
      <c r="BF152" s="465">
        <f t="shared" si="234"/>
        <v>1.2471031960300509</v>
      </c>
      <c r="BG152" s="465">
        <f t="shared" si="235"/>
        <v>0.46984444142661469</v>
      </c>
      <c r="BH152" s="465">
        <f t="shared" si="236"/>
        <v>0.50430630135512178</v>
      </c>
      <c r="BI152" s="465">
        <f t="shared" si="237"/>
        <v>0.4926904808441987</v>
      </c>
      <c r="BJ152" s="465">
        <f t="shared" si="238"/>
        <v>0.70067644800712547</v>
      </c>
      <c r="BK152" s="465">
        <f t="shared" si="239"/>
        <v>0.50048891653527561</v>
      </c>
      <c r="BL152" s="465">
        <f t="shared" si="240"/>
        <v>0</v>
      </c>
      <c r="BM152" s="465">
        <f t="shared" si="241"/>
        <v>0</v>
      </c>
      <c r="BN152" s="465">
        <f t="shared" si="242"/>
        <v>0</v>
      </c>
      <c r="BO152" s="465">
        <f t="shared" si="243"/>
        <v>0</v>
      </c>
      <c r="BP152" s="465">
        <f t="shared" si="257"/>
        <v>0.45104511800646363</v>
      </c>
    </row>
    <row r="153" spans="2:68" ht="16" customHeight="1">
      <c r="B153" s="769"/>
      <c r="C153" s="769"/>
      <c r="D153" s="292" t="s">
        <v>103</v>
      </c>
      <c r="E153" s="69">
        <v>4838</v>
      </c>
      <c r="F153" s="69">
        <v>5508</v>
      </c>
      <c r="G153" s="69">
        <v>5708</v>
      </c>
      <c r="H153" s="69">
        <v>4771</v>
      </c>
      <c r="I153" s="69">
        <v>4728</v>
      </c>
      <c r="J153" s="69">
        <v>4281</v>
      </c>
      <c r="K153" s="69">
        <v>5015</v>
      </c>
      <c r="L153" s="69">
        <v>4793</v>
      </c>
      <c r="M153" s="69">
        <v>4061</v>
      </c>
      <c r="N153" s="69">
        <v>3544</v>
      </c>
      <c r="O153" s="69">
        <v>3778</v>
      </c>
      <c r="P153" s="69">
        <v>5400</v>
      </c>
      <c r="Q153" s="69">
        <f t="shared" si="254"/>
        <v>56425</v>
      </c>
      <c r="S153" s="769"/>
      <c r="T153" s="769"/>
      <c r="U153" s="292" t="s">
        <v>103</v>
      </c>
      <c r="V153" s="69">
        <v>2853.3990190265727</v>
      </c>
      <c r="W153" s="69">
        <v>3027.1171555627639</v>
      </c>
      <c r="X153" s="69">
        <v>2913.6254007388634</v>
      </c>
      <c r="Y153" s="69">
        <f>Y$148*'Region OP Sales Goals'!V86</f>
        <v>5405.4450493181694</v>
      </c>
      <c r="Z153" s="69">
        <f>Z$148*'Region OP Sales Goals'!W86</f>
        <v>6127.2901956556898</v>
      </c>
      <c r="AA153" s="69">
        <f>AA$148*'Region OP Sales Goals'!X86</f>
        <v>5871.1440230044982</v>
      </c>
      <c r="AB153" s="69">
        <f>AB$148*'Region OP Sales Goals'!Y86</f>
        <v>4602.6547826515252</v>
      </c>
      <c r="AC153" s="69">
        <f>AC$148*'Region OP Sales Goals'!Z86</f>
        <v>5119.2716635176757</v>
      </c>
      <c r="AD153" s="69">
        <f>AD$148*'Region OP Sales Goals'!AA86</f>
        <v>5532.7682336804664</v>
      </c>
      <c r="AE153" s="69">
        <f>AE$148*'Region OP Sales Goals'!AB86</f>
        <v>5731.4055200869534</v>
      </c>
      <c r="AF153" s="69">
        <f>AF$148*'Region OP Sales Goals'!AC86</f>
        <v>4053.8197117045852</v>
      </c>
      <c r="AG153" s="69">
        <f>AG$148*'Region OP Sales Goals'!AD86</f>
        <v>5595.4484434519663</v>
      </c>
      <c r="AH153" s="69">
        <f>AH$148*'Region OP Sales Goals'!AE86</f>
        <v>55797.728051347141</v>
      </c>
      <c r="AJ153" s="757"/>
      <c r="AK153" s="757"/>
      <c r="AL153" s="292" t="s">
        <v>103</v>
      </c>
      <c r="AM153" s="69">
        <v>4754.1428571428569</v>
      </c>
      <c r="AN153" s="69">
        <v>3941.5714285714284</v>
      </c>
      <c r="AO153" s="69">
        <v>3612</v>
      </c>
      <c r="AP153" s="69">
        <v>3231</v>
      </c>
      <c r="AQ153" s="156">
        <v>3817</v>
      </c>
      <c r="AR153" s="156">
        <v>3614.7142857142858</v>
      </c>
      <c r="AS153" s="156">
        <v>3491.8571428571427</v>
      </c>
      <c r="AT153" s="156">
        <v>3207.4285714285716</v>
      </c>
      <c r="AU153" s="69"/>
      <c r="AV153" s="69"/>
      <c r="AW153" s="69"/>
      <c r="AX153" s="69"/>
      <c r="AY153" s="69">
        <f t="shared" si="255"/>
        <v>29669.714285714286</v>
      </c>
      <c r="BA153" s="757"/>
      <c r="BB153" s="757"/>
      <c r="BC153" s="292" t="s">
        <v>103</v>
      </c>
      <c r="BD153" s="465">
        <f t="shared" ref="BD153:BD155" si="258">AM153/V153</f>
        <v>1.6661332065519237</v>
      </c>
      <c r="BE153" s="465">
        <f t="shared" si="247"/>
        <v>1.3020875063683026</v>
      </c>
      <c r="BF153" s="465">
        <f t="shared" si="234"/>
        <v>1.2396926520080571</v>
      </c>
      <c r="BG153" s="465">
        <f t="shared" si="235"/>
        <v>0.59773061616962531</v>
      </c>
      <c r="BH153" s="465">
        <f t="shared" si="236"/>
        <v>0.62295074627056035</v>
      </c>
      <c r="BI153" s="465">
        <f t="shared" si="237"/>
        <v>0.61567460643973315</v>
      </c>
      <c r="BJ153" s="465">
        <f t="shared" si="238"/>
        <v>0.75866153508161494</v>
      </c>
      <c r="BK153" s="465">
        <f t="shared" si="239"/>
        <v>0.6265400201919753</v>
      </c>
      <c r="BL153" s="465">
        <f t="shared" si="240"/>
        <v>0</v>
      </c>
      <c r="BM153" s="465">
        <f t="shared" si="241"/>
        <v>0</v>
      </c>
      <c r="BN153" s="465">
        <f t="shared" si="242"/>
        <v>0</v>
      </c>
      <c r="BO153" s="465">
        <f t="shared" si="243"/>
        <v>0</v>
      </c>
      <c r="BP153" s="465">
        <f t="shared" si="257"/>
        <v>0.53173695994236747</v>
      </c>
    </row>
    <row r="154" spans="2:68" ht="16" customHeight="1">
      <c r="B154" s="769"/>
      <c r="C154" s="769"/>
      <c r="D154" s="292" t="s">
        <v>104</v>
      </c>
      <c r="E154" s="69">
        <v>7070</v>
      </c>
      <c r="F154" s="69">
        <v>7870</v>
      </c>
      <c r="G154" s="69">
        <v>8719</v>
      </c>
      <c r="H154" s="69">
        <v>7062</v>
      </c>
      <c r="I154" s="69">
        <v>7350</v>
      </c>
      <c r="J154" s="69">
        <v>6572</v>
      </c>
      <c r="K154" s="69">
        <v>7302</v>
      </c>
      <c r="L154" s="69">
        <v>7351</v>
      </c>
      <c r="M154" s="69">
        <v>5581</v>
      </c>
      <c r="N154" s="69">
        <v>5652</v>
      </c>
      <c r="O154" s="69">
        <v>5824</v>
      </c>
      <c r="P154" s="69">
        <v>6334</v>
      </c>
      <c r="Q154" s="69">
        <f t="shared" si="254"/>
        <v>82687</v>
      </c>
      <c r="S154" s="769"/>
      <c r="T154" s="769"/>
      <c r="U154" s="292" t="s">
        <v>104</v>
      </c>
      <c r="V154" s="69">
        <v>5878.2036328356598</v>
      </c>
      <c r="W154" s="69">
        <v>5448.8108800129748</v>
      </c>
      <c r="X154" s="69">
        <v>5445.4081563666514</v>
      </c>
      <c r="Y154" s="69">
        <f>Y$148*'Region OP Sales Goals'!V87</f>
        <v>10391.21268797499</v>
      </c>
      <c r="Z154" s="69">
        <f>Z$148*'Region OP Sales Goals'!W87</f>
        <v>11784.541691370669</v>
      </c>
      <c r="AA154" s="69">
        <f>AA$148*'Region OP Sales Goals'!X87</f>
        <v>11290.661582700957</v>
      </c>
      <c r="AB154" s="69">
        <f>AB$148*'Region OP Sales Goals'!Y87</f>
        <v>8845.1017997042327</v>
      </c>
      <c r="AC154" s="69">
        <f>AC$148*'Region OP Sales Goals'!Z87</f>
        <v>9848.7510683918736</v>
      </c>
      <c r="AD154" s="69">
        <f>AD$148*'Region OP Sales Goals'!AA87</f>
        <v>10636.127589523045</v>
      </c>
      <c r="AE154" s="69">
        <f>AE$148*'Region OP Sales Goals'!AB87</f>
        <v>11015.044983917112</v>
      </c>
      <c r="AF154" s="69">
        <f>AF$148*'Region OP Sales Goals'!AC87</f>
        <v>7777.5238117068429</v>
      </c>
      <c r="AG154" s="69">
        <f>AG$148*'Region OP Sales Goals'!AD87</f>
        <v>10746.623083453884</v>
      </c>
      <c r="AH154" s="69">
        <f>AH$148*'Region OP Sales Goals'!AE87</f>
        <v>111188.96464044551</v>
      </c>
      <c r="AJ154" s="757"/>
      <c r="AK154" s="757"/>
      <c r="AL154" s="292" t="s">
        <v>104</v>
      </c>
      <c r="AM154" s="69">
        <v>5659.7142857142862</v>
      </c>
      <c r="AN154" s="69">
        <v>5160.2857142857138</v>
      </c>
      <c r="AO154" s="69">
        <v>4918</v>
      </c>
      <c r="AP154" s="69">
        <v>3982.2857142857142</v>
      </c>
      <c r="AQ154" s="156">
        <v>5199.7142857142862</v>
      </c>
      <c r="AR154" s="156">
        <v>5197.7142857142862</v>
      </c>
      <c r="AS154" s="156">
        <v>5066.5714285714284</v>
      </c>
      <c r="AT154" s="156">
        <v>4701.7142857142862</v>
      </c>
      <c r="AU154" s="69"/>
      <c r="AV154" s="69"/>
      <c r="AW154" s="69"/>
      <c r="AX154" s="69"/>
      <c r="AY154" s="69">
        <f t="shared" si="255"/>
        <v>39886</v>
      </c>
      <c r="BA154" s="757"/>
      <c r="BB154" s="757"/>
      <c r="BC154" s="292" t="s">
        <v>104</v>
      </c>
      <c r="BD154" s="465">
        <f t="shared" si="258"/>
        <v>0.96283059234271984</v>
      </c>
      <c r="BE154" s="465">
        <f t="shared" si="247"/>
        <v>0.94704804918342589</v>
      </c>
      <c r="BF154" s="465">
        <f t="shared" si="234"/>
        <v>0.90314625805413362</v>
      </c>
      <c r="BG154" s="465">
        <f t="shared" si="235"/>
        <v>0.3832358968933558</v>
      </c>
      <c r="BH154" s="465">
        <f t="shared" si="236"/>
        <v>0.44123177819650139</v>
      </c>
      <c r="BI154" s="465">
        <f t="shared" si="237"/>
        <v>0.46035515701559859</v>
      </c>
      <c r="BJ154" s="465">
        <f t="shared" si="238"/>
        <v>0.57281097982850204</v>
      </c>
      <c r="BK154" s="465">
        <f t="shared" si="239"/>
        <v>0.47739193051632212</v>
      </c>
      <c r="BL154" s="465">
        <f t="shared" si="240"/>
        <v>0</v>
      </c>
      <c r="BM154" s="465">
        <f t="shared" si="241"/>
        <v>0</v>
      </c>
      <c r="BN154" s="465">
        <f t="shared" si="242"/>
        <v>0</v>
      </c>
      <c r="BO154" s="465">
        <f t="shared" si="243"/>
        <v>0</v>
      </c>
      <c r="BP154" s="465">
        <f t="shared" si="257"/>
        <v>0.35872264958110134</v>
      </c>
    </row>
    <row r="155" spans="2:68" ht="16" customHeight="1">
      <c r="B155" s="770"/>
      <c r="C155" s="770"/>
      <c r="D155" s="292" t="s">
        <v>105</v>
      </c>
      <c r="E155" s="69">
        <v>3783</v>
      </c>
      <c r="F155" s="69">
        <v>4211</v>
      </c>
      <c r="G155" s="69">
        <v>5083</v>
      </c>
      <c r="H155" s="69">
        <v>4781</v>
      </c>
      <c r="I155" s="69">
        <v>4944</v>
      </c>
      <c r="J155" s="69">
        <v>4109</v>
      </c>
      <c r="K155" s="69">
        <v>4486</v>
      </c>
      <c r="L155" s="69">
        <v>4170</v>
      </c>
      <c r="M155" s="69">
        <v>3633</v>
      </c>
      <c r="N155" s="69">
        <v>3605</v>
      </c>
      <c r="O155" s="69">
        <v>3826</v>
      </c>
      <c r="P155" s="69">
        <v>3997</v>
      </c>
      <c r="Q155" s="69">
        <f t="shared" si="254"/>
        <v>50628</v>
      </c>
      <c r="S155" s="770"/>
      <c r="T155" s="770"/>
      <c r="U155" s="292" t="s">
        <v>105</v>
      </c>
      <c r="V155" s="69">
        <v>2621.4973319678757</v>
      </c>
      <c r="W155" s="69">
        <v>3291.3019255027866</v>
      </c>
      <c r="X155" s="69">
        <v>2963.4309631446558</v>
      </c>
      <c r="Y155" s="69">
        <f>Y$148*'Region OP Sales Goals'!V88</f>
        <v>5690.8256885678857</v>
      </c>
      <c r="Z155" s="69">
        <f>Z$148*'Region OP Sales Goals'!W88</f>
        <v>6463.0321241847678</v>
      </c>
      <c r="AA155" s="69">
        <f>AA$148*'Region OP Sales Goals'!X88</f>
        <v>6205.6821439734149</v>
      </c>
      <c r="AB155" s="69">
        <f>AB$148*'Region OP Sales Goals'!Y88</f>
        <v>4842.793293050735</v>
      </c>
      <c r="AC155" s="69">
        <f>AC$148*'Region OP Sales Goals'!Z88</f>
        <v>5392.1262445681105</v>
      </c>
      <c r="AD155" s="69">
        <f>AD$148*'Region OP Sales Goals'!AA88</f>
        <v>5830.0513029528502</v>
      </c>
      <c r="AE155" s="69">
        <f>AE$148*'Region OP Sales Goals'!AB88</f>
        <v>6035.886438341573</v>
      </c>
      <c r="AF155" s="69">
        <f>AF$148*'Region OP Sales Goals'!AC88</f>
        <v>4265.0937031940757</v>
      </c>
      <c r="AG155" s="69">
        <f>AG$148*'Region OP Sales Goals'!AD88</f>
        <v>5883.6260456898353</v>
      </c>
      <c r="AH155" s="69">
        <f>AH$148*'Region OP Sales Goals'!AE88</f>
        <v>60960.169621906454</v>
      </c>
      <c r="AJ155" s="757"/>
      <c r="AK155" s="757"/>
      <c r="AL155" s="292" t="s">
        <v>105</v>
      </c>
      <c r="AM155" s="69">
        <v>3734.5714285714284</v>
      </c>
      <c r="AN155" s="69">
        <v>2807.4285714285716</v>
      </c>
      <c r="AO155" s="69">
        <v>2947</v>
      </c>
      <c r="AP155" s="69">
        <v>2799.8571428571431</v>
      </c>
      <c r="AQ155" s="156">
        <v>3400.1428571428569</v>
      </c>
      <c r="AR155" s="156">
        <v>2848.2857142857142</v>
      </c>
      <c r="AS155" s="156">
        <v>3375.7142857142858</v>
      </c>
      <c r="AT155" s="156">
        <v>3048</v>
      </c>
      <c r="AU155" s="69"/>
      <c r="AV155" s="69"/>
      <c r="AW155" s="69"/>
      <c r="AX155" s="69"/>
      <c r="AY155" s="69">
        <f t="shared" si="255"/>
        <v>24961</v>
      </c>
      <c r="BA155" s="757"/>
      <c r="BB155" s="757"/>
      <c r="BC155" s="292" t="s">
        <v>105</v>
      </c>
      <c r="BD155" s="465">
        <f t="shared" si="258"/>
        <v>1.4245947852130763</v>
      </c>
      <c r="BE155" s="465">
        <f t="shared" si="247"/>
        <v>0.85298420958438881</v>
      </c>
      <c r="BF155" s="465">
        <f t="shared" si="234"/>
        <v>0.99445542570452861</v>
      </c>
      <c r="BG155" s="465">
        <f t="shared" si="235"/>
        <v>0.49199488722377932</v>
      </c>
      <c r="BH155" s="465">
        <f t="shared" si="236"/>
        <v>0.52609097275247463</v>
      </c>
      <c r="BI155" s="465">
        <f t="shared" si="237"/>
        <v>0.45898027778490041</v>
      </c>
      <c r="BJ155" s="465">
        <f t="shared" si="238"/>
        <v>0.69705933775004103</v>
      </c>
      <c r="BK155" s="465">
        <f t="shared" si="239"/>
        <v>0.56526866429925982</v>
      </c>
      <c r="BL155" s="465">
        <f t="shared" si="240"/>
        <v>0</v>
      </c>
      <c r="BM155" s="465">
        <f t="shared" si="241"/>
        <v>0</v>
      </c>
      <c r="BN155" s="465">
        <f t="shared" si="242"/>
        <v>0</v>
      </c>
      <c r="BO155" s="465">
        <f t="shared" si="243"/>
        <v>0</v>
      </c>
      <c r="BP155" s="465">
        <f t="shared" si="257"/>
        <v>0.40946408375855459</v>
      </c>
    </row>
    <row r="156" spans="2:68">
      <c r="B156" s="768" t="s">
        <v>57</v>
      </c>
      <c r="C156" s="768" t="s">
        <v>49</v>
      </c>
      <c r="D156" s="343" t="s">
        <v>58</v>
      </c>
      <c r="E156" s="344">
        <f>E157+E165+E173</f>
        <v>342426</v>
      </c>
      <c r="F156" s="344">
        <f t="shared" ref="F156:P156" si="259">F157+F165+F173</f>
        <v>350347</v>
      </c>
      <c r="G156" s="344">
        <f t="shared" si="259"/>
        <v>389155</v>
      </c>
      <c r="H156" s="344">
        <f t="shared" si="259"/>
        <v>377324</v>
      </c>
      <c r="I156" s="344">
        <f t="shared" si="259"/>
        <v>378319</v>
      </c>
      <c r="J156" s="344">
        <f t="shared" si="259"/>
        <v>348881</v>
      </c>
      <c r="K156" s="344">
        <f t="shared" si="259"/>
        <v>403541</v>
      </c>
      <c r="L156" s="344">
        <f t="shared" si="259"/>
        <v>419532</v>
      </c>
      <c r="M156" s="344">
        <f t="shared" si="259"/>
        <v>379117</v>
      </c>
      <c r="N156" s="344">
        <f t="shared" si="259"/>
        <v>377606</v>
      </c>
      <c r="O156" s="344">
        <f t="shared" si="259"/>
        <v>385126</v>
      </c>
      <c r="P156" s="344">
        <f t="shared" si="259"/>
        <v>403323</v>
      </c>
      <c r="Q156" s="344">
        <f>Q157+Q165+Q173</f>
        <v>4554697</v>
      </c>
      <c r="S156" s="768" t="s">
        <v>57</v>
      </c>
      <c r="T156" s="768" t="s">
        <v>49</v>
      </c>
      <c r="U156" s="343" t="s">
        <v>58</v>
      </c>
      <c r="V156" s="344">
        <v>332896.38856204884</v>
      </c>
      <c r="W156" s="344">
        <v>379087.75348214171</v>
      </c>
      <c r="X156" s="344">
        <v>404741.36395626352</v>
      </c>
      <c r="Y156" s="344" cm="1">
        <f t="array" ref="Y156">INDEX('Shop Goals'!$H$88:$H$99, COLUMN()-COLUMN($V$3)+1)</f>
        <v>407280.41414026741</v>
      </c>
      <c r="Z156" s="344" cm="1">
        <f t="array" ref="Z156">INDEX('Shop Goals'!$H$88:$H$99, COLUMN()-COLUMN($V$3)+1)</f>
        <v>461913.64920092904</v>
      </c>
      <c r="AA156" s="344" cm="1">
        <f t="array" ref="AA156">INDEX('Shop Goals'!$H$88:$H$99, COLUMN()-COLUMN($V$3)+1)</f>
        <v>442640.70038944203</v>
      </c>
      <c r="AB156" s="344" cm="1">
        <f t="array" ref="AB156">INDEX('Shop Goals'!$H$88:$H$99, COLUMN()-COLUMN($V$3)+1)</f>
        <v>386645.41901487426</v>
      </c>
      <c r="AC156" s="344" cm="1">
        <f t="array" ref="AC156">INDEX('Shop Goals'!$H$88:$H$99, COLUMN()-COLUMN($V$3)+1)</f>
        <v>430296.70604906516</v>
      </c>
      <c r="AD156" s="344" cm="1">
        <f t="array" ref="AD156">INDEX('Shop Goals'!$H$88:$H$99, COLUMN()-COLUMN($V$3)+1)</f>
        <v>416837.24826166598</v>
      </c>
      <c r="AE156" s="344" cm="1">
        <f t="array" ref="AE156">INDEX('Shop Goals'!$H$88:$H$99, COLUMN()-COLUMN($V$3)+1)</f>
        <v>431650.34114983369</v>
      </c>
      <c r="AF156" s="344" cm="1">
        <f t="array" ref="AF156">INDEX('Shop Goals'!$H$88:$H$99, COLUMN()-COLUMN($V$3)+1)</f>
        <v>340093.25531068968</v>
      </c>
      <c r="AG156" s="344" cm="1">
        <f t="array" ref="AG156">INDEX('Shop Goals'!$H$88:$H$99, COLUMN()-COLUMN($V$3)+1)</f>
        <v>469665.74657040823</v>
      </c>
      <c r="AH156" s="345">
        <f t="shared" ref="AH156:AH165" si="260">SUM(V156:AG156)</f>
        <v>4903748.9860876296</v>
      </c>
      <c r="AI156" s="47"/>
      <c r="AJ156" s="757" t="s">
        <v>57</v>
      </c>
      <c r="AK156" s="757" t="s">
        <v>49</v>
      </c>
      <c r="AL156" s="343" t="s">
        <v>58</v>
      </c>
      <c r="AM156" s="344">
        <f>AM157+AM165+AM173</f>
        <v>405361</v>
      </c>
      <c r="AN156" s="344">
        <f t="shared" ref="AN156:AX156" si="261">AN157+AN165+AN173</f>
        <v>376179</v>
      </c>
      <c r="AO156" s="344">
        <f t="shared" si="261"/>
        <v>414470</v>
      </c>
      <c r="AP156" s="344">
        <f t="shared" si="261"/>
        <v>391129</v>
      </c>
      <c r="AQ156" s="344">
        <f t="shared" si="261"/>
        <v>413666</v>
      </c>
      <c r="AR156" s="344">
        <f t="shared" si="261"/>
        <v>389743</v>
      </c>
      <c r="AS156" s="344">
        <f t="shared" si="261"/>
        <v>448120</v>
      </c>
      <c r="AT156" s="344">
        <f t="shared" si="261"/>
        <v>324950</v>
      </c>
      <c r="AU156" s="344">
        <f t="shared" si="261"/>
        <v>0</v>
      </c>
      <c r="AV156" s="344">
        <f t="shared" si="261"/>
        <v>0</v>
      </c>
      <c r="AW156" s="344">
        <f t="shared" si="261"/>
        <v>0</v>
      </c>
      <c r="AX156" s="344">
        <f t="shared" si="261"/>
        <v>0</v>
      </c>
      <c r="AY156" s="344">
        <f>AY157+AY165+AY173</f>
        <v>3163618</v>
      </c>
      <c r="BA156" s="757" t="s">
        <v>57</v>
      </c>
      <c r="BB156" s="757" t="s">
        <v>49</v>
      </c>
      <c r="BC156" s="343" t="s">
        <v>58</v>
      </c>
      <c r="BD156" s="463">
        <f>AM156/V156</f>
        <v>1.2176791756467025</v>
      </c>
      <c r="BE156" s="463">
        <f>AN156/W156</f>
        <v>0.99232696531232378</v>
      </c>
      <c r="BF156" s="463">
        <f t="shared" si="234"/>
        <v>1.0240366735651654</v>
      </c>
      <c r="BG156" s="463">
        <f t="shared" si="235"/>
        <v>0.96034325840499446</v>
      </c>
      <c r="BH156" s="463">
        <f t="shared" si="236"/>
        <v>0.89554833617843221</v>
      </c>
      <c r="BI156" s="463">
        <f t="shared" si="237"/>
        <v>0.88049517285034606</v>
      </c>
      <c r="BJ156" s="463">
        <f t="shared" si="238"/>
        <v>1.1589947221972927</v>
      </c>
      <c r="BK156" s="463">
        <f t="shared" si="239"/>
        <v>0.75517659194664422</v>
      </c>
      <c r="BL156" s="463">
        <f t="shared" si="240"/>
        <v>0</v>
      </c>
      <c r="BM156" s="463">
        <f t="shared" si="241"/>
        <v>0</v>
      </c>
      <c r="BN156" s="463">
        <f t="shared" si="242"/>
        <v>0</v>
      </c>
      <c r="BO156" s="463">
        <f t="shared" si="243"/>
        <v>0</v>
      </c>
      <c r="BP156" s="463">
        <f t="shared" si="257"/>
        <v>0.64514272834426567</v>
      </c>
    </row>
    <row r="157" spans="2:68">
      <c r="B157" s="769"/>
      <c r="C157" s="769"/>
      <c r="D157" s="182" t="s">
        <v>60</v>
      </c>
      <c r="E157" s="341">
        <f>SUM(E158:E164)</f>
        <v>4719</v>
      </c>
      <c r="F157" s="341">
        <f t="shared" ref="F157:Q157" si="262">SUM(F158:F164)</f>
        <v>5208</v>
      </c>
      <c r="G157" s="341">
        <f t="shared" si="262"/>
        <v>7048</v>
      </c>
      <c r="H157" s="341">
        <f t="shared" si="262"/>
        <v>5447</v>
      </c>
      <c r="I157" s="341">
        <f t="shared" si="262"/>
        <v>4909</v>
      </c>
      <c r="J157" s="341">
        <f t="shared" si="262"/>
        <v>4442</v>
      </c>
      <c r="K157" s="341">
        <f t="shared" si="262"/>
        <v>4053</v>
      </c>
      <c r="L157" s="341">
        <f t="shared" si="262"/>
        <v>6256</v>
      </c>
      <c r="M157" s="341">
        <f t="shared" si="262"/>
        <v>4209</v>
      </c>
      <c r="N157" s="341">
        <f t="shared" si="262"/>
        <v>4359</v>
      </c>
      <c r="O157" s="341">
        <f t="shared" si="262"/>
        <v>4529</v>
      </c>
      <c r="P157" s="341">
        <f t="shared" si="262"/>
        <v>6473</v>
      </c>
      <c r="Q157" s="341">
        <f t="shared" si="262"/>
        <v>61652</v>
      </c>
      <c r="S157" s="769"/>
      <c r="T157" s="769"/>
      <c r="U157" s="182" t="s">
        <v>60</v>
      </c>
      <c r="V157" s="341">
        <v>4237.6769255645986</v>
      </c>
      <c r="W157" s="341">
        <v>4825.6799439443757</v>
      </c>
      <c r="X157" s="341">
        <v>5974.2319226924365</v>
      </c>
      <c r="Y157" s="341" cm="1">
        <f t="array" ref="Y157">INDEX('Shop Goals'!$D$88:$D$99, COLUMN()-COLUMN($V$3)+1)</f>
        <v>5184.5645448175501</v>
      </c>
      <c r="Z157" s="341" cm="1">
        <f t="array" ref="Z157">INDEX('Shop Goals'!$D$88:$D$99, COLUMN()-COLUMN($V$3)+1)</f>
        <v>5880.0301837977686</v>
      </c>
      <c r="AA157" s="341" cm="1">
        <f t="array" ref="AA157">INDEX('Shop Goals'!$D$88:$D$99, COLUMN()-COLUMN($V$3)+1)</f>
        <v>5634.6909933703446</v>
      </c>
      <c r="AB157" s="341" cm="1">
        <f t="array" ref="AB157">INDEX('Shop Goals'!$D$88:$D$99, COLUMN()-COLUMN($V$3)+1)</f>
        <v>5707.1246251249586</v>
      </c>
      <c r="AC157" s="341" cm="1">
        <f t="array" ref="AC157">INDEX('Shop Goals'!$D$88:$D$99, COLUMN()-COLUMN($V$3)+1)</f>
        <v>6351.4445184938359</v>
      </c>
      <c r="AD157" s="341" cm="1">
        <f t="array" ref="AD157">INDEX('Shop Goals'!$D$88:$D$99, COLUMN()-COLUMN($V$3)+1)</f>
        <v>5306.2203417237106</v>
      </c>
      <c r="AE157" s="341" cm="1">
        <f t="array" ref="AE157">INDEX('Shop Goals'!$D$88:$D$99, COLUMN()-COLUMN($V$3)+1)</f>
        <v>5494.7868269282599</v>
      </c>
      <c r="AF157" s="341" cm="1">
        <f t="array" ref="AF157">INDEX('Shop Goals'!$D$88:$D$99, COLUMN()-COLUMN($V$3)+1)</f>
        <v>5019.986004665112</v>
      </c>
      <c r="AG157" s="341" cm="1">
        <f t="array" ref="AG157">INDEX('Shop Goals'!$D$88:$D$99, COLUMN()-COLUMN($V$3)+1)</f>
        <v>6932.5558147284237</v>
      </c>
      <c r="AH157" s="342">
        <f t="shared" si="260"/>
        <v>66548.99264585138</v>
      </c>
      <c r="AJ157" s="757"/>
      <c r="AK157" s="757"/>
      <c r="AL157" s="182" t="s">
        <v>60</v>
      </c>
      <c r="AM157" s="341">
        <f>SUM(AM158:AM164)</f>
        <v>5326</v>
      </c>
      <c r="AN157" s="341">
        <f t="shared" ref="AN157:AY157" si="263">SUM(AN158:AN164)</f>
        <v>4443</v>
      </c>
      <c r="AO157" s="341">
        <f t="shared" si="263"/>
        <v>5660</v>
      </c>
      <c r="AP157" s="341">
        <f t="shared" si="263"/>
        <v>4162</v>
      </c>
      <c r="AQ157" s="341">
        <f t="shared" si="263"/>
        <v>4359</v>
      </c>
      <c r="AR157" s="341">
        <f t="shared" si="263"/>
        <v>4329</v>
      </c>
      <c r="AS157" s="341">
        <f t="shared" si="263"/>
        <v>5210</v>
      </c>
      <c r="AT157" s="341">
        <f t="shared" si="263"/>
        <v>4841</v>
      </c>
      <c r="AU157" s="341">
        <f t="shared" si="263"/>
        <v>0</v>
      </c>
      <c r="AV157" s="341">
        <f t="shared" si="263"/>
        <v>0</v>
      </c>
      <c r="AW157" s="341">
        <f t="shared" si="263"/>
        <v>0</v>
      </c>
      <c r="AX157" s="341">
        <f t="shared" si="263"/>
        <v>0</v>
      </c>
      <c r="AY157" s="341">
        <f t="shared" si="263"/>
        <v>38330</v>
      </c>
      <c r="BA157" s="757"/>
      <c r="BB157" s="757"/>
      <c r="BC157" s="182" t="s">
        <v>60</v>
      </c>
      <c r="BD157" s="464">
        <f>AM157/V157</f>
        <v>1.2568206811307119</v>
      </c>
      <c r="BE157" s="464">
        <f t="shared" ref="BE157:BE180" si="264">AN157/W157</f>
        <v>0.92069926965948268</v>
      </c>
      <c r="BF157" s="464">
        <f t="shared" si="234"/>
        <v>0.94740212185287576</v>
      </c>
      <c r="BG157" s="464">
        <f t="shared" si="235"/>
        <v>0.80276751577146488</v>
      </c>
      <c r="BH157" s="464">
        <f t="shared" si="236"/>
        <v>0.74132272518108533</v>
      </c>
      <c r="BI157" s="464">
        <f t="shared" si="237"/>
        <v>0.76827638021204847</v>
      </c>
      <c r="BJ157" s="464">
        <f t="shared" si="238"/>
        <v>0.91289403022032767</v>
      </c>
      <c r="BK157" s="464">
        <f t="shared" si="239"/>
        <v>0.76218881955186812</v>
      </c>
      <c r="BL157" s="464">
        <f t="shared" si="240"/>
        <v>0</v>
      </c>
      <c r="BM157" s="464">
        <f t="shared" si="241"/>
        <v>0</v>
      </c>
      <c r="BN157" s="464">
        <f t="shared" si="242"/>
        <v>0</v>
      </c>
      <c r="BO157" s="464">
        <f t="shared" si="243"/>
        <v>0</v>
      </c>
      <c r="BP157" s="464">
        <f t="shared" si="257"/>
        <v>0.5759666446639965</v>
      </c>
    </row>
    <row r="158" spans="2:68" ht="16" customHeight="1">
      <c r="B158" s="769"/>
      <c r="C158" s="769"/>
      <c r="D158" s="292" t="s">
        <v>99</v>
      </c>
      <c r="E158" s="69">
        <v>666</v>
      </c>
      <c r="F158" s="69">
        <v>800</v>
      </c>
      <c r="G158" s="69">
        <v>1299</v>
      </c>
      <c r="H158" s="69">
        <v>982</v>
      </c>
      <c r="I158" s="69">
        <v>782</v>
      </c>
      <c r="J158" s="69">
        <v>738</v>
      </c>
      <c r="K158" s="69">
        <v>731</v>
      </c>
      <c r="L158" s="69">
        <v>1121</v>
      </c>
      <c r="M158" s="69">
        <v>763</v>
      </c>
      <c r="N158" s="69">
        <v>867</v>
      </c>
      <c r="O158" s="69">
        <v>787</v>
      </c>
      <c r="P158" s="69">
        <v>981</v>
      </c>
      <c r="Q158" s="69">
        <f>SUM(E158:P158)</f>
        <v>10517</v>
      </c>
      <c r="S158" s="769"/>
      <c r="T158" s="769"/>
      <c r="U158" s="292" t="s">
        <v>99</v>
      </c>
      <c r="V158" s="69">
        <v>508.92675039077238</v>
      </c>
      <c r="W158" s="69">
        <v>692.86138644705943</v>
      </c>
      <c r="X158" s="69">
        <v>849.76439622412272</v>
      </c>
      <c r="Y158" s="69">
        <f>Y$157*'Region OP Sales Goals'!V82</f>
        <v>691.41044575001354</v>
      </c>
      <c r="Z158" s="69">
        <f>Z$157*'Region OP Sales Goals'!W82</f>
        <v>784.67989004473679</v>
      </c>
      <c r="AA158" s="69">
        <f>AA$157*'Region OP Sales Goals'!X82</f>
        <v>751.56150933444542</v>
      </c>
      <c r="AB158" s="69">
        <f>AB$157*'Region OP Sales Goals'!Y82</f>
        <v>762.33854481596154</v>
      </c>
      <c r="AC158" s="69">
        <f>AC$157*'Region OP Sales Goals'!Z82</f>
        <v>847.94117174398707</v>
      </c>
      <c r="AD158" s="69">
        <f>AD$157*'Region OP Sales Goals'!AA82</f>
        <v>708.16098545560806</v>
      </c>
      <c r="AE158" s="69">
        <f>AE$157*'Region OP Sales Goals'!AB82</f>
        <v>733.35934422388982</v>
      </c>
      <c r="AF158" s="69">
        <f>AF$157*'Region OP Sales Goals'!AC82</f>
        <v>670.01866592039482</v>
      </c>
      <c r="AG158" s="69">
        <f>AG$157*'Region OP Sales Goals'!AD82</f>
        <v>926.09047389828061</v>
      </c>
      <c r="AH158" s="69">
        <f>AH$157*'Region OP Sales Goals'!AE82</f>
        <v>8711.5253055108224</v>
      </c>
      <c r="AJ158" s="757"/>
      <c r="AK158" s="757"/>
      <c r="AL158" s="292" t="s">
        <v>99</v>
      </c>
      <c r="AM158" s="69">
        <v>879</v>
      </c>
      <c r="AN158" s="69">
        <v>734</v>
      </c>
      <c r="AO158" s="69">
        <v>988</v>
      </c>
      <c r="AP158" s="69">
        <v>712</v>
      </c>
      <c r="AQ158" s="69">
        <v>688</v>
      </c>
      <c r="AR158" s="69">
        <v>796</v>
      </c>
      <c r="AS158" s="69">
        <v>1001</v>
      </c>
      <c r="AT158" s="69">
        <v>825</v>
      </c>
      <c r="AU158" s="69"/>
      <c r="AV158" s="69"/>
      <c r="AW158" s="69"/>
      <c r="AX158" s="69"/>
      <c r="AY158" s="69">
        <f>SUM(AM158:AX158)</f>
        <v>6623</v>
      </c>
      <c r="BA158" s="757"/>
      <c r="BB158" s="757"/>
      <c r="BC158" s="292" t="s">
        <v>99</v>
      </c>
      <c r="BD158" s="465">
        <f>AM158/V158</f>
        <v>1.7271640748399881</v>
      </c>
      <c r="BE158" s="465">
        <f t="shared" si="264"/>
        <v>1.0593749548721372</v>
      </c>
      <c r="BF158" s="465">
        <f t="shared" si="234"/>
        <v>1.1626752125531723</v>
      </c>
      <c r="BG158" s="465">
        <f t="shared" si="235"/>
        <v>1.0297790615929323</v>
      </c>
      <c r="BH158" s="465">
        <f t="shared" si="236"/>
        <v>0.87679066168087372</v>
      </c>
      <c r="BI158" s="465">
        <f t="shared" si="237"/>
        <v>1.0591282152074388</v>
      </c>
      <c r="BJ158" s="465">
        <f t="shared" si="238"/>
        <v>1.3130649195255559</v>
      </c>
      <c r="BK158" s="465">
        <f t="shared" si="239"/>
        <v>0.97294485453890245</v>
      </c>
      <c r="BL158" s="465">
        <f t="shared" si="240"/>
        <v>0</v>
      </c>
      <c r="BM158" s="465">
        <f t="shared" si="241"/>
        <v>0</v>
      </c>
      <c r="BN158" s="465">
        <f t="shared" si="242"/>
        <v>0</v>
      </c>
      <c r="BO158" s="465">
        <f t="shared" si="243"/>
        <v>0</v>
      </c>
      <c r="BP158" s="465">
        <f>AY158/AH158</f>
        <v>0.7602572187686073</v>
      </c>
    </row>
    <row r="159" spans="2:68" ht="16" customHeight="1">
      <c r="B159" s="769"/>
      <c r="C159" s="769"/>
      <c r="D159" s="292" t="s">
        <v>100</v>
      </c>
      <c r="E159" s="69">
        <v>1035</v>
      </c>
      <c r="F159" s="69">
        <v>1152</v>
      </c>
      <c r="G159" s="69">
        <v>1534</v>
      </c>
      <c r="H159" s="69">
        <v>1226</v>
      </c>
      <c r="I159" s="69">
        <v>1169</v>
      </c>
      <c r="J159" s="69">
        <v>1063</v>
      </c>
      <c r="K159" s="69">
        <v>973</v>
      </c>
      <c r="L159" s="69">
        <v>1432</v>
      </c>
      <c r="M159" s="69">
        <v>987</v>
      </c>
      <c r="N159" s="69">
        <v>1044</v>
      </c>
      <c r="O159" s="69">
        <v>902</v>
      </c>
      <c r="P159" s="69">
        <v>1282</v>
      </c>
      <c r="Q159" s="69">
        <f t="shared" ref="Q159:Q164" si="265">SUM(E159:P159)</f>
        <v>13799</v>
      </c>
      <c r="S159" s="769"/>
      <c r="T159" s="769"/>
      <c r="U159" s="292" t="s">
        <v>100</v>
      </c>
      <c r="V159" s="69">
        <v>879.97693095456259</v>
      </c>
      <c r="W159" s="69">
        <v>1080.2439507545209</v>
      </c>
      <c r="X159" s="69">
        <v>1347.9765168529864</v>
      </c>
      <c r="Y159" s="69">
        <f>Y$157*'Region OP Sales Goals'!V83</f>
        <v>1149.647280763219</v>
      </c>
      <c r="Z159" s="69">
        <f>Z$157*'Region OP Sales Goals'!W83</f>
        <v>1303.7446235110226</v>
      </c>
      <c r="AA159" s="69">
        <f>AA$157*'Region OP Sales Goals'!X83</f>
        <v>1250.5821889194131</v>
      </c>
      <c r="AB159" s="69">
        <f>AB$157*'Region OP Sales Goals'!Y83</f>
        <v>1266.3984569620347</v>
      </c>
      <c r="AC159" s="69">
        <f>AC$157*'Region OP Sales Goals'!Z83</f>
        <v>1409.8543405791172</v>
      </c>
      <c r="AD159" s="69">
        <f>AD$157*'Region OP Sales Goals'!AA83</f>
        <v>1176.9436096304471</v>
      </c>
      <c r="AE159" s="69">
        <f>AE$157*'Region OP Sales Goals'!AB83</f>
        <v>1217.9389699057522</v>
      </c>
      <c r="AF159" s="69">
        <f>AF$157*'Region OP Sales Goals'!AC83</f>
        <v>1113.2617833754252</v>
      </c>
      <c r="AG159" s="69">
        <f>AG$157*'Region OP Sales Goals'!AD83</f>
        <v>1537.2351995882389</v>
      </c>
      <c r="AH159" s="69">
        <f>AH$157*'Region OP Sales Goals'!AE83</f>
        <v>14542.610744866097</v>
      </c>
      <c r="AJ159" s="757"/>
      <c r="AK159" s="757"/>
      <c r="AL159" s="292" t="s">
        <v>100</v>
      </c>
      <c r="AM159" s="69">
        <v>970</v>
      </c>
      <c r="AN159" s="69">
        <v>910</v>
      </c>
      <c r="AO159" s="69">
        <v>1079</v>
      </c>
      <c r="AP159" s="69">
        <v>814</v>
      </c>
      <c r="AQ159" s="69">
        <v>845</v>
      </c>
      <c r="AR159" s="69">
        <v>866</v>
      </c>
      <c r="AS159" s="69">
        <v>979</v>
      </c>
      <c r="AT159" s="69">
        <v>1025</v>
      </c>
      <c r="AU159" s="69"/>
      <c r="AV159" s="69"/>
      <c r="AW159" s="69"/>
      <c r="AX159" s="69"/>
      <c r="AY159" s="69">
        <f t="shared" ref="AY159:AY164" si="266">SUM(AM159:AX159)</f>
        <v>7488</v>
      </c>
      <c r="BA159" s="757"/>
      <c r="BB159" s="757"/>
      <c r="BC159" s="292" t="s">
        <v>100</v>
      </c>
      <c r="BD159" s="465">
        <f t="shared" ref="BD159:BD164" si="267">AM159/V159</f>
        <v>1.1023016239161907</v>
      </c>
      <c r="BE159" s="465">
        <f t="shared" si="264"/>
        <v>0.84240231048217384</v>
      </c>
      <c r="BF159" s="465">
        <f t="shared" si="234"/>
        <v>0.80045904844029148</v>
      </c>
      <c r="BG159" s="465">
        <f t="shared" si="235"/>
        <v>0.70804325258753098</v>
      </c>
      <c r="BH159" s="465">
        <f t="shared" si="236"/>
        <v>0.64813306591009379</v>
      </c>
      <c r="BI159" s="465">
        <f t="shared" si="237"/>
        <v>0.69247747782837221</v>
      </c>
      <c r="BJ159" s="465">
        <f t="shared" si="238"/>
        <v>0.77305842771517952</v>
      </c>
      <c r="BK159" s="465">
        <f t="shared" si="239"/>
        <v>0.72702545965065235</v>
      </c>
      <c r="BL159" s="465">
        <f t="shared" si="240"/>
        <v>0</v>
      </c>
      <c r="BM159" s="465">
        <f t="shared" si="241"/>
        <v>0</v>
      </c>
      <c r="BN159" s="465">
        <f t="shared" si="242"/>
        <v>0</v>
      </c>
      <c r="BO159" s="465">
        <f t="shared" si="243"/>
        <v>0</v>
      </c>
      <c r="BP159" s="465">
        <f t="shared" ref="BP159:BP165" si="268">AY159/AH159</f>
        <v>0.51490066889423214</v>
      </c>
    </row>
    <row r="160" spans="2:68" ht="16" customHeight="1">
      <c r="B160" s="769"/>
      <c r="C160" s="769"/>
      <c r="D160" s="292" t="s">
        <v>101</v>
      </c>
      <c r="E160" s="69">
        <v>619</v>
      </c>
      <c r="F160" s="69">
        <v>551</v>
      </c>
      <c r="G160" s="69">
        <v>833</v>
      </c>
      <c r="H160" s="69">
        <v>692</v>
      </c>
      <c r="I160" s="69">
        <v>528</v>
      </c>
      <c r="J160" s="69">
        <v>444</v>
      </c>
      <c r="K160" s="69">
        <v>419</v>
      </c>
      <c r="L160" s="69">
        <v>615</v>
      </c>
      <c r="M160" s="69">
        <v>383</v>
      </c>
      <c r="N160" s="69">
        <v>384</v>
      </c>
      <c r="O160" s="69">
        <v>429</v>
      </c>
      <c r="P160" s="69">
        <v>633</v>
      </c>
      <c r="Q160" s="69">
        <f t="shared" si="265"/>
        <v>6530</v>
      </c>
      <c r="S160" s="769"/>
      <c r="T160" s="769"/>
      <c r="U160" s="292" t="s">
        <v>101</v>
      </c>
      <c r="V160" s="69">
        <v>338.60863472214737</v>
      </c>
      <c r="W160" s="69">
        <v>429.44124271798574</v>
      </c>
      <c r="X160" s="69">
        <v>528.40679460637068</v>
      </c>
      <c r="Y160" s="69">
        <f>Y$157*'Region OP Sales Goals'!V84</f>
        <v>460.2644316283081</v>
      </c>
      <c r="Z160" s="69">
        <f>Z$157*'Region OP Sales Goals'!W84</f>
        <v>521.09233008138847</v>
      </c>
      <c r="AA160" s="69">
        <f>AA$157*'Region OP Sales Goals'!X84</f>
        <v>499.02067958496775</v>
      </c>
      <c r="AB160" s="69">
        <f>AB$157*'Region OP Sales Goals'!Y84</f>
        <v>506.14280434502365</v>
      </c>
      <c r="AC160" s="69">
        <f>AC$157*'Region OP Sales Goals'!Z84</f>
        <v>563.94173623164693</v>
      </c>
      <c r="AD160" s="69">
        <f>AD$157*'Region OP Sales Goals'!AA84</f>
        <v>470.77744385217886</v>
      </c>
      <c r="AE160" s="69">
        <f>AE$157*'Region OP Sales Goals'!AB84</f>
        <v>486.74292758222771</v>
      </c>
      <c r="AF160" s="69">
        <f>AF$157*'Region OP Sales Goals'!AC84</f>
        <v>445.30471335017012</v>
      </c>
      <c r="AG160" s="69">
        <f>AG$157*'Region OP Sales Goals'!AD84</f>
        <v>614.89407983529566</v>
      </c>
      <c r="AH160" s="69">
        <f>AH$157*'Region OP Sales Goals'!AE84</f>
        <v>5845.1265807641112</v>
      </c>
      <c r="AJ160" s="757"/>
      <c r="AK160" s="757"/>
      <c r="AL160" s="292" t="s">
        <v>101</v>
      </c>
      <c r="AM160" s="69">
        <v>452</v>
      </c>
      <c r="AN160" s="69">
        <v>468</v>
      </c>
      <c r="AO160" s="69">
        <v>566</v>
      </c>
      <c r="AP160" s="69">
        <v>421</v>
      </c>
      <c r="AQ160" s="69">
        <v>429</v>
      </c>
      <c r="AR160" s="69">
        <v>471</v>
      </c>
      <c r="AS160" s="69">
        <v>506</v>
      </c>
      <c r="AT160" s="69">
        <v>483</v>
      </c>
      <c r="AU160" s="69"/>
      <c r="AV160" s="69"/>
      <c r="AW160" s="69"/>
      <c r="AX160" s="69"/>
      <c r="AY160" s="69">
        <f t="shared" si="266"/>
        <v>3796</v>
      </c>
      <c r="BA160" s="757"/>
      <c r="BB160" s="757"/>
      <c r="BC160" s="292" t="s">
        <v>101</v>
      </c>
      <c r="BD160" s="465">
        <f t="shared" si="267"/>
        <v>1.3348744055830069</v>
      </c>
      <c r="BE160" s="465">
        <f t="shared" si="264"/>
        <v>1.0897882025442438</v>
      </c>
      <c r="BF160" s="465">
        <f t="shared" si="234"/>
        <v>1.0711444398091698</v>
      </c>
      <c r="BG160" s="465">
        <f t="shared" si="235"/>
        <v>0.914691579600449</v>
      </c>
      <c r="BH160" s="465">
        <f t="shared" si="236"/>
        <v>0.82327060913177375</v>
      </c>
      <c r="BI160" s="465">
        <f t="shared" si="237"/>
        <v>0.94384866052390382</v>
      </c>
      <c r="BJ160" s="465">
        <f t="shared" si="238"/>
        <v>0.99971785760106091</v>
      </c>
      <c r="BK160" s="465">
        <f t="shared" si="239"/>
        <v>0.85647145612503672</v>
      </c>
      <c r="BL160" s="465">
        <f t="shared" si="240"/>
        <v>0</v>
      </c>
      <c r="BM160" s="465">
        <f t="shared" si="241"/>
        <v>0</v>
      </c>
      <c r="BN160" s="465">
        <f t="shared" si="242"/>
        <v>0</v>
      </c>
      <c r="BO160" s="465">
        <f t="shared" si="243"/>
        <v>0</v>
      </c>
      <c r="BP160" s="465">
        <f t="shared" si="268"/>
        <v>0.64942990498997255</v>
      </c>
    </row>
    <row r="161" spans="2:68" ht="16" customHeight="1">
      <c r="B161" s="769"/>
      <c r="C161" s="769"/>
      <c r="D161" s="292" t="s">
        <v>102</v>
      </c>
      <c r="E161" s="69">
        <v>222</v>
      </c>
      <c r="F161" s="69">
        <v>261</v>
      </c>
      <c r="G161" s="69">
        <v>291</v>
      </c>
      <c r="H161" s="69">
        <v>170</v>
      </c>
      <c r="I161" s="69">
        <v>171</v>
      </c>
      <c r="J161" s="69">
        <v>191</v>
      </c>
      <c r="K161" s="69">
        <v>174</v>
      </c>
      <c r="L161" s="69">
        <v>247</v>
      </c>
      <c r="M161" s="69">
        <v>173</v>
      </c>
      <c r="N161" s="69">
        <v>205</v>
      </c>
      <c r="O161" s="69">
        <v>203</v>
      </c>
      <c r="P161" s="69">
        <v>372</v>
      </c>
      <c r="Q161" s="69">
        <f t="shared" si="265"/>
        <v>2680</v>
      </c>
      <c r="S161" s="769"/>
      <c r="T161" s="769"/>
      <c r="U161" s="292" t="s">
        <v>102</v>
      </c>
      <c r="V161" s="69">
        <v>227.09082089150002</v>
      </c>
      <c r="W161" s="69">
        <v>256.77929976951725</v>
      </c>
      <c r="X161" s="69">
        <v>306.26026462899853</v>
      </c>
      <c r="Y161" s="69">
        <f>Y$157*'Region OP Sales Goals'!V85</f>
        <v>287.91871934458038</v>
      </c>
      <c r="Z161" s="69">
        <f>Z$157*'Region OP Sales Goals'!W85</f>
        <v>326.44305503153129</v>
      </c>
      <c r="AA161" s="69">
        <f>AA$157*'Region OP Sales Goals'!X85</f>
        <v>311.1303022513564</v>
      </c>
      <c r="AB161" s="69">
        <f>AB$157*'Region OP Sales Goals'!Y85</f>
        <v>316.59961424050869</v>
      </c>
      <c r="AC161" s="69">
        <f>AC$157*'Region OP Sales Goals'!Z85</f>
        <v>350.94215959739176</v>
      </c>
      <c r="AD161" s="69">
        <f>AD$157*'Region OP Sales Goals'!AA85</f>
        <v>293.23849256894187</v>
      </c>
      <c r="AE161" s="69">
        <f>AE$157*'Region OP Sales Goals'!AB85</f>
        <v>305.02556795152941</v>
      </c>
      <c r="AF161" s="69">
        <f>AF$157*'Region OP Sales Goals'!AC85</f>
        <v>278.31544584385631</v>
      </c>
      <c r="AG161" s="69">
        <f>AG$157*'Region OP Sales Goals'!AD85</f>
        <v>384.30879989705971</v>
      </c>
      <c r="AH161" s="69">
        <f>AH$157*'Region OP Sales Goals'!AE85</f>
        <v>3622.6144834797478</v>
      </c>
      <c r="AJ161" s="757"/>
      <c r="AK161" s="757"/>
      <c r="AL161" s="292" t="s">
        <v>102</v>
      </c>
      <c r="AM161" s="69">
        <v>292</v>
      </c>
      <c r="AN161" s="69">
        <v>249</v>
      </c>
      <c r="AO161" s="69">
        <v>289</v>
      </c>
      <c r="AP161" s="69">
        <v>236</v>
      </c>
      <c r="AQ161" s="69">
        <v>273</v>
      </c>
      <c r="AR161" s="69">
        <v>190</v>
      </c>
      <c r="AS161" s="69">
        <v>269</v>
      </c>
      <c r="AT161" s="69">
        <v>248</v>
      </c>
      <c r="AU161" s="69"/>
      <c r="AV161" s="69"/>
      <c r="AW161" s="69"/>
      <c r="AX161" s="69"/>
      <c r="AY161" s="69">
        <f t="shared" si="266"/>
        <v>2046</v>
      </c>
      <c r="BA161" s="757"/>
      <c r="BB161" s="757"/>
      <c r="BC161" s="292" t="s">
        <v>102</v>
      </c>
      <c r="BD161" s="465">
        <f t="shared" si="267"/>
        <v>1.2858291623311029</v>
      </c>
      <c r="BE161" s="465">
        <f t="shared" si="264"/>
        <v>0.96970433451411431</v>
      </c>
      <c r="BF161" s="465">
        <f t="shared" si="234"/>
        <v>0.94364184119703709</v>
      </c>
      <c r="BG161" s="465">
        <f t="shared" si="235"/>
        <v>0.81967577702912675</v>
      </c>
      <c r="BH161" s="465">
        <f t="shared" si="236"/>
        <v>0.83628674524452906</v>
      </c>
      <c r="BI161" s="465">
        <f t="shared" si="237"/>
        <v>0.61067661563386555</v>
      </c>
      <c r="BJ161" s="465">
        <f t="shared" si="238"/>
        <v>0.84965359368900217</v>
      </c>
      <c r="BK161" s="465">
        <f t="shared" si="239"/>
        <v>0.70666915677646369</v>
      </c>
      <c r="BL161" s="465">
        <f t="shared" si="240"/>
        <v>0</v>
      </c>
      <c r="BM161" s="465">
        <f t="shared" si="241"/>
        <v>0</v>
      </c>
      <c r="BN161" s="465">
        <f t="shared" si="242"/>
        <v>0</v>
      </c>
      <c r="BO161" s="465">
        <f t="shared" si="243"/>
        <v>0</v>
      </c>
      <c r="BP161" s="465">
        <f t="shared" si="268"/>
        <v>0.56478546346303149</v>
      </c>
    </row>
    <row r="162" spans="2:68" ht="16" customHeight="1">
      <c r="B162" s="769"/>
      <c r="C162" s="769"/>
      <c r="D162" s="292" t="s">
        <v>103</v>
      </c>
      <c r="E162" s="69">
        <v>622</v>
      </c>
      <c r="F162" s="69">
        <v>674</v>
      </c>
      <c r="G162" s="69">
        <v>800</v>
      </c>
      <c r="H162" s="69">
        <v>743</v>
      </c>
      <c r="I162" s="69">
        <v>693</v>
      </c>
      <c r="J162" s="69">
        <v>638</v>
      </c>
      <c r="K162" s="69">
        <v>597</v>
      </c>
      <c r="L162" s="69">
        <v>909</v>
      </c>
      <c r="M162" s="69">
        <v>604</v>
      </c>
      <c r="N162" s="69">
        <v>557</v>
      </c>
      <c r="O162" s="69">
        <v>579</v>
      </c>
      <c r="P162" s="69">
        <v>936</v>
      </c>
      <c r="Q162" s="69">
        <f t="shared" si="265"/>
        <v>8352</v>
      </c>
      <c r="S162" s="769"/>
      <c r="T162" s="769"/>
      <c r="U162" s="292" t="s">
        <v>103</v>
      </c>
      <c r="V162" s="69">
        <v>573.80984207405811</v>
      </c>
      <c r="W162" s="69">
        <v>608.74402962601062</v>
      </c>
      <c r="X162" s="69">
        <v>757.02361186463725</v>
      </c>
      <c r="Y162" s="69">
        <f>Y$157*'Region OP Sales Goals'!V86</f>
        <v>652.88611006306257</v>
      </c>
      <c r="Z162" s="69">
        <f>Z$157*'Region OP Sales Goals'!W86</f>
        <v>740.07276451247776</v>
      </c>
      <c r="AA162" s="69">
        <f>AA$157*'Region OP Sales Goals'!X86</f>
        <v>709.13464993653315</v>
      </c>
      <c r="AB162" s="69">
        <f>AB$157*'Region OP Sales Goals'!Y86</f>
        <v>718.59780863799665</v>
      </c>
      <c r="AC162" s="69">
        <f>AC$157*'Region OP Sales Goals'!Z86</f>
        <v>799.25555422758589</v>
      </c>
      <c r="AD162" s="69">
        <f>AD$157*'Region OP Sales Goals'!AA86</f>
        <v>668.26459190881326</v>
      </c>
      <c r="AE162" s="69">
        <f>AE$157*'Region OP Sales Goals'!AB86</f>
        <v>692.25660811694615</v>
      </c>
      <c r="AF162" s="69">
        <f>AF$157*'Region OP Sales Goals'!AC86</f>
        <v>632.90993980788062</v>
      </c>
      <c r="AG162" s="69">
        <f>AG$157*'Region OP Sales Goals'!AD86</f>
        <v>873.59951586356021</v>
      </c>
      <c r="AH162" s="69">
        <f>AH$157*'Region OP Sales Goals'!AE86</f>
        <v>8260.2029030839421</v>
      </c>
      <c r="AJ162" s="757"/>
      <c r="AK162" s="757"/>
      <c r="AL162" s="292" t="s">
        <v>103</v>
      </c>
      <c r="AM162" s="69">
        <v>698</v>
      </c>
      <c r="AN162" s="69">
        <v>563</v>
      </c>
      <c r="AO162" s="69">
        <v>844</v>
      </c>
      <c r="AP162" s="69">
        <v>617</v>
      </c>
      <c r="AQ162" s="69">
        <v>754</v>
      </c>
      <c r="AR162" s="69">
        <v>613</v>
      </c>
      <c r="AS162" s="69">
        <v>784</v>
      </c>
      <c r="AT162" s="69">
        <v>673</v>
      </c>
      <c r="AU162" s="69"/>
      <c r="AV162" s="69"/>
      <c r="AW162" s="69"/>
      <c r="AX162" s="69"/>
      <c r="AY162" s="69">
        <f t="shared" si="266"/>
        <v>5546</v>
      </c>
      <c r="BA162" s="757"/>
      <c r="BB162" s="757"/>
      <c r="BC162" s="292" t="s">
        <v>103</v>
      </c>
      <c r="BD162" s="465">
        <f t="shared" si="267"/>
        <v>1.216430860574039</v>
      </c>
      <c r="BE162" s="465">
        <f t="shared" si="264"/>
        <v>0.92485506649795968</v>
      </c>
      <c r="BF162" s="465">
        <f t="shared" si="234"/>
        <v>1.1148925697589931</v>
      </c>
      <c r="BG162" s="465">
        <f t="shared" si="235"/>
        <v>0.94503465534042941</v>
      </c>
      <c r="BH162" s="465">
        <f t="shared" si="236"/>
        <v>1.0188187380421934</v>
      </c>
      <c r="BI162" s="465">
        <f t="shared" si="237"/>
        <v>0.86443385618635737</v>
      </c>
      <c r="BJ162" s="465">
        <f t="shared" si="238"/>
        <v>1.0910136248341256</v>
      </c>
      <c r="BK162" s="465">
        <f t="shared" si="239"/>
        <v>0.84203356040534316</v>
      </c>
      <c r="BL162" s="465">
        <f t="shared" si="240"/>
        <v>0</v>
      </c>
      <c r="BM162" s="465">
        <f t="shared" si="241"/>
        <v>0</v>
      </c>
      <c r="BN162" s="465">
        <f t="shared" si="242"/>
        <v>0</v>
      </c>
      <c r="BO162" s="465">
        <f t="shared" si="243"/>
        <v>0</v>
      </c>
      <c r="BP162" s="465">
        <f t="shared" si="268"/>
        <v>0.67141207850105034</v>
      </c>
    </row>
    <row r="163" spans="2:68" ht="16" customHeight="1">
      <c r="B163" s="769"/>
      <c r="C163" s="769"/>
      <c r="D163" s="292" t="s">
        <v>104</v>
      </c>
      <c r="E163" s="69">
        <v>1024</v>
      </c>
      <c r="F163" s="69">
        <v>1158</v>
      </c>
      <c r="G163" s="69">
        <v>1567</v>
      </c>
      <c r="H163" s="69">
        <v>1036</v>
      </c>
      <c r="I163" s="69">
        <v>988</v>
      </c>
      <c r="J163" s="69">
        <v>898</v>
      </c>
      <c r="K163" s="69">
        <v>801</v>
      </c>
      <c r="L163" s="69">
        <v>1221</v>
      </c>
      <c r="M163" s="69">
        <v>833</v>
      </c>
      <c r="N163" s="69">
        <v>782</v>
      </c>
      <c r="O163" s="69">
        <v>913</v>
      </c>
      <c r="P163" s="69">
        <v>1533</v>
      </c>
      <c r="Q163" s="69">
        <f t="shared" si="265"/>
        <v>12754</v>
      </c>
      <c r="S163" s="769"/>
      <c r="T163" s="769"/>
      <c r="U163" s="292" t="s">
        <v>104</v>
      </c>
      <c r="V163" s="69">
        <v>1182.0888266048617</v>
      </c>
      <c r="W163" s="69">
        <v>1095.7392533268192</v>
      </c>
      <c r="X163" s="69">
        <v>1414.8361520888948</v>
      </c>
      <c r="Y163" s="69">
        <f>Y$157*'Region OP Sales Goals'!V87</f>
        <v>1255.0823047485583</v>
      </c>
      <c r="Z163" s="69">
        <f>Z$157*'Region OP Sales Goals'!W87</f>
        <v>1423.3728238020806</v>
      </c>
      <c r="AA163" s="69">
        <f>AA$157*'Region OP Sales Goals'!X87</f>
        <v>1363.7204806471791</v>
      </c>
      <c r="AB163" s="69">
        <f>AB$157*'Region OP Sales Goals'!Y87</f>
        <v>1380.9575279043238</v>
      </c>
      <c r="AC163" s="69">
        <f>AC$157*'Region OP Sales Goals'!Z87</f>
        <v>1537.6540865596703</v>
      </c>
      <c r="AD163" s="69">
        <f>AD$157*'Region OP Sales Goals'!AA87</f>
        <v>1284.663872206793</v>
      </c>
      <c r="AE163" s="69">
        <f>AE$157*'Region OP Sales Goals'!AB87</f>
        <v>1330.4306687247558</v>
      </c>
      <c r="AF163" s="69">
        <f>AF$157*'Region OP Sales Goals'!AC87</f>
        <v>1214.2799822372695</v>
      </c>
      <c r="AG163" s="69">
        <f>AG$157*'Region OP Sales Goals'!AD87</f>
        <v>1677.8359800383826</v>
      </c>
      <c r="AH163" s="69">
        <f>AH$157*'Region OP Sales Goals'!AE87</f>
        <v>16460.229485844302</v>
      </c>
      <c r="AJ163" s="757"/>
      <c r="AK163" s="757"/>
      <c r="AL163" s="292" t="s">
        <v>104</v>
      </c>
      <c r="AM163" s="69">
        <v>1334</v>
      </c>
      <c r="AN163" s="69">
        <v>971</v>
      </c>
      <c r="AO163" s="69">
        <v>1242</v>
      </c>
      <c r="AP163" s="69">
        <v>831</v>
      </c>
      <c r="AQ163" s="156">
        <v>879</v>
      </c>
      <c r="AR163" s="156">
        <v>915</v>
      </c>
      <c r="AS163" s="156">
        <v>1101</v>
      </c>
      <c r="AT163" s="156">
        <v>1054</v>
      </c>
      <c r="AU163" s="69"/>
      <c r="AV163" s="69"/>
      <c r="AW163" s="69"/>
      <c r="AX163" s="69"/>
      <c r="AY163" s="69">
        <f t="shared" si="266"/>
        <v>8327</v>
      </c>
      <c r="BA163" s="757"/>
      <c r="BB163" s="757"/>
      <c r="BC163" s="292" t="s">
        <v>104</v>
      </c>
      <c r="BD163" s="465">
        <f t="shared" si="267"/>
        <v>1.1285107937543495</v>
      </c>
      <c r="BE163" s="465">
        <f t="shared" si="264"/>
        <v>0.88615972919826214</v>
      </c>
      <c r="BF163" s="465">
        <f t="shared" si="234"/>
        <v>0.87784016415348465</v>
      </c>
      <c r="BG163" s="465">
        <f t="shared" si="235"/>
        <v>0.66210797240622521</v>
      </c>
      <c r="BH163" s="465">
        <f t="shared" si="236"/>
        <v>0.61754726892426925</v>
      </c>
      <c r="BI163" s="465">
        <f t="shared" si="237"/>
        <v>0.67095861137596879</v>
      </c>
      <c r="BJ163" s="465">
        <f t="shared" si="238"/>
        <v>0.79727289055067885</v>
      </c>
      <c r="BK163" s="465">
        <f t="shared" si="239"/>
        <v>0.68545975926107516</v>
      </c>
      <c r="BL163" s="465">
        <f t="shared" si="240"/>
        <v>0</v>
      </c>
      <c r="BM163" s="465">
        <f t="shared" si="241"/>
        <v>0</v>
      </c>
      <c r="BN163" s="465">
        <f t="shared" si="242"/>
        <v>0</v>
      </c>
      <c r="BO163" s="465">
        <f t="shared" si="243"/>
        <v>0</v>
      </c>
      <c r="BP163" s="465">
        <f t="shared" si="268"/>
        <v>0.5058860210400572</v>
      </c>
    </row>
    <row r="164" spans="2:68" ht="16" customHeight="1">
      <c r="B164" s="769"/>
      <c r="C164" s="769"/>
      <c r="D164" s="292" t="s">
        <v>105</v>
      </c>
      <c r="E164" s="69">
        <v>531</v>
      </c>
      <c r="F164" s="69">
        <v>612</v>
      </c>
      <c r="G164" s="69">
        <v>724</v>
      </c>
      <c r="H164" s="69">
        <v>598</v>
      </c>
      <c r="I164" s="69">
        <v>578</v>
      </c>
      <c r="J164" s="69">
        <v>470</v>
      </c>
      <c r="K164" s="69">
        <v>358</v>
      </c>
      <c r="L164" s="69">
        <v>711</v>
      </c>
      <c r="M164" s="69">
        <v>466</v>
      </c>
      <c r="N164" s="69">
        <v>520</v>
      </c>
      <c r="O164" s="69">
        <v>716</v>
      </c>
      <c r="P164" s="69">
        <v>736</v>
      </c>
      <c r="Q164" s="69">
        <f t="shared" si="265"/>
        <v>7020</v>
      </c>
      <c r="S164" s="769"/>
      <c r="T164" s="769"/>
      <c r="U164" s="292" t="s">
        <v>105</v>
      </c>
      <c r="V164" s="69">
        <v>527.17511992669642</v>
      </c>
      <c r="W164" s="69">
        <v>661.87078130246255</v>
      </c>
      <c r="X164" s="69">
        <v>769.96418642642595</v>
      </c>
      <c r="Y164" s="69">
        <f>Y$157*'Region OP Sales Goals'!V88</f>
        <v>687.35525251980812</v>
      </c>
      <c r="Z164" s="69">
        <f>Z$157*'Region OP Sales Goals'!W88</f>
        <v>780.62469681453126</v>
      </c>
      <c r="AA164" s="69">
        <f>AA$157*'Region OP Sales Goals'!X88</f>
        <v>749.5411826964496</v>
      </c>
      <c r="AB164" s="69">
        <f>AB$157*'Region OP Sales Goals'!Y88</f>
        <v>756.08986821910958</v>
      </c>
      <c r="AC164" s="69">
        <f>AC$157*'Region OP Sales Goals'!Z88</f>
        <v>841.85546955443692</v>
      </c>
      <c r="AD164" s="69">
        <f>AD$157*'Region OP Sales Goals'!AA88</f>
        <v>704.17134610092853</v>
      </c>
      <c r="AE164" s="69">
        <f>AE$157*'Region OP Sales Goals'!AB88</f>
        <v>729.03274042315888</v>
      </c>
      <c r="AF164" s="69">
        <f>AF$157*'Region OP Sales Goals'!AC88</f>
        <v>665.89547413011553</v>
      </c>
      <c r="AG164" s="69">
        <f>AG$157*'Region OP Sales Goals'!AD88</f>
        <v>918.59176560760613</v>
      </c>
      <c r="AH164" s="69">
        <f>AH$157*'Region OP Sales Goals'!AE88</f>
        <v>9024.4421711934574</v>
      </c>
      <c r="AJ164" s="757"/>
      <c r="AK164" s="757"/>
      <c r="AL164" s="292" t="s">
        <v>105</v>
      </c>
      <c r="AM164" s="69">
        <v>701</v>
      </c>
      <c r="AN164" s="69">
        <v>548</v>
      </c>
      <c r="AO164" s="69">
        <v>652</v>
      </c>
      <c r="AP164" s="69">
        <v>531</v>
      </c>
      <c r="AQ164" s="69">
        <v>491</v>
      </c>
      <c r="AR164" s="69">
        <v>478</v>
      </c>
      <c r="AS164" s="69">
        <v>570</v>
      </c>
      <c r="AT164" s="69">
        <v>533</v>
      </c>
      <c r="AU164" s="69"/>
      <c r="AV164" s="69"/>
      <c r="AW164" s="69"/>
      <c r="AX164" s="69"/>
      <c r="AY164" s="69">
        <f t="shared" si="266"/>
        <v>4504</v>
      </c>
      <c r="BA164" s="757"/>
      <c r="BB164" s="757"/>
      <c r="BC164" s="292" t="s">
        <v>105</v>
      </c>
      <c r="BD164" s="465">
        <f t="shared" si="267"/>
        <v>1.3297289145539986</v>
      </c>
      <c r="BE164" s="465">
        <f t="shared" si="264"/>
        <v>0.82795617434813795</v>
      </c>
      <c r="BF164" s="465">
        <f t="shared" si="234"/>
        <v>0.84679263203925914</v>
      </c>
      <c r="BG164" s="465">
        <f t="shared" si="235"/>
        <v>0.77252628543010615</v>
      </c>
      <c r="BH164" s="465">
        <f t="shared" si="236"/>
        <v>0.62898343083892561</v>
      </c>
      <c r="BI164" s="465">
        <f t="shared" si="237"/>
        <v>0.63772346474734165</v>
      </c>
      <c r="BJ164" s="465">
        <f t="shared" si="238"/>
        <v>0.75387863792246712</v>
      </c>
      <c r="BK164" s="465">
        <f t="shared" si="239"/>
        <v>0.63312530389818245</v>
      </c>
      <c r="BL164" s="465">
        <f t="shared" si="240"/>
        <v>0</v>
      </c>
      <c r="BM164" s="465">
        <f t="shared" si="241"/>
        <v>0</v>
      </c>
      <c r="BN164" s="465">
        <f t="shared" si="242"/>
        <v>0</v>
      </c>
      <c r="BO164" s="465">
        <f t="shared" si="243"/>
        <v>0</v>
      </c>
      <c r="BP164" s="465">
        <f t="shared" si="268"/>
        <v>0.49908902008115574</v>
      </c>
    </row>
    <row r="165" spans="2:68">
      <c r="B165" s="769"/>
      <c r="C165" s="769"/>
      <c r="D165" s="182" t="s">
        <v>203</v>
      </c>
      <c r="E165" s="341">
        <f>SUM(E166:E172)</f>
        <v>19025</v>
      </c>
      <c r="F165" s="341">
        <f t="shared" ref="F165:Q165" si="269">SUM(F166:F172)</f>
        <v>20012</v>
      </c>
      <c r="G165" s="341">
        <f t="shared" si="269"/>
        <v>29833</v>
      </c>
      <c r="H165" s="341">
        <f t="shared" si="269"/>
        <v>24363</v>
      </c>
      <c r="I165" s="341">
        <f t="shared" si="269"/>
        <v>24572</v>
      </c>
      <c r="J165" s="341">
        <f t="shared" si="269"/>
        <v>25285</v>
      </c>
      <c r="K165" s="341">
        <f t="shared" si="269"/>
        <v>19825</v>
      </c>
      <c r="L165" s="341">
        <f t="shared" si="269"/>
        <v>31052</v>
      </c>
      <c r="M165" s="341">
        <f t="shared" si="269"/>
        <v>21469</v>
      </c>
      <c r="N165" s="341">
        <f t="shared" si="269"/>
        <v>23245</v>
      </c>
      <c r="O165" s="341">
        <f t="shared" si="269"/>
        <v>24546</v>
      </c>
      <c r="P165" s="341">
        <f t="shared" si="269"/>
        <v>35656</v>
      </c>
      <c r="Q165" s="341">
        <f t="shared" si="269"/>
        <v>298883</v>
      </c>
      <c r="S165" s="769"/>
      <c r="T165" s="769"/>
      <c r="U165" s="182" t="s">
        <v>203</v>
      </c>
      <c r="V165" s="341">
        <v>20181.291435347383</v>
      </c>
      <c r="W165" s="341">
        <v>22981.566323505631</v>
      </c>
      <c r="X165" s="341">
        <v>29726.905198267243</v>
      </c>
      <c r="Y165" s="341" cm="1">
        <f t="array" ref="Y165">INDEX('Shop Goals'!$E$88:$E$99, COLUMN()-COLUMN($V$3)+1)</f>
        <v>24690.699617312563</v>
      </c>
      <c r="Z165" s="341" cm="1">
        <f t="array" ref="Z165">INDEX('Shop Goals'!$E$88:$E$99, COLUMN()-COLUMN($V$3)+1)</f>
        <v>28002.748881582495</v>
      </c>
      <c r="AA165" s="341" cm="1">
        <f t="array" ref="AA165">INDEX('Shop Goals'!$E$88:$E$99, COLUMN()-COLUMN($V$3)+1)</f>
        <v>26834.358324799225</v>
      </c>
      <c r="AB165" s="341" cm="1">
        <f t="array" ref="AB165">INDEX('Shop Goals'!$E$88:$E$99, COLUMN()-COLUMN($V$3)+1)</f>
        <v>28397.818310563147</v>
      </c>
      <c r="AC165" s="341" cm="1">
        <f t="array" ref="AC165">INDEX('Shop Goals'!$E$88:$E$99, COLUMN()-COLUMN($V$3)+1)</f>
        <v>31603.859963345552</v>
      </c>
      <c r="AD165" s="341" cm="1">
        <f t="array" ref="AD165">INDEX('Shop Goals'!$E$88:$E$99, COLUMN()-COLUMN($V$3)+1)</f>
        <v>25270.066835552203</v>
      </c>
      <c r="AE165" s="341" cm="1">
        <f t="array" ref="AE165">INDEX('Shop Goals'!$E$88:$E$99, COLUMN()-COLUMN($V$3)+1)</f>
        <v>26168.086023823638</v>
      </c>
      <c r="AF165" s="341" cm="1">
        <f t="array" ref="AF165">INDEX('Shop Goals'!$E$88:$E$99, COLUMN()-COLUMN($V$3)+1)</f>
        <v>24978.71692769077</v>
      </c>
      <c r="AG165" s="341" cm="1">
        <f t="array" ref="AG165">INDEX('Shop Goals'!$E$88:$E$99, COLUMN()-COLUMN($V$3)+1)</f>
        <v>34495.38487170943</v>
      </c>
      <c r="AH165" s="342">
        <f t="shared" si="260"/>
        <v>323331.5027134993</v>
      </c>
      <c r="AJ165" s="757"/>
      <c r="AK165" s="757"/>
      <c r="AL165" s="182" t="s">
        <v>203</v>
      </c>
      <c r="AM165" s="341">
        <f>SUM(AM166:AM172)</f>
        <v>25060</v>
      </c>
      <c r="AN165" s="341">
        <f>SUM(AN166:AN172)</f>
        <v>23567</v>
      </c>
      <c r="AO165" s="341">
        <f t="shared" ref="AO165:AS165" si="270">SUM(AO166:AO172)</f>
        <v>28447</v>
      </c>
      <c r="AP165" s="341">
        <f t="shared" si="270"/>
        <v>23708</v>
      </c>
      <c r="AQ165" s="341">
        <f t="shared" si="270"/>
        <v>24124</v>
      </c>
      <c r="AR165" s="341">
        <f t="shared" si="270"/>
        <v>26079</v>
      </c>
      <c r="AS165" s="341">
        <f t="shared" si="270"/>
        <v>36120</v>
      </c>
      <c r="AT165" s="341">
        <f t="shared" ref="AT165:AY165" si="271">SUM(AT166:AT172)</f>
        <v>33170</v>
      </c>
      <c r="AU165" s="341">
        <f t="shared" si="271"/>
        <v>0</v>
      </c>
      <c r="AV165" s="341">
        <f t="shared" si="271"/>
        <v>0</v>
      </c>
      <c r="AW165" s="341">
        <f t="shared" si="271"/>
        <v>0</v>
      </c>
      <c r="AX165" s="341">
        <f t="shared" si="271"/>
        <v>0</v>
      </c>
      <c r="AY165" s="341">
        <f t="shared" si="271"/>
        <v>220275</v>
      </c>
      <c r="BA165" s="757"/>
      <c r="BB165" s="757"/>
      <c r="BC165" s="182" t="s">
        <v>203</v>
      </c>
      <c r="BD165" s="464">
        <f>AM165/V165</f>
        <v>1.2417441212958054</v>
      </c>
      <c r="BE165" s="464">
        <f t="shared" si="264"/>
        <v>1.0254740546511656</v>
      </c>
      <c r="BF165" s="464">
        <f t="shared" si="234"/>
        <v>0.95694455276354007</v>
      </c>
      <c r="BG165" s="464">
        <f t="shared" si="235"/>
        <v>0.96019960420143313</v>
      </c>
      <c r="BH165" s="464">
        <f t="shared" si="236"/>
        <v>0.86148685266632663</v>
      </c>
      <c r="BI165" s="464">
        <f t="shared" si="237"/>
        <v>0.97185107556303463</v>
      </c>
      <c r="BJ165" s="464">
        <f t="shared" si="238"/>
        <v>1.2719286955422358</v>
      </c>
      <c r="BK165" s="464">
        <f t="shared" si="239"/>
        <v>1.0495553403435804</v>
      </c>
      <c r="BL165" s="464">
        <f t="shared" si="240"/>
        <v>0</v>
      </c>
      <c r="BM165" s="464">
        <f t="shared" si="241"/>
        <v>0</v>
      </c>
      <c r="BN165" s="464">
        <f t="shared" si="242"/>
        <v>0</v>
      </c>
      <c r="BO165" s="464">
        <f t="shared" si="243"/>
        <v>0</v>
      </c>
      <c r="BP165" s="464">
        <f t="shared" si="268"/>
        <v>0.68126674373323715</v>
      </c>
    </row>
    <row r="166" spans="2:68" ht="16" customHeight="1">
      <c r="B166" s="769"/>
      <c r="C166" s="769"/>
      <c r="D166" s="292" t="s">
        <v>99</v>
      </c>
      <c r="E166" s="69">
        <v>3122</v>
      </c>
      <c r="F166" s="69">
        <v>3522</v>
      </c>
      <c r="G166" s="69">
        <v>5500</v>
      </c>
      <c r="H166" s="69">
        <v>4594</v>
      </c>
      <c r="I166" s="69">
        <v>4376</v>
      </c>
      <c r="J166" s="69">
        <v>4847</v>
      </c>
      <c r="K166" s="69">
        <v>3785</v>
      </c>
      <c r="L166" s="69">
        <v>5537</v>
      </c>
      <c r="M166" s="69">
        <v>3928</v>
      </c>
      <c r="N166" s="69">
        <v>4296</v>
      </c>
      <c r="O166" s="69">
        <v>4074</v>
      </c>
      <c r="P166" s="69">
        <v>5890</v>
      </c>
      <c r="Q166" s="69">
        <f>SUM(E166:P166)</f>
        <v>53471</v>
      </c>
      <c r="S166" s="769"/>
      <c r="T166" s="769"/>
      <c r="U166" s="292" t="s">
        <v>99</v>
      </c>
      <c r="V166" s="69">
        <v>2423.6861963024849</v>
      </c>
      <c r="W166" s="69">
        <v>3299.6469079161752</v>
      </c>
      <c r="X166" s="69">
        <v>4228.3034830748347</v>
      </c>
      <c r="Y166" s="69">
        <f>Y$165*'Region OP Sales Goals'!V82</f>
        <v>3292.7370236619417</v>
      </c>
      <c r="Z166" s="69">
        <f>Z$165*'Region OP Sales Goals'!W82</f>
        <v>3736.9185576456644</v>
      </c>
      <c r="AA166" s="69">
        <f>AA$165*'Region OP Sales Goals'!X82</f>
        <v>3579.1973097258201</v>
      </c>
      <c r="AB166" s="69">
        <f>AB$165*'Region OP Sales Goals'!Y82</f>
        <v>3793.2852195861719</v>
      </c>
      <c r="AC166" s="69">
        <f>AC$165*'Region OP Sales Goals'!Z82</f>
        <v>4219.2313844389782</v>
      </c>
      <c r="AD166" s="69">
        <f>AD$165*'Region OP Sales Goals'!AA82</f>
        <v>3372.5089197823431</v>
      </c>
      <c r="AE166" s="69">
        <f>AE$165*'Region OP Sales Goals'!AB82</f>
        <v>3492.5122685339425</v>
      </c>
      <c r="AF166" s="69">
        <f>AF$165*'Region OP Sales Goals'!AC82</f>
        <v>3333.914990348871</v>
      </c>
      <c r="AG166" s="69">
        <f>AG$165*'Region OP Sales Goals'!AD82</f>
        <v>4608.0908941656189</v>
      </c>
      <c r="AH166" s="69">
        <f>AH$165*'Region OP Sales Goals'!AE82</f>
        <v>42325.367461938316</v>
      </c>
      <c r="AJ166" s="757"/>
      <c r="AK166" s="757"/>
      <c r="AL166" s="292" t="s">
        <v>99</v>
      </c>
      <c r="AM166" s="69">
        <v>4110</v>
      </c>
      <c r="AN166" s="69">
        <v>3907</v>
      </c>
      <c r="AO166" s="69">
        <v>4591</v>
      </c>
      <c r="AP166" s="69">
        <v>3784</v>
      </c>
      <c r="AQ166" s="69">
        <v>3981</v>
      </c>
      <c r="AR166" s="69">
        <v>4630</v>
      </c>
      <c r="AS166" s="69">
        <v>6687</v>
      </c>
      <c r="AT166" s="69">
        <v>5877</v>
      </c>
      <c r="AU166" s="69"/>
      <c r="AV166" s="69"/>
      <c r="AW166" s="69"/>
      <c r="AX166" s="69"/>
      <c r="AY166" s="69">
        <f>SUM(AM166:AX166)</f>
        <v>37567</v>
      </c>
      <c r="BA166" s="757"/>
      <c r="BB166" s="757"/>
      <c r="BC166" s="292" t="s">
        <v>99</v>
      </c>
      <c r="BD166" s="465">
        <f>AM166/V166</f>
        <v>1.6957640829370211</v>
      </c>
      <c r="BE166" s="465">
        <f t="shared" si="264"/>
        <v>1.1840660861702279</v>
      </c>
      <c r="BF166" s="465">
        <f t="shared" si="234"/>
        <v>1.0857782603299353</v>
      </c>
      <c r="BG166" s="465">
        <f t="shared" si="235"/>
        <v>1.1491959342054323</v>
      </c>
      <c r="BH166" s="465">
        <f t="shared" si="236"/>
        <v>1.0653162327701655</v>
      </c>
      <c r="BI166" s="465">
        <f t="shared" si="237"/>
        <v>1.2935861310073111</v>
      </c>
      <c r="BJ166" s="465">
        <f t="shared" si="238"/>
        <v>1.7628518850816912</v>
      </c>
      <c r="BK166" s="465">
        <f t="shared" si="239"/>
        <v>1.3929077276195536</v>
      </c>
      <c r="BL166" s="465">
        <f t="shared" si="240"/>
        <v>0</v>
      </c>
      <c r="BM166" s="465">
        <f t="shared" si="241"/>
        <v>0</v>
      </c>
      <c r="BN166" s="465">
        <f t="shared" si="242"/>
        <v>0</v>
      </c>
      <c r="BO166" s="465">
        <f t="shared" si="243"/>
        <v>0</v>
      </c>
      <c r="BP166" s="465">
        <f>AY166/AH166</f>
        <v>0.88757646425120007</v>
      </c>
    </row>
    <row r="167" spans="2:68" ht="16" customHeight="1">
      <c r="B167" s="769"/>
      <c r="C167" s="769"/>
      <c r="D167" s="292" t="s">
        <v>100</v>
      </c>
      <c r="E167" s="69">
        <v>4480</v>
      </c>
      <c r="F167" s="69">
        <v>4692</v>
      </c>
      <c r="G167" s="69">
        <v>7112</v>
      </c>
      <c r="H167" s="69">
        <v>5532</v>
      </c>
      <c r="I167" s="69">
        <v>5649</v>
      </c>
      <c r="J167" s="69">
        <v>5754</v>
      </c>
      <c r="K167" s="69">
        <v>4843</v>
      </c>
      <c r="L167" s="69">
        <v>7260</v>
      </c>
      <c r="M167" s="69">
        <v>5273</v>
      </c>
      <c r="N167" s="69">
        <v>5444</v>
      </c>
      <c r="O167" s="69">
        <v>5146</v>
      </c>
      <c r="P167" s="69">
        <v>7149</v>
      </c>
      <c r="Q167" s="69">
        <f t="shared" ref="Q167:Q172" si="272">SUM(E167:P167)</f>
        <v>68334</v>
      </c>
      <c r="S167" s="769"/>
      <c r="T167" s="769"/>
      <c r="U167" s="292" t="s">
        <v>100</v>
      </c>
      <c r="V167" s="69">
        <v>4190.7562119333797</v>
      </c>
      <c r="W167" s="69">
        <v>5144.497415537041</v>
      </c>
      <c r="X167" s="69">
        <v>6707.3342053852075</v>
      </c>
      <c r="Y167" s="69">
        <f>Y$165*'Region OP Sales Goals'!V83</f>
        <v>5475.0202123645768</v>
      </c>
      <c r="Z167" s="69">
        <f>Z$165*'Region OP Sales Goals'!W83</f>
        <v>6208.8853554681191</v>
      </c>
      <c r="AA167" s="69">
        <f>AA$165*'Region OP Sales Goals'!X83</f>
        <v>5955.7073513986088</v>
      </c>
      <c r="AB167" s="69">
        <f>AB$165*'Region OP Sales Goals'!Y83</f>
        <v>6301.4136981103629</v>
      </c>
      <c r="AC167" s="69">
        <f>AC$165*'Region OP Sales Goals'!Z83</f>
        <v>7015.2292157538031</v>
      </c>
      <c r="AD167" s="69">
        <f>AD$165*'Region OP Sales Goals'!AA83</f>
        <v>5605.0148244269922</v>
      </c>
      <c r="AE167" s="69">
        <f>AE$165*'Region OP Sales Goals'!AB83</f>
        <v>5800.2489887451611</v>
      </c>
      <c r="AF167" s="69">
        <f>AF$165*'Region OP Sales Goals'!AC83</f>
        <v>5539.4279839642777</v>
      </c>
      <c r="AG167" s="69">
        <f>AG$165*'Region OP Sales Goals'!AD83</f>
        <v>7649.0577595461691</v>
      </c>
      <c r="AH167" s="69">
        <f>AH$165*'Region OP Sales Goals'!AE83</f>
        <v>70655.978378782587</v>
      </c>
      <c r="AJ167" s="757"/>
      <c r="AK167" s="757"/>
      <c r="AL167" s="292" t="s">
        <v>100</v>
      </c>
      <c r="AM167" s="69">
        <v>5270</v>
      </c>
      <c r="AN167" s="69">
        <v>4882</v>
      </c>
      <c r="AO167" s="69">
        <v>6173</v>
      </c>
      <c r="AP167" s="69">
        <v>5036</v>
      </c>
      <c r="AQ167" s="69">
        <v>5083</v>
      </c>
      <c r="AR167" s="69">
        <v>5593</v>
      </c>
      <c r="AS167" s="69">
        <v>7567</v>
      </c>
      <c r="AT167" s="69">
        <v>7165</v>
      </c>
      <c r="AU167" s="69"/>
      <c r="AV167" s="69"/>
      <c r="AW167" s="69"/>
      <c r="AX167" s="69"/>
      <c r="AY167" s="69">
        <f t="shared" ref="AY167:AY172" si="273">SUM(AM167:AX167)</f>
        <v>46769</v>
      </c>
      <c r="BA167" s="757"/>
      <c r="BB167" s="757"/>
      <c r="BC167" s="292" t="s">
        <v>100</v>
      </c>
      <c r="BD167" s="465">
        <f t="shared" ref="BD167:BD168" si="274">AM167/V167</f>
        <v>1.2575296040827719</v>
      </c>
      <c r="BE167" s="465">
        <f t="shared" si="264"/>
        <v>0.94897510984372058</v>
      </c>
      <c r="BF167" s="465">
        <f t="shared" si="234"/>
        <v>0.92033583104354644</v>
      </c>
      <c r="BG167" s="465">
        <f t="shared" si="235"/>
        <v>0.91981395586940295</v>
      </c>
      <c r="BH167" s="465">
        <f t="shared" si="236"/>
        <v>0.81866546231578263</v>
      </c>
      <c r="BI167" s="465">
        <f t="shared" si="237"/>
        <v>0.93909919846658807</v>
      </c>
      <c r="BJ167" s="465">
        <f t="shared" si="238"/>
        <v>1.2008416464180338</v>
      </c>
      <c r="BK167" s="465">
        <f t="shared" si="239"/>
        <v>1.021349378564832</v>
      </c>
      <c r="BL167" s="465">
        <f t="shared" si="240"/>
        <v>0</v>
      </c>
      <c r="BM167" s="465">
        <f t="shared" si="241"/>
        <v>0</v>
      </c>
      <c r="BN167" s="465">
        <f t="shared" si="242"/>
        <v>0</v>
      </c>
      <c r="BO167" s="465">
        <f t="shared" si="243"/>
        <v>0</v>
      </c>
      <c r="BP167" s="465">
        <f t="shared" ref="BP167:BP173" si="275">AY167/AH167</f>
        <v>0.66192558751750796</v>
      </c>
    </row>
    <row r="168" spans="2:68" ht="16" customHeight="1">
      <c r="B168" s="769"/>
      <c r="C168" s="769"/>
      <c r="D168" s="292" t="s">
        <v>101</v>
      </c>
      <c r="E168" s="69">
        <v>2048</v>
      </c>
      <c r="F168" s="69">
        <v>2034</v>
      </c>
      <c r="G168" s="69">
        <v>3039</v>
      </c>
      <c r="H168" s="69">
        <v>2393</v>
      </c>
      <c r="I168" s="69">
        <v>2510</v>
      </c>
      <c r="J168" s="69">
        <v>2544</v>
      </c>
      <c r="K168" s="69">
        <v>1928</v>
      </c>
      <c r="L168" s="69">
        <v>3075</v>
      </c>
      <c r="M168" s="69">
        <v>1841</v>
      </c>
      <c r="N168" s="69">
        <v>2102</v>
      </c>
      <c r="O168" s="69">
        <v>2335</v>
      </c>
      <c r="P168" s="69">
        <v>3398</v>
      </c>
      <c r="Q168" s="69">
        <f t="shared" si="272"/>
        <v>29247</v>
      </c>
      <c r="S168" s="769"/>
      <c r="T168" s="769"/>
      <c r="U168" s="292" t="s">
        <v>101</v>
      </c>
      <c r="V168" s="69">
        <v>1612.572090766992</v>
      </c>
      <c r="W168" s="69">
        <v>2045.1485627339875</v>
      </c>
      <c r="X168" s="69">
        <v>2629.2750085110015</v>
      </c>
      <c r="Y168" s="69">
        <f>Y$165*'Region OP Sales Goals'!V84</f>
        <v>2191.9393090066292</v>
      </c>
      <c r="Z168" s="69">
        <f>Z$165*'Region OP Sales Goals'!W84</f>
        <v>2481.6229181264489</v>
      </c>
      <c r="AA168" s="69">
        <f>AA$165*'Region OP Sales Goals'!X84</f>
        <v>2376.5100416727892</v>
      </c>
      <c r="AB168" s="69">
        <f>AB$165*'Region OP Sales Goals'!Y84</f>
        <v>2518.4926457908191</v>
      </c>
      <c r="AC168" s="69">
        <f>AC$165*'Region OP Sales Goals'!Z84</f>
        <v>2806.0916863015213</v>
      </c>
      <c r="AD168" s="69">
        <f>AD$165*'Region OP Sales Goals'!AA84</f>
        <v>2242.0059297707971</v>
      </c>
      <c r="AE168" s="69">
        <f>AE$165*'Region OP Sales Goals'!AB84</f>
        <v>2318.0391162835899</v>
      </c>
      <c r="AF168" s="69">
        <f>AF$165*'Region OP Sales Goals'!AC84</f>
        <v>2215.771193585711</v>
      </c>
      <c r="AG168" s="69">
        <f>AG$165*'Region OP Sales Goals'!AD84</f>
        <v>3059.6231038184678</v>
      </c>
      <c r="AH168" s="69">
        <f>AH$165*'Region OP Sales Goals'!AE84</f>
        <v>28398.830482175512</v>
      </c>
      <c r="AJ168" s="757"/>
      <c r="AK168" s="757"/>
      <c r="AL168" s="292" t="s">
        <v>101</v>
      </c>
      <c r="AM168" s="69">
        <v>2129</v>
      </c>
      <c r="AN168" s="69">
        <v>2232</v>
      </c>
      <c r="AO168" s="69">
        <v>2646</v>
      </c>
      <c r="AP168" s="69">
        <v>2243</v>
      </c>
      <c r="AQ168" s="69">
        <v>2317</v>
      </c>
      <c r="AR168" s="69">
        <v>2428</v>
      </c>
      <c r="AS168" s="69">
        <v>3282</v>
      </c>
      <c r="AT168" s="69">
        <v>2792</v>
      </c>
      <c r="AU168" s="69"/>
      <c r="AV168" s="69"/>
      <c r="AW168" s="69"/>
      <c r="AX168" s="69"/>
      <c r="AY168" s="69">
        <f t="shared" si="273"/>
        <v>20069</v>
      </c>
      <c r="BA168" s="757"/>
      <c r="BB168" s="757"/>
      <c r="BC168" s="292" t="s">
        <v>101</v>
      </c>
      <c r="BD168" s="465">
        <f t="shared" si="274"/>
        <v>1.3202510524582984</v>
      </c>
      <c r="BE168" s="465">
        <f t="shared" si="264"/>
        <v>1.0913632587239659</v>
      </c>
      <c r="BF168" s="465">
        <f t="shared" si="234"/>
        <v>1.0063610658584057</v>
      </c>
      <c r="BG168" s="465">
        <f t="shared" si="235"/>
        <v>1.0232947558281216</v>
      </c>
      <c r="BH168" s="465">
        <f t="shared" si="236"/>
        <v>0.93366320204250275</v>
      </c>
      <c r="BI168" s="465">
        <f t="shared" si="237"/>
        <v>1.0216662069270988</v>
      </c>
      <c r="BJ168" s="465">
        <f t="shared" si="238"/>
        <v>1.3031604461840451</v>
      </c>
      <c r="BK168" s="465">
        <f t="shared" si="239"/>
        <v>0.99497818037439312</v>
      </c>
      <c r="BL168" s="465">
        <f t="shared" si="240"/>
        <v>0</v>
      </c>
      <c r="BM168" s="465">
        <f t="shared" si="241"/>
        <v>0</v>
      </c>
      <c r="BN168" s="465">
        <f t="shared" si="242"/>
        <v>0</v>
      </c>
      <c r="BO168" s="465">
        <f t="shared" si="243"/>
        <v>0</v>
      </c>
      <c r="BP168" s="465">
        <f t="shared" si="275"/>
        <v>0.70668403097079235</v>
      </c>
    </row>
    <row r="169" spans="2:68" ht="16" customHeight="1">
      <c r="B169" s="769"/>
      <c r="C169" s="769"/>
      <c r="D169" s="292" t="s">
        <v>102</v>
      </c>
      <c r="E169" s="69">
        <v>1013</v>
      </c>
      <c r="F169" s="69">
        <v>1047</v>
      </c>
      <c r="G169" s="69">
        <v>1450</v>
      </c>
      <c r="H169" s="69">
        <v>1150</v>
      </c>
      <c r="I169" s="69">
        <v>1009</v>
      </c>
      <c r="J169" s="69">
        <v>1135</v>
      </c>
      <c r="K169" s="69">
        <v>940</v>
      </c>
      <c r="L169" s="69">
        <v>1545</v>
      </c>
      <c r="M169" s="69">
        <v>1007</v>
      </c>
      <c r="N169" s="69">
        <v>1162</v>
      </c>
      <c r="O169" s="69">
        <v>1327</v>
      </c>
      <c r="P169" s="69">
        <v>1920</v>
      </c>
      <c r="Q169" s="69">
        <f t="shared" si="272"/>
        <v>14705</v>
      </c>
      <c r="S169" s="769"/>
      <c r="T169" s="769"/>
      <c r="U169" s="292" t="s">
        <v>102</v>
      </c>
      <c r="V169" s="69">
        <v>1081.4854740473238</v>
      </c>
      <c r="W169" s="69">
        <v>1222.8723364801162</v>
      </c>
      <c r="X169" s="69">
        <v>1523.9063314635193</v>
      </c>
      <c r="Y169" s="69">
        <f>Y$165*'Region OP Sales Goals'!V85</f>
        <v>1371.1690831671426</v>
      </c>
      <c r="Z169" s="69">
        <f>Z$165*'Region OP Sales Goals'!W85</f>
        <v>1554.635368943028</v>
      </c>
      <c r="AA169" s="69">
        <f>AA$165*'Region OP Sales Goals'!X85</f>
        <v>1481.710714241334</v>
      </c>
      <c r="AB169" s="69">
        <f>AB$165*'Region OP Sales Goals'!Y85</f>
        <v>1575.3534245275907</v>
      </c>
      <c r="AC169" s="69">
        <f>AC$165*'Region OP Sales Goals'!Z85</f>
        <v>1746.2369126984288</v>
      </c>
      <c r="AD169" s="69">
        <f>AD$165*'Region OP Sales Goals'!AA85</f>
        <v>1396.5036935436744</v>
      </c>
      <c r="AE169" s="69">
        <f>AE$165*'Region OP Sales Goals'!AB85</f>
        <v>1452.6378462043831</v>
      </c>
      <c r="AF169" s="69">
        <f>AF$165*'Region OP Sales Goals'!AC85</f>
        <v>1384.8569959910694</v>
      </c>
      <c r="AG169" s="69">
        <f>AG$165*'Region OP Sales Goals'!AD85</f>
        <v>1912.2644398865423</v>
      </c>
      <c r="AH169" s="69">
        <f>AH$165*'Region OP Sales Goals'!AE85</f>
        <v>17600.647855459498</v>
      </c>
      <c r="AJ169" s="757"/>
      <c r="AK169" s="757"/>
      <c r="AL169" s="292" t="s">
        <v>102</v>
      </c>
      <c r="AM169" s="69">
        <v>1298</v>
      </c>
      <c r="AN169" s="69">
        <v>1273</v>
      </c>
      <c r="AO169" s="69">
        <v>1555</v>
      </c>
      <c r="AP169" s="69">
        <v>1311</v>
      </c>
      <c r="AQ169" s="69">
        <v>1308</v>
      </c>
      <c r="AR169" s="69">
        <v>1396</v>
      </c>
      <c r="AS169" s="69">
        <v>1929</v>
      </c>
      <c r="AT169" s="69">
        <v>1824</v>
      </c>
      <c r="AU169" s="69"/>
      <c r="AV169" s="69"/>
      <c r="AW169" s="69"/>
      <c r="AX169" s="69"/>
      <c r="AY169" s="69">
        <f t="shared" si="273"/>
        <v>11894</v>
      </c>
      <c r="BA169" s="757"/>
      <c r="BB169" s="757"/>
      <c r="BC169" s="292" t="s">
        <v>102</v>
      </c>
      <c r="BD169" s="465">
        <f>AM169/V169</f>
        <v>1.2002010486025279</v>
      </c>
      <c r="BE169" s="465">
        <f t="shared" si="264"/>
        <v>1.040991738895795</v>
      </c>
      <c r="BF169" s="465">
        <f t="shared" si="234"/>
        <v>1.0204039237153237</v>
      </c>
      <c r="BG169" s="465">
        <f t="shared" si="235"/>
        <v>0.9561184073461142</v>
      </c>
      <c r="BH169" s="465">
        <f t="shared" si="236"/>
        <v>0.84135484508453484</v>
      </c>
      <c r="BI169" s="465">
        <f t="shared" si="237"/>
        <v>0.94215421848709546</v>
      </c>
      <c r="BJ169" s="465">
        <f t="shared" si="238"/>
        <v>1.2244871341035484</v>
      </c>
      <c r="BK169" s="465">
        <f t="shared" si="239"/>
        <v>1.0445318082191981</v>
      </c>
      <c r="BL169" s="465">
        <f t="shared" si="240"/>
        <v>0</v>
      </c>
      <c r="BM169" s="465">
        <f t="shared" si="241"/>
        <v>0</v>
      </c>
      <c r="BN169" s="465">
        <f t="shared" si="242"/>
        <v>0</v>
      </c>
      <c r="BO169" s="465">
        <f t="shared" si="243"/>
        <v>0</v>
      </c>
      <c r="BP169" s="465">
        <f t="shared" si="275"/>
        <v>0.67577057945117813</v>
      </c>
    </row>
    <row r="170" spans="2:68" ht="16" customHeight="1">
      <c r="B170" s="769"/>
      <c r="C170" s="769"/>
      <c r="D170" s="292" t="s">
        <v>103</v>
      </c>
      <c r="E170" s="69">
        <v>2535</v>
      </c>
      <c r="F170" s="69">
        <v>2599</v>
      </c>
      <c r="G170" s="69">
        <v>3596</v>
      </c>
      <c r="H170" s="69">
        <v>3224</v>
      </c>
      <c r="I170" s="69">
        <v>3365</v>
      </c>
      <c r="J170" s="69">
        <v>3533</v>
      </c>
      <c r="K170" s="69">
        <v>2603</v>
      </c>
      <c r="L170" s="69">
        <v>4392</v>
      </c>
      <c r="M170" s="69">
        <v>3013</v>
      </c>
      <c r="N170" s="69">
        <v>3155</v>
      </c>
      <c r="O170" s="69">
        <v>3366</v>
      </c>
      <c r="P170" s="69">
        <v>5210</v>
      </c>
      <c r="Q170" s="69">
        <f t="shared" si="272"/>
        <v>40591</v>
      </c>
      <c r="S170" s="769"/>
      <c r="T170" s="769"/>
      <c r="U170" s="292" t="s">
        <v>103</v>
      </c>
      <c r="V170" s="69">
        <v>2732.6820460302915</v>
      </c>
      <c r="W170" s="69">
        <v>2899.0507976899303</v>
      </c>
      <c r="X170" s="69">
        <v>3766.8388897443328</v>
      </c>
      <c r="Y170" s="69">
        <f>Y$165*'Region OP Sales Goals'!V86</f>
        <v>3109.2707378860559</v>
      </c>
      <c r="Z170" s="69">
        <f>Z$165*'Region OP Sales Goals'!W86</f>
        <v>3524.483910957797</v>
      </c>
      <c r="AA170" s="69">
        <f>AA$165*'Region OP Sales Goals'!X86</f>
        <v>3377.1458486929109</v>
      </c>
      <c r="AB170" s="69">
        <f>AB$165*'Region OP Sales Goals'!Y86</f>
        <v>3575.6377069869659</v>
      </c>
      <c r="AC170" s="69">
        <f>AC$165*'Region OP Sales Goals'!Z86</f>
        <v>3976.9788647582718</v>
      </c>
      <c r="AD170" s="69">
        <f>AD$165*'Region OP Sales Goals'!AA86</f>
        <v>3182.5084172593943</v>
      </c>
      <c r="AE170" s="69">
        <f>AE$165*'Region OP Sales Goals'!AB86</f>
        <v>3296.7667431588834</v>
      </c>
      <c r="AF170" s="69">
        <f>AF$165*'Region OP Sales Goals'!AC86</f>
        <v>3149.2673908833949</v>
      </c>
      <c r="AG170" s="69">
        <f>AG$165*'Region OP Sales Goals'!AD86</f>
        <v>4346.9035560347747</v>
      </c>
      <c r="AH170" s="69">
        <f>AH$165*'Region OP Sales Goals'!AE86</f>
        <v>40132.595719148507</v>
      </c>
      <c r="AJ170" s="757"/>
      <c r="AK170" s="757"/>
      <c r="AL170" s="292" t="s">
        <v>103</v>
      </c>
      <c r="AM170" s="69">
        <v>3723</v>
      </c>
      <c r="AN170" s="69">
        <v>3054</v>
      </c>
      <c r="AO170" s="69">
        <v>3937</v>
      </c>
      <c r="AP170" s="69">
        <v>3521</v>
      </c>
      <c r="AQ170" s="69">
        <v>3668</v>
      </c>
      <c r="AR170" s="69">
        <v>3822</v>
      </c>
      <c r="AS170" s="69">
        <v>5296</v>
      </c>
      <c r="AT170" s="69">
        <v>4951</v>
      </c>
      <c r="AU170" s="69"/>
      <c r="AV170" s="69"/>
      <c r="AW170" s="69"/>
      <c r="AX170" s="69"/>
      <c r="AY170" s="69">
        <f t="shared" si="273"/>
        <v>31972</v>
      </c>
      <c r="BA170" s="757"/>
      <c r="BB170" s="757"/>
      <c r="BC170" s="292" t="s">
        <v>103</v>
      </c>
      <c r="BD170" s="465">
        <f t="shared" ref="BD170:BD172" si="276">AM170/V170</f>
        <v>1.3623977972147627</v>
      </c>
      <c r="BE170" s="465">
        <f t="shared" si="264"/>
        <v>1.0534482536261658</v>
      </c>
      <c r="BF170" s="465">
        <f t="shared" si="234"/>
        <v>1.0451734505340675</v>
      </c>
      <c r="BG170" s="465">
        <f t="shared" si="235"/>
        <v>1.1324198813236419</v>
      </c>
      <c r="BH170" s="465">
        <f t="shared" si="236"/>
        <v>1.0407197458317243</v>
      </c>
      <c r="BI170" s="465">
        <f t="shared" si="237"/>
        <v>1.1317248858171953</v>
      </c>
      <c r="BJ170" s="465">
        <f t="shared" si="238"/>
        <v>1.4811343972716711</v>
      </c>
      <c r="BK170" s="465">
        <f t="shared" si="239"/>
        <v>1.2449148382137381</v>
      </c>
      <c r="BL170" s="465">
        <f t="shared" si="240"/>
        <v>0</v>
      </c>
      <c r="BM170" s="465">
        <f t="shared" si="241"/>
        <v>0</v>
      </c>
      <c r="BN170" s="465">
        <f t="shared" si="242"/>
        <v>0</v>
      </c>
      <c r="BO170" s="465">
        <f t="shared" si="243"/>
        <v>0</v>
      </c>
      <c r="BP170" s="465">
        <f t="shared" si="275"/>
        <v>0.79665916014361282</v>
      </c>
    </row>
    <row r="171" spans="2:68" ht="16" customHeight="1">
      <c r="B171" s="769"/>
      <c r="C171" s="769"/>
      <c r="D171" s="292" t="s">
        <v>104</v>
      </c>
      <c r="E171" s="69">
        <v>3431</v>
      </c>
      <c r="F171" s="69">
        <v>3734</v>
      </c>
      <c r="G171" s="69">
        <v>5673</v>
      </c>
      <c r="H171" s="69">
        <v>4423</v>
      </c>
      <c r="I171" s="69">
        <v>4489</v>
      </c>
      <c r="J171" s="69">
        <v>4540</v>
      </c>
      <c r="K171" s="69">
        <v>3387</v>
      </c>
      <c r="L171" s="69">
        <v>5506</v>
      </c>
      <c r="M171" s="69">
        <v>3695</v>
      </c>
      <c r="N171" s="69">
        <v>4261</v>
      </c>
      <c r="O171" s="69">
        <v>4910</v>
      </c>
      <c r="P171" s="69">
        <v>7382</v>
      </c>
      <c r="Q171" s="69">
        <f t="shared" si="272"/>
        <v>55431</v>
      </c>
      <c r="S171" s="769"/>
      <c r="T171" s="769"/>
      <c r="U171" s="292" t="s">
        <v>104</v>
      </c>
      <c r="V171" s="69">
        <v>5629.5181372284796</v>
      </c>
      <c r="W171" s="69">
        <v>5218.2914358418748</v>
      </c>
      <c r="X171" s="69">
        <v>7040.0179819723144</v>
      </c>
      <c r="Y171" s="69">
        <f>Y$165*'Region OP Sales Goals'!V87</f>
        <v>5977.1384681722629</v>
      </c>
      <c r="Z171" s="69">
        <f>Z$165*'Region OP Sales Goals'!W87</f>
        <v>6778.596453403763</v>
      </c>
      <c r="AA171" s="69">
        <f>AA$165*'Region OP Sales Goals'!X87</f>
        <v>6494.5112474863663</v>
      </c>
      <c r="AB171" s="69">
        <f>AB$165*'Region OP Sales Goals'!Y87</f>
        <v>6871.4428977749512</v>
      </c>
      <c r="AC171" s="69">
        <f>AC$165*'Region OP Sales Goals'!Z87</f>
        <v>7651.1420799156595</v>
      </c>
      <c r="AD171" s="69">
        <f>AD$165*'Region OP Sales Goals'!AA87</f>
        <v>6118.0161812389542</v>
      </c>
      <c r="AE171" s="69">
        <f>AE$165*'Region OP Sales Goals'!AB87</f>
        <v>6335.9735845084788</v>
      </c>
      <c r="AF171" s="69">
        <f>AF$165*'Region OP Sales Goals'!AC87</f>
        <v>6042.079782509184</v>
      </c>
      <c r="AG171" s="69">
        <f>AG$165*'Region OP Sales Goals'!AD87</f>
        <v>8348.6667009680732</v>
      </c>
      <c r="AH171" s="69">
        <f>AH$165*'Region OP Sales Goals'!AE87</f>
        <v>79972.82187259171</v>
      </c>
      <c r="AJ171" s="757"/>
      <c r="AK171" s="757"/>
      <c r="AL171" s="292" t="s">
        <v>104</v>
      </c>
      <c r="AM171" s="69">
        <v>5290</v>
      </c>
      <c r="AN171" s="69">
        <v>5059</v>
      </c>
      <c r="AO171" s="69">
        <v>5958</v>
      </c>
      <c r="AP171" s="69">
        <v>4801</v>
      </c>
      <c r="AQ171" s="156">
        <v>4766</v>
      </c>
      <c r="AR171" s="156">
        <v>5179</v>
      </c>
      <c r="AS171" s="156">
        <v>7221</v>
      </c>
      <c r="AT171" s="156">
        <v>6754</v>
      </c>
      <c r="AU171" s="69"/>
      <c r="AV171" s="69"/>
      <c r="AW171" s="69"/>
      <c r="AX171" s="69"/>
      <c r="AY171" s="69">
        <f t="shared" si="273"/>
        <v>45028</v>
      </c>
      <c r="BA171" s="757"/>
      <c r="BB171" s="757"/>
      <c r="BC171" s="292" t="s">
        <v>104</v>
      </c>
      <c r="BD171" s="465">
        <f t="shared" si="276"/>
        <v>0.93968966278246491</v>
      </c>
      <c r="BE171" s="465">
        <f t="shared" si="264"/>
        <v>0.96947440789761563</v>
      </c>
      <c r="BF171" s="465">
        <f t="shared" si="234"/>
        <v>0.84630465650186038</v>
      </c>
      <c r="BG171" s="465">
        <f t="shared" si="235"/>
        <v>0.80322716724146559</v>
      </c>
      <c r="BH171" s="465">
        <f t="shared" si="236"/>
        <v>0.70309540223578726</v>
      </c>
      <c r="BI171" s="465">
        <f t="shared" si="237"/>
        <v>0.7974426100200348</v>
      </c>
      <c r="BJ171" s="465">
        <f t="shared" si="238"/>
        <v>1.0508709898962034</v>
      </c>
      <c r="BK171" s="465">
        <f t="shared" si="239"/>
        <v>0.88274403081983432</v>
      </c>
      <c r="BL171" s="465">
        <f t="shared" si="240"/>
        <v>0</v>
      </c>
      <c r="BM171" s="465">
        <f t="shared" si="241"/>
        <v>0</v>
      </c>
      <c r="BN171" s="465">
        <f t="shared" si="242"/>
        <v>0</v>
      </c>
      <c r="BO171" s="465">
        <f t="shared" si="243"/>
        <v>0</v>
      </c>
      <c r="BP171" s="465">
        <f t="shared" si="275"/>
        <v>0.56304128009558208</v>
      </c>
    </row>
    <row r="172" spans="2:68" ht="16" customHeight="1">
      <c r="B172" s="769"/>
      <c r="C172" s="769"/>
      <c r="D172" s="292" t="s">
        <v>105</v>
      </c>
      <c r="E172" s="69">
        <v>2396</v>
      </c>
      <c r="F172" s="69">
        <v>2384</v>
      </c>
      <c r="G172" s="69">
        <v>3463</v>
      </c>
      <c r="H172" s="69">
        <v>3047</v>
      </c>
      <c r="I172" s="69">
        <v>3174</v>
      </c>
      <c r="J172" s="69">
        <v>2932</v>
      </c>
      <c r="K172" s="69">
        <v>2339</v>
      </c>
      <c r="L172" s="69">
        <v>3737</v>
      </c>
      <c r="M172" s="69">
        <v>2712</v>
      </c>
      <c r="N172" s="69">
        <v>2825</v>
      </c>
      <c r="O172" s="69">
        <v>3388</v>
      </c>
      <c r="P172" s="69">
        <v>4707</v>
      </c>
      <c r="Q172" s="69">
        <f t="shared" si="272"/>
        <v>37104</v>
      </c>
      <c r="S172" s="769"/>
      <c r="T172" s="769"/>
      <c r="U172" s="292" t="s">
        <v>105</v>
      </c>
      <c r="V172" s="69">
        <v>2510.5912790384305</v>
      </c>
      <c r="W172" s="69">
        <v>3152.0588673065063</v>
      </c>
      <c r="X172" s="69">
        <v>3831.2292981160308</v>
      </c>
      <c r="Y172" s="69">
        <f>Y$165*'Region OP Sales Goals'!V88</f>
        <v>3273.424783053953</v>
      </c>
      <c r="Z172" s="69">
        <f>Z$165*'Region OP Sales Goals'!W88</f>
        <v>3717.6063170376756</v>
      </c>
      <c r="AA172" s="69">
        <f>AA$165*'Region OP Sales Goals'!X88</f>
        <v>3569.5758115813956</v>
      </c>
      <c r="AB172" s="69">
        <f>AB$165*'Region OP Sales Goals'!Y88</f>
        <v>3762.1927177862858</v>
      </c>
      <c r="AC172" s="69">
        <f>AC$165*'Region OP Sales Goals'!Z88</f>
        <v>4188.9498194788903</v>
      </c>
      <c r="AD172" s="69">
        <f>AD$165*'Region OP Sales Goals'!AA88</f>
        <v>3353.5088695300483</v>
      </c>
      <c r="AE172" s="69">
        <f>AE$165*'Region OP Sales Goals'!AB88</f>
        <v>3471.9074763891995</v>
      </c>
      <c r="AF172" s="69">
        <f>AF$165*'Region OP Sales Goals'!AC88</f>
        <v>3313.3985904082624</v>
      </c>
      <c r="AG172" s="69">
        <f>AG$165*'Region OP Sales Goals'!AD88</f>
        <v>4570.7784172897836</v>
      </c>
      <c r="AH172" s="69">
        <f>AH$165*'Region OP Sales Goals'!AE88</f>
        <v>43845.689203605914</v>
      </c>
      <c r="AJ172" s="757"/>
      <c r="AK172" s="757"/>
      <c r="AL172" s="292" t="s">
        <v>105</v>
      </c>
      <c r="AM172" s="69">
        <v>3240</v>
      </c>
      <c r="AN172" s="69">
        <v>3160</v>
      </c>
      <c r="AO172" s="69">
        <v>3587</v>
      </c>
      <c r="AP172" s="69">
        <v>3012</v>
      </c>
      <c r="AQ172" s="69">
        <v>3001</v>
      </c>
      <c r="AR172" s="69">
        <v>3031</v>
      </c>
      <c r="AS172" s="69">
        <v>4138</v>
      </c>
      <c r="AT172" s="69">
        <v>3807</v>
      </c>
      <c r="AU172" s="69"/>
      <c r="AV172" s="69"/>
      <c r="AW172" s="69"/>
      <c r="AX172" s="69"/>
      <c r="AY172" s="69">
        <f t="shared" si="273"/>
        <v>26976</v>
      </c>
      <c r="BA172" s="757"/>
      <c r="BB172" s="757"/>
      <c r="BC172" s="292" t="s">
        <v>105</v>
      </c>
      <c r="BD172" s="465">
        <f t="shared" si="276"/>
        <v>1.2905326434659397</v>
      </c>
      <c r="BE172" s="465">
        <f t="shared" si="264"/>
        <v>1.0025193478382843</v>
      </c>
      <c r="BF172" s="465">
        <f t="shared" si="234"/>
        <v>0.93625301982417808</v>
      </c>
      <c r="BG172" s="465">
        <f t="shared" si="235"/>
        <v>0.92013722618362537</v>
      </c>
      <c r="BH172" s="465">
        <f t="shared" si="236"/>
        <v>0.80723985921976438</v>
      </c>
      <c r="BI172" s="465">
        <f t="shared" si="237"/>
        <v>0.84912050058329047</v>
      </c>
      <c r="BJ172" s="465">
        <f t="shared" si="238"/>
        <v>1.0998904921688444</v>
      </c>
      <c r="BK172" s="465">
        <f t="shared" si="239"/>
        <v>0.90881967177004641</v>
      </c>
      <c r="BL172" s="465">
        <f t="shared" si="240"/>
        <v>0</v>
      </c>
      <c r="BM172" s="465">
        <f t="shared" si="241"/>
        <v>0</v>
      </c>
      <c r="BN172" s="465">
        <f t="shared" si="242"/>
        <v>0</v>
      </c>
      <c r="BO172" s="465">
        <f t="shared" si="243"/>
        <v>0</v>
      </c>
      <c r="BP172" s="465">
        <f t="shared" si="275"/>
        <v>0.61524862512097234</v>
      </c>
    </row>
    <row r="173" spans="2:68">
      <c r="B173" s="769"/>
      <c r="C173" s="769"/>
      <c r="D173" s="182" t="s">
        <v>7</v>
      </c>
      <c r="E173" s="341">
        <f>SUM(E174:E180)</f>
        <v>318682</v>
      </c>
      <c r="F173" s="341">
        <f t="shared" ref="F173:Q173" si="277">SUM(F174:F180)</f>
        <v>325127</v>
      </c>
      <c r="G173" s="341">
        <f t="shared" si="277"/>
        <v>352274</v>
      </c>
      <c r="H173" s="341">
        <f t="shared" si="277"/>
        <v>347514</v>
      </c>
      <c r="I173" s="341">
        <f t="shared" si="277"/>
        <v>348838</v>
      </c>
      <c r="J173" s="341">
        <f t="shared" si="277"/>
        <v>319154</v>
      </c>
      <c r="K173" s="341">
        <f t="shared" si="277"/>
        <v>379663</v>
      </c>
      <c r="L173" s="341">
        <f t="shared" si="277"/>
        <v>382224</v>
      </c>
      <c r="M173" s="341">
        <f t="shared" si="277"/>
        <v>353439</v>
      </c>
      <c r="N173" s="341">
        <f t="shared" si="277"/>
        <v>350002</v>
      </c>
      <c r="O173" s="341">
        <f t="shared" si="277"/>
        <v>356051</v>
      </c>
      <c r="P173" s="341">
        <f t="shared" si="277"/>
        <v>361194</v>
      </c>
      <c r="Q173" s="341">
        <f t="shared" si="277"/>
        <v>4194162</v>
      </c>
      <c r="S173" s="769"/>
      <c r="T173" s="769"/>
      <c r="U173" s="182" t="s">
        <v>7</v>
      </c>
      <c r="V173" s="341">
        <v>308477.42020113685</v>
      </c>
      <c r="W173" s="341">
        <v>351280.50721469172</v>
      </c>
      <c r="X173" s="341">
        <v>369040.22683530382</v>
      </c>
      <c r="Y173" s="341" cm="1">
        <f t="array" ref="Y173">INDEX('Shop Goals'!$G$88:$G$99, COLUMN()-COLUMN($V$3)+1)</f>
        <v>377405.14997813728</v>
      </c>
      <c r="Z173" s="341" cm="1">
        <f t="array" ref="Z173">INDEX('Shop Goals'!$G$88:$G$99, COLUMN()-COLUMN($V$3)+1)</f>
        <v>428030.87013554876</v>
      </c>
      <c r="AA173" s="341" cm="1">
        <f t="array" ref="AA173">INDEX('Shop Goals'!$G$88:$G$99, COLUMN()-COLUMN($V$3)+1)</f>
        <v>410171.65107127244</v>
      </c>
      <c r="AB173" s="341" cm="1">
        <f t="array" ref="AB173">INDEX('Shop Goals'!$G$88:$G$99, COLUMN()-COLUMN($V$3)+1)</f>
        <v>352540.47607918613</v>
      </c>
      <c r="AC173" s="341" cm="1">
        <f t="array" ref="AC173">INDEX('Shop Goals'!$G$88:$G$99, COLUMN()-COLUMN($V$3)+1)</f>
        <v>392341.40156722575</v>
      </c>
      <c r="AD173" s="341" cm="1">
        <f t="array" ref="AD173">INDEX('Shop Goals'!$G$88:$G$99, COLUMN()-COLUMN($V$3)+1)</f>
        <v>386260.96108439006</v>
      </c>
      <c r="AE173" s="341" cm="1">
        <f t="array" ref="AE173">INDEX('Shop Goals'!$G$88:$G$99, COLUMN()-COLUMN($V$3)+1)</f>
        <v>399987.46829908178</v>
      </c>
      <c r="AF173" s="341" cm="1">
        <f t="array" ref="AF173">INDEX('Shop Goals'!$G$88:$G$99, COLUMN()-COLUMN($V$3)+1)</f>
        <v>310094.55237833381</v>
      </c>
      <c r="AG173" s="341" cm="1">
        <f t="array" ref="AG173">INDEX('Shop Goals'!$G$88:$G$99, COLUMN()-COLUMN($V$3)+1)</f>
        <v>428237.80588397034</v>
      </c>
      <c r="AH173" s="342">
        <f>SUM(V173:AG173)</f>
        <v>4513868.4907282786</v>
      </c>
      <c r="AJ173" s="757"/>
      <c r="AK173" s="757"/>
      <c r="AL173" s="182" t="s">
        <v>7</v>
      </c>
      <c r="AM173" s="341">
        <f>SUM(AM174:AM180)</f>
        <v>374975</v>
      </c>
      <c r="AN173" s="341">
        <f t="shared" ref="AN173:AY173" si="278">SUM(AN174:AN180)</f>
        <v>348169</v>
      </c>
      <c r="AO173" s="341">
        <f t="shared" si="278"/>
        <v>380363</v>
      </c>
      <c r="AP173" s="341">
        <f t="shared" si="278"/>
        <v>363259</v>
      </c>
      <c r="AQ173" s="341">
        <f t="shared" si="278"/>
        <v>385183</v>
      </c>
      <c r="AR173" s="341">
        <f t="shared" si="278"/>
        <v>359335</v>
      </c>
      <c r="AS173" s="341">
        <f t="shared" si="278"/>
        <v>406790</v>
      </c>
      <c r="AT173" s="341">
        <f t="shared" si="278"/>
        <v>286939</v>
      </c>
      <c r="AU173" s="341">
        <f t="shared" si="278"/>
        <v>0</v>
      </c>
      <c r="AV173" s="341">
        <f t="shared" si="278"/>
        <v>0</v>
      </c>
      <c r="AW173" s="341">
        <f t="shared" si="278"/>
        <v>0</v>
      </c>
      <c r="AX173" s="341">
        <f t="shared" si="278"/>
        <v>0</v>
      </c>
      <c r="AY173" s="341">
        <f t="shared" si="278"/>
        <v>2905013</v>
      </c>
      <c r="BA173" s="757"/>
      <c r="BB173" s="757"/>
      <c r="BC173" s="182" t="s">
        <v>6</v>
      </c>
      <c r="BD173" s="464">
        <f>AM173/V173</f>
        <v>1.2155670899850779</v>
      </c>
      <c r="BE173" s="464">
        <f t="shared" si="264"/>
        <v>0.99114238578347857</v>
      </c>
      <c r="BF173" s="464">
        <f t="shared" si="234"/>
        <v>1.0306816773385232</v>
      </c>
      <c r="BG173" s="464">
        <f t="shared" si="235"/>
        <v>0.962517337193314</v>
      </c>
      <c r="BH173" s="464">
        <f t="shared" si="236"/>
        <v>0.89989537408369702</v>
      </c>
      <c r="BI173" s="464">
        <f t="shared" si="237"/>
        <v>0.87606005695786382</v>
      </c>
      <c r="BJ173" s="464">
        <f t="shared" si="238"/>
        <v>1.1538816890592403</v>
      </c>
      <c r="BK173" s="464">
        <f t="shared" si="239"/>
        <v>0.73135029556862718</v>
      </c>
      <c r="BL173" s="464">
        <f t="shared" si="240"/>
        <v>0</v>
      </c>
      <c r="BM173" s="464">
        <f t="shared" si="241"/>
        <v>0</v>
      </c>
      <c r="BN173" s="464">
        <f t="shared" si="242"/>
        <v>0</v>
      </c>
      <c r="BO173" s="464">
        <f t="shared" si="243"/>
        <v>0</v>
      </c>
      <c r="BP173" s="464">
        <f t="shared" si="275"/>
        <v>0.6435750190700168</v>
      </c>
    </row>
    <row r="174" spans="2:68" ht="16" customHeight="1">
      <c r="B174" s="769"/>
      <c r="C174" s="769"/>
      <c r="D174" s="292" t="s">
        <v>99</v>
      </c>
      <c r="E174" s="69">
        <v>43327</v>
      </c>
      <c r="F174" s="69">
        <v>48508</v>
      </c>
      <c r="G174" s="69">
        <v>53981</v>
      </c>
      <c r="H174" s="69">
        <v>50483</v>
      </c>
      <c r="I174" s="69">
        <v>48716</v>
      </c>
      <c r="J174" s="69">
        <v>45315</v>
      </c>
      <c r="K174" s="69">
        <v>54588</v>
      </c>
      <c r="L174" s="69">
        <v>52807</v>
      </c>
      <c r="M174" s="69">
        <v>49353</v>
      </c>
      <c r="N174" s="69">
        <v>47768</v>
      </c>
      <c r="O174" s="69">
        <v>49199</v>
      </c>
      <c r="P174" s="69">
        <v>52234</v>
      </c>
      <c r="Q174" s="69">
        <f>SUM(E174:P174)</f>
        <v>596279</v>
      </c>
      <c r="S174" s="769"/>
      <c r="T174" s="769"/>
      <c r="U174" s="292" t="s">
        <v>99</v>
      </c>
      <c r="V174" s="69">
        <v>37046.809794490597</v>
      </c>
      <c r="W174" s="69">
        <v>50436.146219357113</v>
      </c>
      <c r="X174" s="69">
        <v>52491.64237296379</v>
      </c>
      <c r="Y174" s="69">
        <f>Y$173*'Region OP Sales Goals'!V82</f>
        <v>50330.526453869701</v>
      </c>
      <c r="Z174" s="69">
        <f>Z$173*'Region OP Sales Goals'!W82</f>
        <v>57119.981635330136</v>
      </c>
      <c r="AA174" s="69">
        <f>AA$173*'Region OP Sales Goals'!X82</f>
        <v>54709.162494985074</v>
      </c>
      <c r="AB174" s="69">
        <f>AB$173*'Region OP Sales Goals'!Y82</f>
        <v>47091.173082110261</v>
      </c>
      <c r="AC174" s="69">
        <f>AC$173*'Region OP Sales Goals'!Z82</f>
        <v>52379.018158767285</v>
      </c>
      <c r="AD174" s="69">
        <f>AD$173*'Region OP Sales Goals'!AA82</f>
        <v>51549.865107127247</v>
      </c>
      <c r="AE174" s="69">
        <f>AE$173*'Region OP Sales Goals'!AB82</f>
        <v>53384.154233617606</v>
      </c>
      <c r="AF174" s="69">
        <f>AF$173*'Region OP Sales Goals'!AC82</f>
        <v>41388.389947826894</v>
      </c>
      <c r="AG174" s="69">
        <f>AG$173*'Region OP Sales Goals'!AD82</f>
        <v>57206.456491801342</v>
      </c>
      <c r="AH174" s="69">
        <f>AH$173*'Region OP Sales Goals'!AE82</f>
        <v>590883.16771356412</v>
      </c>
      <c r="AJ174" s="757"/>
      <c r="AK174" s="757"/>
      <c r="AL174" s="292" t="s">
        <v>99</v>
      </c>
      <c r="AM174" s="69">
        <v>51330</v>
      </c>
      <c r="AN174" s="69">
        <v>41683</v>
      </c>
      <c r="AO174" s="69">
        <v>48773</v>
      </c>
      <c r="AP174" s="69">
        <v>43802</v>
      </c>
      <c r="AQ174" s="69">
        <v>46722</v>
      </c>
      <c r="AR174" s="69">
        <v>49884</v>
      </c>
      <c r="AS174" s="69">
        <v>56370</v>
      </c>
      <c r="AT174" s="69">
        <v>40019</v>
      </c>
      <c r="AU174" s="69"/>
      <c r="AV174" s="69"/>
      <c r="AW174" s="69"/>
      <c r="AX174" s="69"/>
      <c r="AY174" s="69">
        <f>SUM(AM174:AX174)</f>
        <v>378583</v>
      </c>
      <c r="BA174" s="757"/>
      <c r="BB174" s="757"/>
      <c r="BC174" s="292" t="s">
        <v>99</v>
      </c>
      <c r="BD174" s="465">
        <f>AM174/V174</f>
        <v>1.3855444040861387</v>
      </c>
      <c r="BE174" s="465">
        <f t="shared" si="264"/>
        <v>0.82645093101903766</v>
      </c>
      <c r="BF174" s="465">
        <f t="shared" si="234"/>
        <v>0.92915743907302273</v>
      </c>
      <c r="BG174" s="465">
        <f t="shared" si="235"/>
        <v>0.87028694285855712</v>
      </c>
      <c r="BH174" s="465">
        <f t="shared" si="236"/>
        <v>0.81796244785732342</v>
      </c>
      <c r="BI174" s="465">
        <f t="shared" si="237"/>
        <v>0.91180339316239079</v>
      </c>
      <c r="BJ174" s="465">
        <f t="shared" si="238"/>
        <v>1.1970396214532768</v>
      </c>
      <c r="BK174" s="465">
        <f t="shared" si="239"/>
        <v>0.76402730342706038</v>
      </c>
      <c r="BL174" s="465">
        <f t="shared" si="240"/>
        <v>0</v>
      </c>
      <c r="BM174" s="465">
        <f t="shared" si="241"/>
        <v>0</v>
      </c>
      <c r="BN174" s="465">
        <f t="shared" si="242"/>
        <v>0</v>
      </c>
      <c r="BO174" s="465">
        <f t="shared" si="243"/>
        <v>0</v>
      </c>
      <c r="BP174" s="465">
        <f>AY174/AH174</f>
        <v>0.64070703090923298</v>
      </c>
    </row>
    <row r="175" spans="2:68" ht="16" customHeight="1">
      <c r="B175" s="769"/>
      <c r="C175" s="769"/>
      <c r="D175" s="292" t="s">
        <v>100</v>
      </c>
      <c r="E175" s="69">
        <v>68394</v>
      </c>
      <c r="F175" s="69">
        <v>67147</v>
      </c>
      <c r="G175" s="69">
        <v>73828</v>
      </c>
      <c r="H175" s="69">
        <v>70497</v>
      </c>
      <c r="I175" s="69">
        <v>66587</v>
      </c>
      <c r="J175" s="69">
        <v>55456</v>
      </c>
      <c r="K175" s="69">
        <v>62287</v>
      </c>
      <c r="L175" s="69">
        <v>63454</v>
      </c>
      <c r="M175" s="69">
        <v>56476</v>
      </c>
      <c r="N175" s="69">
        <v>60963</v>
      </c>
      <c r="O175" s="69">
        <v>65441</v>
      </c>
      <c r="P175" s="69">
        <v>60451</v>
      </c>
      <c r="Q175" s="69">
        <f t="shared" ref="Q175:Q180" si="279">SUM(E175:P175)</f>
        <v>770981</v>
      </c>
      <c r="S175" s="769"/>
      <c r="T175" s="769"/>
      <c r="U175" s="292" t="s">
        <v>100</v>
      </c>
      <c r="V175" s="69">
        <v>64057.033668561438</v>
      </c>
      <c r="W175" s="69">
        <v>78635.269504940166</v>
      </c>
      <c r="X175" s="69">
        <v>83267.199195691297</v>
      </c>
      <c r="Y175" s="69">
        <f>Y$173*'Region OP Sales Goals'!V83</f>
        <v>83687.414954088323</v>
      </c>
      <c r="Z175" s="69">
        <f>Z$173*'Region OP Sales Goals'!W83</f>
        <v>94904.775688675116</v>
      </c>
      <c r="AA175" s="69">
        <f>AA$173*'Region OP Sales Goals'!X83</f>
        <v>91034.869850526215</v>
      </c>
      <c r="AB175" s="69">
        <f>AB$173*'Region OP Sales Goals'!Y83</f>
        <v>78227.959655527433</v>
      </c>
      <c r="AC175" s="69">
        <f>AC$173*'Region OP Sales Goals'!Z83</f>
        <v>87089.515838141771</v>
      </c>
      <c r="AD175" s="69">
        <f>AD$173*'Region OP Sales Goals'!AA83</f>
        <v>85674.423699169216</v>
      </c>
      <c r="AE175" s="69">
        <f>AE$173*'Region OP Sales Goals'!AB83</f>
        <v>88658.639626922464</v>
      </c>
      <c r="AF175" s="69">
        <f>AF$173*'Region OP Sales Goals'!AC83</f>
        <v>68768.401759466229</v>
      </c>
      <c r="AG175" s="69">
        <f>AG$173*'Region OP Sales Goals'!AD83</f>
        <v>94958.085674649992</v>
      </c>
      <c r="AH175" s="69">
        <f>AH$173*'Region OP Sales Goals'!AE83</f>
        <v>986392.57792386354</v>
      </c>
      <c r="AJ175" s="757"/>
      <c r="AK175" s="757"/>
      <c r="AL175" s="292" t="s">
        <v>100</v>
      </c>
      <c r="AM175" s="69">
        <v>62258</v>
      </c>
      <c r="AN175" s="69">
        <v>57162</v>
      </c>
      <c r="AO175" s="69">
        <v>67110</v>
      </c>
      <c r="AP175" s="69">
        <v>63534</v>
      </c>
      <c r="AQ175" s="69">
        <v>64594</v>
      </c>
      <c r="AR175" s="69">
        <v>57071</v>
      </c>
      <c r="AS175" s="69">
        <v>59747</v>
      </c>
      <c r="AT175" s="69">
        <v>45918</v>
      </c>
      <c r="AU175" s="69"/>
      <c r="AV175" s="69"/>
      <c r="AW175" s="69"/>
      <c r="AX175" s="69"/>
      <c r="AY175" s="69">
        <f t="shared" ref="AY175:AY180" si="280">SUM(AM175:AX175)</f>
        <v>477394</v>
      </c>
      <c r="BA175" s="757"/>
      <c r="BB175" s="757"/>
      <c r="BC175" s="292" t="s">
        <v>100</v>
      </c>
      <c r="BD175" s="465">
        <f t="shared" ref="BD175:BD176" si="281">AM175/V175</f>
        <v>0.97191512679357195</v>
      </c>
      <c r="BE175" s="465">
        <f t="shared" si="264"/>
        <v>0.72692572124279253</v>
      </c>
      <c r="BF175" s="465">
        <f t="shared" si="234"/>
        <v>0.80595961733119803</v>
      </c>
      <c r="BG175" s="465">
        <f t="shared" si="235"/>
        <v>0.75918225022072117</v>
      </c>
      <c r="BH175" s="465">
        <f t="shared" si="236"/>
        <v>0.68061906823207352</v>
      </c>
      <c r="BI175" s="465">
        <f t="shared" si="237"/>
        <v>0.62691362215057977</v>
      </c>
      <c r="BJ175" s="465">
        <f t="shared" si="238"/>
        <v>0.76375505973941626</v>
      </c>
      <c r="BK175" s="465">
        <f t="shared" si="239"/>
        <v>0.5272506059781048</v>
      </c>
      <c r="BL175" s="465">
        <f t="shared" si="240"/>
        <v>0</v>
      </c>
      <c r="BM175" s="465">
        <f t="shared" si="241"/>
        <v>0</v>
      </c>
      <c r="BN175" s="465">
        <f t="shared" si="242"/>
        <v>0</v>
      </c>
      <c r="BO175" s="465">
        <f t="shared" si="243"/>
        <v>0</v>
      </c>
      <c r="BP175" s="465">
        <f t="shared" ref="BP175:BP180" si="282">AY175/AH175</f>
        <v>0.48397971627565156</v>
      </c>
    </row>
    <row r="176" spans="2:68" ht="16" customHeight="1">
      <c r="B176" s="769"/>
      <c r="C176" s="769"/>
      <c r="D176" s="292" t="s">
        <v>101</v>
      </c>
      <c r="E176" s="69">
        <v>50720</v>
      </c>
      <c r="F176" s="69">
        <v>48229</v>
      </c>
      <c r="G176" s="69">
        <v>42577</v>
      </c>
      <c r="H176" s="69">
        <v>33594</v>
      </c>
      <c r="I176" s="69">
        <v>33144</v>
      </c>
      <c r="J176" s="69">
        <v>29870</v>
      </c>
      <c r="K176" s="69">
        <v>38134</v>
      </c>
      <c r="L176" s="69">
        <v>32717</v>
      </c>
      <c r="M176" s="69">
        <v>31137</v>
      </c>
      <c r="N176" s="69">
        <v>34017</v>
      </c>
      <c r="O176" s="69">
        <v>33474</v>
      </c>
      <c r="P176" s="69">
        <v>33869</v>
      </c>
      <c r="Q176" s="69">
        <f t="shared" si="279"/>
        <v>441482</v>
      </c>
      <c r="S176" s="769"/>
      <c r="T176" s="769"/>
      <c r="U176" s="292" t="s">
        <v>101</v>
      </c>
      <c r="V176" s="69">
        <v>24648.674245736773</v>
      </c>
      <c r="W176" s="69">
        <v>31260.74238516064</v>
      </c>
      <c r="X176" s="69">
        <v>32640.742084710986</v>
      </c>
      <c r="Y176" s="69">
        <f>Y$173*'Region OP Sales Goals'!V84</f>
        <v>33504.485351989504</v>
      </c>
      <c r="Z176" s="69">
        <f>Z$173*'Region OP Sales Goals'!W84</f>
        <v>37932.390905115877</v>
      </c>
      <c r="AA176" s="69">
        <f>AA$173*'Region OP Sales Goals'!X84</f>
        <v>36325.707355541163</v>
      </c>
      <c r="AB176" s="69">
        <f>AB$173*'Region OP Sales Goals'!Y84</f>
        <v>31265.450980745336</v>
      </c>
      <c r="AC176" s="69">
        <f>AC$173*'Region OP Sales Goals'!Z84</f>
        <v>34835.806335256711</v>
      </c>
      <c r="AD176" s="69">
        <f>AD$173*'Region OP Sales Goals'!AA84</f>
        <v>34269.769479667695</v>
      </c>
      <c r="AE176" s="69">
        <f>AE$173*'Region OP Sales Goals'!AB84</f>
        <v>35431.96077452496</v>
      </c>
      <c r="AF176" s="69">
        <f>AF$173*'Region OP Sales Goals'!AC84</f>
        <v>27507.360703786493</v>
      </c>
      <c r="AG176" s="69">
        <f>AG$173*'Region OP Sales Goals'!AD84</f>
        <v>37983.234269860004</v>
      </c>
      <c r="AH176" s="69">
        <f>AH$173*'Region OP Sales Goals'!AE84</f>
        <v>396461.78925105353</v>
      </c>
      <c r="AJ176" s="757"/>
      <c r="AK176" s="757"/>
      <c r="AL176" s="292" t="s">
        <v>101</v>
      </c>
      <c r="AM176" s="69">
        <v>32486</v>
      </c>
      <c r="AN176" s="69">
        <v>33275</v>
      </c>
      <c r="AO176" s="69">
        <v>33111</v>
      </c>
      <c r="AP176" s="69">
        <v>32217</v>
      </c>
      <c r="AQ176" s="69">
        <v>33179</v>
      </c>
      <c r="AR176" s="69">
        <v>32302</v>
      </c>
      <c r="AS176" s="69">
        <v>31665</v>
      </c>
      <c r="AT176" s="69">
        <v>23237</v>
      </c>
      <c r="AU176" s="69"/>
      <c r="AV176" s="69"/>
      <c r="AW176" s="69"/>
      <c r="AX176" s="69"/>
      <c r="AY176" s="69">
        <f t="shared" si="280"/>
        <v>251472</v>
      </c>
      <c r="BA176" s="757"/>
      <c r="BB176" s="757"/>
      <c r="BC176" s="292" t="s">
        <v>101</v>
      </c>
      <c r="BD176" s="465">
        <f t="shared" si="281"/>
        <v>1.317961350623909</v>
      </c>
      <c r="BE176" s="465">
        <f t="shared" si="264"/>
        <v>1.0644340940474759</v>
      </c>
      <c r="BF176" s="465">
        <f t="shared" si="234"/>
        <v>1.0144070840690012</v>
      </c>
      <c r="BG176" s="465">
        <f t="shared" si="235"/>
        <v>0.96157274650055014</v>
      </c>
      <c r="BH176" s="465">
        <f t="shared" si="236"/>
        <v>0.87468781187544931</v>
      </c>
      <c r="BI176" s="465">
        <f t="shared" si="237"/>
        <v>0.88923251194646369</v>
      </c>
      <c r="BJ176" s="465">
        <f t="shared" si="238"/>
        <v>1.0127792501538111</v>
      </c>
      <c r="BK176" s="465">
        <f t="shared" si="239"/>
        <v>0.66704355215347022</v>
      </c>
      <c r="BL176" s="465">
        <f t="shared" si="240"/>
        <v>0</v>
      </c>
      <c r="BM176" s="465">
        <f t="shared" si="241"/>
        <v>0</v>
      </c>
      <c r="BN176" s="465">
        <f t="shared" si="242"/>
        <v>0</v>
      </c>
      <c r="BO176" s="465">
        <f t="shared" si="243"/>
        <v>0</v>
      </c>
      <c r="BP176" s="465">
        <f t="shared" si="282"/>
        <v>0.63429063485550452</v>
      </c>
    </row>
    <row r="177" spans="2:68" ht="16" customHeight="1">
      <c r="B177" s="769"/>
      <c r="C177" s="769"/>
      <c r="D177" s="292" t="s">
        <v>102</v>
      </c>
      <c r="E177" s="69">
        <v>18470</v>
      </c>
      <c r="F177" s="69">
        <v>19839</v>
      </c>
      <c r="G177" s="69">
        <v>21448</v>
      </c>
      <c r="H177" s="69">
        <v>20639</v>
      </c>
      <c r="I177" s="69">
        <v>21397</v>
      </c>
      <c r="J177" s="69">
        <v>20942</v>
      </c>
      <c r="K177" s="69">
        <v>26956</v>
      </c>
      <c r="L177" s="69">
        <v>25010</v>
      </c>
      <c r="M177" s="69">
        <v>21863</v>
      </c>
      <c r="N177" s="69">
        <v>23457</v>
      </c>
      <c r="O177" s="69">
        <v>22313</v>
      </c>
      <c r="P177" s="69">
        <v>20683</v>
      </c>
      <c r="Q177" s="69">
        <f t="shared" si="279"/>
        <v>263017</v>
      </c>
      <c r="S177" s="769"/>
      <c r="T177" s="769"/>
      <c r="U177" s="292" t="s">
        <v>102</v>
      </c>
      <c r="V177" s="69">
        <v>16530.847398338436</v>
      </c>
      <c r="W177" s="69">
        <v>18691.990292157909</v>
      </c>
      <c r="X177" s="69">
        <v>18918.307657261063</v>
      </c>
      <c r="Y177" s="69">
        <f>Y$173*'Region OP Sales Goals'!V85</f>
        <v>20958.752951464798</v>
      </c>
      <c r="Z177" s="69">
        <f>Z$173*'Region OP Sales Goals'!W85</f>
        <v>23763.0931351115</v>
      </c>
      <c r="AA177" s="69">
        <f>AA$173*'Region OP Sales Goals'!X85</f>
        <v>22648.416731794892</v>
      </c>
      <c r="AB177" s="69">
        <f>AB$173*'Region OP Sales Goals'!Y85</f>
        <v>19556.989913881858</v>
      </c>
      <c r="AC177" s="69">
        <f>AC$173*'Region OP Sales Goals'!Z85</f>
        <v>21678.397467623781</v>
      </c>
      <c r="AD177" s="69">
        <f>AD$173*'Region OP Sales Goals'!AA85</f>
        <v>21346.000480979448</v>
      </c>
      <c r="AE177" s="69">
        <f>AE$173*'Region OP Sales Goals'!AB85</f>
        <v>22204.028752035643</v>
      </c>
      <c r="AF177" s="69">
        <f>AF$173*'Region OP Sales Goals'!AC85</f>
        <v>17192.100439866557</v>
      </c>
      <c r="AG177" s="69">
        <f>AG$173*'Region OP Sales Goals'!AD85</f>
        <v>23739.521418662498</v>
      </c>
      <c r="AH177" s="69">
        <f>AH$173*'Region OP Sales Goals'!AE85</f>
        <v>245713.7925145514</v>
      </c>
      <c r="AJ177" s="757"/>
      <c r="AK177" s="757"/>
      <c r="AL177" s="292" t="s">
        <v>102</v>
      </c>
      <c r="AM177" s="69">
        <v>29170</v>
      </c>
      <c r="AN177" s="69">
        <v>23735</v>
      </c>
      <c r="AO177" s="69">
        <v>21871</v>
      </c>
      <c r="AP177" s="69">
        <v>19480</v>
      </c>
      <c r="AQ177" s="69">
        <v>19471</v>
      </c>
      <c r="AR177" s="69">
        <v>19720</v>
      </c>
      <c r="AS177" s="69">
        <v>34614</v>
      </c>
      <c r="AT177" s="69">
        <v>23047</v>
      </c>
      <c r="AU177" s="69"/>
      <c r="AV177" s="69"/>
      <c r="AW177" s="69"/>
      <c r="AX177" s="69"/>
      <c r="AY177" s="69">
        <f t="shared" si="280"/>
        <v>191108</v>
      </c>
      <c r="BA177" s="757"/>
      <c r="BB177" s="757"/>
      <c r="BC177" s="292" t="s">
        <v>102</v>
      </c>
      <c r="BD177" s="465">
        <f>AM177/V177</f>
        <v>1.7645798365383232</v>
      </c>
      <c r="BE177" s="465">
        <f t="shared" si="264"/>
        <v>1.2697952239980486</v>
      </c>
      <c r="BF177" s="465">
        <f t="shared" si="234"/>
        <v>1.156075923715389</v>
      </c>
      <c r="BG177" s="465">
        <f t="shared" si="235"/>
        <v>0.92944461176248327</v>
      </c>
      <c r="BH177" s="465">
        <f t="shared" si="236"/>
        <v>0.81937986310504096</v>
      </c>
      <c r="BI177" s="465">
        <f t="shared" si="237"/>
        <v>0.8707010398795848</v>
      </c>
      <c r="BJ177" s="465">
        <f t="shared" si="238"/>
        <v>1.769904272202464</v>
      </c>
      <c r="BK177" s="465">
        <f t="shared" si="239"/>
        <v>1.0631320896491632</v>
      </c>
      <c r="BL177" s="465">
        <f t="shared" si="240"/>
        <v>0</v>
      </c>
      <c r="BM177" s="465">
        <f t="shared" si="241"/>
        <v>0</v>
      </c>
      <c r="BN177" s="465">
        <f t="shared" si="242"/>
        <v>0</v>
      </c>
      <c r="BO177" s="465">
        <f t="shared" si="243"/>
        <v>0</v>
      </c>
      <c r="BP177" s="465">
        <f t="shared" si="282"/>
        <v>0.77776667741873873</v>
      </c>
    </row>
    <row r="178" spans="2:68" ht="16" customHeight="1">
      <c r="B178" s="769"/>
      <c r="C178" s="769"/>
      <c r="D178" s="292" t="s">
        <v>103</v>
      </c>
      <c r="E178" s="69">
        <v>44893</v>
      </c>
      <c r="F178" s="69">
        <v>45341</v>
      </c>
      <c r="G178" s="69">
        <v>49952</v>
      </c>
      <c r="H178" s="69">
        <v>54744</v>
      </c>
      <c r="I178" s="69">
        <v>59217</v>
      </c>
      <c r="J178" s="69">
        <v>55891</v>
      </c>
      <c r="K178" s="69">
        <v>58353</v>
      </c>
      <c r="L178" s="69">
        <v>60559</v>
      </c>
      <c r="M178" s="69">
        <v>56481</v>
      </c>
      <c r="N178" s="69">
        <v>56322</v>
      </c>
      <c r="O178" s="69">
        <v>57763</v>
      </c>
      <c r="P178" s="69">
        <v>61012</v>
      </c>
      <c r="Q178" s="69">
        <f t="shared" si="279"/>
        <v>660528</v>
      </c>
      <c r="S178" s="769"/>
      <c r="T178" s="769"/>
      <c r="U178" s="292" t="s">
        <v>103</v>
      </c>
      <c r="V178" s="69">
        <v>41769.90905115872</v>
      </c>
      <c r="W178" s="69">
        <v>44312.908020201932</v>
      </c>
      <c r="X178" s="69">
        <v>46762.859068300233</v>
      </c>
      <c r="Y178" s="69">
        <f>Y$173*'Region OP Sales Goals'!V86</f>
        <v>47526.186270222999</v>
      </c>
      <c r="Z178" s="69">
        <f>Z$173*'Region OP Sales Goals'!W86</f>
        <v>53872.850896370794</v>
      </c>
      <c r="AA178" s="69">
        <f>AA$173*'Region OP Sales Goals'!X86</f>
        <v>51620.74203155849</v>
      </c>
      <c r="AB178" s="69">
        <f>AB$173*'Region OP Sales Goals'!Y86</f>
        <v>44389.220528218699</v>
      </c>
      <c r="AC178" s="69">
        <f>AC$173*'Region OP Sales Goals'!Z86</f>
        <v>49371.610417594049</v>
      </c>
      <c r="AD178" s="69">
        <f>AD$173*'Region OP Sales Goals'!AA86</f>
        <v>48645.647354613036</v>
      </c>
      <c r="AE178" s="69">
        <f>AE$173*'Region OP Sales Goals'!AB86</f>
        <v>50392.121990435502</v>
      </c>
      <c r="AF178" s="69">
        <f>AF$173*'Region OP Sales Goals'!AC86</f>
        <v>39096.10988917802</v>
      </c>
      <c r="AG178" s="69">
        <f>AG$173*'Region OP Sales Goals'!AD86</f>
        <v>53963.985273642567</v>
      </c>
      <c r="AH178" s="69">
        <f>AH$173*'Region OP Sales Goals'!AE86</f>
        <v>560270.98426075443</v>
      </c>
      <c r="AJ178" s="757"/>
      <c r="AK178" s="757"/>
      <c r="AL178" s="292" t="s">
        <v>103</v>
      </c>
      <c r="AM178" s="69">
        <v>65906</v>
      </c>
      <c r="AN178" s="69">
        <v>61736</v>
      </c>
      <c r="AO178" s="69">
        <v>63111</v>
      </c>
      <c r="AP178" s="69">
        <v>49187</v>
      </c>
      <c r="AQ178" s="69">
        <v>58295</v>
      </c>
      <c r="AR178" s="69">
        <v>57395</v>
      </c>
      <c r="AS178" s="69">
        <v>65522</v>
      </c>
      <c r="AT178" s="69">
        <v>47643</v>
      </c>
      <c r="AU178" s="69"/>
      <c r="AV178" s="69"/>
      <c r="AW178" s="69"/>
      <c r="AX178" s="69"/>
      <c r="AY178" s="69">
        <f t="shared" si="280"/>
        <v>468795</v>
      </c>
      <c r="BA178" s="757"/>
      <c r="BB178" s="757"/>
      <c r="BC178" s="292" t="s">
        <v>103</v>
      </c>
      <c r="BD178" s="465">
        <f t="shared" ref="BD178:BD180" si="283">AM178/V178</f>
        <v>1.5778344147046146</v>
      </c>
      <c r="BE178" s="465">
        <f t="shared" si="264"/>
        <v>1.3931832226369574</v>
      </c>
      <c r="BF178" s="465">
        <f t="shared" si="234"/>
        <v>1.3495966939878983</v>
      </c>
      <c r="BG178" s="465">
        <f t="shared" si="235"/>
        <v>1.0349452346193737</v>
      </c>
      <c r="BH178" s="465">
        <f t="shared" si="236"/>
        <v>1.0820849283089844</v>
      </c>
      <c r="BI178" s="465">
        <f t="shared" si="237"/>
        <v>1.1118592593053274</v>
      </c>
      <c r="BJ178" s="465">
        <f t="shared" si="238"/>
        <v>1.4760790845233915</v>
      </c>
      <c r="BK178" s="465">
        <f t="shared" si="239"/>
        <v>0.96498776517571239</v>
      </c>
      <c r="BL178" s="465">
        <f t="shared" si="240"/>
        <v>0</v>
      </c>
      <c r="BM178" s="465">
        <f t="shared" si="241"/>
        <v>0</v>
      </c>
      <c r="BN178" s="465">
        <f t="shared" si="242"/>
        <v>0</v>
      </c>
      <c r="BO178" s="465">
        <f t="shared" si="243"/>
        <v>0</v>
      </c>
      <c r="BP178" s="465">
        <f t="shared" si="282"/>
        <v>0.83672903500178264</v>
      </c>
    </row>
    <row r="179" spans="2:68" ht="16" customHeight="1">
      <c r="B179" s="769"/>
      <c r="C179" s="769"/>
      <c r="D179" s="292" t="s">
        <v>104</v>
      </c>
      <c r="E179" s="69">
        <v>60977</v>
      </c>
      <c r="F179" s="69">
        <v>61704</v>
      </c>
      <c r="G179" s="69">
        <v>72848</v>
      </c>
      <c r="H179" s="69">
        <v>77830</v>
      </c>
      <c r="I179" s="69">
        <v>81265</v>
      </c>
      <c r="J179" s="69">
        <v>77774</v>
      </c>
      <c r="K179" s="69">
        <v>99097</v>
      </c>
      <c r="L179" s="69">
        <v>109059</v>
      </c>
      <c r="M179" s="69">
        <v>101730</v>
      </c>
      <c r="N179" s="69">
        <v>93170</v>
      </c>
      <c r="O179" s="69">
        <v>91868</v>
      </c>
      <c r="P179" s="69">
        <v>94939</v>
      </c>
      <c r="Q179" s="69">
        <f t="shared" si="279"/>
        <v>1022261</v>
      </c>
      <c r="S179" s="769"/>
      <c r="T179" s="769"/>
      <c r="U179" s="292" t="s">
        <v>104</v>
      </c>
      <c r="V179" s="69">
        <v>86048.964582422384</v>
      </c>
      <c r="W179" s="69">
        <v>79763.234436363491</v>
      </c>
      <c r="X179" s="69">
        <v>87397.252275797582</v>
      </c>
      <c r="Y179" s="69">
        <f>Y$173*'Region OP Sales Goals'!V87</f>
        <v>91362.451246174023</v>
      </c>
      <c r="Z179" s="69">
        <f>Z$173*'Region OP Sales Goals'!W87</f>
        <v>103612.98994315698</v>
      </c>
      <c r="AA179" s="69">
        <f>AA$173*'Region OP Sales Goals'!X87</f>
        <v>99270.657752997096</v>
      </c>
      <c r="AB179" s="69">
        <f>AB$173*'Region OP Sales Goals'!Y87</f>
        <v>85304.502058576792</v>
      </c>
      <c r="AC179" s="69">
        <f>AC$173*'Region OP Sales Goals'!Z87</f>
        <v>94983.961158721533</v>
      </c>
      <c r="AD179" s="69">
        <f>AD$173*'Region OP Sales Goals'!AA87</f>
        <v>93515.8116309576</v>
      </c>
      <c r="AE179" s="69">
        <f>AE$173*'Region OP Sales Goals'!AB87</f>
        <v>96847.359450368225</v>
      </c>
      <c r="AF179" s="69">
        <f>AF$173*'Region OP Sales Goals'!AC87</f>
        <v>75008.497474677046</v>
      </c>
      <c r="AG179" s="69">
        <f>AG$173*'Region OP Sales Goals'!AD87</f>
        <v>103643.27643757529</v>
      </c>
      <c r="AH179" s="69">
        <f>AH$173*'Region OP Sales Goals'!AE87</f>
        <v>1116460.3440611344</v>
      </c>
      <c r="AJ179" s="757"/>
      <c r="AK179" s="757"/>
      <c r="AL179" s="292" t="s">
        <v>104</v>
      </c>
      <c r="AM179" s="69">
        <v>98688</v>
      </c>
      <c r="AN179" s="69">
        <v>92871</v>
      </c>
      <c r="AO179" s="69">
        <v>108538</v>
      </c>
      <c r="AP179" s="69">
        <v>114498</v>
      </c>
      <c r="AQ179" s="156">
        <v>115924</v>
      </c>
      <c r="AR179" s="156">
        <v>97725</v>
      </c>
      <c r="AS179" s="156">
        <v>94729</v>
      </c>
      <c r="AT179" s="156">
        <v>62760</v>
      </c>
      <c r="AU179" s="69"/>
      <c r="AV179" s="69"/>
      <c r="AW179" s="69"/>
      <c r="AX179" s="69"/>
      <c r="AY179" s="69">
        <f t="shared" si="280"/>
        <v>785733</v>
      </c>
      <c r="BA179" s="757"/>
      <c r="BB179" s="757"/>
      <c r="BC179" s="292" t="s">
        <v>104</v>
      </c>
      <c r="BD179" s="465">
        <f t="shared" si="283"/>
        <v>1.1468819000776151</v>
      </c>
      <c r="BE179" s="465">
        <f t="shared" si="264"/>
        <v>1.1643334257475995</v>
      </c>
      <c r="BF179" s="465">
        <f t="shared" si="234"/>
        <v>1.2418925901410383</v>
      </c>
      <c r="BG179" s="465">
        <f t="shared" si="235"/>
        <v>1.2532281964664869</v>
      </c>
      <c r="BH179" s="465">
        <f t="shared" si="236"/>
        <v>1.1188172454399488</v>
      </c>
      <c r="BI179" s="465">
        <f t="shared" si="237"/>
        <v>0.98442986288211198</v>
      </c>
      <c r="BJ179" s="465">
        <f t="shared" si="238"/>
        <v>1.1104806629660835</v>
      </c>
      <c r="BK179" s="465">
        <f t="shared" si="239"/>
        <v>0.66074313214970937</v>
      </c>
      <c r="BL179" s="465">
        <f t="shared" si="240"/>
        <v>0</v>
      </c>
      <c r="BM179" s="465">
        <f t="shared" si="241"/>
        <v>0</v>
      </c>
      <c r="BN179" s="465">
        <f t="shared" si="242"/>
        <v>0</v>
      </c>
      <c r="BO179" s="465">
        <f t="shared" si="243"/>
        <v>0</v>
      </c>
      <c r="BP179" s="465">
        <f t="shared" si="282"/>
        <v>0.7037715259477012</v>
      </c>
    </row>
    <row r="180" spans="2:68" ht="16" customHeight="1">
      <c r="B180" s="770"/>
      <c r="C180" s="770"/>
      <c r="D180" s="292" t="s">
        <v>105</v>
      </c>
      <c r="E180" s="69">
        <v>31901</v>
      </c>
      <c r="F180" s="69">
        <v>34359</v>
      </c>
      <c r="G180" s="69">
        <v>37640</v>
      </c>
      <c r="H180" s="69">
        <v>39727</v>
      </c>
      <c r="I180" s="69">
        <v>38512</v>
      </c>
      <c r="J180" s="69">
        <v>33906</v>
      </c>
      <c r="K180" s="69">
        <v>40248</v>
      </c>
      <c r="L180" s="69">
        <v>38618</v>
      </c>
      <c r="M180" s="69">
        <v>36399</v>
      </c>
      <c r="N180" s="69">
        <v>34305</v>
      </c>
      <c r="O180" s="69">
        <v>35993</v>
      </c>
      <c r="P180" s="69">
        <v>38006</v>
      </c>
      <c r="Q180" s="69">
        <f t="shared" si="279"/>
        <v>439614</v>
      </c>
      <c r="S180" s="770"/>
      <c r="T180" s="770"/>
      <c r="U180" s="292" t="s">
        <v>105</v>
      </c>
      <c r="V180" s="69">
        <v>38375.181460428503</v>
      </c>
      <c r="W180" s="69">
        <v>48180.216356510471</v>
      </c>
      <c r="X180" s="69">
        <v>47562.224180578865</v>
      </c>
      <c r="Y180" s="69">
        <f>Y$173*'Region OP Sales Goals'!V88</f>
        <v>50035.332750327936</v>
      </c>
      <c r="Z180" s="69">
        <f>Z$173*'Region OP Sales Goals'!W88</f>
        <v>56824.787931788363</v>
      </c>
      <c r="AA180" s="69">
        <f>AA$173*'Region OP Sales Goals'!X88</f>
        <v>54562.094853869516</v>
      </c>
      <c r="AB180" s="69">
        <f>AB$173*'Region OP Sales Goals'!Y88</f>
        <v>46705.179860125754</v>
      </c>
      <c r="AC180" s="69">
        <f>AC$173*'Region OP Sales Goals'!Z88</f>
        <v>52003.092191120631</v>
      </c>
      <c r="AD180" s="69">
        <f>AD$173*'Region OP Sales Goals'!AA88</f>
        <v>51259.443331875831</v>
      </c>
      <c r="AE180" s="69">
        <f>AE$173*'Region OP Sales Goals'!AB88</f>
        <v>53069.203471177389</v>
      </c>
      <c r="AF180" s="69">
        <f>AF$173*'Region OP Sales Goals'!AC88</f>
        <v>41133.692163532578</v>
      </c>
      <c r="AG180" s="69">
        <f>AG$173*'Region OP Sales Goals'!AD88</f>
        <v>56743.246317778656</v>
      </c>
      <c r="AH180" s="69">
        <f>AH$173*'Region OP Sales Goals'!AE88</f>
        <v>612107.61490751198</v>
      </c>
      <c r="AJ180" s="757"/>
      <c r="AK180" s="757"/>
      <c r="AL180" s="292" t="s">
        <v>105</v>
      </c>
      <c r="AM180" s="69">
        <v>35137</v>
      </c>
      <c r="AN180" s="69">
        <v>37707</v>
      </c>
      <c r="AO180" s="69">
        <v>37849</v>
      </c>
      <c r="AP180" s="69">
        <v>40541</v>
      </c>
      <c r="AQ180" s="69">
        <v>46998</v>
      </c>
      <c r="AR180" s="69">
        <v>45238</v>
      </c>
      <c r="AS180" s="69">
        <v>64143</v>
      </c>
      <c r="AT180" s="69">
        <v>44315</v>
      </c>
      <c r="AU180" s="69"/>
      <c r="AV180" s="69"/>
      <c r="AW180" s="69"/>
      <c r="AX180" s="69"/>
      <c r="AY180" s="69">
        <f t="shared" si="280"/>
        <v>351928</v>
      </c>
      <c r="BA180" s="757"/>
      <c r="BB180" s="757"/>
      <c r="BC180" s="292" t="s">
        <v>105</v>
      </c>
      <c r="BD180" s="465">
        <f t="shared" si="283"/>
        <v>0.91561782023708127</v>
      </c>
      <c r="BE180" s="465">
        <f t="shared" si="264"/>
        <v>0.78262413188405588</v>
      </c>
      <c r="BF180" s="465">
        <f t="shared" si="234"/>
        <v>0.79577859639825088</v>
      </c>
      <c r="BG180" s="465">
        <f t="shared" si="235"/>
        <v>0.81024743459379289</v>
      </c>
      <c r="BH180" s="465">
        <f t="shared" si="236"/>
        <v>0.82706863871477543</v>
      </c>
      <c r="BI180" s="465">
        <f t="shared" si="237"/>
        <v>0.82911039470090553</v>
      </c>
      <c r="BJ180" s="465">
        <f t="shared" si="238"/>
        <v>1.3733594473267765</v>
      </c>
      <c r="BK180" s="465">
        <f t="shared" si="239"/>
        <v>0.85216086453348727</v>
      </c>
      <c r="BL180" s="465">
        <f t="shared" si="240"/>
        <v>0</v>
      </c>
      <c r="BM180" s="465">
        <f t="shared" si="241"/>
        <v>0</v>
      </c>
      <c r="BN180" s="465">
        <f t="shared" si="242"/>
        <v>0</v>
      </c>
      <c r="BO180" s="465">
        <f t="shared" si="243"/>
        <v>0</v>
      </c>
      <c r="BP180" s="465">
        <f t="shared" si="282"/>
        <v>0.57494465258886784</v>
      </c>
    </row>
    <row r="182" spans="2:68" ht="50" customHeight="1">
      <c r="B182" s="771" t="s">
        <v>348</v>
      </c>
      <c r="C182" s="772"/>
      <c r="D182" s="772"/>
      <c r="E182" s="772"/>
      <c r="F182" s="772"/>
      <c r="G182" s="772"/>
      <c r="H182" s="772"/>
      <c r="I182" s="772"/>
      <c r="J182" s="772"/>
      <c r="K182" s="772"/>
      <c r="L182" s="772"/>
      <c r="M182" s="772"/>
      <c r="N182" s="772"/>
      <c r="O182" s="772"/>
      <c r="P182" s="772"/>
      <c r="Q182" s="773"/>
      <c r="S182" s="771" t="s">
        <v>349</v>
      </c>
      <c r="T182" s="772"/>
      <c r="U182" s="772"/>
      <c r="V182" s="772"/>
      <c r="W182" s="772"/>
      <c r="X182" s="772"/>
      <c r="Y182" s="772"/>
      <c r="Z182" s="772"/>
      <c r="AA182" s="772"/>
      <c r="AB182" s="772"/>
      <c r="AC182" s="772"/>
      <c r="AD182" s="772"/>
      <c r="AE182" s="772"/>
      <c r="AF182" s="772"/>
      <c r="AG182" s="772"/>
      <c r="AH182" s="773"/>
      <c r="AJ182" s="771" t="s">
        <v>350</v>
      </c>
      <c r="AK182" s="772"/>
      <c r="AL182" s="772"/>
      <c r="AM182" s="772"/>
      <c r="AN182" s="772"/>
      <c r="AO182" s="772"/>
      <c r="AP182" s="772"/>
      <c r="AQ182" s="772"/>
      <c r="AR182" s="772"/>
      <c r="AS182" s="772"/>
      <c r="AT182" s="772"/>
      <c r="AU182" s="772"/>
      <c r="AV182" s="772"/>
      <c r="AW182" s="772"/>
      <c r="AX182" s="772"/>
      <c r="AY182" s="773"/>
      <c r="BA182" s="771" t="s">
        <v>351</v>
      </c>
      <c r="BB182" s="772"/>
      <c r="BC182" s="772"/>
      <c r="BD182" s="772"/>
      <c r="BE182" s="772"/>
      <c r="BF182" s="772"/>
      <c r="BG182" s="772"/>
      <c r="BH182" s="772"/>
      <c r="BI182" s="772"/>
      <c r="BJ182" s="772"/>
      <c r="BK182" s="772"/>
      <c r="BL182" s="772"/>
      <c r="BM182" s="772"/>
      <c r="BN182" s="772"/>
      <c r="BO182" s="772"/>
      <c r="BP182" s="773"/>
    </row>
    <row r="183" spans="2:68">
      <c r="B183" s="765" t="s">
        <v>95</v>
      </c>
      <c r="C183" s="766"/>
      <c r="D183" s="767"/>
      <c r="E183" s="234" t="s">
        <v>252</v>
      </c>
      <c r="F183" s="234" t="s">
        <v>253</v>
      </c>
      <c r="G183" s="234" t="s">
        <v>230</v>
      </c>
      <c r="H183" s="234" t="s">
        <v>254</v>
      </c>
      <c r="I183" s="234" t="s">
        <v>78</v>
      </c>
      <c r="J183" s="234" t="s">
        <v>255</v>
      </c>
      <c r="K183" s="234" t="s">
        <v>256</v>
      </c>
      <c r="L183" s="234" t="s">
        <v>236</v>
      </c>
      <c r="M183" s="234" t="s">
        <v>257</v>
      </c>
      <c r="N183" s="234" t="s">
        <v>258</v>
      </c>
      <c r="O183" s="234" t="s">
        <v>259</v>
      </c>
      <c r="P183" s="234" t="s">
        <v>260</v>
      </c>
      <c r="Q183" s="234" t="s">
        <v>24</v>
      </c>
      <c r="S183" s="765" t="s">
        <v>95</v>
      </c>
      <c r="T183" s="766"/>
      <c r="U183" s="767"/>
      <c r="V183" s="234" t="s">
        <v>252</v>
      </c>
      <c r="W183" s="234" t="s">
        <v>253</v>
      </c>
      <c r="X183" s="234" t="s">
        <v>230</v>
      </c>
      <c r="Y183" s="234" t="s">
        <v>254</v>
      </c>
      <c r="Z183" s="234" t="s">
        <v>78</v>
      </c>
      <c r="AA183" s="234" t="s">
        <v>255</v>
      </c>
      <c r="AB183" s="234" t="s">
        <v>256</v>
      </c>
      <c r="AC183" s="234" t="s">
        <v>236</v>
      </c>
      <c r="AD183" s="234" t="s">
        <v>257</v>
      </c>
      <c r="AE183" s="234" t="s">
        <v>258</v>
      </c>
      <c r="AF183" s="234" t="s">
        <v>259</v>
      </c>
      <c r="AG183" s="234" t="s">
        <v>260</v>
      </c>
      <c r="AH183" s="234" t="s">
        <v>24</v>
      </c>
      <c r="AJ183" s="765" t="s">
        <v>95</v>
      </c>
      <c r="AK183" s="766"/>
      <c r="AL183" s="767"/>
      <c r="AM183" s="234" t="s">
        <v>252</v>
      </c>
      <c r="AN183" s="234" t="s">
        <v>253</v>
      </c>
      <c r="AO183" s="234" t="s">
        <v>230</v>
      </c>
      <c r="AP183" s="234" t="s">
        <v>254</v>
      </c>
      <c r="AQ183" s="234" t="s">
        <v>78</v>
      </c>
      <c r="AR183" s="234" t="s">
        <v>255</v>
      </c>
      <c r="AS183" s="234" t="s">
        <v>256</v>
      </c>
      <c r="AT183" s="234" t="s">
        <v>236</v>
      </c>
      <c r="AU183" s="234" t="s">
        <v>257</v>
      </c>
      <c r="AV183" s="234" t="s">
        <v>258</v>
      </c>
      <c r="AW183" s="234" t="s">
        <v>259</v>
      </c>
      <c r="AX183" s="234" t="s">
        <v>260</v>
      </c>
      <c r="AY183" s="234" t="s">
        <v>24</v>
      </c>
      <c r="BA183" s="765" t="s">
        <v>95</v>
      </c>
      <c r="BB183" s="766"/>
      <c r="BC183" s="767"/>
      <c r="BD183" s="234" t="s">
        <v>252</v>
      </c>
      <c r="BE183" s="234" t="s">
        <v>253</v>
      </c>
      <c r="BF183" s="234" t="s">
        <v>230</v>
      </c>
      <c r="BG183" s="234" t="s">
        <v>254</v>
      </c>
      <c r="BH183" s="234" t="s">
        <v>78</v>
      </c>
      <c r="BI183" s="234" t="s">
        <v>255</v>
      </c>
      <c r="BJ183" s="234" t="s">
        <v>256</v>
      </c>
      <c r="BK183" s="234" t="s">
        <v>236</v>
      </c>
      <c r="BL183" s="234" t="s">
        <v>257</v>
      </c>
      <c r="BM183" s="234" t="s">
        <v>258</v>
      </c>
      <c r="BN183" s="234" t="s">
        <v>259</v>
      </c>
      <c r="BO183" s="234" t="s">
        <v>260</v>
      </c>
      <c r="BP183" s="234" t="s">
        <v>24</v>
      </c>
    </row>
    <row r="184" spans="2:68">
      <c r="B184" s="768" t="s">
        <v>48</v>
      </c>
      <c r="C184" s="768" t="s">
        <v>49</v>
      </c>
      <c r="D184" s="343" t="s">
        <v>50</v>
      </c>
      <c r="E184" s="344">
        <f>E185+E193</f>
        <v>17258</v>
      </c>
      <c r="F184" s="344">
        <f t="shared" ref="F184:Q184" si="284">F185+F193</f>
        <v>16338</v>
      </c>
      <c r="G184" s="344">
        <f t="shared" si="284"/>
        <v>22216</v>
      </c>
      <c r="H184" s="344">
        <f t="shared" si="284"/>
        <v>15453</v>
      </c>
      <c r="I184" s="344">
        <f t="shared" si="284"/>
        <v>19393</v>
      </c>
      <c r="J184" s="344">
        <f t="shared" si="284"/>
        <v>19816</v>
      </c>
      <c r="K184" s="344">
        <f t="shared" si="284"/>
        <v>26900</v>
      </c>
      <c r="L184" s="344">
        <f t="shared" si="284"/>
        <v>31186</v>
      </c>
      <c r="M184" s="344">
        <f t="shared" si="284"/>
        <v>32058</v>
      </c>
      <c r="N184" s="344">
        <f t="shared" si="284"/>
        <v>15998</v>
      </c>
      <c r="O184" s="344">
        <f t="shared" si="284"/>
        <v>12698</v>
      </c>
      <c r="P184" s="344">
        <f t="shared" si="284"/>
        <v>15070</v>
      </c>
      <c r="Q184" s="344">
        <f t="shared" si="284"/>
        <v>244384</v>
      </c>
      <c r="S184" s="768" t="s">
        <v>48</v>
      </c>
      <c r="T184" s="768" t="s">
        <v>49</v>
      </c>
      <c r="U184" s="343" t="s">
        <v>50</v>
      </c>
      <c r="V184" s="344">
        <v>2913.9734582357532</v>
      </c>
      <c r="W184" s="344">
        <v>4370.9601873536303</v>
      </c>
      <c r="X184" s="344">
        <v>4905.117924528302</v>
      </c>
      <c r="Y184" s="344" cm="1">
        <f t="array" ref="Y184">INDEX('Research Goals'!$G$102:$G$113, COLUMN()-COLUMN($V$3)+1)</f>
        <v>2503.4051522248242</v>
      </c>
      <c r="Z184" s="344" cm="1">
        <f t="array" ref="Z184">INDEX('Research Goals'!$G$102:$G$113, COLUMN()-COLUMN($V$3)+1)</f>
        <v>2503.4051522248242</v>
      </c>
      <c r="AA184" s="344" cm="1">
        <f t="array" ref="AA184">INDEX('Research Goals'!$G$102:$G$113, COLUMN()-COLUMN($V$3)+1)</f>
        <v>2503.4051522248242</v>
      </c>
      <c r="AB184" s="344" cm="1">
        <f t="array" ref="AB184">INDEX('Research Goals'!$G$102:$G$113, COLUMN()-COLUMN($V$3)+1)</f>
        <v>9161.5471698113215</v>
      </c>
      <c r="AC184" s="344" cm="1">
        <f t="array" ref="AC184">INDEX('Research Goals'!$G$102:$G$113, COLUMN()-COLUMN($V$3)+1)</f>
        <v>16657.358490566039</v>
      </c>
      <c r="AD184" s="344" cm="1">
        <f t="array" ref="AD184">INDEX('Research Goals'!$G$102:$G$113, COLUMN()-COLUMN($V$3)+1)</f>
        <v>16689.367681498828</v>
      </c>
      <c r="AE184" s="344" cm="1">
        <f t="array" ref="AE184">INDEX('Research Goals'!$G$102:$G$113, COLUMN()-COLUMN($V$3)+1)</f>
        <v>20166.319281811087</v>
      </c>
      <c r="AF184" s="344" cm="1">
        <f t="array" ref="AF184">INDEX('Research Goals'!$G$102:$G$113, COLUMN()-COLUMN($V$3)+1)</f>
        <v>15269.245283018869</v>
      </c>
      <c r="AG184" s="344" cm="1">
        <f t="array" ref="AG184">INDEX('Research Goals'!$G$102:$G$113, COLUMN()-COLUMN($V$3)+1)</f>
        <v>15269.245283018869</v>
      </c>
      <c r="AH184" s="345">
        <f>SUM(V184:AG184)</f>
        <v>112913.35021651717</v>
      </c>
      <c r="AI184" s="47"/>
      <c r="AJ184" s="757" t="s">
        <v>48</v>
      </c>
      <c r="AK184" s="757" t="s">
        <v>49</v>
      </c>
      <c r="AL184" s="343" t="s">
        <v>50</v>
      </c>
      <c r="AM184" s="344">
        <f>AM185+AM193</f>
        <v>16259.428571428571</v>
      </c>
      <c r="AN184" s="344">
        <f t="shared" ref="AN184:AY184" si="285">AN185+AN193</f>
        <v>15223.857142857143</v>
      </c>
      <c r="AO184" s="344">
        <f t="shared" si="285"/>
        <v>17403</v>
      </c>
      <c r="AP184" s="344">
        <f t="shared" si="285"/>
        <v>20858.142857142859</v>
      </c>
      <c r="AQ184" s="344">
        <f t="shared" si="285"/>
        <v>19951.857142857141</v>
      </c>
      <c r="AR184" s="344">
        <f t="shared" si="285"/>
        <v>17854.571428571428</v>
      </c>
      <c r="AS184" s="344">
        <f t="shared" si="285"/>
        <v>18453.142857142859</v>
      </c>
      <c r="AT184" s="344">
        <f t="shared" si="285"/>
        <v>19877.285714285714</v>
      </c>
      <c r="AU184" s="344">
        <f t="shared" si="285"/>
        <v>0</v>
      </c>
      <c r="AV184" s="344">
        <f t="shared" si="285"/>
        <v>0</v>
      </c>
      <c r="AW184" s="344">
        <f t="shared" si="285"/>
        <v>0</v>
      </c>
      <c r="AX184" s="344">
        <f t="shared" si="285"/>
        <v>0</v>
      </c>
      <c r="AY184" s="344">
        <f t="shared" si="285"/>
        <v>145881.28571428571</v>
      </c>
      <c r="BA184" s="757" t="s">
        <v>48</v>
      </c>
      <c r="BB184" s="757" t="s">
        <v>49</v>
      </c>
      <c r="BC184" s="343" t="s">
        <v>50</v>
      </c>
      <c r="BD184" s="463">
        <f>AM184/V184</f>
        <v>5.5798135447921133</v>
      </c>
      <c r="BE184" s="463">
        <f>AN184/W184</f>
        <v>3.4829548864123443</v>
      </c>
      <c r="BF184" s="463">
        <f t="shared" ref="BF184:BF225" si="286">AO184/X184</f>
        <v>3.547926934228304</v>
      </c>
      <c r="BG184" s="463">
        <f t="shared" ref="BG184:BG225" si="287">AP184/Y184</f>
        <v>8.3319085760472404</v>
      </c>
      <c r="BH184" s="463">
        <f t="shared" ref="BH184:BH225" si="288">AQ184/Z184</f>
        <v>7.9698873852382794</v>
      </c>
      <c r="BI184" s="463">
        <f t="shared" ref="BI184:BI225" si="289">AR184/AA184</f>
        <v>7.1321141976174838</v>
      </c>
      <c r="BJ184" s="463">
        <f t="shared" ref="BJ184:BJ225" si="290">AS184/AB184</f>
        <v>2.0141950387974581</v>
      </c>
      <c r="BK184" s="463">
        <f t="shared" ref="BK184:BK225" si="291">AT184/AC184</f>
        <v>1.1933035916555013</v>
      </c>
      <c r="BL184" s="463">
        <f t="shared" ref="BL184:BL225" si="292">AU184/AD184</f>
        <v>0</v>
      </c>
      <c r="BM184" s="463">
        <f t="shared" ref="BM184:BM225" si="293">AV184/AE184</f>
        <v>0</v>
      </c>
      <c r="BN184" s="463">
        <f t="shared" ref="BN184:BN225" si="294">AW184/AF184</f>
        <v>0</v>
      </c>
      <c r="BO184" s="463">
        <f t="shared" ref="BO184:BO225" si="295">AX184/AG184</f>
        <v>0</v>
      </c>
      <c r="BP184" s="463">
        <f t="shared" ref="BP184:BP185" si="296">AY184/AH184</f>
        <v>1.2919755319858177</v>
      </c>
    </row>
    <row r="185" spans="2:68">
      <c r="B185" s="769"/>
      <c r="C185" s="769"/>
      <c r="D185" s="182" t="s">
        <v>52</v>
      </c>
      <c r="E185" s="341">
        <f>SUM(E186:E192)</f>
        <v>15429</v>
      </c>
      <c r="F185" s="341">
        <f t="shared" ref="F185:Q185" si="297">SUM(F186:F192)</f>
        <v>14706</v>
      </c>
      <c r="G185" s="341">
        <f t="shared" si="297"/>
        <v>20151</v>
      </c>
      <c r="H185" s="341">
        <f t="shared" si="297"/>
        <v>13898</v>
      </c>
      <c r="I185" s="341">
        <f t="shared" si="297"/>
        <v>17825</v>
      </c>
      <c r="J185" s="341">
        <f t="shared" si="297"/>
        <v>18187</v>
      </c>
      <c r="K185" s="341">
        <f t="shared" si="297"/>
        <v>24788</v>
      </c>
      <c r="L185" s="341">
        <f t="shared" si="297"/>
        <v>29116</v>
      </c>
      <c r="M185" s="341">
        <f t="shared" si="297"/>
        <v>29745</v>
      </c>
      <c r="N185" s="341">
        <f t="shared" si="297"/>
        <v>14560</v>
      </c>
      <c r="O185" s="341">
        <f t="shared" si="297"/>
        <v>11235</v>
      </c>
      <c r="P185" s="341">
        <f t="shared" si="297"/>
        <v>13713</v>
      </c>
      <c r="Q185" s="341">
        <f t="shared" si="297"/>
        <v>223353</v>
      </c>
      <c r="S185" s="769"/>
      <c r="T185" s="769"/>
      <c r="U185" s="182" t="s">
        <v>52</v>
      </c>
      <c r="V185" s="341">
        <v>2393.4894613583137</v>
      </c>
      <c r="W185" s="341">
        <v>3590.2341920374706</v>
      </c>
      <c r="X185" s="341">
        <v>4183.6556603773588</v>
      </c>
      <c r="Y185" s="341" cm="1">
        <f t="array" ref="Y185">INDEX('Research Goals'!$D$102:$D$113, COLUMN()-COLUMN($V$3)+1)</f>
        <v>2154.1405152224825</v>
      </c>
      <c r="Z185" s="341" cm="1">
        <f t="array" ref="Z185">INDEX('Research Goals'!$D$102:$D$113, COLUMN()-COLUMN($V$3)+1)</f>
        <v>2154.1405152224825</v>
      </c>
      <c r="AA185" s="341" cm="1">
        <f t="array" ref="AA185">INDEX('Research Goals'!$D$102:$D$113, COLUMN()-COLUMN($V$3)+1)</f>
        <v>2154.1405152224825</v>
      </c>
      <c r="AB185" s="341" cm="1">
        <f t="array" ref="AB185">INDEX('Research Goals'!$D$102:$D$113, COLUMN()-COLUMN($V$3)+1)</f>
        <v>7889.1792452830196</v>
      </c>
      <c r="AC185" s="341" cm="1">
        <f t="array" ref="AC185">INDEX('Research Goals'!$D$102:$D$113, COLUMN()-COLUMN($V$3)+1)</f>
        <v>14343.962264150945</v>
      </c>
      <c r="AD185" s="341" cm="1">
        <f t="array" ref="AD185">INDEX('Research Goals'!$D$102:$D$113, COLUMN()-COLUMN($V$3)+1)</f>
        <v>14360.936768149882</v>
      </c>
      <c r="AE185" s="341" cm="1">
        <f t="array" ref="AE185">INDEX('Research Goals'!$D$102:$D$113, COLUMN()-COLUMN($V$3)+1)</f>
        <v>17352.798594847776</v>
      </c>
      <c r="AF185" s="341" cm="1">
        <f t="array" ref="AF185">INDEX('Research Goals'!$D$102:$D$113, COLUMN()-COLUMN($V$3)+1)</f>
        <v>13148.632075471698</v>
      </c>
      <c r="AG185" s="341" cm="1">
        <f t="array" ref="AG185">INDEX('Research Goals'!$D$102:$D$113, COLUMN()-COLUMN($V$3)+1)</f>
        <v>13148.632075471698</v>
      </c>
      <c r="AH185" s="342">
        <f>SUM(V185:AG185)</f>
        <v>96873.941882815619</v>
      </c>
      <c r="AJ185" s="757"/>
      <c r="AK185" s="757"/>
      <c r="AL185" s="182" t="s">
        <v>52</v>
      </c>
      <c r="AM185" s="341">
        <f>SUM(AM186:AM192)</f>
        <v>14991</v>
      </c>
      <c r="AN185" s="341">
        <f t="shared" ref="AN185:AY185" si="298">SUM(AN186:AN192)</f>
        <v>14336</v>
      </c>
      <c r="AO185" s="341">
        <f t="shared" si="298"/>
        <v>16448</v>
      </c>
      <c r="AP185" s="341">
        <f t="shared" si="298"/>
        <v>19912</v>
      </c>
      <c r="AQ185" s="341">
        <f t="shared" si="298"/>
        <v>18716</v>
      </c>
      <c r="AR185" s="341">
        <f t="shared" si="298"/>
        <v>16986</v>
      </c>
      <c r="AS185" s="341">
        <f t="shared" si="298"/>
        <v>17876</v>
      </c>
      <c r="AT185" s="341">
        <f t="shared" si="298"/>
        <v>19198</v>
      </c>
      <c r="AU185" s="341">
        <f t="shared" si="298"/>
        <v>0</v>
      </c>
      <c r="AV185" s="341">
        <f t="shared" si="298"/>
        <v>0</v>
      </c>
      <c r="AW185" s="341">
        <f t="shared" si="298"/>
        <v>0</v>
      </c>
      <c r="AX185" s="341">
        <f t="shared" si="298"/>
        <v>0</v>
      </c>
      <c r="AY185" s="341">
        <f t="shared" si="298"/>
        <v>138463</v>
      </c>
      <c r="BA185" s="757"/>
      <c r="BB185" s="757"/>
      <c r="BC185" s="182" t="s">
        <v>52</v>
      </c>
      <c r="BD185" s="464">
        <f>AM185/V185</f>
        <v>6.2632404453924586</v>
      </c>
      <c r="BE185" s="464">
        <f t="shared" ref="BE185:BE200" si="299">AN185/W185</f>
        <v>3.9930542781289344</v>
      </c>
      <c r="BF185" s="464">
        <f t="shared" si="286"/>
        <v>3.9314899062501758</v>
      </c>
      <c r="BG185" s="464">
        <f t="shared" si="287"/>
        <v>9.2435938413903624</v>
      </c>
      <c r="BH185" s="464">
        <f t="shared" si="288"/>
        <v>8.6883840064012663</v>
      </c>
      <c r="BI185" s="464">
        <f t="shared" si="289"/>
        <v>7.8852794792013201</v>
      </c>
      <c r="BJ185" s="464">
        <f t="shared" si="290"/>
        <v>2.2658884332851419</v>
      </c>
      <c r="BK185" s="464">
        <f t="shared" si="291"/>
        <v>1.3384028517685436</v>
      </c>
      <c r="BL185" s="464">
        <f t="shared" si="292"/>
        <v>0</v>
      </c>
      <c r="BM185" s="464">
        <f t="shared" si="293"/>
        <v>0</v>
      </c>
      <c r="BN185" s="464">
        <f t="shared" si="294"/>
        <v>0</v>
      </c>
      <c r="BO185" s="464">
        <f t="shared" si="295"/>
        <v>0</v>
      </c>
      <c r="BP185" s="464">
        <f t="shared" si="296"/>
        <v>1.4293110955213626</v>
      </c>
    </row>
    <row r="186" spans="2:68" ht="16" customHeight="1">
      <c r="B186" s="769"/>
      <c r="C186" s="769"/>
      <c r="D186" s="292" t="s">
        <v>99</v>
      </c>
      <c r="E186" s="69">
        <v>2059</v>
      </c>
      <c r="F186" s="69">
        <v>2054</v>
      </c>
      <c r="G186" s="69">
        <v>2736</v>
      </c>
      <c r="H186" s="69">
        <v>1990</v>
      </c>
      <c r="I186" s="69">
        <v>2418</v>
      </c>
      <c r="J186" s="69">
        <v>2514</v>
      </c>
      <c r="K186" s="69">
        <v>3658</v>
      </c>
      <c r="L186" s="69">
        <v>4421</v>
      </c>
      <c r="M186" s="69">
        <v>4742</v>
      </c>
      <c r="N186" s="69">
        <v>2331</v>
      </c>
      <c r="O186" s="69">
        <v>1521</v>
      </c>
      <c r="P186" s="69">
        <v>1815</v>
      </c>
      <c r="Q186" s="69">
        <f>SUM(E186:P186)</f>
        <v>32259</v>
      </c>
      <c r="S186" s="769"/>
      <c r="T186" s="769"/>
      <c r="U186" s="292" t="s">
        <v>99</v>
      </c>
      <c r="V186" s="69">
        <v>119.6744730679157</v>
      </c>
      <c r="W186" s="69">
        <v>359.0234192037471</v>
      </c>
      <c r="X186" s="69"/>
      <c r="Y186" s="69"/>
      <c r="Z186" s="69"/>
      <c r="AA186" s="69">
        <f>AA$185*'Region OP Sales Goals'!X93</f>
        <v>222.84212226439473</v>
      </c>
      <c r="AB186" s="69">
        <f>AB$185*'Region OP Sales Goals'!Y93</f>
        <v>788.91792452830202</v>
      </c>
      <c r="AC186" s="69">
        <f>AC$185*'Region OP Sales Goals'!Z93</f>
        <v>1434.3962264150946</v>
      </c>
      <c r="AD186" s="69">
        <f>AD$185*'Region OP Sales Goals'!AA93</f>
        <v>1436.0936768149884</v>
      </c>
      <c r="AE186" s="69">
        <f>AE$185*'Region OP Sales Goals'!AB93</f>
        <v>1679.3030898239783</v>
      </c>
      <c r="AF186" s="69">
        <f>AF$185*'Region OP Sales Goals'!AC93</f>
        <v>1266.164570230608</v>
      </c>
      <c r="AG186" s="69">
        <f>AG$185*'Region OP Sales Goals'!AD93</f>
        <v>1314.8632075471698</v>
      </c>
      <c r="AH186" s="69">
        <f>AH$185*'Region OP Sales Goals'!AE93</f>
        <v>9381.0734234347146</v>
      </c>
      <c r="AJ186" s="757"/>
      <c r="AK186" s="757"/>
      <c r="AL186" s="292" t="s">
        <v>99</v>
      </c>
      <c r="AM186" s="69">
        <v>2060</v>
      </c>
      <c r="AN186" s="69">
        <v>1951</v>
      </c>
      <c r="AO186" s="69">
        <v>2208</v>
      </c>
      <c r="AP186" s="69">
        <v>2677</v>
      </c>
      <c r="AQ186" s="69">
        <v>2637</v>
      </c>
      <c r="AR186" s="69">
        <v>2323</v>
      </c>
      <c r="AS186" s="69">
        <v>2699</v>
      </c>
      <c r="AT186" s="69">
        <v>2600</v>
      </c>
      <c r="AU186" s="69"/>
      <c r="AV186" s="69"/>
      <c r="AW186" s="69"/>
      <c r="AX186" s="69"/>
      <c r="AY186" s="69">
        <f>SUM(AM186:AX186)</f>
        <v>19155</v>
      </c>
      <c r="BA186" s="757"/>
      <c r="BB186" s="757"/>
      <c r="BC186" s="292" t="s">
        <v>99</v>
      </c>
      <c r="BD186" s="465">
        <f>AM186/V186</f>
        <v>17.213361773742196</v>
      </c>
      <c r="BE186" s="465">
        <f t="shared" si="299"/>
        <v>5.4341858932962825</v>
      </c>
      <c r="BF186" s="465" t="e">
        <f t="shared" si="286"/>
        <v>#DIV/0!</v>
      </c>
      <c r="BG186" s="465" t="e">
        <f t="shared" si="287"/>
        <v>#DIV/0!</v>
      </c>
      <c r="BH186" s="465" t="e">
        <f t="shared" si="288"/>
        <v>#DIV/0!</v>
      </c>
      <c r="BI186" s="465">
        <f t="shared" si="289"/>
        <v>10.42442055566065</v>
      </c>
      <c r="BJ186" s="465">
        <f t="shared" si="290"/>
        <v>3.4211416879819856</v>
      </c>
      <c r="BK186" s="465">
        <f t="shared" si="291"/>
        <v>1.8126093419096849</v>
      </c>
      <c r="BL186" s="465">
        <f t="shared" si="292"/>
        <v>0</v>
      </c>
      <c r="BM186" s="465">
        <f t="shared" si="293"/>
        <v>0</v>
      </c>
      <c r="BN186" s="465">
        <f t="shared" si="294"/>
        <v>0</v>
      </c>
      <c r="BO186" s="465">
        <f t="shared" si="295"/>
        <v>0</v>
      </c>
      <c r="BP186" s="465">
        <f>AY186/AH186</f>
        <v>2.041877206946189</v>
      </c>
    </row>
    <row r="187" spans="2:68" ht="16" customHeight="1">
      <c r="B187" s="769"/>
      <c r="C187" s="769"/>
      <c r="D187" s="292" t="s">
        <v>100</v>
      </c>
      <c r="E187" s="69">
        <v>3156</v>
      </c>
      <c r="F187" s="69">
        <v>2838</v>
      </c>
      <c r="G187" s="69">
        <v>4183</v>
      </c>
      <c r="H187" s="69">
        <v>2791</v>
      </c>
      <c r="I187" s="69">
        <v>3659</v>
      </c>
      <c r="J187" s="69">
        <v>3889</v>
      </c>
      <c r="K187" s="69">
        <v>5447</v>
      </c>
      <c r="L187" s="69">
        <v>6097</v>
      </c>
      <c r="M187" s="69">
        <v>5986</v>
      </c>
      <c r="N187" s="69">
        <v>2873</v>
      </c>
      <c r="O187" s="69">
        <v>2003</v>
      </c>
      <c r="P187" s="69">
        <v>2376</v>
      </c>
      <c r="Q187" s="69">
        <f t="shared" ref="Q187:Q192" si="300">SUM(E187:P187)</f>
        <v>45298</v>
      </c>
      <c r="S187" s="769"/>
      <c r="T187" s="769"/>
      <c r="U187" s="292" t="s">
        <v>100</v>
      </c>
      <c r="V187" s="69">
        <v>0</v>
      </c>
      <c r="W187" s="69">
        <v>478.69789227166274</v>
      </c>
      <c r="X187" s="69"/>
      <c r="Y187" s="69"/>
      <c r="Z187" s="69"/>
      <c r="AA187" s="69">
        <f>AA$185*'Region OP Sales Goals'!X94</f>
        <v>297.12282968585964</v>
      </c>
      <c r="AB187" s="69">
        <f>AB$185*'Region OP Sales Goals'!Y94</f>
        <v>894.10698113207548</v>
      </c>
      <c r="AC187" s="69">
        <f>AC$185*'Region OP Sales Goals'!Z94</f>
        <v>1051.8905660377359</v>
      </c>
      <c r="AD187" s="69">
        <f>AD$185*'Region OP Sales Goals'!AA94</f>
        <v>2154.1405152224825</v>
      </c>
      <c r="AE187" s="69">
        <f>AE$185*'Region OP Sales Goals'!AB94</f>
        <v>2574.9314043967665</v>
      </c>
      <c r="AF187" s="69">
        <f>AF$185*'Region OP Sales Goals'!AC94</f>
        <v>1947.9454926624737</v>
      </c>
      <c r="AG187" s="69">
        <f>AG$185*'Region OP Sales Goals'!AD94</f>
        <v>1933.6223640399558</v>
      </c>
      <c r="AH187" s="69">
        <f>AH$185*'Region OP Sales Goals'!AE94</f>
        <v>11869.929637815352</v>
      </c>
      <c r="AJ187" s="757"/>
      <c r="AK187" s="757"/>
      <c r="AL187" s="292" t="s">
        <v>100</v>
      </c>
      <c r="AM187" s="69">
        <v>2649</v>
      </c>
      <c r="AN187" s="69">
        <v>2548</v>
      </c>
      <c r="AO187" s="69">
        <v>2859</v>
      </c>
      <c r="AP187" s="69">
        <v>3433</v>
      </c>
      <c r="AQ187" s="69">
        <v>3156</v>
      </c>
      <c r="AR187" s="69">
        <v>3054</v>
      </c>
      <c r="AS187" s="69">
        <v>3170</v>
      </c>
      <c r="AT187" s="69">
        <v>3543</v>
      </c>
      <c r="AU187" s="69"/>
      <c r="AV187" s="69"/>
      <c r="AW187" s="69"/>
      <c r="AX187" s="69"/>
      <c r="AY187" s="69">
        <f t="shared" ref="AY187:AY192" si="301">SUM(AM187:AX187)</f>
        <v>24412</v>
      </c>
      <c r="BA187" s="757"/>
      <c r="BB187" s="757"/>
      <c r="BC187" s="292" t="s">
        <v>100</v>
      </c>
      <c r="BD187" s="465" t="e">
        <f>AM187/V187</f>
        <v>#DIV/0!</v>
      </c>
      <c r="BE187" s="465">
        <f t="shared" si="299"/>
        <v>5.3227725484824173</v>
      </c>
      <c r="BF187" s="465" t="e">
        <f t="shared" si="286"/>
        <v>#DIV/0!</v>
      </c>
      <c r="BG187" s="465" t="e">
        <f t="shared" si="287"/>
        <v>#DIV/0!</v>
      </c>
      <c r="BH187" s="465" t="e">
        <f t="shared" si="288"/>
        <v>#DIV/0!</v>
      </c>
      <c r="BI187" s="465">
        <f t="shared" si="289"/>
        <v>10.278577392484166</v>
      </c>
      <c r="BJ187" s="465">
        <f t="shared" si="290"/>
        <v>3.5454370303498779</v>
      </c>
      <c r="BK187" s="465">
        <f t="shared" si="291"/>
        <v>3.3682211005521054</v>
      </c>
      <c r="BL187" s="465">
        <f t="shared" si="292"/>
        <v>0</v>
      </c>
      <c r="BM187" s="465">
        <f t="shared" si="293"/>
        <v>0</v>
      </c>
      <c r="BN187" s="465">
        <f t="shared" si="294"/>
        <v>0</v>
      </c>
      <c r="BO187" s="465">
        <f t="shared" si="295"/>
        <v>0</v>
      </c>
      <c r="BP187" s="465">
        <f t="shared" ref="BP187:BP193" si="302">AY187/AH187</f>
        <v>2.0566255019935404</v>
      </c>
    </row>
    <row r="188" spans="2:68" ht="16" customHeight="1">
      <c r="B188" s="769"/>
      <c r="C188" s="769"/>
      <c r="D188" s="292" t="s">
        <v>101</v>
      </c>
      <c r="E188" s="69">
        <v>1522</v>
      </c>
      <c r="F188" s="69">
        <v>1459</v>
      </c>
      <c r="G188" s="69">
        <v>1871</v>
      </c>
      <c r="H188" s="69">
        <v>1254</v>
      </c>
      <c r="I188" s="69">
        <v>1601</v>
      </c>
      <c r="J188" s="69">
        <v>1734</v>
      </c>
      <c r="K188" s="69">
        <v>2078</v>
      </c>
      <c r="L188" s="69">
        <v>2748</v>
      </c>
      <c r="M188" s="69">
        <v>2680</v>
      </c>
      <c r="N188" s="69">
        <v>1228</v>
      </c>
      <c r="O188" s="69">
        <v>1038</v>
      </c>
      <c r="P188" s="69">
        <v>1287</v>
      </c>
      <c r="Q188" s="69">
        <f t="shared" si="300"/>
        <v>20500</v>
      </c>
      <c r="S188" s="769"/>
      <c r="T188" s="769"/>
      <c r="U188" s="292" t="s">
        <v>101</v>
      </c>
      <c r="V188" s="69">
        <v>0</v>
      </c>
      <c r="W188" s="69">
        <v>359.0234192037471</v>
      </c>
      <c r="X188" s="69"/>
      <c r="Y188" s="69"/>
      <c r="Z188" s="69"/>
      <c r="AA188" s="69">
        <f>AA$185*'Region OP Sales Goals'!X95</f>
        <v>222.84212226439473</v>
      </c>
      <c r="AB188" s="69">
        <f>AB$185*'Region OP Sales Goals'!Y95</f>
        <v>736.32339622641518</v>
      </c>
      <c r="AC188" s="69">
        <f>AC$185*'Region OP Sales Goals'!Z95</f>
        <v>669.38490566037751</v>
      </c>
      <c r="AD188" s="69">
        <f>AD$185*'Region OP Sales Goals'!AA95</f>
        <v>1333.515557042489</v>
      </c>
      <c r="AE188" s="69">
        <f>AE$185*'Region OP Sales Goals'!AB95</f>
        <v>1567.3495505023798</v>
      </c>
      <c r="AF188" s="69">
        <f>AF$185*'Region OP Sales Goals'!AC95</f>
        <v>1168.7672955974842</v>
      </c>
      <c r="AG188" s="69">
        <f>AG$185*'Region OP Sales Goals'!AD95</f>
        <v>1160.1734184239735</v>
      </c>
      <c r="AH188" s="69">
        <f>AH$185*'Region OP Sales Goals'!AE95</f>
        <v>7658.0191211711954</v>
      </c>
      <c r="AJ188" s="757"/>
      <c r="AK188" s="757"/>
      <c r="AL188" s="292" t="s">
        <v>101</v>
      </c>
      <c r="AM188" s="69">
        <v>1335</v>
      </c>
      <c r="AN188" s="69">
        <v>1269</v>
      </c>
      <c r="AO188" s="69">
        <v>1491</v>
      </c>
      <c r="AP188" s="69">
        <v>1846</v>
      </c>
      <c r="AQ188" s="69">
        <v>1859</v>
      </c>
      <c r="AR188" s="69">
        <v>1461</v>
      </c>
      <c r="AS188" s="69">
        <v>1457</v>
      </c>
      <c r="AT188" s="69">
        <v>1560</v>
      </c>
      <c r="AU188" s="69"/>
      <c r="AV188" s="69"/>
      <c r="AW188" s="69"/>
      <c r="AX188" s="69"/>
      <c r="AY188" s="69">
        <f t="shared" si="301"/>
        <v>12278</v>
      </c>
      <c r="BA188" s="757"/>
      <c r="BB188" s="757"/>
      <c r="BC188" s="292" t="s">
        <v>101</v>
      </c>
      <c r="BD188" s="465" t="e">
        <f t="shared" ref="BD188:BD192" si="303">AM188/V188</f>
        <v>#DIV/0!</v>
      </c>
      <c r="BE188" s="465">
        <f t="shared" si="299"/>
        <v>3.5345883642198781</v>
      </c>
      <c r="BF188" s="465" t="e">
        <f t="shared" si="286"/>
        <v>#DIV/0!</v>
      </c>
      <c r="BG188" s="465" t="e">
        <f t="shared" si="287"/>
        <v>#DIV/0!</v>
      </c>
      <c r="BH188" s="465" t="e">
        <f t="shared" si="288"/>
        <v>#DIV/0!</v>
      </c>
      <c r="BI188" s="465">
        <f t="shared" si="289"/>
        <v>6.5562111200259183</v>
      </c>
      <c r="BJ188" s="465">
        <f t="shared" si="290"/>
        <v>1.9787501082635448</v>
      </c>
      <c r="BK188" s="465">
        <f t="shared" si="291"/>
        <v>2.3304977253124517</v>
      </c>
      <c r="BL188" s="465">
        <f t="shared" si="292"/>
        <v>0</v>
      </c>
      <c r="BM188" s="465">
        <f t="shared" si="293"/>
        <v>0</v>
      </c>
      <c r="BN188" s="465">
        <f t="shared" si="294"/>
        <v>0</v>
      </c>
      <c r="BO188" s="465">
        <f t="shared" si="295"/>
        <v>0</v>
      </c>
      <c r="BP188" s="465">
        <f t="shared" si="302"/>
        <v>1.6032866731889588</v>
      </c>
    </row>
    <row r="189" spans="2:68" ht="16" customHeight="1">
      <c r="B189" s="769"/>
      <c r="C189" s="769"/>
      <c r="D189" s="292" t="s">
        <v>102</v>
      </c>
      <c r="E189" s="69">
        <v>1048</v>
      </c>
      <c r="F189" s="69">
        <v>1012</v>
      </c>
      <c r="G189" s="69">
        <v>1357</v>
      </c>
      <c r="H189" s="69">
        <v>964</v>
      </c>
      <c r="I189" s="69">
        <v>1115</v>
      </c>
      <c r="J189" s="69">
        <v>1267</v>
      </c>
      <c r="K189" s="69">
        <v>1686</v>
      </c>
      <c r="L189" s="69">
        <v>1852</v>
      </c>
      <c r="M189" s="69">
        <v>1954</v>
      </c>
      <c r="N189" s="69">
        <v>1008</v>
      </c>
      <c r="O189" s="69">
        <v>869</v>
      </c>
      <c r="P189" s="69">
        <v>1075</v>
      </c>
      <c r="Q189" s="69">
        <f t="shared" si="300"/>
        <v>15207</v>
      </c>
      <c r="S189" s="769"/>
      <c r="T189" s="769"/>
      <c r="U189" s="292" t="s">
        <v>102</v>
      </c>
      <c r="V189" s="69">
        <v>119.6744730679157</v>
      </c>
      <c r="W189" s="69">
        <v>478.69789227166274</v>
      </c>
      <c r="X189" s="69"/>
      <c r="Y189" s="69"/>
      <c r="Z189" s="69"/>
      <c r="AA189" s="69">
        <f>AA$185*'Region OP Sales Goals'!X96</f>
        <v>297.12282968585964</v>
      </c>
      <c r="AB189" s="69">
        <f>AB$185*'Region OP Sales Goals'!Y96</f>
        <v>946.70150943396231</v>
      </c>
      <c r="AC189" s="69">
        <f>AC$185*'Region OP Sales Goals'!Z96</f>
        <v>1721.2754716981133</v>
      </c>
      <c r="AD189" s="69">
        <f>AD$185*'Region OP Sales Goals'!AA96</f>
        <v>1743.8280361324857</v>
      </c>
      <c r="AE189" s="69">
        <f>AE$185*'Region OP Sales Goals'!AB96</f>
        <v>2127.1172471103723</v>
      </c>
      <c r="AF189" s="69">
        <f>AF$185*'Region OP Sales Goals'!AC96</f>
        <v>1655.7536687631025</v>
      </c>
      <c r="AG189" s="69">
        <f>AG$185*'Region OP Sales Goals'!AD96</f>
        <v>1624.2427857935627</v>
      </c>
      <c r="AH189" s="69">
        <f>AH$185*'Region OP Sales Goals'!AE96</f>
        <v>12252.830593873912</v>
      </c>
      <c r="AJ189" s="757"/>
      <c r="AK189" s="757"/>
      <c r="AL189" s="292" t="s">
        <v>102</v>
      </c>
      <c r="AM189" s="69">
        <v>1066</v>
      </c>
      <c r="AN189" s="69">
        <v>1118</v>
      </c>
      <c r="AO189" s="69">
        <v>1203</v>
      </c>
      <c r="AP189" s="69">
        <v>1455</v>
      </c>
      <c r="AQ189" s="69">
        <v>1286</v>
      </c>
      <c r="AR189" s="69">
        <v>1247</v>
      </c>
      <c r="AS189" s="69">
        <v>1204</v>
      </c>
      <c r="AT189" s="69">
        <v>1390</v>
      </c>
      <c r="AU189" s="69"/>
      <c r="AV189" s="69"/>
      <c r="AW189" s="69"/>
      <c r="AX189" s="69"/>
      <c r="AY189" s="69">
        <f t="shared" si="301"/>
        <v>9969</v>
      </c>
      <c r="BA189" s="757"/>
      <c r="BB189" s="757"/>
      <c r="BC189" s="292" t="s">
        <v>102</v>
      </c>
      <c r="BD189" s="465">
        <f t="shared" si="303"/>
        <v>8.907496917868535</v>
      </c>
      <c r="BE189" s="465">
        <f t="shared" si="299"/>
        <v>2.3355022406606527</v>
      </c>
      <c r="BF189" s="465" t="e">
        <f t="shared" si="286"/>
        <v>#DIV/0!</v>
      </c>
      <c r="BG189" s="465" t="e">
        <f t="shared" si="287"/>
        <v>#DIV/0!</v>
      </c>
      <c r="BH189" s="465" t="e">
        <f t="shared" si="288"/>
        <v>#DIV/0!</v>
      </c>
      <c r="BI189" s="465">
        <f t="shared" si="289"/>
        <v>4.1969174880248046</v>
      </c>
      <c r="BJ189" s="465">
        <f t="shared" si="290"/>
        <v>1.2717841769576113</v>
      </c>
      <c r="BK189" s="465">
        <f t="shared" si="291"/>
        <v>0.80754070040207127</v>
      </c>
      <c r="BL189" s="465">
        <f t="shared" si="292"/>
        <v>0</v>
      </c>
      <c r="BM189" s="465">
        <f t="shared" si="293"/>
        <v>0</v>
      </c>
      <c r="BN189" s="465">
        <f t="shared" si="294"/>
        <v>0</v>
      </c>
      <c r="BO189" s="465">
        <f t="shared" si="295"/>
        <v>0</v>
      </c>
      <c r="BP189" s="465">
        <f t="shared" si="302"/>
        <v>0.81360791889053241</v>
      </c>
    </row>
    <row r="190" spans="2:68" ht="16" customHeight="1">
      <c r="B190" s="769"/>
      <c r="C190" s="769"/>
      <c r="D190" s="292" t="s">
        <v>103</v>
      </c>
      <c r="E190" s="69">
        <v>1533</v>
      </c>
      <c r="F190" s="69">
        <v>1370</v>
      </c>
      <c r="G190" s="69">
        <v>1773</v>
      </c>
      <c r="H190" s="69">
        <v>1478</v>
      </c>
      <c r="I190" s="69">
        <v>1996</v>
      </c>
      <c r="J190" s="69">
        <v>1882</v>
      </c>
      <c r="K190" s="69">
        <v>2415</v>
      </c>
      <c r="L190" s="69">
        <v>3465</v>
      </c>
      <c r="M190" s="69">
        <v>3664</v>
      </c>
      <c r="N190" s="69">
        <v>1510</v>
      </c>
      <c r="O190" s="69">
        <v>1226</v>
      </c>
      <c r="P190" s="69">
        <v>1525</v>
      </c>
      <c r="Q190" s="69">
        <f t="shared" si="300"/>
        <v>23837</v>
      </c>
      <c r="S190" s="769"/>
      <c r="T190" s="769"/>
      <c r="U190" s="292" t="s">
        <v>103</v>
      </c>
      <c r="V190" s="69">
        <v>0</v>
      </c>
      <c r="W190" s="69">
        <v>119.67447306791568</v>
      </c>
      <c r="X190" s="69"/>
      <c r="Y190" s="69"/>
      <c r="Z190" s="69"/>
      <c r="AA190" s="69">
        <f>AA$185*'Region OP Sales Goals'!X97</f>
        <v>74.280707421464911</v>
      </c>
      <c r="AB190" s="69">
        <f>AB$185*'Region OP Sales Goals'!Y97</f>
        <v>210.37811320754722</v>
      </c>
      <c r="AC190" s="69">
        <f>AC$185*'Region OP Sales Goals'!Z97</f>
        <v>382.50566037735854</v>
      </c>
      <c r="AD190" s="69">
        <f>AD$185*'Region OP Sales Goals'!AA97</f>
        <v>615.46871863499496</v>
      </c>
      <c r="AE190" s="69">
        <f>AE$185*'Region OP Sales Goals'!AB97</f>
        <v>783.67477525118989</v>
      </c>
      <c r="AF190" s="69">
        <f>AF$185*'Region OP Sales Goals'!AC97</f>
        <v>584.38364779874212</v>
      </c>
      <c r="AG190" s="69">
        <f>AG$185*'Region OP Sales Goals'!AD97</f>
        <v>541.41426193118753</v>
      </c>
      <c r="AH190" s="69">
        <f>AH$185*'Region OP Sales Goals'!AE97</f>
        <v>3446.1086045270381</v>
      </c>
      <c r="AJ190" s="757"/>
      <c r="AK190" s="757"/>
      <c r="AL190" s="292" t="s">
        <v>103</v>
      </c>
      <c r="AM190" s="69">
        <v>1441</v>
      </c>
      <c r="AN190" s="69">
        <v>1428</v>
      </c>
      <c r="AO190" s="69">
        <v>1632</v>
      </c>
      <c r="AP190" s="69">
        <v>2075</v>
      </c>
      <c r="AQ190" s="69">
        <v>1863</v>
      </c>
      <c r="AR190" s="69">
        <v>1753</v>
      </c>
      <c r="AS190" s="69">
        <v>1906</v>
      </c>
      <c r="AT190" s="69">
        <v>2050</v>
      </c>
      <c r="AU190" s="69"/>
      <c r="AV190" s="69"/>
      <c r="AW190" s="69"/>
      <c r="AX190" s="69"/>
      <c r="AY190" s="69">
        <f t="shared" si="301"/>
        <v>14148</v>
      </c>
      <c r="BA190" s="757"/>
      <c r="BB190" s="757"/>
      <c r="BC190" s="292" t="s">
        <v>103</v>
      </c>
      <c r="BD190" s="465" t="e">
        <f t="shared" si="303"/>
        <v>#DIV/0!</v>
      </c>
      <c r="BE190" s="465">
        <f t="shared" si="299"/>
        <v>11.93236922956498</v>
      </c>
      <c r="BF190" s="465" t="e">
        <f t="shared" si="286"/>
        <v>#DIV/0!</v>
      </c>
      <c r="BG190" s="465" t="e">
        <f t="shared" si="287"/>
        <v>#DIV/0!</v>
      </c>
      <c r="BH190" s="465" t="e">
        <f t="shared" si="288"/>
        <v>#DIV/0!</v>
      </c>
      <c r="BI190" s="465">
        <f t="shared" si="289"/>
        <v>23.599667542926969</v>
      </c>
      <c r="BJ190" s="465">
        <f t="shared" si="290"/>
        <v>9.0598778120975325</v>
      </c>
      <c r="BK190" s="465">
        <f t="shared" si="291"/>
        <v>5.3593978138195011</v>
      </c>
      <c r="BL190" s="465">
        <f t="shared" si="292"/>
        <v>0</v>
      </c>
      <c r="BM190" s="465">
        <f t="shared" si="293"/>
        <v>0</v>
      </c>
      <c r="BN190" s="465">
        <f t="shared" si="294"/>
        <v>0</v>
      </c>
      <c r="BO190" s="465">
        <f t="shared" si="295"/>
        <v>0</v>
      </c>
      <c r="BP190" s="465">
        <f t="shared" si="302"/>
        <v>4.1055003261981478</v>
      </c>
    </row>
    <row r="191" spans="2:68" ht="16" customHeight="1">
      <c r="B191" s="769"/>
      <c r="C191" s="769"/>
      <c r="D191" s="292" t="s">
        <v>104</v>
      </c>
      <c r="E191" s="69">
        <v>2313</v>
      </c>
      <c r="F191" s="69">
        <v>2068</v>
      </c>
      <c r="G191" s="69">
        <v>2839</v>
      </c>
      <c r="H191" s="69">
        <v>1962</v>
      </c>
      <c r="I191" s="69">
        <v>2594</v>
      </c>
      <c r="J191" s="69">
        <v>2306</v>
      </c>
      <c r="K191" s="69">
        <v>3423</v>
      </c>
      <c r="L191" s="69">
        <v>4092</v>
      </c>
      <c r="M191" s="69">
        <v>4393</v>
      </c>
      <c r="N191" s="69">
        <v>2091</v>
      </c>
      <c r="O191" s="69">
        <v>1717</v>
      </c>
      <c r="P191" s="69">
        <v>2305</v>
      </c>
      <c r="Q191" s="69">
        <f t="shared" si="300"/>
        <v>32103</v>
      </c>
      <c r="S191" s="769"/>
      <c r="T191" s="769"/>
      <c r="U191" s="292" t="s">
        <v>104</v>
      </c>
      <c r="V191" s="69">
        <v>359.02341920374704</v>
      </c>
      <c r="W191" s="69">
        <v>598.37236533957844</v>
      </c>
      <c r="X191" s="69"/>
      <c r="Y191" s="69"/>
      <c r="Z191" s="69"/>
      <c r="AA191" s="69">
        <f>AA$185*'Region OP Sales Goals'!X98</f>
        <v>297.12282968585964</v>
      </c>
      <c r="AB191" s="69">
        <f>AB$185*'Region OP Sales Goals'!Y98</f>
        <v>1209.6741509433962</v>
      </c>
      <c r="AC191" s="69">
        <f>AC$185*'Region OP Sales Goals'!Z98</f>
        <v>2199.4075471698116</v>
      </c>
      <c r="AD191" s="69">
        <f>AD$185*'Region OP Sales Goals'!AA98</f>
        <v>2256.7186349949816</v>
      </c>
      <c r="AE191" s="69">
        <f>AE$185*'Region OP Sales Goals'!AB98</f>
        <v>2686.8849437183653</v>
      </c>
      <c r="AF191" s="69">
        <f>AF$185*'Region OP Sales Goals'!AC98</f>
        <v>2045.3427672955975</v>
      </c>
      <c r="AG191" s="69">
        <f>AG$185*'Region OP Sales Goals'!AD98</f>
        <v>2010.967258601554</v>
      </c>
      <c r="AH191" s="69">
        <f>AH$185*'Region OP Sales Goals'!AE98</f>
        <v>14741.686808254552</v>
      </c>
      <c r="AJ191" s="757"/>
      <c r="AK191" s="757"/>
      <c r="AL191" s="292" t="s">
        <v>104</v>
      </c>
      <c r="AM191" s="69">
        <v>2554</v>
      </c>
      <c r="AN191" s="69">
        <v>2388</v>
      </c>
      <c r="AO191" s="69">
        <v>2881</v>
      </c>
      <c r="AP191" s="69">
        <v>3388</v>
      </c>
      <c r="AQ191" s="156">
        <v>3132</v>
      </c>
      <c r="AR191" s="156">
        <v>2636</v>
      </c>
      <c r="AS191" s="156">
        <v>3060</v>
      </c>
      <c r="AT191" s="156">
        <v>3309</v>
      </c>
      <c r="AU191" s="69"/>
      <c r="AV191" s="69"/>
      <c r="AW191" s="69"/>
      <c r="AX191" s="69"/>
      <c r="AY191" s="69">
        <f t="shared" si="301"/>
        <v>23348</v>
      </c>
      <c r="BA191" s="757"/>
      <c r="BB191" s="757"/>
      <c r="BC191" s="292" t="s">
        <v>104</v>
      </c>
      <c r="BD191" s="465">
        <f t="shared" si="303"/>
        <v>7.1137420663653037</v>
      </c>
      <c r="BE191" s="465">
        <f t="shared" si="299"/>
        <v>3.9908260112326572</v>
      </c>
      <c r="BF191" s="465" t="e">
        <f t="shared" si="286"/>
        <v>#DIV/0!</v>
      </c>
      <c r="BG191" s="465" t="e">
        <f t="shared" si="287"/>
        <v>#DIV/0!</v>
      </c>
      <c r="BH191" s="465" t="e">
        <f t="shared" si="288"/>
        <v>#DIV/0!</v>
      </c>
      <c r="BI191" s="465">
        <f t="shared" si="289"/>
        <v>8.871751803074087</v>
      </c>
      <c r="BJ191" s="465">
        <f t="shared" si="290"/>
        <v>2.5296068347112968</v>
      </c>
      <c r="BK191" s="465">
        <f t="shared" si="291"/>
        <v>1.504496064978047</v>
      </c>
      <c r="BL191" s="465">
        <f t="shared" si="292"/>
        <v>0</v>
      </c>
      <c r="BM191" s="465">
        <f t="shared" si="293"/>
        <v>0</v>
      </c>
      <c r="BN191" s="465">
        <f t="shared" si="294"/>
        <v>0</v>
      </c>
      <c r="BO191" s="465">
        <f t="shared" si="295"/>
        <v>0</v>
      </c>
      <c r="BP191" s="465">
        <f t="shared" si="302"/>
        <v>1.5838078982200583</v>
      </c>
    </row>
    <row r="192" spans="2:68" ht="16" customHeight="1">
      <c r="B192" s="769"/>
      <c r="C192" s="769"/>
      <c r="D192" s="292" t="s">
        <v>105</v>
      </c>
      <c r="E192" s="69">
        <v>3798</v>
      </c>
      <c r="F192" s="69">
        <v>3905</v>
      </c>
      <c r="G192" s="69">
        <v>5392</v>
      </c>
      <c r="H192" s="69">
        <v>3459</v>
      </c>
      <c r="I192" s="69">
        <v>4442</v>
      </c>
      <c r="J192" s="69">
        <v>4595</v>
      </c>
      <c r="K192" s="69">
        <v>6081</v>
      </c>
      <c r="L192" s="69">
        <v>6441</v>
      </c>
      <c r="M192" s="69">
        <v>6326</v>
      </c>
      <c r="N192" s="69">
        <v>3519</v>
      </c>
      <c r="O192" s="69">
        <v>2861</v>
      </c>
      <c r="P192" s="69">
        <v>3330</v>
      </c>
      <c r="Q192" s="69">
        <f t="shared" si="300"/>
        <v>54149</v>
      </c>
      <c r="S192" s="769"/>
      <c r="T192" s="769"/>
      <c r="U192" s="292" t="s">
        <v>105</v>
      </c>
      <c r="V192" s="69">
        <v>1795.1170960187353</v>
      </c>
      <c r="W192" s="69">
        <v>1196.7447306791569</v>
      </c>
      <c r="X192" s="69"/>
      <c r="Y192" s="69"/>
      <c r="Z192" s="69"/>
      <c r="AA192" s="69">
        <f>AA$185*'Region OP Sales Goals'!X99</f>
        <v>742.80707421464922</v>
      </c>
      <c r="AB192" s="69">
        <f>AB$185*'Region OP Sales Goals'!Y99</f>
        <v>3103.0771698113208</v>
      </c>
      <c r="AC192" s="69">
        <f>AC$185*'Region OP Sales Goals'!Z99</f>
        <v>6885.1018867924531</v>
      </c>
      <c r="AD192" s="69">
        <f>AD$185*'Region OP Sales Goals'!AA99</f>
        <v>4821.1716293074605</v>
      </c>
      <c r="AE192" s="69">
        <f>AE$185*'Region OP Sales Goals'!AB99</f>
        <v>5933.5375840447232</v>
      </c>
      <c r="AF192" s="69">
        <f>AF$185*'Region OP Sales Goals'!AC99</f>
        <v>4480.2746331236895</v>
      </c>
      <c r="AG192" s="69">
        <f>AG$185*'Region OP Sales Goals'!AD99</f>
        <v>4563.348779134295</v>
      </c>
      <c r="AH192" s="69">
        <f>AH$185*'Region OP Sales Goals'!AE99</f>
        <v>37524.293693738859</v>
      </c>
      <c r="AJ192" s="757"/>
      <c r="AK192" s="757"/>
      <c r="AL192" s="292" t="s">
        <v>105</v>
      </c>
      <c r="AM192" s="69">
        <v>3886</v>
      </c>
      <c r="AN192" s="69">
        <v>3634</v>
      </c>
      <c r="AO192" s="69">
        <v>4174</v>
      </c>
      <c r="AP192" s="69">
        <v>5038</v>
      </c>
      <c r="AQ192" s="69">
        <v>4783</v>
      </c>
      <c r="AR192" s="69">
        <v>4512</v>
      </c>
      <c r="AS192" s="69">
        <v>4380</v>
      </c>
      <c r="AT192" s="69">
        <v>4746</v>
      </c>
      <c r="AU192" s="69"/>
      <c r="AV192" s="69"/>
      <c r="AW192" s="69"/>
      <c r="AX192" s="69"/>
      <c r="AY192" s="69">
        <f t="shared" si="301"/>
        <v>35153</v>
      </c>
      <c r="BA192" s="757"/>
      <c r="BB192" s="757"/>
      <c r="BC192" s="292" t="s">
        <v>105</v>
      </c>
      <c r="BD192" s="465">
        <f t="shared" si="303"/>
        <v>2.1647612897334039</v>
      </c>
      <c r="BE192" s="465">
        <f t="shared" si="299"/>
        <v>3.0365707129019004</v>
      </c>
      <c r="BF192" s="465" t="e">
        <f t="shared" si="286"/>
        <v>#DIV/0!</v>
      </c>
      <c r="BG192" s="465" t="e">
        <f t="shared" si="287"/>
        <v>#DIV/0!</v>
      </c>
      <c r="BH192" s="465" t="e">
        <f t="shared" si="288"/>
        <v>#DIV/0!</v>
      </c>
      <c r="BI192" s="465">
        <f t="shared" si="289"/>
        <v>6.0742555592519381</v>
      </c>
      <c r="BJ192" s="465">
        <f t="shared" si="290"/>
        <v>1.411502118803678</v>
      </c>
      <c r="BK192" s="465">
        <f t="shared" si="291"/>
        <v>0.68931441800507742</v>
      </c>
      <c r="BL192" s="465">
        <f t="shared" si="292"/>
        <v>0</v>
      </c>
      <c r="BM192" s="465">
        <f t="shared" si="293"/>
        <v>0</v>
      </c>
      <c r="BN192" s="465">
        <f t="shared" si="294"/>
        <v>0</v>
      </c>
      <c r="BO192" s="465">
        <f t="shared" si="295"/>
        <v>0</v>
      </c>
      <c r="BP192" s="465">
        <f t="shared" si="302"/>
        <v>0.93680644029991367</v>
      </c>
    </row>
    <row r="193" spans="2:68">
      <c r="B193" s="769"/>
      <c r="C193" s="769"/>
      <c r="D193" s="182" t="s">
        <v>14</v>
      </c>
      <c r="E193" s="341">
        <f>SUM(E194:E200)</f>
        <v>1829</v>
      </c>
      <c r="F193" s="341">
        <f t="shared" ref="F193:Q193" si="304">SUM(F194:F200)</f>
        <v>1632</v>
      </c>
      <c r="G193" s="341">
        <f t="shared" si="304"/>
        <v>2065</v>
      </c>
      <c r="H193" s="341">
        <f t="shared" si="304"/>
        <v>1555</v>
      </c>
      <c r="I193" s="341">
        <f t="shared" si="304"/>
        <v>1568</v>
      </c>
      <c r="J193" s="341">
        <f t="shared" si="304"/>
        <v>1629</v>
      </c>
      <c r="K193" s="341">
        <f t="shared" si="304"/>
        <v>2112</v>
      </c>
      <c r="L193" s="341">
        <f t="shared" si="304"/>
        <v>2070</v>
      </c>
      <c r="M193" s="341">
        <f t="shared" si="304"/>
        <v>2313</v>
      </c>
      <c r="N193" s="341">
        <f t="shared" si="304"/>
        <v>1438</v>
      </c>
      <c r="O193" s="341">
        <f t="shared" si="304"/>
        <v>1463</v>
      </c>
      <c r="P193" s="341">
        <f t="shared" si="304"/>
        <v>1357</v>
      </c>
      <c r="Q193" s="341">
        <f t="shared" si="304"/>
        <v>21031</v>
      </c>
      <c r="S193" s="769"/>
      <c r="T193" s="769"/>
      <c r="U193" s="182" t="s">
        <v>14</v>
      </c>
      <c r="V193" s="341">
        <v>520.48399687743949</v>
      </c>
      <c r="W193" s="341">
        <v>780.72599531615924</v>
      </c>
      <c r="X193" s="341">
        <v>721.46226415094338</v>
      </c>
      <c r="Y193" s="341" cm="1">
        <f t="array" ref="Y193">INDEX('Research Goals'!$F$102:$F$113, COLUMN()-COLUMN($V$3)+1)</f>
        <v>349.26463700234189</v>
      </c>
      <c r="Z193" s="341" cm="1">
        <f t="array" ref="Z193">INDEX('Research Goals'!$F$102:$F$113, COLUMN()-COLUMN($V$3)+1)</f>
        <v>349.26463700234189</v>
      </c>
      <c r="AA193" s="341" cm="1">
        <f t="array" ref="AA193">INDEX('Research Goals'!$F$102:$F$113, COLUMN()-COLUMN($V$3)+1)</f>
        <v>349.26463700234189</v>
      </c>
      <c r="AB193" s="341" cm="1">
        <f t="array" ref="AB193">INDEX('Research Goals'!$F$102:$F$113, COLUMN()-COLUMN($V$3)+1)</f>
        <v>1272.367924528302</v>
      </c>
      <c r="AC193" s="341" cm="1">
        <f t="array" ref="AC193">INDEX('Research Goals'!$F$102:$F$113, COLUMN()-COLUMN($V$3)+1)</f>
        <v>2313.3962264150946</v>
      </c>
      <c r="AD193" s="341" cm="1">
        <f t="array" ref="AD193">INDEX('Research Goals'!$F$102:$F$113, COLUMN()-COLUMN($V$3)+1)</f>
        <v>2328.430913348946</v>
      </c>
      <c r="AE193" s="341" cm="1">
        <f t="array" ref="AE193">INDEX('Research Goals'!$F$102:$F$113, COLUMN()-COLUMN($V$3)+1)</f>
        <v>2813.5206869633098</v>
      </c>
      <c r="AF193" s="341" cm="1">
        <f t="array" ref="AF193">INDEX('Research Goals'!$F$102:$F$113, COLUMN()-COLUMN($V$3)+1)</f>
        <v>2120.6132075471701</v>
      </c>
      <c r="AG193" s="341" cm="1">
        <f t="array" ref="AG193">INDEX('Research Goals'!$F$102:$F$113, COLUMN()-COLUMN($V$3)+1)</f>
        <v>2120.6132075471701</v>
      </c>
      <c r="AH193" s="342">
        <f>SUM(V193:AG193)</f>
        <v>16039.40833370156</v>
      </c>
      <c r="AJ193" s="757"/>
      <c r="AK193" s="757"/>
      <c r="AL193" s="182" t="s">
        <v>14</v>
      </c>
      <c r="AM193" s="341">
        <f>SUM(AM194:AM200)</f>
        <v>1268.4285714285713</v>
      </c>
      <c r="AN193" s="341">
        <f t="shared" ref="AN193:AY193" si="305">SUM(AN194:AN200)</f>
        <v>887.85714285714289</v>
      </c>
      <c r="AO193" s="341">
        <f t="shared" si="305"/>
        <v>955</v>
      </c>
      <c r="AP193" s="341">
        <f t="shared" si="305"/>
        <v>946.14285714285711</v>
      </c>
      <c r="AQ193" s="341">
        <f t="shared" si="305"/>
        <v>1235.8571428571429</v>
      </c>
      <c r="AR193" s="341">
        <f t="shared" si="305"/>
        <v>868.57142857142856</v>
      </c>
      <c r="AS193" s="341">
        <f t="shared" si="305"/>
        <v>577.14285714285711</v>
      </c>
      <c r="AT193" s="341">
        <f t="shared" si="305"/>
        <v>679.28571428571422</v>
      </c>
      <c r="AU193" s="341">
        <f t="shared" si="305"/>
        <v>0</v>
      </c>
      <c r="AV193" s="341">
        <f t="shared" si="305"/>
        <v>0</v>
      </c>
      <c r="AW193" s="341">
        <f t="shared" si="305"/>
        <v>0</v>
      </c>
      <c r="AX193" s="341">
        <f t="shared" si="305"/>
        <v>0</v>
      </c>
      <c r="AY193" s="341">
        <f t="shared" si="305"/>
        <v>7418.2857142857138</v>
      </c>
      <c r="BA193" s="757"/>
      <c r="BB193" s="757"/>
      <c r="BC193" s="182" t="s">
        <v>14</v>
      </c>
      <c r="BD193" s="464">
        <f>AM193/V193</f>
        <v>2.4370174280829109</v>
      </c>
      <c r="BE193" s="464">
        <f t="shared" si="299"/>
        <v>1.1372199058103609</v>
      </c>
      <c r="BF193" s="464">
        <f t="shared" si="286"/>
        <v>1.323700555737169</v>
      </c>
      <c r="BG193" s="464">
        <f t="shared" si="287"/>
        <v>2.708956925222616</v>
      </c>
      <c r="BH193" s="464">
        <f t="shared" si="288"/>
        <v>3.5384548331724068</v>
      </c>
      <c r="BI193" s="464">
        <f t="shared" si="289"/>
        <v>2.4868576333011481</v>
      </c>
      <c r="BJ193" s="464">
        <f t="shared" si="290"/>
        <v>0.4535974587357019</v>
      </c>
      <c r="BK193" s="464">
        <f t="shared" si="291"/>
        <v>0.2936313747422139</v>
      </c>
      <c r="BL193" s="464">
        <f t="shared" si="292"/>
        <v>0</v>
      </c>
      <c r="BM193" s="464">
        <f t="shared" si="293"/>
        <v>0</v>
      </c>
      <c r="BN193" s="464">
        <f t="shared" si="294"/>
        <v>0</v>
      </c>
      <c r="BO193" s="464">
        <f t="shared" si="295"/>
        <v>0</v>
      </c>
      <c r="BP193" s="464">
        <f t="shared" si="302"/>
        <v>0.46250370088144821</v>
      </c>
    </row>
    <row r="194" spans="2:68" ht="16" customHeight="1">
      <c r="B194" s="769"/>
      <c r="C194" s="769"/>
      <c r="D194" s="292" t="s">
        <v>99</v>
      </c>
      <c r="E194" s="69">
        <v>248</v>
      </c>
      <c r="F194" s="69">
        <v>192</v>
      </c>
      <c r="G194" s="69">
        <v>379</v>
      </c>
      <c r="H194" s="69">
        <v>142</v>
      </c>
      <c r="I194" s="69">
        <v>186</v>
      </c>
      <c r="J194" s="69">
        <v>238</v>
      </c>
      <c r="K194" s="69">
        <v>425</v>
      </c>
      <c r="L194" s="69">
        <v>351</v>
      </c>
      <c r="M194" s="69">
        <v>489</v>
      </c>
      <c r="N194" s="69">
        <v>423</v>
      </c>
      <c r="O194" s="69">
        <v>374</v>
      </c>
      <c r="P194" s="69">
        <v>304</v>
      </c>
      <c r="Q194" s="69">
        <f>SUM(E194:P194)</f>
        <v>3751</v>
      </c>
      <c r="S194" s="769"/>
      <c r="T194" s="769"/>
      <c r="U194" s="292" t="s">
        <v>99</v>
      </c>
      <c r="V194" s="69">
        <v>26.024199843871976</v>
      </c>
      <c r="W194" s="69">
        <v>78.072599531615936</v>
      </c>
      <c r="X194" s="69"/>
      <c r="Y194" s="69"/>
      <c r="Z194" s="69"/>
      <c r="AA194" s="69">
        <f>AA$193*'Region OP Sales Goals'!X93</f>
        <v>36.130824517483646</v>
      </c>
      <c r="AB194" s="69">
        <f>AB$193*'Region OP Sales Goals'!Y93</f>
        <v>127.2367924528302</v>
      </c>
      <c r="AC194" s="69">
        <f>AC$193*'Region OP Sales Goals'!Z93</f>
        <v>231.33962264150946</v>
      </c>
      <c r="AD194" s="69">
        <f>AD$193*'Region OP Sales Goals'!AA93</f>
        <v>232.84309133489461</v>
      </c>
      <c r="AE194" s="69">
        <f>AE$193*'Region OP Sales Goals'!AB93</f>
        <v>272.27619551257834</v>
      </c>
      <c r="AF194" s="69">
        <f>AF$193*'Region OP Sales Goals'!AC93</f>
        <v>204.20719776380156</v>
      </c>
      <c r="AG194" s="69">
        <f>AG$193*'Region OP Sales Goals'!AD93</f>
        <v>212.06132075471703</v>
      </c>
      <c r="AH194" s="69">
        <f>AH$193*'Region OP Sales Goals'!AE93</f>
        <v>1553.2233366627993</v>
      </c>
      <c r="AJ194" s="757"/>
      <c r="AK194" s="757"/>
      <c r="AL194" s="292" t="s">
        <v>99</v>
      </c>
      <c r="AM194" s="69">
        <v>403.71428571428572</v>
      </c>
      <c r="AN194" s="69">
        <v>128.71428571428572</v>
      </c>
      <c r="AO194" s="69">
        <v>133</v>
      </c>
      <c r="AP194" s="69">
        <v>109.85714285714286</v>
      </c>
      <c r="AQ194" s="156">
        <v>191.14285714285714</v>
      </c>
      <c r="AR194" s="156">
        <v>124.71428571428572</v>
      </c>
      <c r="AS194" s="156">
        <v>132.71428571428572</v>
      </c>
      <c r="AT194" s="156">
        <v>92.571428571428569</v>
      </c>
      <c r="AU194" s="69"/>
      <c r="AV194" s="69"/>
      <c r="AW194" s="69"/>
      <c r="AX194" s="69"/>
      <c r="AY194" s="69">
        <f>SUM(AM194:AX194)</f>
        <v>1316.4285714285716</v>
      </c>
      <c r="BA194" s="757"/>
      <c r="BB194" s="757"/>
      <c r="BC194" s="292" t="s">
        <v>99</v>
      </c>
      <c r="BD194" s="465">
        <f>AM194/V194</f>
        <v>15.513033566307707</v>
      </c>
      <c r="BE194" s="465">
        <f t="shared" si="299"/>
        <v>1.6486486486486485</v>
      </c>
      <c r="BF194" s="465" t="e">
        <f t="shared" si="286"/>
        <v>#DIV/0!</v>
      </c>
      <c r="BG194" s="465" t="e">
        <f t="shared" si="287"/>
        <v>#DIV/0!</v>
      </c>
      <c r="BH194" s="465" t="e">
        <f t="shared" si="288"/>
        <v>#DIV/0!</v>
      </c>
      <c r="BI194" s="465">
        <f t="shared" si="289"/>
        <v>3.4517420341165113</v>
      </c>
      <c r="BJ194" s="465">
        <f t="shared" si="290"/>
        <v>1.0430496018947206</v>
      </c>
      <c r="BK194" s="465">
        <f t="shared" si="291"/>
        <v>0.40015379775595084</v>
      </c>
      <c r="BL194" s="465">
        <f t="shared" si="292"/>
        <v>0</v>
      </c>
      <c r="BM194" s="465">
        <f t="shared" si="293"/>
        <v>0</v>
      </c>
      <c r="BN194" s="465">
        <f t="shared" si="294"/>
        <v>0</v>
      </c>
      <c r="BO194" s="465">
        <f t="shared" si="295"/>
        <v>0</v>
      </c>
      <c r="BP194" s="465">
        <f>AY194/AH194</f>
        <v>0.84754622233335963</v>
      </c>
    </row>
    <row r="195" spans="2:68" ht="16" customHeight="1">
      <c r="B195" s="769"/>
      <c r="C195" s="769"/>
      <c r="D195" s="292" t="s">
        <v>100</v>
      </c>
      <c r="E195" s="69">
        <v>154</v>
      </c>
      <c r="F195" s="69">
        <v>141</v>
      </c>
      <c r="G195" s="69">
        <v>182</v>
      </c>
      <c r="H195" s="69">
        <v>155</v>
      </c>
      <c r="I195" s="69">
        <v>180</v>
      </c>
      <c r="J195" s="69">
        <v>138</v>
      </c>
      <c r="K195" s="69">
        <v>174</v>
      </c>
      <c r="L195" s="69">
        <v>149</v>
      </c>
      <c r="M195" s="69">
        <v>141</v>
      </c>
      <c r="N195" s="69">
        <v>105</v>
      </c>
      <c r="O195" s="69">
        <v>98</v>
      </c>
      <c r="P195" s="69">
        <v>81</v>
      </c>
      <c r="Q195" s="69">
        <f t="shared" ref="Q195:Q200" si="306">SUM(E195:P195)</f>
        <v>1698</v>
      </c>
      <c r="S195" s="769"/>
      <c r="T195" s="769"/>
      <c r="U195" s="292" t="s">
        <v>100</v>
      </c>
      <c r="V195" s="69">
        <v>0</v>
      </c>
      <c r="W195" s="69">
        <v>104.09679937548789</v>
      </c>
      <c r="X195" s="69"/>
      <c r="Y195" s="69"/>
      <c r="Z195" s="69"/>
      <c r="AA195" s="69">
        <f>AA$193*'Region OP Sales Goals'!X94</f>
        <v>48.17443268997819</v>
      </c>
      <c r="AB195" s="69">
        <f>AB$193*'Region OP Sales Goals'!Y94</f>
        <v>144.20169811320756</v>
      </c>
      <c r="AC195" s="69">
        <f>AC$193*'Region OP Sales Goals'!Z94</f>
        <v>169.6490566037736</v>
      </c>
      <c r="AD195" s="69">
        <f>AD$193*'Region OP Sales Goals'!AA94</f>
        <v>349.26463700234189</v>
      </c>
      <c r="AE195" s="69">
        <f>AE$193*'Region OP Sales Goals'!AB94</f>
        <v>417.49016645262014</v>
      </c>
      <c r="AF195" s="69">
        <f>AF$193*'Region OP Sales Goals'!AC94</f>
        <v>314.16491963661775</v>
      </c>
      <c r="AG195" s="69">
        <f>AG$193*'Region OP Sales Goals'!AD94</f>
        <v>311.85488346281915</v>
      </c>
      <c r="AH195" s="69">
        <f>AH$193*'Region OP Sales Goals'!AE94</f>
        <v>1965.3029974100725</v>
      </c>
      <c r="AJ195" s="757"/>
      <c r="AK195" s="757"/>
      <c r="AL195" s="292" t="s">
        <v>100</v>
      </c>
      <c r="AM195" s="69">
        <v>81.571428571428569</v>
      </c>
      <c r="AN195" s="69">
        <v>71.428571428571431</v>
      </c>
      <c r="AO195" s="69">
        <v>102</v>
      </c>
      <c r="AP195" s="69">
        <v>114.57142857142857</v>
      </c>
      <c r="AQ195" s="156">
        <v>150.42857142857144</v>
      </c>
      <c r="AR195" s="156">
        <v>135.42857142857144</v>
      </c>
      <c r="AS195" s="156">
        <v>156</v>
      </c>
      <c r="AT195" s="156">
        <v>130.57142857142856</v>
      </c>
      <c r="AU195" s="69"/>
      <c r="AV195" s="69"/>
      <c r="AW195" s="69"/>
      <c r="AX195" s="69"/>
      <c r="AY195" s="69">
        <f t="shared" ref="AY195:AY200" si="307">SUM(AM195:AX195)</f>
        <v>942</v>
      </c>
      <c r="BA195" s="757"/>
      <c r="BB195" s="757"/>
      <c r="BC195" s="292" t="s">
        <v>100</v>
      </c>
      <c r="BD195" s="465" t="e">
        <f>AM195/V195</f>
        <v>#DIV/0!</v>
      </c>
      <c r="BE195" s="465">
        <f t="shared" si="299"/>
        <v>0.6861745208027118</v>
      </c>
      <c r="BF195" s="465" t="e">
        <f t="shared" si="286"/>
        <v>#DIV/0!</v>
      </c>
      <c r="BG195" s="465" t="e">
        <f t="shared" si="287"/>
        <v>#DIV/0!</v>
      </c>
      <c r="BH195" s="465" t="e">
        <f t="shared" si="288"/>
        <v>#DIV/0!</v>
      </c>
      <c r="BI195" s="465">
        <f t="shared" si="289"/>
        <v>2.8112125844866438</v>
      </c>
      <c r="BJ195" s="465">
        <f t="shared" si="290"/>
        <v>1.0818180509741988</v>
      </c>
      <c r="BK195" s="465">
        <f t="shared" si="291"/>
        <v>0.76965608406763275</v>
      </c>
      <c r="BL195" s="465">
        <f t="shared" si="292"/>
        <v>0</v>
      </c>
      <c r="BM195" s="465">
        <f t="shared" si="293"/>
        <v>0</v>
      </c>
      <c r="BN195" s="465">
        <f t="shared" si="294"/>
        <v>0</v>
      </c>
      <c r="BO195" s="465">
        <f t="shared" si="295"/>
        <v>0</v>
      </c>
      <c r="BP195" s="465">
        <f t="shared" ref="BP195:BP202" si="308">AY195/AH195</f>
        <v>0.47931540390534799</v>
      </c>
    </row>
    <row r="196" spans="2:68" ht="16" customHeight="1">
      <c r="B196" s="769"/>
      <c r="C196" s="769"/>
      <c r="D196" s="292" t="s">
        <v>101</v>
      </c>
      <c r="E196" s="69">
        <v>139</v>
      </c>
      <c r="F196" s="69">
        <v>106</v>
      </c>
      <c r="G196" s="69">
        <v>150</v>
      </c>
      <c r="H196" s="69">
        <v>154</v>
      </c>
      <c r="I196" s="69">
        <v>156</v>
      </c>
      <c r="J196" s="69">
        <v>217</v>
      </c>
      <c r="K196" s="69">
        <v>197</v>
      </c>
      <c r="L196" s="69">
        <v>135</v>
      </c>
      <c r="M196" s="69">
        <v>227</v>
      </c>
      <c r="N196" s="69">
        <v>101</v>
      </c>
      <c r="O196" s="69">
        <v>89</v>
      </c>
      <c r="P196" s="69">
        <v>68</v>
      </c>
      <c r="Q196" s="69">
        <f t="shared" si="306"/>
        <v>1739</v>
      </c>
      <c r="S196" s="769"/>
      <c r="T196" s="769"/>
      <c r="U196" s="292" t="s">
        <v>101</v>
      </c>
      <c r="V196" s="69">
        <v>0</v>
      </c>
      <c r="W196" s="69">
        <v>78.072599531615936</v>
      </c>
      <c r="X196" s="69"/>
      <c r="Y196" s="69"/>
      <c r="Z196" s="69"/>
      <c r="AA196" s="69">
        <f>AA$193*'Region OP Sales Goals'!X95</f>
        <v>36.130824517483646</v>
      </c>
      <c r="AB196" s="69">
        <f>AB$193*'Region OP Sales Goals'!Y95</f>
        <v>118.75433962264152</v>
      </c>
      <c r="AC196" s="69">
        <f>AC$193*'Region OP Sales Goals'!Z95</f>
        <v>107.95849056603775</v>
      </c>
      <c r="AD196" s="69">
        <f>AD$193*'Region OP Sales Goals'!AA95</f>
        <v>216.2114419538307</v>
      </c>
      <c r="AE196" s="69">
        <f>AE$193*'Region OP Sales Goals'!AB95</f>
        <v>254.12444914507313</v>
      </c>
      <c r="AF196" s="69">
        <f>AF$193*'Region OP Sales Goals'!AC95</f>
        <v>188.49895178197067</v>
      </c>
      <c r="AG196" s="69">
        <f>AG$193*'Region OP Sales Goals'!AD95</f>
        <v>187.11293007769149</v>
      </c>
      <c r="AH196" s="69">
        <f>AH$193*'Region OP Sales Goals'!AE95</f>
        <v>1267.9374176839178</v>
      </c>
      <c r="AJ196" s="757"/>
      <c r="AK196" s="757"/>
      <c r="AL196" s="292" t="s">
        <v>101</v>
      </c>
      <c r="AM196" s="69">
        <v>49.142857142857146</v>
      </c>
      <c r="AN196" s="69">
        <v>65.285714285714278</v>
      </c>
      <c r="AO196" s="69">
        <v>70</v>
      </c>
      <c r="AP196" s="69">
        <v>64.142857142857139</v>
      </c>
      <c r="AQ196" s="156">
        <v>77.857142857142861</v>
      </c>
      <c r="AR196" s="156">
        <v>60</v>
      </c>
      <c r="AS196" s="156">
        <v>53.285714285714285</v>
      </c>
      <c r="AT196" s="156">
        <v>55.714285714285715</v>
      </c>
      <c r="AU196" s="69"/>
      <c r="AV196" s="69"/>
      <c r="AW196" s="69"/>
      <c r="AX196" s="69"/>
      <c r="AY196" s="69">
        <f t="shared" si="307"/>
        <v>495.42857142857144</v>
      </c>
      <c r="BA196" s="757"/>
      <c r="BB196" s="757"/>
      <c r="BC196" s="292" t="s">
        <v>101</v>
      </c>
      <c r="BD196" s="465" t="e">
        <f t="shared" ref="BD196" si="309">AM196/V196</f>
        <v>#DIV/0!</v>
      </c>
      <c r="BE196" s="465">
        <f t="shared" si="299"/>
        <v>0.83621801601823775</v>
      </c>
      <c r="BF196" s="465" t="e">
        <f>AO196/X196</f>
        <v>#DIV/0!</v>
      </c>
      <c r="BG196" s="465" t="e">
        <f t="shared" si="287"/>
        <v>#DIV/0!</v>
      </c>
      <c r="BH196" s="465" t="e">
        <f t="shared" si="288"/>
        <v>#DIV/0!</v>
      </c>
      <c r="BI196" s="465">
        <f t="shared" si="289"/>
        <v>1.6606319064478061</v>
      </c>
      <c r="BJ196" s="465">
        <f t="shared" si="290"/>
        <v>0.44870540693533451</v>
      </c>
      <c r="BK196" s="465">
        <f t="shared" si="291"/>
        <v>0.51607136615350802</v>
      </c>
      <c r="BL196" s="465">
        <f t="shared" si="292"/>
        <v>0</v>
      </c>
      <c r="BM196" s="465">
        <f t="shared" si="293"/>
        <v>0</v>
      </c>
      <c r="BN196" s="465">
        <f t="shared" si="294"/>
        <v>0</v>
      </c>
      <c r="BO196" s="465">
        <f t="shared" si="295"/>
        <v>0</v>
      </c>
      <c r="BP196" s="465">
        <f t="shared" si="308"/>
        <v>0.39073582380236693</v>
      </c>
    </row>
    <row r="197" spans="2:68" ht="16" customHeight="1">
      <c r="B197" s="769"/>
      <c r="C197" s="769"/>
      <c r="D197" s="292" t="s">
        <v>102</v>
      </c>
      <c r="E197" s="69">
        <v>244</v>
      </c>
      <c r="F197" s="69">
        <v>184</v>
      </c>
      <c r="G197" s="69">
        <v>183</v>
      </c>
      <c r="H197" s="69">
        <v>152</v>
      </c>
      <c r="I197" s="69">
        <v>128</v>
      </c>
      <c r="J197" s="69">
        <v>132</v>
      </c>
      <c r="K197" s="69">
        <v>192</v>
      </c>
      <c r="L197" s="69">
        <v>215</v>
      </c>
      <c r="M197" s="69">
        <v>290</v>
      </c>
      <c r="N197" s="69">
        <v>137</v>
      </c>
      <c r="O197" s="69">
        <v>210</v>
      </c>
      <c r="P197" s="69">
        <v>166</v>
      </c>
      <c r="Q197" s="69">
        <f t="shared" si="306"/>
        <v>2233</v>
      </c>
      <c r="S197" s="769"/>
      <c r="T197" s="769"/>
      <c r="U197" s="292" t="s">
        <v>102</v>
      </c>
      <c r="V197" s="69">
        <v>26.024199843871976</v>
      </c>
      <c r="W197" s="69">
        <v>104.09679937548789</v>
      </c>
      <c r="X197" s="69"/>
      <c r="Y197" s="69"/>
      <c r="Z197" s="69"/>
      <c r="AA197" s="69">
        <f>AA$193*'Region OP Sales Goals'!X96</f>
        <v>48.17443268997819</v>
      </c>
      <c r="AB197" s="69">
        <f>AB$193*'Region OP Sales Goals'!Y96</f>
        <v>152.68415094339622</v>
      </c>
      <c r="AC197" s="69">
        <f>AC$193*'Region OP Sales Goals'!Z96</f>
        <v>277.60754716981131</v>
      </c>
      <c r="AD197" s="69">
        <f>AD$193*'Region OP Sales Goals'!AA96</f>
        <v>282.73803947808631</v>
      </c>
      <c r="AE197" s="69">
        <f>AE$193*'Region OP Sales Goals'!AB96</f>
        <v>344.88318098259924</v>
      </c>
      <c r="AF197" s="69">
        <f>AF$193*'Region OP Sales Goals'!AC96</f>
        <v>267.0401816911251</v>
      </c>
      <c r="AG197" s="69">
        <f>AG$193*'Region OP Sales Goals'!AD96</f>
        <v>261.95810210876806</v>
      </c>
      <c r="AH197" s="69">
        <f>AH$193*'Region OP Sales Goals'!AE96</f>
        <v>2028.6998682942683</v>
      </c>
      <c r="AJ197" s="757"/>
      <c r="AK197" s="757"/>
      <c r="AL197" s="292" t="s">
        <v>102</v>
      </c>
      <c r="AM197" s="69">
        <v>138.42857142857142</v>
      </c>
      <c r="AN197" s="69">
        <v>113.85714285714286</v>
      </c>
      <c r="AO197" s="69">
        <v>131</v>
      </c>
      <c r="AP197" s="69">
        <v>97.571428571428569</v>
      </c>
      <c r="AQ197" s="156">
        <v>205.42857142857144</v>
      </c>
      <c r="AR197" s="156">
        <v>114.85714285714286</v>
      </c>
      <c r="AS197" s="156">
        <v>74.571428571428569</v>
      </c>
      <c r="AT197" s="156">
        <v>86.571428571428569</v>
      </c>
      <c r="AU197" s="69"/>
      <c r="AV197" s="69"/>
      <c r="AW197" s="69"/>
      <c r="AX197" s="69"/>
      <c r="AY197" s="69">
        <f t="shared" si="307"/>
        <v>962.28571428571422</v>
      </c>
      <c r="BA197" s="757"/>
      <c r="BB197" s="757"/>
      <c r="BC197" s="292" t="s">
        <v>102</v>
      </c>
      <c r="BD197" s="465">
        <f>AM197/V197</f>
        <v>5.3192248852626207</v>
      </c>
      <c r="BE197" s="465">
        <f t="shared" si="299"/>
        <v>1.0937621861595226</v>
      </c>
      <c r="BF197" s="465" t="e">
        <f t="shared" si="286"/>
        <v>#DIV/0!</v>
      </c>
      <c r="BG197" s="465" t="e">
        <f t="shared" si="287"/>
        <v>#DIV/0!</v>
      </c>
      <c r="BH197" s="465" t="e">
        <f t="shared" si="288"/>
        <v>#DIV/0!</v>
      </c>
      <c r="BI197" s="465">
        <f t="shared" si="289"/>
        <v>2.3841929514000646</v>
      </c>
      <c r="BJ197" s="465">
        <f t="shared" si="290"/>
        <v>0.48840320433175827</v>
      </c>
      <c r="BK197" s="465">
        <f t="shared" si="291"/>
        <v>0.3118482528807951</v>
      </c>
      <c r="BL197" s="465">
        <f t="shared" si="292"/>
        <v>0</v>
      </c>
      <c r="BM197" s="465">
        <f t="shared" si="293"/>
        <v>0</v>
      </c>
      <c r="BN197" s="465">
        <f t="shared" si="294"/>
        <v>0</v>
      </c>
      <c r="BO197" s="465">
        <f t="shared" si="295"/>
        <v>0</v>
      </c>
      <c r="BP197" s="465">
        <f t="shared" si="308"/>
        <v>0.4743361644198284</v>
      </c>
    </row>
    <row r="198" spans="2:68" ht="16" customHeight="1">
      <c r="B198" s="769"/>
      <c r="C198" s="769"/>
      <c r="D198" s="292" t="s">
        <v>103</v>
      </c>
      <c r="E198" s="69">
        <v>185</v>
      </c>
      <c r="F198" s="69">
        <v>162</v>
      </c>
      <c r="G198" s="69">
        <v>286</v>
      </c>
      <c r="H198" s="69">
        <v>142</v>
      </c>
      <c r="I198" s="69">
        <v>192</v>
      </c>
      <c r="J198" s="69">
        <v>173</v>
      </c>
      <c r="K198" s="69">
        <v>204</v>
      </c>
      <c r="L198" s="69">
        <v>255</v>
      </c>
      <c r="M198" s="69">
        <v>253</v>
      </c>
      <c r="N198" s="69">
        <v>114</v>
      </c>
      <c r="O198" s="69">
        <v>100</v>
      </c>
      <c r="P198" s="69">
        <v>93</v>
      </c>
      <c r="Q198" s="69">
        <f t="shared" si="306"/>
        <v>2159</v>
      </c>
      <c r="S198" s="769"/>
      <c r="T198" s="769"/>
      <c r="U198" s="292" t="s">
        <v>103</v>
      </c>
      <c r="V198" s="69">
        <v>0</v>
      </c>
      <c r="W198" s="69">
        <v>26.024199843871973</v>
      </c>
      <c r="X198" s="69"/>
      <c r="Y198" s="69"/>
      <c r="Z198" s="69"/>
      <c r="AA198" s="69">
        <f>AA$193*'Region OP Sales Goals'!X97</f>
        <v>12.043608172494547</v>
      </c>
      <c r="AB198" s="69">
        <f>AB$193*'Region OP Sales Goals'!Y97</f>
        <v>33.929811320754723</v>
      </c>
      <c r="AC198" s="69">
        <f>AC$193*'Region OP Sales Goals'!Z97</f>
        <v>61.690566037735863</v>
      </c>
      <c r="AD198" s="69">
        <f>AD$193*'Region OP Sales Goals'!AA97</f>
        <v>99.789896286383396</v>
      </c>
      <c r="AE198" s="69">
        <f>AE$193*'Region OP Sales Goals'!AB97</f>
        <v>127.06222457253656</v>
      </c>
      <c r="AF198" s="69">
        <f>AF$193*'Region OP Sales Goals'!AC97</f>
        <v>94.249475890985337</v>
      </c>
      <c r="AG198" s="69">
        <f>AG$193*'Region OP Sales Goals'!AD97</f>
        <v>87.319367369589358</v>
      </c>
      <c r="AH198" s="69">
        <f>AH$193*'Region OP Sales Goals'!AE97</f>
        <v>570.57183795776302</v>
      </c>
      <c r="AJ198" s="757"/>
      <c r="AK198" s="757"/>
      <c r="AL198" s="292" t="s">
        <v>103</v>
      </c>
      <c r="AM198" s="69">
        <v>71</v>
      </c>
      <c r="AN198" s="69">
        <v>58.714285714285715</v>
      </c>
      <c r="AO198" s="69">
        <v>76</v>
      </c>
      <c r="AP198" s="69">
        <v>62.857142857142861</v>
      </c>
      <c r="AQ198" s="156">
        <v>69.142857142857139</v>
      </c>
      <c r="AR198" s="156">
        <v>62.571428571428569</v>
      </c>
      <c r="AS198" s="156">
        <v>37.142857142857146</v>
      </c>
      <c r="AT198" s="156">
        <v>32.285714285714285</v>
      </c>
      <c r="AU198" s="69"/>
      <c r="AV198" s="69"/>
      <c r="AW198" s="69"/>
      <c r="AX198" s="69"/>
      <c r="AY198" s="69">
        <f t="shared" si="307"/>
        <v>469.71428571428567</v>
      </c>
      <c r="BA198" s="757"/>
      <c r="BB198" s="757"/>
      <c r="BC198" s="292" t="s">
        <v>103</v>
      </c>
      <c r="BD198" s="465" t="e">
        <f t="shared" ref="BD198:BD200" si="310">AM198/V198</f>
        <v>#DIV/0!</v>
      </c>
      <c r="BE198" s="465">
        <f t="shared" si="299"/>
        <v>2.2561418243993163</v>
      </c>
      <c r="BF198" s="465" t="e">
        <f t="shared" si="286"/>
        <v>#DIV/0!</v>
      </c>
      <c r="BG198" s="465" t="e">
        <f t="shared" si="287"/>
        <v>#DIV/0!</v>
      </c>
      <c r="BH198" s="465" t="e">
        <f t="shared" si="288"/>
        <v>#DIV/0!</v>
      </c>
      <c r="BI198" s="465">
        <f t="shared" si="289"/>
        <v>5.1954055358867075</v>
      </c>
      <c r="BJ198" s="465">
        <f t="shared" si="290"/>
        <v>1.0946968372953201</v>
      </c>
      <c r="BK198" s="465">
        <f t="shared" si="291"/>
        <v>0.52334929567618571</v>
      </c>
      <c r="BL198" s="465">
        <f t="shared" si="292"/>
        <v>0</v>
      </c>
      <c r="BM198" s="465">
        <f t="shared" si="293"/>
        <v>0</v>
      </c>
      <c r="BN198" s="465">
        <f t="shared" si="294"/>
        <v>0</v>
      </c>
      <c r="BO198" s="465">
        <f t="shared" si="295"/>
        <v>0</v>
      </c>
      <c r="BP198" s="465">
        <f t="shared" si="308"/>
        <v>0.82323426160590951</v>
      </c>
    </row>
    <row r="199" spans="2:68" ht="16" customHeight="1">
      <c r="B199" s="769"/>
      <c r="C199" s="769"/>
      <c r="D199" s="292" t="s">
        <v>104</v>
      </c>
      <c r="E199" s="69">
        <v>394</v>
      </c>
      <c r="F199" s="69">
        <v>386</v>
      </c>
      <c r="G199" s="69">
        <v>426</v>
      </c>
      <c r="H199" s="69">
        <v>318</v>
      </c>
      <c r="I199" s="69">
        <v>381</v>
      </c>
      <c r="J199" s="69">
        <v>310</v>
      </c>
      <c r="K199" s="69">
        <v>405</v>
      </c>
      <c r="L199" s="69">
        <v>348</v>
      </c>
      <c r="M199" s="69">
        <v>387</v>
      </c>
      <c r="N199" s="69">
        <v>199</v>
      </c>
      <c r="O199" s="69">
        <v>197</v>
      </c>
      <c r="P199" s="69">
        <v>182</v>
      </c>
      <c r="Q199" s="69">
        <f t="shared" si="306"/>
        <v>3933</v>
      </c>
      <c r="S199" s="769"/>
      <c r="T199" s="769"/>
      <c r="U199" s="292" t="s">
        <v>104</v>
      </c>
      <c r="V199" s="69">
        <v>78.072599531615921</v>
      </c>
      <c r="W199" s="69">
        <v>130.12099921935987</v>
      </c>
      <c r="X199" s="69"/>
      <c r="Y199" s="69"/>
      <c r="Z199" s="69"/>
      <c r="AA199" s="69">
        <f>AA$193*'Region OP Sales Goals'!X98</f>
        <v>48.17443268997819</v>
      </c>
      <c r="AB199" s="69">
        <f>AB$193*'Region OP Sales Goals'!Y98</f>
        <v>195.09641509433962</v>
      </c>
      <c r="AC199" s="69">
        <f>AC$193*'Region OP Sales Goals'!Z98</f>
        <v>354.72075471698116</v>
      </c>
      <c r="AD199" s="69">
        <f>AD$193*'Region OP Sales Goals'!AA98</f>
        <v>365.89628638340577</v>
      </c>
      <c r="AE199" s="69">
        <f>AE$193*'Region OP Sales Goals'!AB98</f>
        <v>435.64191282012541</v>
      </c>
      <c r="AF199" s="69">
        <f>AF$193*'Region OP Sales Goals'!AC98</f>
        <v>329.8731656184487</v>
      </c>
      <c r="AG199" s="69">
        <f>AG$193*'Region OP Sales Goals'!AD98</f>
        <v>324.32907880133195</v>
      </c>
      <c r="AH199" s="69">
        <f>AH$193*'Region OP Sales Goals'!AE98</f>
        <v>2440.779529041542</v>
      </c>
      <c r="AJ199" s="757"/>
      <c r="AK199" s="757"/>
      <c r="AL199" s="292" t="s">
        <v>104</v>
      </c>
      <c r="AM199" s="69">
        <v>154.28571428571428</v>
      </c>
      <c r="AN199" s="69">
        <v>131.85714285714286</v>
      </c>
      <c r="AO199" s="69">
        <v>155</v>
      </c>
      <c r="AP199" s="69">
        <v>197.28571428571428</v>
      </c>
      <c r="AQ199" s="156">
        <v>209.71428571428572</v>
      </c>
      <c r="AR199" s="156">
        <v>190.85714285714286</v>
      </c>
      <c r="AS199" s="156">
        <v>68.428571428571416</v>
      </c>
      <c r="AT199" s="156">
        <v>84.714285714285722</v>
      </c>
      <c r="AU199" s="69"/>
      <c r="AV199" s="69"/>
      <c r="AW199" s="69"/>
      <c r="AX199" s="69"/>
      <c r="AY199" s="69">
        <f t="shared" si="307"/>
        <v>1192.1428571428571</v>
      </c>
      <c r="BA199" s="757"/>
      <c r="BB199" s="757"/>
      <c r="BC199" s="292" t="s">
        <v>104</v>
      </c>
      <c r="BD199" s="465">
        <f t="shared" si="310"/>
        <v>1.9761826199118098</v>
      </c>
      <c r="BE199" s="465">
        <f t="shared" si="299"/>
        <v>1.0133425323214447</v>
      </c>
      <c r="BF199" s="465" t="e">
        <f t="shared" si="286"/>
        <v>#DIV/0!</v>
      </c>
      <c r="BG199" s="465" t="e">
        <f t="shared" si="287"/>
        <v>#DIV/0!</v>
      </c>
      <c r="BH199" s="465" t="e">
        <f t="shared" si="288"/>
        <v>#DIV/0!</v>
      </c>
      <c r="BI199" s="465">
        <f t="shared" si="289"/>
        <v>3.9617932625254806</v>
      </c>
      <c r="BJ199" s="465">
        <f t="shared" si="290"/>
        <v>0.35074233114679487</v>
      </c>
      <c r="BK199" s="465">
        <f t="shared" si="291"/>
        <v>0.2388196478152968</v>
      </c>
      <c r="BL199" s="465">
        <f t="shared" si="292"/>
        <v>0</v>
      </c>
      <c r="BM199" s="465">
        <f t="shared" si="293"/>
        <v>0</v>
      </c>
      <c r="BN199" s="465">
        <f t="shared" si="294"/>
        <v>0</v>
      </c>
      <c r="BO199" s="465">
        <f t="shared" si="295"/>
        <v>0</v>
      </c>
      <c r="BP199" s="465">
        <f t="shared" si="308"/>
        <v>0.48842709591676803</v>
      </c>
    </row>
    <row r="200" spans="2:68" ht="16" customHeight="1">
      <c r="B200" s="770"/>
      <c r="C200" s="770"/>
      <c r="D200" s="292" t="s">
        <v>105</v>
      </c>
      <c r="E200" s="69">
        <v>465</v>
      </c>
      <c r="F200" s="69">
        <v>461</v>
      </c>
      <c r="G200" s="69">
        <v>459</v>
      </c>
      <c r="H200" s="69">
        <v>492</v>
      </c>
      <c r="I200" s="69">
        <v>345</v>
      </c>
      <c r="J200" s="69">
        <v>421</v>
      </c>
      <c r="K200" s="69">
        <v>515</v>
      </c>
      <c r="L200" s="69">
        <v>617</v>
      </c>
      <c r="M200" s="69">
        <v>526</v>
      </c>
      <c r="N200" s="69">
        <v>359</v>
      </c>
      <c r="O200" s="69">
        <v>395</v>
      </c>
      <c r="P200" s="69">
        <v>463</v>
      </c>
      <c r="Q200" s="69">
        <f t="shared" si="306"/>
        <v>5518</v>
      </c>
      <c r="S200" s="770"/>
      <c r="T200" s="770"/>
      <c r="U200" s="292" t="s">
        <v>105</v>
      </c>
      <c r="V200" s="69">
        <v>390.36299765807962</v>
      </c>
      <c r="W200" s="69">
        <v>260.24199843871975</v>
      </c>
      <c r="X200" s="69"/>
      <c r="Y200" s="69"/>
      <c r="Z200" s="69"/>
      <c r="AA200" s="69">
        <f>AA$193*'Region OP Sales Goals'!X99</f>
        <v>120.43608172494548</v>
      </c>
      <c r="AB200" s="69">
        <f>AB$193*'Region OP Sales Goals'!Y99</f>
        <v>500.46471698113209</v>
      </c>
      <c r="AC200" s="69">
        <f>AC$193*'Region OP Sales Goals'!Z99</f>
        <v>1110.4301886792452</v>
      </c>
      <c r="AD200" s="69">
        <f>AD$193*'Region OP Sales Goals'!AA99</f>
        <v>781.68752091000329</v>
      </c>
      <c r="AE200" s="69">
        <f>AE$193*'Region OP Sales Goals'!AB99</f>
        <v>962.04255747777688</v>
      </c>
      <c r="AF200" s="69">
        <f>AF$193*'Region OP Sales Goals'!AC99</f>
        <v>722.57931516422093</v>
      </c>
      <c r="AG200" s="69">
        <f>AG$193*'Region OP Sales Goals'!AD99</f>
        <v>735.97752497225315</v>
      </c>
      <c r="AH200" s="69">
        <f>AH$193*'Region OP Sales Goals'!AE99</f>
        <v>6212.8933466511971</v>
      </c>
      <c r="AJ200" s="757"/>
      <c r="AK200" s="757"/>
      <c r="AL200" s="292" t="s">
        <v>105</v>
      </c>
      <c r="AM200" s="69">
        <v>370.28571428571428</v>
      </c>
      <c r="AN200" s="69">
        <v>318</v>
      </c>
      <c r="AO200" s="69">
        <v>288</v>
      </c>
      <c r="AP200" s="69">
        <v>299.85714285714283</v>
      </c>
      <c r="AQ200" s="156">
        <v>332.14285714285711</v>
      </c>
      <c r="AR200" s="156">
        <v>180.14285714285714</v>
      </c>
      <c r="AS200" s="156">
        <v>55</v>
      </c>
      <c r="AT200" s="156">
        <v>196.85714285714286</v>
      </c>
      <c r="AU200" s="69"/>
      <c r="AV200" s="69"/>
      <c r="AW200" s="69"/>
      <c r="AX200" s="69"/>
      <c r="AY200" s="69">
        <f t="shared" si="307"/>
        <v>2040.2857142857142</v>
      </c>
      <c r="BA200" s="757"/>
      <c r="BB200" s="757"/>
      <c r="BC200" s="292" t="s">
        <v>105</v>
      </c>
      <c r="BD200" s="465">
        <f t="shared" si="310"/>
        <v>0.9485676575576687</v>
      </c>
      <c r="BE200" s="465">
        <f t="shared" si="299"/>
        <v>1.221939586645469</v>
      </c>
      <c r="BF200" s="465" t="e">
        <f t="shared" si="286"/>
        <v>#DIV/0!</v>
      </c>
      <c r="BG200" s="465" t="e">
        <f t="shared" si="287"/>
        <v>#DIV/0!</v>
      </c>
      <c r="BH200" s="465" t="e">
        <f t="shared" si="288"/>
        <v>#DIV/0!</v>
      </c>
      <c r="BI200" s="465">
        <f t="shared" si="289"/>
        <v>1.4957548814504882</v>
      </c>
      <c r="BJ200" s="465">
        <f t="shared" si="290"/>
        <v>0.10989785719913907</v>
      </c>
      <c r="BK200" s="465">
        <f t="shared" si="291"/>
        <v>0.17728007115088104</v>
      </c>
      <c r="BL200" s="465">
        <f t="shared" si="292"/>
        <v>0</v>
      </c>
      <c r="BM200" s="465">
        <f t="shared" si="293"/>
        <v>0</v>
      </c>
      <c r="BN200" s="465">
        <f t="shared" si="294"/>
        <v>0</v>
      </c>
      <c r="BO200" s="465">
        <f t="shared" si="295"/>
        <v>0</v>
      </c>
      <c r="BP200" s="465">
        <f t="shared" si="308"/>
        <v>0.32839541908206837</v>
      </c>
    </row>
    <row r="201" spans="2:68">
      <c r="B201" s="768" t="s">
        <v>57</v>
      </c>
      <c r="C201" s="768" t="s">
        <v>49</v>
      </c>
      <c r="D201" s="343" t="s">
        <v>58</v>
      </c>
      <c r="E201" s="344">
        <f>E202+E210+E218</f>
        <v>39083</v>
      </c>
      <c r="F201" s="344">
        <f t="shared" ref="F201:P201" si="311">F202+F210+F218</f>
        <v>39838</v>
      </c>
      <c r="G201" s="344">
        <f t="shared" si="311"/>
        <v>49723</v>
      </c>
      <c r="H201" s="344">
        <f t="shared" si="311"/>
        <v>33837</v>
      </c>
      <c r="I201" s="344">
        <f t="shared" si="311"/>
        <v>37987</v>
      </c>
      <c r="J201" s="344">
        <f t="shared" si="311"/>
        <v>38342</v>
      </c>
      <c r="K201" s="344">
        <f t="shared" si="311"/>
        <v>47922</v>
      </c>
      <c r="L201" s="344">
        <f t="shared" si="311"/>
        <v>44860</v>
      </c>
      <c r="M201" s="344">
        <f t="shared" si="311"/>
        <v>38609</v>
      </c>
      <c r="N201" s="344">
        <f t="shared" si="311"/>
        <v>16405</v>
      </c>
      <c r="O201" s="344">
        <f t="shared" si="311"/>
        <v>13305</v>
      </c>
      <c r="P201" s="344">
        <f t="shared" si="311"/>
        <v>13578</v>
      </c>
      <c r="Q201" s="344">
        <f>Q202+Q210+Q218</f>
        <v>413489</v>
      </c>
      <c r="S201" s="768" t="s">
        <v>57</v>
      </c>
      <c r="T201" s="768" t="s">
        <v>49</v>
      </c>
      <c r="U201" s="343" t="s">
        <v>58</v>
      </c>
      <c r="V201" s="344">
        <v>4463.53106488497</v>
      </c>
      <c r="W201" s="344">
        <v>6695.2965973274559</v>
      </c>
      <c r="X201" s="344">
        <v>7225.701040988939</v>
      </c>
      <c r="Y201" s="344" cm="1">
        <f t="array" ref="Y201">INDEX('Shop Goals'!$H$108:$H$119, COLUMN()-COLUMN($V$3)+1)</f>
        <v>4017.1779583964735</v>
      </c>
      <c r="Z201" s="344" cm="1">
        <f t="array" ref="Z201">INDEX('Shop Goals'!$H$108:$H$119, COLUMN()-COLUMN($V$3)+1)</f>
        <v>4017.1779583964735</v>
      </c>
      <c r="AA201" s="344" cm="1">
        <f t="array" ref="AA201">INDEX('Shop Goals'!$H$108:$H$119, COLUMN()-COLUMN($V$3)+1)</f>
        <v>4017.1779583964735</v>
      </c>
      <c r="AB201" s="344" cm="1">
        <f t="array" ref="AB201">INDEX('Shop Goals'!$H$108:$H$119, COLUMN()-COLUMN($V$3)+1)</f>
        <v>13625.607677293428</v>
      </c>
      <c r="AC201" s="344" cm="1">
        <f t="array" ref="AC201">INDEX('Shop Goals'!$H$108:$H$119, COLUMN()-COLUMN($V$3)+1)</f>
        <v>24773.832140533505</v>
      </c>
      <c r="AD201" s="344" cm="1">
        <f t="array" ref="AD201">INDEX('Shop Goals'!$H$108:$H$119, COLUMN()-COLUMN($V$3)+1)</f>
        <v>26781.186389309823</v>
      </c>
      <c r="AE201" s="344" cm="1">
        <f t="array" ref="AE201">INDEX('Shop Goals'!$H$108:$H$119, COLUMN()-COLUMN($V$3)+1)</f>
        <v>32360.600220416032</v>
      </c>
      <c r="AF201" s="344" cm="1">
        <f t="array" ref="AF201">INDEX('Shop Goals'!$H$108:$H$119, COLUMN()-COLUMN($V$3)+1)</f>
        <v>22709.346128822381</v>
      </c>
      <c r="AG201" s="344" cm="1">
        <f t="array" ref="AG201">INDEX('Shop Goals'!$H$108:$H$119, COLUMN()-COLUMN($V$3)+1)</f>
        <v>22709.346128822381</v>
      </c>
      <c r="AH201" s="345">
        <f t="shared" ref="AH201:AH210" si="312">SUM(V201:AG201)</f>
        <v>173395.98126358836</v>
      </c>
      <c r="AI201" s="47"/>
      <c r="AJ201" s="757" t="s">
        <v>57</v>
      </c>
      <c r="AK201" s="757" t="s">
        <v>49</v>
      </c>
      <c r="AL201" s="343" t="s">
        <v>58</v>
      </c>
      <c r="AM201" s="344">
        <f>AM202+AM210+AM218</f>
        <v>11836</v>
      </c>
      <c r="AN201" s="344">
        <f t="shared" ref="AN201:AX201" si="313">AN202+AN210+AN218</f>
        <v>10471</v>
      </c>
      <c r="AO201" s="344">
        <f t="shared" si="313"/>
        <v>11033</v>
      </c>
      <c r="AP201" s="344">
        <f t="shared" si="313"/>
        <v>10423</v>
      </c>
      <c r="AQ201" s="344">
        <f t="shared" si="313"/>
        <v>9692</v>
      </c>
      <c r="AR201" s="344">
        <f t="shared" si="313"/>
        <v>6894</v>
      </c>
      <c r="AS201" s="344">
        <f t="shared" si="313"/>
        <v>5914</v>
      </c>
      <c r="AT201" s="344">
        <f t="shared" si="313"/>
        <v>9453</v>
      </c>
      <c r="AU201" s="344">
        <f t="shared" si="313"/>
        <v>0</v>
      </c>
      <c r="AV201" s="344">
        <f t="shared" si="313"/>
        <v>0</v>
      </c>
      <c r="AW201" s="344">
        <f t="shared" si="313"/>
        <v>0</v>
      </c>
      <c r="AX201" s="344">
        <f t="shared" si="313"/>
        <v>0</v>
      </c>
      <c r="AY201" s="344">
        <f>AY202+AY210+AY218</f>
        <v>75716</v>
      </c>
      <c r="BA201" s="757" t="s">
        <v>57</v>
      </c>
      <c r="BB201" s="757" t="s">
        <v>49</v>
      </c>
      <c r="BC201" s="343" t="s">
        <v>58</v>
      </c>
      <c r="BD201" s="463">
        <f>AM201/V201</f>
        <v>2.6517122493254175</v>
      </c>
      <c r="BE201" s="463">
        <f>AN201/W201</f>
        <v>1.5639337029788467</v>
      </c>
      <c r="BF201" s="463">
        <f t="shared" si="286"/>
        <v>1.5269106675481801</v>
      </c>
      <c r="BG201" s="463">
        <f t="shared" si="287"/>
        <v>2.5946074851412662</v>
      </c>
      <c r="BH201" s="463">
        <f t="shared" si="288"/>
        <v>2.4126389471351004</v>
      </c>
      <c r="BI201" s="463">
        <f t="shared" si="289"/>
        <v>1.7161300971470679</v>
      </c>
      <c r="BJ201" s="463">
        <f t="shared" si="290"/>
        <v>0.43403568780682439</v>
      </c>
      <c r="BK201" s="463">
        <f t="shared" si="291"/>
        <v>0.38157197265147974</v>
      </c>
      <c r="BL201" s="463">
        <f t="shared" si="292"/>
        <v>0</v>
      </c>
      <c r="BM201" s="463">
        <f t="shared" si="293"/>
        <v>0</v>
      </c>
      <c r="BN201" s="463">
        <f t="shared" si="294"/>
        <v>0</v>
      </c>
      <c r="BO201" s="463">
        <f t="shared" si="295"/>
        <v>0</v>
      </c>
      <c r="BP201" s="463">
        <f t="shared" si="308"/>
        <v>0.43666525284054952</v>
      </c>
    </row>
    <row r="202" spans="2:68">
      <c r="B202" s="769"/>
      <c r="C202" s="769"/>
      <c r="D202" s="182" t="s">
        <v>60</v>
      </c>
      <c r="E202" s="341">
        <f>SUM(E203:E209)</f>
        <v>561</v>
      </c>
      <c r="F202" s="341">
        <f t="shared" ref="F202:Q202" si="314">SUM(F203:F209)</f>
        <v>574</v>
      </c>
      <c r="G202" s="341">
        <f t="shared" si="314"/>
        <v>1029</v>
      </c>
      <c r="H202" s="341">
        <f t="shared" si="314"/>
        <v>490</v>
      </c>
      <c r="I202" s="341">
        <f t="shared" si="314"/>
        <v>533</v>
      </c>
      <c r="J202" s="341">
        <f t="shared" si="314"/>
        <v>705</v>
      </c>
      <c r="K202" s="341">
        <f t="shared" si="314"/>
        <v>1017</v>
      </c>
      <c r="L202" s="341">
        <f t="shared" si="314"/>
        <v>1256</v>
      </c>
      <c r="M202" s="341">
        <f t="shared" si="314"/>
        <v>1243</v>
      </c>
      <c r="N202" s="341">
        <f t="shared" si="314"/>
        <v>387</v>
      </c>
      <c r="O202" s="341">
        <f t="shared" si="314"/>
        <v>410</v>
      </c>
      <c r="P202" s="341">
        <f t="shared" si="314"/>
        <v>488</v>
      </c>
      <c r="Q202" s="341">
        <f t="shared" si="314"/>
        <v>8693</v>
      </c>
      <c r="S202" s="769"/>
      <c r="T202" s="769"/>
      <c r="U202" s="182" t="s">
        <v>60</v>
      </c>
      <c r="V202" s="341">
        <v>87.291178766588601</v>
      </c>
      <c r="W202" s="341">
        <v>130.93676814988291</v>
      </c>
      <c r="X202" s="341">
        <v>177.14622641509433</v>
      </c>
      <c r="Y202" s="341" cm="1">
        <f t="array" ref="Y202">INDEX('Shop Goals'!$D$108:$D$119, COLUMN()-COLUMN($V$3)+1)</f>
        <v>78.562060889929739</v>
      </c>
      <c r="Z202" s="341" cm="1">
        <f t="array" ref="Z202">INDEX('Shop Goals'!$D$108:$D$119, COLUMN()-COLUMN($V$3)+1)</f>
        <v>78.562060889929739</v>
      </c>
      <c r="AA202" s="341" cm="1">
        <f t="array" ref="AA202">INDEX('Shop Goals'!$D$108:$D$119, COLUMN()-COLUMN($V$3)+1)</f>
        <v>78.562060889929739</v>
      </c>
      <c r="AB202" s="341" cm="1">
        <f t="array" ref="AB202">INDEX('Shop Goals'!$D$108:$D$119, COLUMN()-COLUMN($V$3)+1)</f>
        <v>334.04716981132071</v>
      </c>
      <c r="AC202" s="341" cm="1">
        <f t="array" ref="AC202">INDEX('Shop Goals'!$D$108:$D$119, COLUMN()-COLUMN($V$3)+1)</f>
        <v>607.35849056603774</v>
      </c>
      <c r="AD202" s="341" cm="1">
        <f t="array" ref="AD202">INDEX('Shop Goals'!$D$108:$D$119, COLUMN()-COLUMN($V$3)+1)</f>
        <v>523.74707259953163</v>
      </c>
      <c r="AE202" s="341" cm="1">
        <f t="array" ref="AE202">INDEX('Shop Goals'!$D$108:$D$119, COLUMN()-COLUMN($V$3)+1)</f>
        <v>632.86104605776734</v>
      </c>
      <c r="AF202" s="341" cm="1">
        <f t="array" ref="AF202">INDEX('Shop Goals'!$D$108:$D$119, COLUMN()-COLUMN($V$3)+1)</f>
        <v>556.74528301886789</v>
      </c>
      <c r="AG202" s="341" cm="1">
        <f t="array" ref="AG202">INDEX('Shop Goals'!$D$108:$D$119, COLUMN()-COLUMN($V$3)+1)</f>
        <v>556.74528301886789</v>
      </c>
      <c r="AH202" s="342">
        <f t="shared" si="312"/>
        <v>3842.5647010737484</v>
      </c>
      <c r="AJ202" s="757"/>
      <c r="AK202" s="757"/>
      <c r="AL202" s="182" t="s">
        <v>60</v>
      </c>
      <c r="AM202" s="341">
        <f>SUM(AM203:AM209)</f>
        <v>394</v>
      </c>
      <c r="AN202" s="341">
        <f t="shared" ref="AN202:AY202" si="315">SUM(AN203:AN209)</f>
        <v>386</v>
      </c>
      <c r="AO202" s="341">
        <f>SUM(AO203:AO209)</f>
        <v>558</v>
      </c>
      <c r="AP202" s="341">
        <f t="shared" ref="AP202:AS202" si="316">SUM(AP203:AP209)</f>
        <v>385</v>
      </c>
      <c r="AQ202" s="341">
        <f t="shared" si="316"/>
        <v>416</v>
      </c>
      <c r="AR202" s="341">
        <f t="shared" si="316"/>
        <v>364</v>
      </c>
      <c r="AS202" s="341">
        <f t="shared" si="316"/>
        <v>386</v>
      </c>
      <c r="AT202" s="341">
        <f t="shared" si="315"/>
        <v>417</v>
      </c>
      <c r="AU202" s="341">
        <f t="shared" si="315"/>
        <v>0</v>
      </c>
      <c r="AV202" s="341">
        <f t="shared" si="315"/>
        <v>0</v>
      </c>
      <c r="AW202" s="341">
        <f t="shared" si="315"/>
        <v>0</v>
      </c>
      <c r="AX202" s="341">
        <f t="shared" si="315"/>
        <v>0</v>
      </c>
      <c r="AY202" s="341">
        <f t="shared" si="315"/>
        <v>3306</v>
      </c>
      <c r="BA202" s="757"/>
      <c r="BB202" s="757"/>
      <c r="BC202" s="182" t="s">
        <v>60</v>
      </c>
      <c r="BD202" s="464">
        <f>AM202/V202</f>
        <v>4.5136290466821682</v>
      </c>
      <c r="BE202" s="464">
        <f t="shared" ref="BE202:BE225" si="317">AN202/W202</f>
        <v>2.9479878375961364</v>
      </c>
      <c r="BF202" s="464">
        <f t="shared" si="286"/>
        <v>3.1499400878711223</v>
      </c>
      <c r="BG202" s="464">
        <f t="shared" si="287"/>
        <v>4.9005842723424555</v>
      </c>
      <c r="BH202" s="464">
        <f t="shared" si="288"/>
        <v>5.2951767721934067</v>
      </c>
      <c r="BI202" s="464">
        <f t="shared" si="289"/>
        <v>4.6332796756692307</v>
      </c>
      <c r="BJ202" s="464">
        <f t="shared" si="290"/>
        <v>1.1555254313875005</v>
      </c>
      <c r="BK202" s="464">
        <f t="shared" si="291"/>
        <v>0.68657968313140727</v>
      </c>
      <c r="BL202" s="464">
        <f t="shared" si="292"/>
        <v>0</v>
      </c>
      <c r="BM202" s="464">
        <f t="shared" si="293"/>
        <v>0</v>
      </c>
      <c r="BN202" s="464">
        <f t="shared" si="294"/>
        <v>0</v>
      </c>
      <c r="BO202" s="464">
        <f t="shared" si="295"/>
        <v>0</v>
      </c>
      <c r="BP202" s="464">
        <f t="shared" si="308"/>
        <v>0.86036287146347512</v>
      </c>
    </row>
    <row r="203" spans="2:68" ht="16" customHeight="1">
      <c r="B203" s="769"/>
      <c r="C203" s="769"/>
      <c r="D203" s="292" t="s">
        <v>99</v>
      </c>
      <c r="E203" s="69">
        <v>92</v>
      </c>
      <c r="F203" s="69">
        <v>78</v>
      </c>
      <c r="G203" s="69">
        <v>181</v>
      </c>
      <c r="H203" s="69">
        <v>131</v>
      </c>
      <c r="I203" s="69">
        <v>78</v>
      </c>
      <c r="J203" s="69">
        <v>95</v>
      </c>
      <c r="K203" s="69">
        <v>149</v>
      </c>
      <c r="L203" s="69">
        <v>159</v>
      </c>
      <c r="M203" s="69">
        <v>284</v>
      </c>
      <c r="N203" s="69">
        <v>65</v>
      </c>
      <c r="O203" s="69">
        <v>70</v>
      </c>
      <c r="P203" s="69">
        <v>76</v>
      </c>
      <c r="Q203" s="69">
        <f>SUM(E203:P203)</f>
        <v>1458</v>
      </c>
      <c r="S203" s="769"/>
      <c r="T203" s="769"/>
      <c r="U203" s="292" t="s">
        <v>99</v>
      </c>
      <c r="V203" s="69">
        <v>4.3645589383294299</v>
      </c>
      <c r="W203" s="69">
        <v>13.093676814988292</v>
      </c>
      <c r="X203" s="69"/>
      <c r="Y203" s="69"/>
      <c r="Z203" s="69"/>
      <c r="AA203" s="69">
        <f>AA$202*'Region OP Sales Goals'!X93</f>
        <v>8.1271097472341101</v>
      </c>
      <c r="AB203" s="69">
        <f>AB$202*'Region OP Sales Goals'!Y93</f>
        <v>33.404716981132076</v>
      </c>
      <c r="AC203" s="69">
        <f>AC$202*'Region OP Sales Goals'!Z93</f>
        <v>60.735849056603776</v>
      </c>
      <c r="AD203" s="69">
        <f>AD$202*'Region OP Sales Goals'!AA93</f>
        <v>52.374707259953169</v>
      </c>
      <c r="AE203" s="69">
        <f>AE$202*'Region OP Sales Goals'!AB93</f>
        <v>61.244617360429096</v>
      </c>
      <c r="AF203" s="69">
        <f>AF$202*'Region OP Sales Goals'!AC93</f>
        <v>53.612508735150243</v>
      </c>
      <c r="AG203" s="69">
        <f>AG$202*'Region OP Sales Goals'!AD93</f>
        <v>55.674528301886795</v>
      </c>
      <c r="AH203" s="69">
        <f>AH$202*'Region OP Sales Goals'!AE93</f>
        <v>372.10606789054083</v>
      </c>
      <c r="AJ203" s="757"/>
      <c r="AK203" s="757"/>
      <c r="AL203" s="292" t="s">
        <v>99</v>
      </c>
      <c r="AM203" s="69">
        <v>68</v>
      </c>
      <c r="AN203" s="69">
        <v>62</v>
      </c>
      <c r="AO203" s="69">
        <v>65</v>
      </c>
      <c r="AP203" s="69">
        <v>43</v>
      </c>
      <c r="AQ203" s="69">
        <v>87</v>
      </c>
      <c r="AR203" s="69">
        <v>72</v>
      </c>
      <c r="AS203" s="69">
        <v>53</v>
      </c>
      <c r="AT203" s="69">
        <v>40</v>
      </c>
      <c r="AU203" s="69"/>
      <c r="AV203" s="69"/>
      <c r="AW203" s="69"/>
      <c r="AX203" s="69"/>
      <c r="AY203" s="69">
        <f>SUM(AM203:AX203)</f>
        <v>490</v>
      </c>
      <c r="BA203" s="757"/>
      <c r="BB203" s="757"/>
      <c r="BC203" s="292" t="s">
        <v>99</v>
      </c>
      <c r="BD203" s="465">
        <f>AM203/V203</f>
        <v>15.580039348953676</v>
      </c>
      <c r="BE203" s="465">
        <f t="shared" si="317"/>
        <v>4.7351099982114109</v>
      </c>
      <c r="BF203" s="465" t="e">
        <f t="shared" si="286"/>
        <v>#DIV/0!</v>
      </c>
      <c r="BG203" s="465" t="e">
        <f t="shared" si="287"/>
        <v>#DIV/0!</v>
      </c>
      <c r="BH203" s="465" t="e">
        <f t="shared" si="288"/>
        <v>#DIV/0!</v>
      </c>
      <c r="BI203" s="465">
        <f t="shared" si="289"/>
        <v>8.859238061169739</v>
      </c>
      <c r="BJ203" s="465">
        <f t="shared" si="290"/>
        <v>1.5866022762574488</v>
      </c>
      <c r="BK203" s="465">
        <f t="shared" si="291"/>
        <v>0.6585896241068655</v>
      </c>
      <c r="BL203" s="465">
        <f t="shared" si="292"/>
        <v>0</v>
      </c>
      <c r="BM203" s="465">
        <f t="shared" si="293"/>
        <v>0</v>
      </c>
      <c r="BN203" s="465">
        <f t="shared" si="294"/>
        <v>0</v>
      </c>
      <c r="BO203" s="465">
        <f t="shared" si="295"/>
        <v>0</v>
      </c>
      <c r="BP203" s="465">
        <f>AY203/AH203</f>
        <v>1.3168288353312718</v>
      </c>
    </row>
    <row r="204" spans="2:68" ht="16" customHeight="1">
      <c r="B204" s="769"/>
      <c r="C204" s="769"/>
      <c r="D204" s="292" t="s">
        <v>100</v>
      </c>
      <c r="E204" s="69">
        <v>104</v>
      </c>
      <c r="F204" s="69">
        <v>133</v>
      </c>
      <c r="G204" s="69">
        <v>178</v>
      </c>
      <c r="H204" s="69">
        <v>72</v>
      </c>
      <c r="I204" s="69">
        <v>78</v>
      </c>
      <c r="J204" s="69">
        <v>121</v>
      </c>
      <c r="K204" s="69">
        <v>204</v>
      </c>
      <c r="L204" s="69">
        <v>278</v>
      </c>
      <c r="M204" s="69">
        <v>222</v>
      </c>
      <c r="N204" s="69">
        <v>68</v>
      </c>
      <c r="O204" s="69">
        <v>63</v>
      </c>
      <c r="P204" s="69">
        <v>63</v>
      </c>
      <c r="Q204" s="69">
        <f t="shared" ref="Q204:Q209" si="318">SUM(E204:P204)</f>
        <v>1584</v>
      </c>
      <c r="S204" s="769"/>
      <c r="T204" s="769"/>
      <c r="U204" s="292" t="s">
        <v>100</v>
      </c>
      <c r="V204" s="69">
        <v>0</v>
      </c>
      <c r="W204" s="69">
        <v>17.458235753317719</v>
      </c>
      <c r="X204" s="69"/>
      <c r="Y204" s="69"/>
      <c r="Z204" s="69"/>
      <c r="AA204" s="69">
        <f>AA$202*'Region OP Sales Goals'!X94</f>
        <v>10.836146329645482</v>
      </c>
      <c r="AB204" s="69">
        <f>AB$202*'Region OP Sales Goals'!Y94</f>
        <v>37.858679245283014</v>
      </c>
      <c r="AC204" s="69">
        <f>AC$202*'Region OP Sales Goals'!Z94</f>
        <v>44.539622641509432</v>
      </c>
      <c r="AD204" s="69">
        <f>AD$202*'Region OP Sales Goals'!AA94</f>
        <v>78.562060889929739</v>
      </c>
      <c r="AE204" s="69">
        <f>AE$202*'Region OP Sales Goals'!AB94</f>
        <v>93.908413285991273</v>
      </c>
      <c r="AF204" s="69">
        <f>AF$202*'Region OP Sales Goals'!AC94</f>
        <v>82.480782669461902</v>
      </c>
      <c r="AG204" s="69">
        <f>AG$202*'Region OP Sales Goals'!AD94</f>
        <v>81.874306326304108</v>
      </c>
      <c r="AH204" s="69">
        <f>AH$202*'Region OP Sales Goals'!AE94</f>
        <v>470.82808590231701</v>
      </c>
      <c r="AJ204" s="757"/>
      <c r="AK204" s="757"/>
      <c r="AL204" s="292" t="s">
        <v>100</v>
      </c>
      <c r="AM204" s="69">
        <v>52</v>
      </c>
      <c r="AN204" s="69">
        <v>53</v>
      </c>
      <c r="AO204" s="69">
        <v>89</v>
      </c>
      <c r="AP204" s="69">
        <v>50</v>
      </c>
      <c r="AQ204" s="69">
        <v>53</v>
      </c>
      <c r="AR204" s="69">
        <v>66</v>
      </c>
      <c r="AS204" s="69">
        <v>89</v>
      </c>
      <c r="AT204" s="69">
        <v>88</v>
      </c>
      <c r="AU204" s="69"/>
      <c r="AV204" s="69"/>
      <c r="AW204" s="69"/>
      <c r="AX204" s="69"/>
      <c r="AY204" s="69">
        <f t="shared" ref="AY204:AY209" si="319">SUM(AM204:AX204)</f>
        <v>540</v>
      </c>
      <c r="BA204" s="757"/>
      <c r="BB204" s="757"/>
      <c r="BC204" s="292" t="s">
        <v>100</v>
      </c>
      <c r="BD204" s="465" t="e">
        <f t="shared" ref="BD204:BD209" si="320">AM204/V204</f>
        <v>#DIV/0!</v>
      </c>
      <c r="BE204" s="465">
        <f t="shared" si="317"/>
        <v>3.0358164907887679</v>
      </c>
      <c r="BF204" s="465" t="e">
        <f t="shared" si="286"/>
        <v>#DIV/0!</v>
      </c>
      <c r="BG204" s="465" t="e">
        <f t="shared" si="287"/>
        <v>#DIV/0!</v>
      </c>
      <c r="BH204" s="465" t="e">
        <f t="shared" si="288"/>
        <v>#DIV/0!</v>
      </c>
      <c r="BI204" s="465">
        <f t="shared" si="289"/>
        <v>6.0907261670541946</v>
      </c>
      <c r="BJ204" s="465">
        <f t="shared" si="290"/>
        <v>2.3508479897932233</v>
      </c>
      <c r="BK204" s="465">
        <f t="shared" si="291"/>
        <v>1.9757688723205966</v>
      </c>
      <c r="BL204" s="465">
        <f t="shared" si="292"/>
        <v>0</v>
      </c>
      <c r="BM204" s="465">
        <f t="shared" si="293"/>
        <v>0</v>
      </c>
      <c r="BN204" s="465">
        <f t="shared" si="294"/>
        <v>0</v>
      </c>
      <c r="BO204" s="465">
        <f t="shared" si="295"/>
        <v>0</v>
      </c>
      <c r="BP204" s="465">
        <f t="shared" ref="BP204:BP210" si="321">AY204/AH204</f>
        <v>1.1469154372240107</v>
      </c>
    </row>
    <row r="205" spans="2:68" ht="16" customHeight="1">
      <c r="B205" s="769"/>
      <c r="C205" s="769"/>
      <c r="D205" s="292" t="s">
        <v>101</v>
      </c>
      <c r="E205" s="69">
        <v>82</v>
      </c>
      <c r="F205" s="69">
        <v>58</v>
      </c>
      <c r="G205" s="69">
        <v>110</v>
      </c>
      <c r="H205" s="69">
        <v>43</v>
      </c>
      <c r="I205" s="69">
        <v>47</v>
      </c>
      <c r="J205" s="69">
        <v>74</v>
      </c>
      <c r="K205" s="69">
        <v>86</v>
      </c>
      <c r="L205" s="69">
        <v>121</v>
      </c>
      <c r="M205" s="69">
        <v>111</v>
      </c>
      <c r="N205" s="69">
        <v>35</v>
      </c>
      <c r="O205" s="69">
        <v>46</v>
      </c>
      <c r="P205" s="69">
        <v>60</v>
      </c>
      <c r="Q205" s="69">
        <f t="shared" si="318"/>
        <v>873</v>
      </c>
      <c r="S205" s="769"/>
      <c r="T205" s="769"/>
      <c r="U205" s="292" t="s">
        <v>101</v>
      </c>
      <c r="V205" s="69">
        <v>0</v>
      </c>
      <c r="W205" s="69">
        <v>13.093676814988292</v>
      </c>
      <c r="X205" s="69"/>
      <c r="Y205" s="69"/>
      <c r="Z205" s="69"/>
      <c r="AA205" s="69">
        <f>AA$202*'Region OP Sales Goals'!X95</f>
        <v>8.1271097472341101</v>
      </c>
      <c r="AB205" s="69">
        <f>AB$202*'Region OP Sales Goals'!Y95</f>
        <v>31.177735849056603</v>
      </c>
      <c r="AC205" s="69">
        <f>AC$202*'Region OP Sales Goals'!Z95</f>
        <v>28.343396226415095</v>
      </c>
      <c r="AD205" s="69">
        <f>AD$202*'Region OP Sales Goals'!AA95</f>
        <v>48.633656741385082</v>
      </c>
      <c r="AE205" s="69">
        <f>AE$202*'Region OP Sales Goals'!AB95</f>
        <v>57.161642869733818</v>
      </c>
      <c r="AF205" s="69">
        <f>AF$202*'Region OP Sales Goals'!AC95</f>
        <v>49.488469601677146</v>
      </c>
      <c r="AG205" s="69">
        <f>AG$202*'Region OP Sales Goals'!AD95</f>
        <v>49.124583795782463</v>
      </c>
      <c r="AH205" s="69">
        <f>AH$202*'Region OP Sales Goals'!AE95</f>
        <v>303.76005542084971</v>
      </c>
      <c r="AJ205" s="757"/>
      <c r="AK205" s="757"/>
      <c r="AL205" s="292" t="s">
        <v>101</v>
      </c>
      <c r="AM205" s="69">
        <v>41</v>
      </c>
      <c r="AN205" s="69">
        <v>46</v>
      </c>
      <c r="AO205" s="69">
        <v>77</v>
      </c>
      <c r="AP205" s="69">
        <v>52</v>
      </c>
      <c r="AQ205" s="69">
        <v>67</v>
      </c>
      <c r="AR205" s="69">
        <v>52</v>
      </c>
      <c r="AS205" s="69">
        <v>55</v>
      </c>
      <c r="AT205" s="69">
        <v>35</v>
      </c>
      <c r="AU205" s="69"/>
      <c r="AV205" s="69"/>
      <c r="AW205" s="69"/>
      <c r="AX205" s="69"/>
      <c r="AY205" s="69">
        <f t="shared" si="319"/>
        <v>425</v>
      </c>
      <c r="BA205" s="757"/>
      <c r="BB205" s="757"/>
      <c r="BC205" s="292" t="s">
        <v>101</v>
      </c>
      <c r="BD205" s="465" t="e">
        <f t="shared" si="320"/>
        <v>#DIV/0!</v>
      </c>
      <c r="BE205" s="465">
        <f t="shared" si="317"/>
        <v>3.51314612770524</v>
      </c>
      <c r="BF205" s="465" t="e">
        <f t="shared" si="286"/>
        <v>#DIV/0!</v>
      </c>
      <c r="BG205" s="465" t="e">
        <f t="shared" si="287"/>
        <v>#DIV/0!</v>
      </c>
      <c r="BH205" s="465" t="e">
        <f t="shared" si="288"/>
        <v>#DIV/0!</v>
      </c>
      <c r="BI205" s="465">
        <f t="shared" si="289"/>
        <v>6.3983385997336999</v>
      </c>
      <c r="BJ205" s="465">
        <f t="shared" si="290"/>
        <v>1.7640793502862469</v>
      </c>
      <c r="BK205" s="465">
        <f t="shared" si="291"/>
        <v>1.2348555452003727</v>
      </c>
      <c r="BL205" s="465">
        <f t="shared" si="292"/>
        <v>0</v>
      </c>
      <c r="BM205" s="465">
        <f t="shared" si="293"/>
        <v>0</v>
      </c>
      <c r="BN205" s="465">
        <f t="shared" si="294"/>
        <v>0</v>
      </c>
      <c r="BO205" s="465">
        <f t="shared" si="295"/>
        <v>0</v>
      </c>
      <c r="BP205" s="465">
        <f t="shared" si="321"/>
        <v>1.3991306375394759</v>
      </c>
    </row>
    <row r="206" spans="2:68" ht="16" customHeight="1">
      <c r="B206" s="769"/>
      <c r="C206" s="769"/>
      <c r="D206" s="292" t="s">
        <v>102</v>
      </c>
      <c r="E206" s="69">
        <v>36</v>
      </c>
      <c r="F206" s="69">
        <v>34</v>
      </c>
      <c r="G206" s="69">
        <v>58</v>
      </c>
      <c r="H206" s="69">
        <v>46</v>
      </c>
      <c r="I206" s="69">
        <v>29</v>
      </c>
      <c r="J206" s="69">
        <v>53</v>
      </c>
      <c r="K206" s="69">
        <v>58</v>
      </c>
      <c r="L206" s="69">
        <v>97</v>
      </c>
      <c r="M206" s="69">
        <v>51</v>
      </c>
      <c r="N206" s="69">
        <v>38</v>
      </c>
      <c r="O206" s="69">
        <v>25</v>
      </c>
      <c r="P206" s="69">
        <v>43</v>
      </c>
      <c r="Q206" s="69">
        <f t="shared" si="318"/>
        <v>568</v>
      </c>
      <c r="S206" s="769"/>
      <c r="T206" s="769"/>
      <c r="U206" s="292" t="s">
        <v>102</v>
      </c>
      <c r="V206" s="69">
        <v>4.3645589383294299</v>
      </c>
      <c r="W206" s="69">
        <v>17.458235753317719</v>
      </c>
      <c r="X206" s="69"/>
      <c r="Y206" s="69"/>
      <c r="Z206" s="69"/>
      <c r="AA206" s="69">
        <f>AA$202*'Region OP Sales Goals'!X96</f>
        <v>10.836146329645482</v>
      </c>
      <c r="AB206" s="69">
        <f>AB$202*'Region OP Sales Goals'!Y96</f>
        <v>40.085660377358487</v>
      </c>
      <c r="AC206" s="69">
        <f>AC$202*'Region OP Sales Goals'!Z96</f>
        <v>72.88301886792452</v>
      </c>
      <c r="AD206" s="69">
        <f>AD$202*'Region OP Sales Goals'!AA96</f>
        <v>63.597858815657411</v>
      </c>
      <c r="AE206" s="69">
        <f>AE$202*'Region OP Sales Goals'!AB96</f>
        <v>77.576515323210188</v>
      </c>
      <c r="AF206" s="69">
        <f>AF$202*'Region OP Sales Goals'!AC96</f>
        <v>70.108665269042618</v>
      </c>
      <c r="AG206" s="69">
        <f>AG$202*'Region OP Sales Goals'!AD96</f>
        <v>68.774417314095444</v>
      </c>
      <c r="AH206" s="69">
        <f>AH$202*'Region OP Sales Goals'!AE96</f>
        <v>486.01608867335943</v>
      </c>
      <c r="AJ206" s="757"/>
      <c r="AK206" s="757"/>
      <c r="AL206" s="292" t="s">
        <v>102</v>
      </c>
      <c r="AM206" s="69">
        <v>30</v>
      </c>
      <c r="AN206" s="69">
        <v>36</v>
      </c>
      <c r="AO206" s="69">
        <v>34</v>
      </c>
      <c r="AP206" s="69">
        <v>10</v>
      </c>
      <c r="AQ206" s="69">
        <v>4</v>
      </c>
      <c r="AR206" s="69">
        <v>1</v>
      </c>
      <c r="AS206" s="69">
        <v>6</v>
      </c>
      <c r="AT206" s="69">
        <v>15</v>
      </c>
      <c r="AU206" s="69"/>
      <c r="AV206" s="69"/>
      <c r="AW206" s="69"/>
      <c r="AX206" s="69"/>
      <c r="AY206" s="69">
        <f t="shared" si="319"/>
        <v>136</v>
      </c>
      <c r="BA206" s="757"/>
      <c r="BB206" s="757"/>
      <c r="BC206" s="292" t="s">
        <v>102</v>
      </c>
      <c r="BD206" s="465">
        <f t="shared" si="320"/>
        <v>6.8735467715972103</v>
      </c>
      <c r="BE206" s="465">
        <f t="shared" si="317"/>
        <v>2.0620640314791632</v>
      </c>
      <c r="BF206" s="465" t="e">
        <f t="shared" si="286"/>
        <v>#DIV/0!</v>
      </c>
      <c r="BG206" s="465" t="e">
        <f t="shared" si="287"/>
        <v>#DIV/0!</v>
      </c>
      <c r="BH206" s="465" t="e">
        <f t="shared" si="288"/>
        <v>#DIV/0!</v>
      </c>
      <c r="BI206" s="465">
        <f t="shared" si="289"/>
        <v>9.2283729803851425E-2</v>
      </c>
      <c r="BJ206" s="465">
        <f t="shared" si="290"/>
        <v>0.14967946002428761</v>
      </c>
      <c r="BK206" s="465">
        <f t="shared" si="291"/>
        <v>0.20580925753339549</v>
      </c>
      <c r="BL206" s="465">
        <f t="shared" si="292"/>
        <v>0</v>
      </c>
      <c r="BM206" s="465">
        <f t="shared" si="293"/>
        <v>0</v>
      </c>
      <c r="BN206" s="465">
        <f t="shared" si="294"/>
        <v>0</v>
      </c>
      <c r="BO206" s="465">
        <f t="shared" si="295"/>
        <v>0</v>
      </c>
      <c r="BP206" s="465">
        <f t="shared" si="321"/>
        <v>0.27982612750789526</v>
      </c>
    </row>
    <row r="207" spans="2:68" ht="16" customHeight="1">
      <c r="B207" s="769"/>
      <c r="C207" s="769"/>
      <c r="D207" s="292" t="s">
        <v>103</v>
      </c>
      <c r="E207" s="69">
        <v>46</v>
      </c>
      <c r="F207" s="69">
        <v>49</v>
      </c>
      <c r="G207" s="69">
        <v>102</v>
      </c>
      <c r="H207" s="69">
        <v>19</v>
      </c>
      <c r="I207" s="69">
        <v>67</v>
      </c>
      <c r="J207" s="69">
        <v>70</v>
      </c>
      <c r="K207" s="69">
        <v>89</v>
      </c>
      <c r="L207" s="69">
        <v>112</v>
      </c>
      <c r="M207" s="69">
        <v>124</v>
      </c>
      <c r="N207" s="69">
        <v>37</v>
      </c>
      <c r="O207" s="69">
        <v>32</v>
      </c>
      <c r="P207" s="69">
        <v>53</v>
      </c>
      <c r="Q207" s="69">
        <f t="shared" si="318"/>
        <v>800</v>
      </c>
      <c r="S207" s="769"/>
      <c r="T207" s="769"/>
      <c r="U207" s="292" t="s">
        <v>103</v>
      </c>
      <c r="V207" s="69">
        <v>0</v>
      </c>
      <c r="W207" s="69">
        <v>4.3645589383294299</v>
      </c>
      <c r="X207" s="69"/>
      <c r="Y207" s="69"/>
      <c r="Z207" s="69"/>
      <c r="AA207" s="69">
        <f>AA$202*'Region OP Sales Goals'!X97</f>
        <v>2.7090365824113705</v>
      </c>
      <c r="AB207" s="69">
        <f>AB$202*'Region OP Sales Goals'!Y97</f>
        <v>8.9079245283018871</v>
      </c>
      <c r="AC207" s="69">
        <f>AC$202*'Region OP Sales Goals'!Z97</f>
        <v>16.19622641509434</v>
      </c>
      <c r="AD207" s="69">
        <f>AD$202*'Region OP Sales Goals'!AA97</f>
        <v>22.446303111408501</v>
      </c>
      <c r="AE207" s="69">
        <f>AE$202*'Region OP Sales Goals'!AB97</f>
        <v>28.580821434866909</v>
      </c>
      <c r="AF207" s="69">
        <f>AF$202*'Region OP Sales Goals'!AC97</f>
        <v>24.744234800838573</v>
      </c>
      <c r="AG207" s="69">
        <f>AG$202*'Region OP Sales Goals'!AD97</f>
        <v>22.924805771365147</v>
      </c>
      <c r="AH207" s="69">
        <f>AH$202*'Region OP Sales Goals'!AE97</f>
        <v>136.69202493938238</v>
      </c>
      <c r="AJ207" s="757"/>
      <c r="AK207" s="757"/>
      <c r="AL207" s="292" t="s">
        <v>103</v>
      </c>
      <c r="AM207" s="69">
        <v>7</v>
      </c>
      <c r="AN207" s="69">
        <v>10</v>
      </c>
      <c r="AO207" s="69">
        <v>15</v>
      </c>
      <c r="AP207" s="69">
        <v>2</v>
      </c>
      <c r="AQ207" s="69">
        <v>13</v>
      </c>
      <c r="AR207" s="69">
        <v>9</v>
      </c>
      <c r="AS207" s="69">
        <v>9</v>
      </c>
      <c r="AT207" s="69">
        <v>10</v>
      </c>
      <c r="AU207" s="69"/>
      <c r="AV207" s="69"/>
      <c r="AW207" s="69"/>
      <c r="AX207" s="69"/>
      <c r="AY207" s="69">
        <f t="shared" si="319"/>
        <v>75</v>
      </c>
      <c r="BA207" s="757"/>
      <c r="BB207" s="757"/>
      <c r="BC207" s="292" t="s">
        <v>103</v>
      </c>
      <c r="BD207" s="465" t="e">
        <f t="shared" si="320"/>
        <v>#DIV/0!</v>
      </c>
      <c r="BE207" s="465">
        <f t="shared" si="317"/>
        <v>2.2911822571990701</v>
      </c>
      <c r="BF207" s="465" t="e">
        <f t="shared" si="286"/>
        <v>#DIV/0!</v>
      </c>
      <c r="BG207" s="465" t="e">
        <f t="shared" si="287"/>
        <v>#DIV/0!</v>
      </c>
      <c r="BH207" s="465" t="e">
        <f t="shared" si="288"/>
        <v>#DIV/0!</v>
      </c>
      <c r="BI207" s="465">
        <f t="shared" si="289"/>
        <v>3.3222142729386515</v>
      </c>
      <c r="BJ207" s="465">
        <f t="shared" si="290"/>
        <v>1.0103363551639413</v>
      </c>
      <c r="BK207" s="465">
        <f t="shared" si="291"/>
        <v>0.61742777260018633</v>
      </c>
      <c r="BL207" s="465">
        <f t="shared" si="292"/>
        <v>0</v>
      </c>
      <c r="BM207" s="465">
        <f t="shared" si="293"/>
        <v>0</v>
      </c>
      <c r="BN207" s="465">
        <f t="shared" si="294"/>
        <v>0</v>
      </c>
      <c r="BO207" s="465">
        <f t="shared" si="295"/>
        <v>0</v>
      </c>
      <c r="BP207" s="465">
        <f t="shared" si="321"/>
        <v>0.54867868138802978</v>
      </c>
    </row>
    <row r="208" spans="2:68" ht="16" customHeight="1">
      <c r="B208" s="769"/>
      <c r="C208" s="769"/>
      <c r="D208" s="292" t="s">
        <v>104</v>
      </c>
      <c r="E208" s="69">
        <v>105</v>
      </c>
      <c r="F208" s="69">
        <v>97</v>
      </c>
      <c r="G208" s="69">
        <v>183</v>
      </c>
      <c r="H208" s="69">
        <v>85</v>
      </c>
      <c r="I208" s="69">
        <v>102</v>
      </c>
      <c r="J208" s="69">
        <v>132</v>
      </c>
      <c r="K208" s="69">
        <v>244</v>
      </c>
      <c r="L208" s="69">
        <v>184</v>
      </c>
      <c r="M208" s="69">
        <v>152</v>
      </c>
      <c r="N208" s="69">
        <v>50</v>
      </c>
      <c r="O208" s="69">
        <v>63</v>
      </c>
      <c r="P208" s="69">
        <v>74</v>
      </c>
      <c r="Q208" s="69">
        <f t="shared" si="318"/>
        <v>1471</v>
      </c>
      <c r="S208" s="769"/>
      <c r="T208" s="769"/>
      <c r="U208" s="292" t="s">
        <v>104</v>
      </c>
      <c r="V208" s="69">
        <v>13.093676814988291</v>
      </c>
      <c r="W208" s="69">
        <v>21.82279469164715</v>
      </c>
      <c r="X208" s="69"/>
      <c r="Y208" s="69"/>
      <c r="Z208" s="69"/>
      <c r="AA208" s="69">
        <f>AA$202*'Region OP Sales Goals'!X98</f>
        <v>10.836146329645482</v>
      </c>
      <c r="AB208" s="69">
        <f>AB$202*'Region OP Sales Goals'!Y98</f>
        <v>51.220566037735836</v>
      </c>
      <c r="AC208" s="69">
        <f>AC$202*'Region OP Sales Goals'!Z98</f>
        <v>93.128301886792443</v>
      </c>
      <c r="AD208" s="69">
        <f>AD$202*'Region OP Sales Goals'!AA98</f>
        <v>82.303111408497827</v>
      </c>
      <c r="AE208" s="69">
        <f>AE$202*'Region OP Sales Goals'!AB98</f>
        <v>97.991387776686565</v>
      </c>
      <c r="AF208" s="69">
        <f>AF$202*'Region OP Sales Goals'!AC98</f>
        <v>86.604821802935007</v>
      </c>
      <c r="AG208" s="69">
        <f>AG$202*'Region OP Sales Goals'!AD98</f>
        <v>85.149278579356277</v>
      </c>
      <c r="AH208" s="69">
        <f>AH$202*'Region OP Sales Goals'!AE98</f>
        <v>584.73810668513568</v>
      </c>
      <c r="AJ208" s="757"/>
      <c r="AK208" s="757"/>
      <c r="AL208" s="292" t="s">
        <v>104</v>
      </c>
      <c r="AM208" s="69">
        <v>52</v>
      </c>
      <c r="AN208" s="69">
        <v>77</v>
      </c>
      <c r="AO208" s="69">
        <v>104</v>
      </c>
      <c r="AP208" s="69">
        <v>90</v>
      </c>
      <c r="AQ208" s="156">
        <v>65</v>
      </c>
      <c r="AR208" s="156">
        <v>53</v>
      </c>
      <c r="AS208" s="156">
        <v>74</v>
      </c>
      <c r="AT208" s="156">
        <v>93</v>
      </c>
      <c r="AU208" s="69"/>
      <c r="AV208" s="69"/>
      <c r="AW208" s="69"/>
      <c r="AX208" s="69"/>
      <c r="AY208" s="69">
        <f t="shared" si="319"/>
        <v>608</v>
      </c>
      <c r="BA208" s="757"/>
      <c r="BB208" s="757"/>
      <c r="BC208" s="292" t="s">
        <v>104</v>
      </c>
      <c r="BD208" s="465">
        <f t="shared" si="320"/>
        <v>3.9713825791450543</v>
      </c>
      <c r="BE208" s="465">
        <f t="shared" si="317"/>
        <v>3.5284206760865677</v>
      </c>
      <c r="BF208" s="465" t="e">
        <f t="shared" si="286"/>
        <v>#DIV/0!</v>
      </c>
      <c r="BG208" s="465" t="e">
        <f t="shared" si="287"/>
        <v>#DIV/0!</v>
      </c>
      <c r="BH208" s="465" t="e">
        <f t="shared" si="288"/>
        <v>#DIV/0!</v>
      </c>
      <c r="BI208" s="465">
        <f t="shared" si="289"/>
        <v>4.8910376796041257</v>
      </c>
      <c r="BJ208" s="465">
        <f t="shared" si="290"/>
        <v>1.4447321793648633</v>
      </c>
      <c r="BK208" s="465">
        <f t="shared" si="291"/>
        <v>0.9986223104663885</v>
      </c>
      <c r="BL208" s="465">
        <f t="shared" si="292"/>
        <v>0</v>
      </c>
      <c r="BM208" s="465">
        <f t="shared" si="293"/>
        <v>0</v>
      </c>
      <c r="BN208" s="465">
        <f t="shared" si="294"/>
        <v>0</v>
      </c>
      <c r="BO208" s="465">
        <f t="shared" si="295"/>
        <v>0</v>
      </c>
      <c r="BP208" s="465">
        <f t="shared" si="321"/>
        <v>1.0397817297161209</v>
      </c>
    </row>
    <row r="209" spans="2:68" ht="16" customHeight="1">
      <c r="B209" s="769"/>
      <c r="C209" s="769"/>
      <c r="D209" s="292" t="s">
        <v>105</v>
      </c>
      <c r="E209" s="69">
        <v>96</v>
      </c>
      <c r="F209" s="69">
        <v>125</v>
      </c>
      <c r="G209" s="69">
        <v>217</v>
      </c>
      <c r="H209" s="69">
        <v>94</v>
      </c>
      <c r="I209" s="69">
        <v>132</v>
      </c>
      <c r="J209" s="69">
        <v>160</v>
      </c>
      <c r="K209" s="69">
        <v>187</v>
      </c>
      <c r="L209" s="69">
        <v>305</v>
      </c>
      <c r="M209" s="69">
        <v>299</v>
      </c>
      <c r="N209" s="69">
        <v>94</v>
      </c>
      <c r="O209" s="69">
        <v>111</v>
      </c>
      <c r="P209" s="69">
        <v>119</v>
      </c>
      <c r="Q209" s="69">
        <f t="shared" si="318"/>
        <v>1939</v>
      </c>
      <c r="S209" s="769"/>
      <c r="T209" s="769"/>
      <c r="U209" s="292" t="s">
        <v>105</v>
      </c>
      <c r="V209" s="69">
        <v>65.468384074941454</v>
      </c>
      <c r="W209" s="69">
        <v>43.6455893832943</v>
      </c>
      <c r="X209" s="69"/>
      <c r="Y209" s="69"/>
      <c r="Z209" s="69"/>
      <c r="AA209" s="69">
        <f>AA$202*'Region OP Sales Goals'!X99</f>
        <v>27.090365824113704</v>
      </c>
      <c r="AB209" s="69">
        <f>AB$202*'Region OP Sales Goals'!Y99</f>
        <v>131.39188679245279</v>
      </c>
      <c r="AC209" s="69">
        <f>AC$202*'Region OP Sales Goals'!Z99</f>
        <v>291.53207547169808</v>
      </c>
      <c r="AD209" s="69">
        <f>AD$202*'Region OP Sales Goals'!AA99</f>
        <v>175.8293743726999</v>
      </c>
      <c r="AE209" s="69">
        <f>AE$202*'Region OP Sales Goals'!AB99</f>
        <v>216.39764800684947</v>
      </c>
      <c r="AF209" s="69">
        <f>AF$202*'Region OP Sales Goals'!AC99</f>
        <v>189.7058001397624</v>
      </c>
      <c r="AG209" s="69">
        <f>AG$202*'Region OP Sales Goals'!AD99</f>
        <v>193.22336293007768</v>
      </c>
      <c r="AH209" s="69">
        <f>AH$202*'Region OP Sales Goals'!AE99</f>
        <v>1488.4242715621633</v>
      </c>
      <c r="AJ209" s="757"/>
      <c r="AK209" s="757"/>
      <c r="AL209" s="292" t="s">
        <v>105</v>
      </c>
      <c r="AM209" s="69">
        <v>144</v>
      </c>
      <c r="AN209" s="69">
        <v>102</v>
      </c>
      <c r="AO209" s="69">
        <v>174</v>
      </c>
      <c r="AP209" s="69">
        <v>138</v>
      </c>
      <c r="AQ209" s="69">
        <v>127</v>
      </c>
      <c r="AR209" s="69">
        <v>111</v>
      </c>
      <c r="AS209" s="69">
        <v>100</v>
      </c>
      <c r="AT209" s="69">
        <v>136</v>
      </c>
      <c r="AU209" s="69"/>
      <c r="AV209" s="69"/>
      <c r="AW209" s="69"/>
      <c r="AX209" s="69"/>
      <c r="AY209" s="69">
        <f t="shared" si="319"/>
        <v>1032</v>
      </c>
      <c r="BA209" s="757"/>
      <c r="BB209" s="757"/>
      <c r="BC209" s="292" t="s">
        <v>105</v>
      </c>
      <c r="BD209" s="465">
        <f t="shared" si="320"/>
        <v>2.1995349669111071</v>
      </c>
      <c r="BE209" s="465">
        <f t="shared" si="317"/>
        <v>2.3370059023430514</v>
      </c>
      <c r="BF209" s="465" t="e">
        <f t="shared" si="286"/>
        <v>#DIV/0!</v>
      </c>
      <c r="BG209" s="465" t="e">
        <f t="shared" si="287"/>
        <v>#DIV/0!</v>
      </c>
      <c r="BH209" s="465" t="e">
        <f t="shared" si="288"/>
        <v>#DIV/0!</v>
      </c>
      <c r="BI209" s="465">
        <f t="shared" si="289"/>
        <v>4.0973976032910038</v>
      </c>
      <c r="BJ209" s="465">
        <f t="shared" si="290"/>
        <v>0.76108200012349658</v>
      </c>
      <c r="BK209" s="465">
        <f t="shared" si="291"/>
        <v>0.4665009837423631</v>
      </c>
      <c r="BL209" s="465">
        <f t="shared" si="292"/>
        <v>0</v>
      </c>
      <c r="BM209" s="465">
        <f t="shared" si="293"/>
        <v>0</v>
      </c>
      <c r="BN209" s="465">
        <f t="shared" si="294"/>
        <v>0</v>
      </c>
      <c r="BO209" s="465">
        <f t="shared" si="295"/>
        <v>0</v>
      </c>
      <c r="BP209" s="465">
        <f t="shared" si="321"/>
        <v>0.69335069288871043</v>
      </c>
    </row>
    <row r="210" spans="2:68">
      <c r="B210" s="769"/>
      <c r="C210" s="769"/>
      <c r="D210" s="182" t="s">
        <v>203</v>
      </c>
      <c r="E210" s="341">
        <f>SUM(E211:E217)</f>
        <v>2706</v>
      </c>
      <c r="F210" s="341">
        <f t="shared" ref="F210:Q210" si="322">SUM(F211:F217)</f>
        <v>2623</v>
      </c>
      <c r="G210" s="341">
        <f t="shared" si="322"/>
        <v>3957</v>
      </c>
      <c r="H210" s="341">
        <f t="shared" si="322"/>
        <v>2514</v>
      </c>
      <c r="I210" s="341">
        <f t="shared" si="322"/>
        <v>3316</v>
      </c>
      <c r="J210" s="341">
        <f t="shared" si="322"/>
        <v>3100</v>
      </c>
      <c r="K210" s="341">
        <f t="shared" si="322"/>
        <v>5554</v>
      </c>
      <c r="L210" s="341">
        <f t="shared" si="322"/>
        <v>5112</v>
      </c>
      <c r="M210" s="341">
        <f t="shared" si="322"/>
        <v>4822</v>
      </c>
      <c r="N210" s="341">
        <f t="shared" si="322"/>
        <v>2106</v>
      </c>
      <c r="O210" s="341">
        <f t="shared" si="322"/>
        <v>1888</v>
      </c>
      <c r="P210" s="341">
        <f t="shared" si="322"/>
        <v>2451</v>
      </c>
      <c r="Q210" s="341">
        <f t="shared" si="322"/>
        <v>40149</v>
      </c>
      <c r="S210" s="769"/>
      <c r="T210" s="769"/>
      <c r="U210" s="182" t="s">
        <v>203</v>
      </c>
      <c r="V210" s="341">
        <v>422.35753317720531</v>
      </c>
      <c r="W210" s="341">
        <v>633.53629976580794</v>
      </c>
      <c r="X210" s="341">
        <v>745.2358490566038</v>
      </c>
      <c r="Y210" s="341" cm="1">
        <f t="array" ref="Y210">INDEX('Shop Goals'!$E$108:$E$119, COLUMN()-COLUMN($V$3)+1)</f>
        <v>380.12177985948477</v>
      </c>
      <c r="Z210" s="341" cm="1">
        <f t="array" ref="Z210">INDEX('Shop Goals'!$E$108:$E$119, COLUMN()-COLUMN($V$3)+1)</f>
        <v>380.12177985948477</v>
      </c>
      <c r="AA210" s="341" cm="1">
        <f t="array" ref="AA210">INDEX('Shop Goals'!$E$108:$E$119, COLUMN()-COLUMN($V$3)+1)</f>
        <v>380.12177985948477</v>
      </c>
      <c r="AB210" s="341" cm="1">
        <f t="array" ref="AB210">INDEX('Shop Goals'!$E$108:$E$119, COLUMN()-COLUMN($V$3)+1)</f>
        <v>1405.3018867924529</v>
      </c>
      <c r="AC210" s="341" cm="1">
        <f t="array" ref="AC210">INDEX('Shop Goals'!$E$108:$E$119, COLUMN()-COLUMN($V$3)+1)</f>
        <v>2555.0943396226417</v>
      </c>
      <c r="AD210" s="341" cm="1">
        <f t="array" ref="AD210">INDEX('Shop Goals'!$E$108:$E$119, COLUMN()-COLUMN($V$3)+1)</f>
        <v>2534.1451990632318</v>
      </c>
      <c r="AE210" s="341" cm="1">
        <f t="array" ref="AE210">INDEX('Shop Goals'!$E$108:$E$119, COLUMN()-COLUMN($V$3)+1)</f>
        <v>3062.0921155347382</v>
      </c>
      <c r="AF210" s="341" cm="1">
        <f t="array" ref="AF210">INDEX('Shop Goals'!$E$108:$E$119, COLUMN()-COLUMN($V$3)+1)</f>
        <v>2342.1698113207549</v>
      </c>
      <c r="AG210" s="341" cm="1">
        <f t="array" ref="AG210">INDEX('Shop Goals'!$E$108:$E$119, COLUMN()-COLUMN($V$3)+1)</f>
        <v>2342.1698113207549</v>
      </c>
      <c r="AH210" s="342">
        <f t="shared" si="312"/>
        <v>17182.468185232647</v>
      </c>
      <c r="AJ210" s="757"/>
      <c r="AK210" s="757"/>
      <c r="AL210" s="182" t="s">
        <v>203</v>
      </c>
      <c r="AM210" s="341">
        <f>SUM(AM211:AM217)</f>
        <v>2252</v>
      </c>
      <c r="AN210" s="341">
        <f>SUM(AN211:AN217)</f>
        <v>2314</v>
      </c>
      <c r="AO210" s="341">
        <f>SUM(AO211:AO217)</f>
        <v>3015</v>
      </c>
      <c r="AP210" s="341">
        <f t="shared" ref="AP210:AS210" si="323">SUM(AP211:AP217)</f>
        <v>2684</v>
      </c>
      <c r="AQ210" s="341">
        <f t="shared" si="323"/>
        <v>2853</v>
      </c>
      <c r="AR210" s="341">
        <f t="shared" si="323"/>
        <v>2893</v>
      </c>
      <c r="AS210" s="341">
        <f t="shared" si="323"/>
        <v>2894</v>
      </c>
      <c r="AT210" s="341">
        <f t="shared" ref="AT210:AY210" si="324">SUM(AT211:AT217)</f>
        <v>3141</v>
      </c>
      <c r="AU210" s="341">
        <f t="shared" si="324"/>
        <v>0</v>
      </c>
      <c r="AV210" s="341">
        <f t="shared" si="324"/>
        <v>0</v>
      </c>
      <c r="AW210" s="341">
        <f t="shared" si="324"/>
        <v>0</v>
      </c>
      <c r="AX210" s="341">
        <f t="shared" si="324"/>
        <v>0</v>
      </c>
      <c r="AY210" s="341">
        <f t="shared" si="324"/>
        <v>22046</v>
      </c>
      <c r="BA210" s="757"/>
      <c r="BB210" s="757"/>
      <c r="BC210" s="182" t="s">
        <v>203</v>
      </c>
      <c r="BD210" s="464">
        <f>AM210/V210</f>
        <v>5.3319754546798759</v>
      </c>
      <c r="BE210" s="464">
        <f t="shared" si="317"/>
        <v>3.6525136773621174</v>
      </c>
      <c r="BF210" s="464">
        <f t="shared" si="286"/>
        <v>4.0456990948794225</v>
      </c>
      <c r="BG210" s="464">
        <f t="shared" si="287"/>
        <v>7.0608950662920797</v>
      </c>
      <c r="BH210" s="464">
        <f t="shared" si="288"/>
        <v>7.5054894277687421</v>
      </c>
      <c r="BI210" s="464">
        <f t="shared" si="289"/>
        <v>7.610718862437774</v>
      </c>
      <c r="BJ210" s="464">
        <f t="shared" si="290"/>
        <v>2.0593439937702231</v>
      </c>
      <c r="BK210" s="464">
        <f t="shared" si="291"/>
        <v>1.229308817013735</v>
      </c>
      <c r="BL210" s="464">
        <f t="shared" si="292"/>
        <v>0</v>
      </c>
      <c r="BM210" s="464">
        <f t="shared" si="293"/>
        <v>0</v>
      </c>
      <c r="BN210" s="464">
        <f t="shared" si="294"/>
        <v>0</v>
      </c>
      <c r="BO210" s="464">
        <f t="shared" si="295"/>
        <v>0</v>
      </c>
      <c r="BP210" s="464">
        <f t="shared" si="321"/>
        <v>1.2830519901062458</v>
      </c>
    </row>
    <row r="211" spans="2:68" ht="16" customHeight="1">
      <c r="B211" s="769"/>
      <c r="C211" s="769"/>
      <c r="D211" s="292" t="s">
        <v>99</v>
      </c>
      <c r="E211" s="69">
        <v>384</v>
      </c>
      <c r="F211" s="69">
        <v>388</v>
      </c>
      <c r="G211" s="69">
        <v>541</v>
      </c>
      <c r="H211" s="69">
        <v>418</v>
      </c>
      <c r="I211" s="69">
        <v>499</v>
      </c>
      <c r="J211" s="69">
        <v>462</v>
      </c>
      <c r="K211" s="69">
        <v>962</v>
      </c>
      <c r="L211" s="69">
        <v>745</v>
      </c>
      <c r="M211" s="69">
        <v>788</v>
      </c>
      <c r="N211" s="69">
        <v>357</v>
      </c>
      <c r="O211" s="69">
        <v>275</v>
      </c>
      <c r="P211" s="69">
        <v>341</v>
      </c>
      <c r="Q211" s="69">
        <f>SUM(E211:P211)</f>
        <v>6160</v>
      </c>
      <c r="S211" s="769"/>
      <c r="T211" s="769"/>
      <c r="U211" s="292" t="s">
        <v>99</v>
      </c>
      <c r="V211" s="69">
        <v>21.117876658860268</v>
      </c>
      <c r="W211" s="69">
        <v>63.353629976580798</v>
      </c>
      <c r="X211" s="69"/>
      <c r="Y211" s="69"/>
      <c r="Z211" s="69"/>
      <c r="AA211" s="69">
        <f>AA$210*'Region OP Sales Goals'!X93</f>
        <v>39.322942744084628</v>
      </c>
      <c r="AB211" s="69">
        <f>AB$210*'Region OP Sales Goals'!Y93</f>
        <v>140.5301886792453</v>
      </c>
      <c r="AC211" s="69">
        <f>AC$210*'Region OP Sales Goals'!Z93</f>
        <v>255.50943396226418</v>
      </c>
      <c r="AD211" s="69">
        <f>AD$210*'Region OP Sales Goals'!AA93</f>
        <v>253.41451990632319</v>
      </c>
      <c r="AE211" s="69">
        <f>AE$210*'Region OP Sales Goals'!AB93</f>
        <v>296.33149505174885</v>
      </c>
      <c r="AF211" s="69">
        <f>AF$210*'Region OP Sales Goals'!AC93</f>
        <v>225.54227812718381</v>
      </c>
      <c r="AG211" s="69">
        <f>AG$210*'Region OP Sales Goals'!AD93</f>
        <v>234.21698113207549</v>
      </c>
      <c r="AH211" s="69">
        <f>AH$210*'Region OP Sales Goals'!AE93</f>
        <v>1663.9149033130427</v>
      </c>
      <c r="AJ211" s="757"/>
      <c r="AK211" s="757"/>
      <c r="AL211" s="292" t="s">
        <v>99</v>
      </c>
      <c r="AM211" s="69">
        <v>288</v>
      </c>
      <c r="AN211" s="69">
        <v>345</v>
      </c>
      <c r="AO211" s="69">
        <v>401</v>
      </c>
      <c r="AP211" s="69">
        <v>392</v>
      </c>
      <c r="AQ211" s="69">
        <v>474</v>
      </c>
      <c r="AR211" s="69">
        <v>456</v>
      </c>
      <c r="AS211" s="69">
        <v>495</v>
      </c>
      <c r="AT211" s="69">
        <v>353</v>
      </c>
      <c r="AU211" s="69"/>
      <c r="AV211" s="69"/>
      <c r="AW211" s="69"/>
      <c r="AX211" s="69"/>
      <c r="AY211" s="69">
        <f>SUM(AM211:AX211)</f>
        <v>3204</v>
      </c>
      <c r="BA211" s="757"/>
      <c r="BB211" s="757"/>
      <c r="BC211" s="292" t="s">
        <v>99</v>
      </c>
      <c r="BD211" s="465">
        <f>AM211/V211</f>
        <v>13.637734733106608</v>
      </c>
      <c r="BE211" s="465">
        <f t="shared" si="317"/>
        <v>5.445623244122431</v>
      </c>
      <c r="BF211" s="465" t="e">
        <f t="shared" si="286"/>
        <v>#DIV/0!</v>
      </c>
      <c r="BG211" s="465" t="e">
        <f t="shared" si="287"/>
        <v>#DIV/0!</v>
      </c>
      <c r="BH211" s="465" t="e">
        <f t="shared" si="288"/>
        <v>#DIV/0!</v>
      </c>
      <c r="BI211" s="465">
        <f t="shared" si="289"/>
        <v>11.59628370052738</v>
      </c>
      <c r="BJ211" s="465">
        <f t="shared" si="290"/>
        <v>3.5223748338502432</v>
      </c>
      <c r="BK211" s="465">
        <f t="shared" si="291"/>
        <v>1.3815536848323733</v>
      </c>
      <c r="BL211" s="465">
        <f t="shared" si="292"/>
        <v>0</v>
      </c>
      <c r="BM211" s="465">
        <f t="shared" si="293"/>
        <v>0</v>
      </c>
      <c r="BN211" s="465">
        <f t="shared" si="294"/>
        <v>0</v>
      </c>
      <c r="BO211" s="465">
        <f t="shared" si="295"/>
        <v>0</v>
      </c>
      <c r="BP211" s="465">
        <f>AY211/AH211</f>
        <v>1.9255792430372933</v>
      </c>
    </row>
    <row r="212" spans="2:68" ht="16" customHeight="1">
      <c r="B212" s="769"/>
      <c r="C212" s="769"/>
      <c r="D212" s="292" t="s">
        <v>100</v>
      </c>
      <c r="E212" s="69">
        <v>543</v>
      </c>
      <c r="F212" s="69">
        <v>520</v>
      </c>
      <c r="G212" s="69">
        <v>806</v>
      </c>
      <c r="H212" s="69">
        <v>476</v>
      </c>
      <c r="I212" s="69">
        <v>666</v>
      </c>
      <c r="J212" s="69">
        <v>617</v>
      </c>
      <c r="K212" s="69">
        <v>1114</v>
      </c>
      <c r="L212" s="69">
        <v>1047</v>
      </c>
      <c r="M212" s="69">
        <v>945</v>
      </c>
      <c r="N212" s="69">
        <v>360</v>
      </c>
      <c r="O212" s="69">
        <v>321</v>
      </c>
      <c r="P212" s="69">
        <v>376</v>
      </c>
      <c r="Q212" s="69">
        <f t="shared" ref="Q212:Q217" si="325">SUM(E212:P212)</f>
        <v>7791</v>
      </c>
      <c r="S212" s="769"/>
      <c r="T212" s="769"/>
      <c r="U212" s="292" t="s">
        <v>100</v>
      </c>
      <c r="V212" s="69">
        <v>0</v>
      </c>
      <c r="W212" s="69">
        <v>84.47150663544106</v>
      </c>
      <c r="X212" s="69"/>
      <c r="Y212" s="69"/>
      <c r="Z212" s="69"/>
      <c r="AA212" s="69">
        <f>AA$210*'Region OP Sales Goals'!X94</f>
        <v>52.430590325446175</v>
      </c>
      <c r="AB212" s="69">
        <f>AB$210*'Region OP Sales Goals'!Y94</f>
        <v>159.26754716981134</v>
      </c>
      <c r="AC212" s="69">
        <f>AC$210*'Region OP Sales Goals'!Z94</f>
        <v>187.37358490566038</v>
      </c>
      <c r="AD212" s="69">
        <f>AD$210*'Region OP Sales Goals'!AA94</f>
        <v>380.12177985948477</v>
      </c>
      <c r="AE212" s="69">
        <f>AE$210*'Region OP Sales Goals'!AB94</f>
        <v>454.37495907934823</v>
      </c>
      <c r="AF212" s="69">
        <f>AF$210*'Region OP Sales Goals'!AC94</f>
        <v>346.98812019566736</v>
      </c>
      <c r="AG212" s="69">
        <f>AG$210*'Region OP Sales Goals'!AD94</f>
        <v>344.43673695893455</v>
      </c>
      <c r="AH212" s="69">
        <f>AH$210*'Region OP Sales Goals'!AE94</f>
        <v>2105.3617143960951</v>
      </c>
      <c r="AJ212" s="757"/>
      <c r="AK212" s="757"/>
      <c r="AL212" s="292" t="s">
        <v>100</v>
      </c>
      <c r="AM212" s="69">
        <v>382</v>
      </c>
      <c r="AN212" s="69">
        <v>413</v>
      </c>
      <c r="AO212" s="69">
        <v>528</v>
      </c>
      <c r="AP212" s="69">
        <v>481</v>
      </c>
      <c r="AQ212" s="69">
        <v>512</v>
      </c>
      <c r="AR212" s="69">
        <v>585</v>
      </c>
      <c r="AS212" s="69">
        <v>599</v>
      </c>
      <c r="AT212" s="69">
        <v>654</v>
      </c>
      <c r="AU212" s="69"/>
      <c r="AV212" s="69"/>
      <c r="AW212" s="69"/>
      <c r="AX212" s="69"/>
      <c r="AY212" s="69">
        <f t="shared" ref="AY212:AY217" si="326">SUM(AM212:AX212)</f>
        <v>4154</v>
      </c>
      <c r="BA212" s="757"/>
      <c r="BB212" s="757"/>
      <c r="BC212" s="292" t="s">
        <v>100</v>
      </c>
      <c r="BD212" s="465" t="e">
        <f t="shared" ref="BD212:BD213" si="327">AM212/V212</f>
        <v>#DIV/0!</v>
      </c>
      <c r="BE212" s="465">
        <f t="shared" si="317"/>
        <v>4.8892226083099217</v>
      </c>
      <c r="BF212" s="465" t="e">
        <f t="shared" si="286"/>
        <v>#DIV/0!</v>
      </c>
      <c r="BG212" s="465" t="e">
        <f t="shared" si="287"/>
        <v>#DIV/0!</v>
      </c>
      <c r="BH212" s="465" t="e">
        <f t="shared" si="288"/>
        <v>#DIV/0!</v>
      </c>
      <c r="BI212" s="465">
        <f t="shared" si="289"/>
        <v>11.15760849475085</v>
      </c>
      <c r="BJ212" s="465">
        <f t="shared" si="290"/>
        <v>3.7609670685851975</v>
      </c>
      <c r="BK212" s="465">
        <f t="shared" si="291"/>
        <v>3.490353244451605</v>
      </c>
      <c r="BL212" s="465">
        <f t="shared" si="292"/>
        <v>0</v>
      </c>
      <c r="BM212" s="465">
        <f t="shared" si="293"/>
        <v>0</v>
      </c>
      <c r="BN212" s="465">
        <f t="shared" si="294"/>
        <v>0</v>
      </c>
      <c r="BO212" s="465">
        <f t="shared" si="295"/>
        <v>0</v>
      </c>
      <c r="BP212" s="465">
        <f t="shared" ref="BP212:BP218" si="328">AY212/AH212</f>
        <v>1.9730576326128071</v>
      </c>
    </row>
    <row r="213" spans="2:68" ht="16" customHeight="1">
      <c r="B213" s="769"/>
      <c r="C213" s="769"/>
      <c r="D213" s="292" t="s">
        <v>101</v>
      </c>
      <c r="E213" s="69">
        <v>281</v>
      </c>
      <c r="F213" s="69">
        <v>282</v>
      </c>
      <c r="G213" s="69">
        <v>383</v>
      </c>
      <c r="H213" s="69">
        <v>249</v>
      </c>
      <c r="I213" s="69">
        <v>317</v>
      </c>
      <c r="J213" s="69">
        <v>310</v>
      </c>
      <c r="K213" s="69">
        <v>506</v>
      </c>
      <c r="L213" s="69">
        <v>492</v>
      </c>
      <c r="M213" s="69">
        <v>430</v>
      </c>
      <c r="N213" s="69">
        <v>194</v>
      </c>
      <c r="O213" s="69">
        <v>199</v>
      </c>
      <c r="P213" s="69">
        <v>250</v>
      </c>
      <c r="Q213" s="69">
        <f t="shared" si="325"/>
        <v>3893</v>
      </c>
      <c r="S213" s="769"/>
      <c r="T213" s="769"/>
      <c r="U213" s="292" t="s">
        <v>101</v>
      </c>
      <c r="V213" s="69">
        <v>0</v>
      </c>
      <c r="W213" s="69">
        <v>63.353629976580798</v>
      </c>
      <c r="X213" s="69"/>
      <c r="Y213" s="69"/>
      <c r="Z213" s="69"/>
      <c r="AA213" s="69">
        <f>AA$210*'Region OP Sales Goals'!X95</f>
        <v>39.322942744084628</v>
      </c>
      <c r="AB213" s="69">
        <f>AB$210*'Region OP Sales Goals'!Y95</f>
        <v>131.16150943396227</v>
      </c>
      <c r="AC213" s="69">
        <f>AC$210*'Region OP Sales Goals'!Z95</f>
        <v>119.23773584905662</v>
      </c>
      <c r="AD213" s="69">
        <f>AD$210*'Region OP Sales Goals'!AA95</f>
        <v>235.31348277015724</v>
      </c>
      <c r="AE213" s="69">
        <f>AE$210*'Region OP Sales Goals'!AB95</f>
        <v>276.57606204829892</v>
      </c>
      <c r="AF213" s="69">
        <f>AF$210*'Region OP Sales Goals'!AC95</f>
        <v>208.19287211740044</v>
      </c>
      <c r="AG213" s="69">
        <f>AG$210*'Region OP Sales Goals'!AD95</f>
        <v>206.66204217536074</v>
      </c>
      <c r="AH213" s="69">
        <f>AH$210*'Region OP Sales Goals'!AE95</f>
        <v>1358.2978802555451</v>
      </c>
      <c r="AJ213" s="757"/>
      <c r="AK213" s="757"/>
      <c r="AL213" s="292" t="s">
        <v>101</v>
      </c>
      <c r="AM213" s="69">
        <v>202</v>
      </c>
      <c r="AN213" s="69">
        <v>200</v>
      </c>
      <c r="AO213" s="69">
        <v>285</v>
      </c>
      <c r="AP213" s="69">
        <v>287</v>
      </c>
      <c r="AQ213" s="69">
        <v>330</v>
      </c>
      <c r="AR213" s="69">
        <v>298</v>
      </c>
      <c r="AS213" s="69">
        <v>282</v>
      </c>
      <c r="AT213" s="69">
        <v>276</v>
      </c>
      <c r="AU213" s="69"/>
      <c r="AV213" s="69"/>
      <c r="AW213" s="69"/>
      <c r="AX213" s="69"/>
      <c r="AY213" s="69">
        <f t="shared" si="326"/>
        <v>2160</v>
      </c>
      <c r="BA213" s="757"/>
      <c r="BB213" s="757"/>
      <c r="BC213" s="292" t="s">
        <v>101</v>
      </c>
      <c r="BD213" s="465" t="e">
        <f t="shared" si="327"/>
        <v>#DIV/0!</v>
      </c>
      <c r="BE213" s="465">
        <f t="shared" si="317"/>
        <v>3.1568830400709742</v>
      </c>
      <c r="BF213" s="465" t="e">
        <f t="shared" si="286"/>
        <v>#DIV/0!</v>
      </c>
      <c r="BG213" s="465" t="e">
        <f t="shared" si="287"/>
        <v>#DIV/0!</v>
      </c>
      <c r="BH213" s="465" t="e">
        <f t="shared" si="288"/>
        <v>#DIV/0!</v>
      </c>
      <c r="BI213" s="465">
        <f t="shared" si="289"/>
        <v>7.5782731200814899</v>
      </c>
      <c r="BJ213" s="465">
        <f t="shared" si="290"/>
        <v>2.150021002480019</v>
      </c>
      <c r="BK213" s="465">
        <f t="shared" si="291"/>
        <v>2.3147034622444456</v>
      </c>
      <c r="BL213" s="465">
        <f t="shared" si="292"/>
        <v>0</v>
      </c>
      <c r="BM213" s="465">
        <f t="shared" si="293"/>
        <v>0</v>
      </c>
      <c r="BN213" s="465">
        <f t="shared" si="294"/>
        <v>0</v>
      </c>
      <c r="BO213" s="465">
        <f t="shared" si="295"/>
        <v>0</v>
      </c>
      <c r="BP213" s="465">
        <f t="shared" si="328"/>
        <v>1.5902255546431581</v>
      </c>
    </row>
    <row r="214" spans="2:68" ht="16" customHeight="1">
      <c r="B214" s="769"/>
      <c r="C214" s="769"/>
      <c r="D214" s="292" t="s">
        <v>102</v>
      </c>
      <c r="E214" s="69">
        <v>162</v>
      </c>
      <c r="F214" s="69">
        <v>146</v>
      </c>
      <c r="G214" s="69">
        <v>253</v>
      </c>
      <c r="H214" s="69">
        <v>167</v>
      </c>
      <c r="I214" s="69">
        <v>210</v>
      </c>
      <c r="J214" s="69">
        <v>222</v>
      </c>
      <c r="K214" s="69">
        <v>350</v>
      </c>
      <c r="L214" s="69">
        <v>352</v>
      </c>
      <c r="M214" s="69">
        <v>318</v>
      </c>
      <c r="N214" s="69">
        <v>153</v>
      </c>
      <c r="O214" s="69">
        <v>136</v>
      </c>
      <c r="P214" s="69">
        <v>194</v>
      </c>
      <c r="Q214" s="69">
        <f t="shared" si="325"/>
        <v>2663</v>
      </c>
      <c r="S214" s="769"/>
      <c r="T214" s="769"/>
      <c r="U214" s="292" t="s">
        <v>102</v>
      </c>
      <c r="V214" s="69">
        <v>21.117876658860268</v>
      </c>
      <c r="W214" s="69">
        <v>84.47150663544106</v>
      </c>
      <c r="X214" s="69"/>
      <c r="Y214" s="69"/>
      <c r="Z214" s="69"/>
      <c r="AA214" s="69">
        <f>AA$210*'Region OP Sales Goals'!X96</f>
        <v>52.430590325446175</v>
      </c>
      <c r="AB214" s="69">
        <f>AB$210*'Region OP Sales Goals'!Y96</f>
        <v>168.63622641509434</v>
      </c>
      <c r="AC214" s="69">
        <f>AC$210*'Region OP Sales Goals'!Z96</f>
        <v>306.61132075471698</v>
      </c>
      <c r="AD214" s="69">
        <f>AD$210*'Region OP Sales Goals'!AA96</f>
        <v>307.71763131482101</v>
      </c>
      <c r="AE214" s="69">
        <f>AE$210*'Region OP Sales Goals'!AB96</f>
        <v>375.35322706554854</v>
      </c>
      <c r="AF214" s="69">
        <f>AF$210*'Region OP Sales Goals'!AC96</f>
        <v>294.93990216631727</v>
      </c>
      <c r="AG214" s="69">
        <f>AG$210*'Region OP Sales Goals'!AD96</f>
        <v>289.32685904550505</v>
      </c>
      <c r="AH214" s="69">
        <f>AH$210*'Region OP Sales Goals'!AE96</f>
        <v>2173.2766084088721</v>
      </c>
      <c r="AJ214" s="757"/>
      <c r="AK214" s="757"/>
      <c r="AL214" s="292" t="s">
        <v>102</v>
      </c>
      <c r="AM214" s="69">
        <v>169</v>
      </c>
      <c r="AN214" s="69">
        <v>189</v>
      </c>
      <c r="AO214" s="69">
        <v>245</v>
      </c>
      <c r="AP214" s="69">
        <v>102</v>
      </c>
      <c r="AQ214" s="69">
        <v>72</v>
      </c>
      <c r="AR214" s="69">
        <v>80</v>
      </c>
      <c r="AS214" s="69">
        <v>55</v>
      </c>
      <c r="AT214" s="69">
        <v>137</v>
      </c>
      <c r="AU214" s="69"/>
      <c r="AV214" s="69"/>
      <c r="AW214" s="69"/>
      <c r="AX214" s="69"/>
      <c r="AY214" s="69">
        <f t="shared" si="326"/>
        <v>1049</v>
      </c>
      <c r="BA214" s="757"/>
      <c r="BB214" s="757"/>
      <c r="BC214" s="292" t="s">
        <v>102</v>
      </c>
      <c r="BD214" s="465">
        <f>AM214/V214</f>
        <v>8.0026985065799199</v>
      </c>
      <c r="BE214" s="465">
        <f t="shared" si="317"/>
        <v>2.2374408546503033</v>
      </c>
      <c r="BF214" s="465" t="e">
        <f t="shared" si="286"/>
        <v>#DIV/0!</v>
      </c>
      <c r="BG214" s="465" t="e">
        <f t="shared" si="287"/>
        <v>#DIV/0!</v>
      </c>
      <c r="BH214" s="465" t="e">
        <f t="shared" si="288"/>
        <v>#DIV/0!</v>
      </c>
      <c r="BI214" s="465">
        <f t="shared" si="289"/>
        <v>1.5258268027009709</v>
      </c>
      <c r="BJ214" s="465">
        <f t="shared" si="290"/>
        <v>0.32614581794909664</v>
      </c>
      <c r="BK214" s="465">
        <f t="shared" si="291"/>
        <v>0.4468197705902624</v>
      </c>
      <c r="BL214" s="465">
        <f t="shared" si="292"/>
        <v>0</v>
      </c>
      <c r="BM214" s="465">
        <f t="shared" si="293"/>
        <v>0</v>
      </c>
      <c r="BN214" s="465">
        <f t="shared" si="294"/>
        <v>0</v>
      </c>
      <c r="BO214" s="465">
        <f t="shared" si="295"/>
        <v>0</v>
      </c>
      <c r="BP214" s="465">
        <f t="shared" si="328"/>
        <v>0.48268130984394469</v>
      </c>
    </row>
    <row r="215" spans="2:68" ht="16" customHeight="1">
      <c r="B215" s="769"/>
      <c r="C215" s="769"/>
      <c r="D215" s="292" t="s">
        <v>103</v>
      </c>
      <c r="E215" s="69">
        <v>268</v>
      </c>
      <c r="F215" s="69">
        <v>238</v>
      </c>
      <c r="G215" s="69">
        <v>320</v>
      </c>
      <c r="H215" s="69">
        <v>214</v>
      </c>
      <c r="I215" s="69">
        <v>342</v>
      </c>
      <c r="J215" s="69">
        <v>275</v>
      </c>
      <c r="K215" s="69">
        <v>550</v>
      </c>
      <c r="L215" s="69">
        <v>528</v>
      </c>
      <c r="M215" s="69">
        <v>483</v>
      </c>
      <c r="N215" s="69">
        <v>210</v>
      </c>
      <c r="O215" s="69">
        <v>224</v>
      </c>
      <c r="P215" s="69">
        <v>285</v>
      </c>
      <c r="Q215" s="69">
        <f t="shared" si="325"/>
        <v>3937</v>
      </c>
      <c r="S215" s="769"/>
      <c r="T215" s="769"/>
      <c r="U215" s="292" t="s">
        <v>103</v>
      </c>
      <c r="V215" s="69">
        <v>0</v>
      </c>
      <c r="W215" s="69">
        <v>21.117876658860265</v>
      </c>
      <c r="X215" s="69"/>
      <c r="Y215" s="69"/>
      <c r="Z215" s="69"/>
      <c r="AA215" s="69">
        <f>AA$210*'Region OP Sales Goals'!X97</f>
        <v>13.107647581361544</v>
      </c>
      <c r="AB215" s="69">
        <f>AB$210*'Region OP Sales Goals'!Y97</f>
        <v>37.474716981132083</v>
      </c>
      <c r="AC215" s="69">
        <f>AC$210*'Region OP Sales Goals'!Z97</f>
        <v>68.135849056603789</v>
      </c>
      <c r="AD215" s="69">
        <f>AD$210*'Region OP Sales Goals'!AA97</f>
        <v>108.60622281699565</v>
      </c>
      <c r="AE215" s="69">
        <f>AE$210*'Region OP Sales Goals'!AB97</f>
        <v>138.28803102414946</v>
      </c>
      <c r="AF215" s="69">
        <f>AF$210*'Region OP Sales Goals'!AC97</f>
        <v>104.09643605870022</v>
      </c>
      <c r="AG215" s="69">
        <f>AG$210*'Region OP Sales Goals'!AD97</f>
        <v>96.442286348501668</v>
      </c>
      <c r="AH215" s="69">
        <f>AH$210*'Region OP Sales Goals'!AE97</f>
        <v>611.23404611499541</v>
      </c>
      <c r="AJ215" s="757"/>
      <c r="AK215" s="757"/>
      <c r="AL215" s="292" t="s">
        <v>103</v>
      </c>
      <c r="AM215" s="69">
        <v>104</v>
      </c>
      <c r="AN215" s="69">
        <v>66</v>
      </c>
      <c r="AO215" s="69">
        <v>133</v>
      </c>
      <c r="AP215" s="69">
        <v>74</v>
      </c>
      <c r="AQ215" s="69">
        <v>100</v>
      </c>
      <c r="AR215" s="69">
        <v>90</v>
      </c>
      <c r="AS215" s="69">
        <v>69</v>
      </c>
      <c r="AT215" s="69">
        <v>96</v>
      </c>
      <c r="AU215" s="69"/>
      <c r="AV215" s="69"/>
      <c r="AW215" s="69"/>
      <c r="AX215" s="69"/>
      <c r="AY215" s="69">
        <f t="shared" si="326"/>
        <v>732</v>
      </c>
      <c r="BA215" s="757"/>
      <c r="BB215" s="757"/>
      <c r="BC215" s="292" t="s">
        <v>103</v>
      </c>
      <c r="BD215" s="465" t="e">
        <f t="shared" ref="BD215:BD217" si="329">AM215/V215</f>
        <v>#DIV/0!</v>
      </c>
      <c r="BE215" s="465">
        <f t="shared" si="317"/>
        <v>3.1253142096702646</v>
      </c>
      <c r="BF215" s="465" t="e">
        <f t="shared" si="286"/>
        <v>#DIV/0!</v>
      </c>
      <c r="BG215" s="465" t="e">
        <f t="shared" si="287"/>
        <v>#DIV/0!</v>
      </c>
      <c r="BH215" s="465" t="e">
        <f t="shared" si="288"/>
        <v>#DIV/0!</v>
      </c>
      <c r="BI215" s="465">
        <f t="shared" si="289"/>
        <v>6.8662206121543692</v>
      </c>
      <c r="BJ215" s="465">
        <f t="shared" si="290"/>
        <v>1.841241390421718</v>
      </c>
      <c r="BK215" s="465">
        <f t="shared" si="291"/>
        <v>1.4089499335400972</v>
      </c>
      <c r="BL215" s="465">
        <f t="shared" si="292"/>
        <v>0</v>
      </c>
      <c r="BM215" s="465">
        <f t="shared" si="293"/>
        <v>0</v>
      </c>
      <c r="BN215" s="465">
        <f t="shared" si="294"/>
        <v>0</v>
      </c>
      <c r="BO215" s="465">
        <f t="shared" si="295"/>
        <v>0</v>
      </c>
      <c r="BP215" s="465">
        <f t="shared" si="328"/>
        <v>1.1975772695460818</v>
      </c>
    </row>
    <row r="216" spans="2:68" ht="16" customHeight="1">
      <c r="B216" s="769"/>
      <c r="C216" s="769"/>
      <c r="D216" s="292" t="s">
        <v>104</v>
      </c>
      <c r="E216" s="69">
        <v>443</v>
      </c>
      <c r="F216" s="69">
        <v>371</v>
      </c>
      <c r="G216" s="69">
        <v>645</v>
      </c>
      <c r="H216" s="69">
        <v>394</v>
      </c>
      <c r="I216" s="69">
        <v>520</v>
      </c>
      <c r="J216" s="69">
        <v>446</v>
      </c>
      <c r="K216" s="69">
        <v>855</v>
      </c>
      <c r="L216" s="69">
        <v>688</v>
      </c>
      <c r="M216" s="69">
        <v>651</v>
      </c>
      <c r="N216" s="69">
        <v>259</v>
      </c>
      <c r="O216" s="69">
        <v>237</v>
      </c>
      <c r="P216" s="69">
        <v>364</v>
      </c>
      <c r="Q216" s="69">
        <f t="shared" si="325"/>
        <v>5873</v>
      </c>
      <c r="S216" s="769"/>
      <c r="T216" s="769"/>
      <c r="U216" s="292" t="s">
        <v>104</v>
      </c>
      <c r="V216" s="69">
        <v>63.353629976580791</v>
      </c>
      <c r="W216" s="69">
        <v>105.58938329430131</v>
      </c>
      <c r="X216" s="69"/>
      <c r="Y216" s="69"/>
      <c r="Z216" s="69"/>
      <c r="AA216" s="69">
        <f>AA$210*'Region OP Sales Goals'!X98</f>
        <v>52.430590325446175</v>
      </c>
      <c r="AB216" s="69">
        <f>AB$210*'Region OP Sales Goals'!Y98</f>
        <v>215.47962264150942</v>
      </c>
      <c r="AC216" s="69">
        <f>AC$210*'Region OP Sales Goals'!Z98</f>
        <v>391.7811320754717</v>
      </c>
      <c r="AD216" s="69">
        <f>AD$210*'Region OP Sales Goals'!AA98</f>
        <v>398.2228169956507</v>
      </c>
      <c r="AE216" s="69">
        <f>AE$210*'Region OP Sales Goals'!AB98</f>
        <v>474.13039208279821</v>
      </c>
      <c r="AF216" s="69">
        <f>AF$210*'Region OP Sales Goals'!AC98</f>
        <v>364.33752620545079</v>
      </c>
      <c r="AG216" s="69">
        <f>AG$210*'Region OP Sales Goals'!AD98</f>
        <v>358.21420643729198</v>
      </c>
      <c r="AH216" s="69">
        <f>AH$210*'Region OP Sales Goals'!AE98</f>
        <v>2614.7234194919247</v>
      </c>
      <c r="AJ216" s="757"/>
      <c r="AK216" s="757"/>
      <c r="AL216" s="292" t="s">
        <v>104</v>
      </c>
      <c r="AM216" s="69">
        <v>387</v>
      </c>
      <c r="AN216" s="69">
        <v>402</v>
      </c>
      <c r="AO216" s="69">
        <v>531</v>
      </c>
      <c r="AP216" s="69">
        <v>481</v>
      </c>
      <c r="AQ216" s="156">
        <v>447</v>
      </c>
      <c r="AR216" s="156">
        <v>410</v>
      </c>
      <c r="AS216" s="156">
        <v>495</v>
      </c>
      <c r="AT216" s="156">
        <v>680</v>
      </c>
      <c r="AU216" s="69"/>
      <c r="AV216" s="69"/>
      <c r="AW216" s="69"/>
      <c r="AX216" s="69"/>
      <c r="AY216" s="69">
        <f t="shared" si="326"/>
        <v>3833</v>
      </c>
      <c r="BA216" s="757"/>
      <c r="BB216" s="757"/>
      <c r="BC216" s="292" t="s">
        <v>104</v>
      </c>
      <c r="BD216" s="465">
        <f t="shared" si="329"/>
        <v>6.108568682537336</v>
      </c>
      <c r="BE216" s="465">
        <f t="shared" si="317"/>
        <v>3.8072009463255956</v>
      </c>
      <c r="BF216" s="465" t="e">
        <f t="shared" si="286"/>
        <v>#DIV/0!</v>
      </c>
      <c r="BG216" s="465" t="e">
        <f t="shared" si="287"/>
        <v>#DIV/0!</v>
      </c>
      <c r="BH216" s="465" t="e">
        <f t="shared" si="288"/>
        <v>#DIV/0!</v>
      </c>
      <c r="BI216" s="465">
        <f t="shared" si="289"/>
        <v>7.8198623638424767</v>
      </c>
      <c r="BJ216" s="465">
        <f t="shared" si="290"/>
        <v>2.297200978597985</v>
      </c>
      <c r="BK216" s="465">
        <f t="shared" si="291"/>
        <v>1.7356629616073664</v>
      </c>
      <c r="BL216" s="465">
        <f t="shared" si="292"/>
        <v>0</v>
      </c>
      <c r="BM216" s="465">
        <f t="shared" si="293"/>
        <v>0</v>
      </c>
      <c r="BN216" s="465">
        <f t="shared" si="294"/>
        <v>0</v>
      </c>
      <c r="BO216" s="465">
        <f t="shared" si="295"/>
        <v>0</v>
      </c>
      <c r="BP216" s="465">
        <f t="shared" si="328"/>
        <v>1.4659294254322328</v>
      </c>
    </row>
    <row r="217" spans="2:68" ht="16" customHeight="1">
      <c r="B217" s="769"/>
      <c r="C217" s="769"/>
      <c r="D217" s="292" t="s">
        <v>105</v>
      </c>
      <c r="E217" s="69">
        <v>625</v>
      </c>
      <c r="F217" s="69">
        <v>678</v>
      </c>
      <c r="G217" s="69">
        <v>1009</v>
      </c>
      <c r="H217" s="69">
        <v>596</v>
      </c>
      <c r="I217" s="69">
        <v>762</v>
      </c>
      <c r="J217" s="69">
        <v>768</v>
      </c>
      <c r="K217" s="69">
        <v>1217</v>
      </c>
      <c r="L217" s="69">
        <v>1260</v>
      </c>
      <c r="M217" s="69">
        <v>1207</v>
      </c>
      <c r="N217" s="69">
        <v>573</v>
      </c>
      <c r="O217" s="69">
        <v>496</v>
      </c>
      <c r="P217" s="69">
        <v>641</v>
      </c>
      <c r="Q217" s="69">
        <f t="shared" si="325"/>
        <v>9832</v>
      </c>
      <c r="S217" s="769"/>
      <c r="T217" s="769"/>
      <c r="U217" s="292" t="s">
        <v>105</v>
      </c>
      <c r="V217" s="69">
        <v>316.76814988290397</v>
      </c>
      <c r="W217" s="69">
        <v>211.17876658860263</v>
      </c>
      <c r="X217" s="69"/>
      <c r="Y217" s="69"/>
      <c r="Z217" s="69"/>
      <c r="AA217" s="69">
        <f>AA$210*'Region OP Sales Goals'!X99</f>
        <v>131.07647581361545</v>
      </c>
      <c r="AB217" s="69">
        <f>AB$210*'Region OP Sales Goals'!Y99</f>
        <v>552.75207547169816</v>
      </c>
      <c r="AC217" s="69">
        <f>AC$210*'Region OP Sales Goals'!Z99</f>
        <v>1226.4452830188679</v>
      </c>
      <c r="AD217" s="69">
        <f>AD$210*'Region OP Sales Goals'!AA99</f>
        <v>850.74874539979919</v>
      </c>
      <c r="AE217" s="69">
        <f>AE$210*'Region OP Sales Goals'!AB99</f>
        <v>1047.037949182846</v>
      </c>
      <c r="AF217" s="69">
        <f>AF$210*'Region OP Sales Goals'!AC99</f>
        <v>798.07267645003503</v>
      </c>
      <c r="AG217" s="69">
        <f>AG$210*'Region OP Sales Goals'!AD99</f>
        <v>812.87069922308547</v>
      </c>
      <c r="AH217" s="69">
        <f>AH$210*'Region OP Sales Goals'!AE99</f>
        <v>6655.6596132521709</v>
      </c>
      <c r="AJ217" s="757"/>
      <c r="AK217" s="757"/>
      <c r="AL217" s="292" t="s">
        <v>105</v>
      </c>
      <c r="AM217" s="69">
        <v>720</v>
      </c>
      <c r="AN217" s="69">
        <v>699</v>
      </c>
      <c r="AO217" s="69">
        <v>892</v>
      </c>
      <c r="AP217" s="69">
        <v>867</v>
      </c>
      <c r="AQ217" s="69">
        <v>918</v>
      </c>
      <c r="AR217" s="69">
        <v>974</v>
      </c>
      <c r="AS217" s="69">
        <v>899</v>
      </c>
      <c r="AT217" s="69">
        <v>945</v>
      </c>
      <c r="AU217" s="69"/>
      <c r="AV217" s="69"/>
      <c r="AW217" s="69"/>
      <c r="AX217" s="69"/>
      <c r="AY217" s="69">
        <f t="shared" si="326"/>
        <v>6914</v>
      </c>
      <c r="BA217" s="757"/>
      <c r="BB217" s="757"/>
      <c r="BC217" s="292" t="s">
        <v>105</v>
      </c>
      <c r="BD217" s="465">
        <f t="shared" si="329"/>
        <v>2.2729557888511018</v>
      </c>
      <c r="BE217" s="465">
        <f t="shared" si="317"/>
        <v>3.3099918675144173</v>
      </c>
      <c r="BF217" s="465" t="e">
        <f t="shared" si="286"/>
        <v>#DIV/0!</v>
      </c>
      <c r="BG217" s="465" t="e">
        <f t="shared" si="287"/>
        <v>#DIV/0!</v>
      </c>
      <c r="BH217" s="465" t="e">
        <f t="shared" si="288"/>
        <v>#DIV/0!</v>
      </c>
      <c r="BI217" s="465">
        <f t="shared" si="289"/>
        <v>7.4307765291537287</v>
      </c>
      <c r="BJ217" s="465">
        <f t="shared" si="290"/>
        <v>1.6264072807557108</v>
      </c>
      <c r="BK217" s="465">
        <f t="shared" si="291"/>
        <v>0.77051949490474081</v>
      </c>
      <c r="BL217" s="465">
        <f t="shared" si="292"/>
        <v>0</v>
      </c>
      <c r="BM217" s="465">
        <f t="shared" si="293"/>
        <v>0</v>
      </c>
      <c r="BN217" s="465">
        <f t="shared" si="294"/>
        <v>0</v>
      </c>
      <c r="BO217" s="465">
        <f t="shared" si="295"/>
        <v>0</v>
      </c>
      <c r="BP217" s="465">
        <f t="shared" si="328"/>
        <v>1.0388151440667794</v>
      </c>
    </row>
    <row r="218" spans="2:68">
      <c r="B218" s="769"/>
      <c r="C218" s="769"/>
      <c r="D218" s="182" t="s">
        <v>7</v>
      </c>
      <c r="E218" s="341">
        <f>SUM(E219:E225)</f>
        <v>35816</v>
      </c>
      <c r="F218" s="341">
        <f t="shared" ref="F218:Q218" si="330">SUM(F219:F225)</f>
        <v>36641</v>
      </c>
      <c r="G218" s="341">
        <f t="shared" si="330"/>
        <v>44737</v>
      </c>
      <c r="H218" s="341">
        <f t="shared" si="330"/>
        <v>30833</v>
      </c>
      <c r="I218" s="341">
        <f t="shared" si="330"/>
        <v>34138</v>
      </c>
      <c r="J218" s="341">
        <f t="shared" si="330"/>
        <v>34537</v>
      </c>
      <c r="K218" s="341">
        <f t="shared" si="330"/>
        <v>41351</v>
      </c>
      <c r="L218" s="341">
        <f t="shared" si="330"/>
        <v>38492</v>
      </c>
      <c r="M218" s="341">
        <f t="shared" si="330"/>
        <v>32544</v>
      </c>
      <c r="N218" s="341">
        <f t="shared" si="330"/>
        <v>13912</v>
      </c>
      <c r="O218" s="341">
        <f t="shared" si="330"/>
        <v>11007</v>
      </c>
      <c r="P218" s="341">
        <f t="shared" si="330"/>
        <v>10639</v>
      </c>
      <c r="Q218" s="341">
        <f t="shared" si="330"/>
        <v>364647</v>
      </c>
      <c r="S218" s="769"/>
      <c r="T218" s="769"/>
      <c r="U218" s="182" t="s">
        <v>7</v>
      </c>
      <c r="V218" s="341">
        <v>3953.8823529411761</v>
      </c>
      <c r="W218" s="341">
        <v>5930.8235294117649</v>
      </c>
      <c r="X218" s="341">
        <v>6303.3189655172409</v>
      </c>
      <c r="Y218" s="341" cm="1">
        <f t="array" ref="Y218">INDEX('Shop Goals'!$G$108:$G$119, COLUMN()-COLUMN($V$3)+1)</f>
        <v>3558.4941176470588</v>
      </c>
      <c r="Z218" s="341" cm="1">
        <f t="array" ref="Z218">INDEX('Shop Goals'!$G$108:$G$119, COLUMN()-COLUMN($V$3)+1)</f>
        <v>3558.4941176470588</v>
      </c>
      <c r="AA218" s="341" cm="1">
        <f t="array" ref="AA218">INDEX('Shop Goals'!$G$108:$G$119, COLUMN()-COLUMN($V$3)+1)</f>
        <v>3558.4941176470588</v>
      </c>
      <c r="AB218" s="341" cm="1">
        <f t="array" ref="AB218">INDEX('Shop Goals'!$G$108:$G$119, COLUMN()-COLUMN($V$3)+1)</f>
        <v>11886.258620689654</v>
      </c>
      <c r="AC218" s="341" cm="1">
        <f t="array" ref="AC218">INDEX('Shop Goals'!$G$108:$G$119, COLUMN()-COLUMN($V$3)+1)</f>
        <v>21611.379310344826</v>
      </c>
      <c r="AD218" s="341" cm="1">
        <f t="array" ref="AD218">INDEX('Shop Goals'!$G$108:$G$119, COLUMN()-COLUMN($V$3)+1)</f>
        <v>23723.294117647059</v>
      </c>
      <c r="AE218" s="341" cm="1">
        <f t="array" ref="AE218">INDEX('Shop Goals'!$G$108:$G$119, COLUMN()-COLUMN($V$3)+1)</f>
        <v>28665.647058823528</v>
      </c>
      <c r="AF218" s="341" cm="1">
        <f t="array" ref="AF218">INDEX('Shop Goals'!$G$108:$G$119, COLUMN()-COLUMN($V$3)+1)</f>
        <v>19810.431034482757</v>
      </c>
      <c r="AG218" s="341" cm="1">
        <f t="array" ref="AG218">INDEX('Shop Goals'!$G$108:$G$119, COLUMN()-COLUMN($V$3)+1)</f>
        <v>19810.431034482757</v>
      </c>
      <c r="AH218" s="342">
        <f>SUM(V218:AG218)</f>
        <v>152370.94837728195</v>
      </c>
      <c r="AJ218" s="757"/>
      <c r="AK218" s="757"/>
      <c r="AL218" s="182" t="s">
        <v>7</v>
      </c>
      <c r="AM218" s="341">
        <f>SUM(AM219:AM225)</f>
        <v>9190</v>
      </c>
      <c r="AN218" s="341">
        <f t="shared" ref="AN218:AY218" si="331">SUM(AN219:AN225)</f>
        <v>7771</v>
      </c>
      <c r="AO218" s="341">
        <f t="shared" si="331"/>
        <v>7460</v>
      </c>
      <c r="AP218" s="341">
        <f t="shared" si="331"/>
        <v>7354</v>
      </c>
      <c r="AQ218" s="341">
        <f t="shared" si="331"/>
        <v>6423</v>
      </c>
      <c r="AR218" s="341">
        <f t="shared" si="331"/>
        <v>3637</v>
      </c>
      <c r="AS218" s="341">
        <f t="shared" si="331"/>
        <v>2634</v>
      </c>
      <c r="AT218" s="341">
        <f t="shared" si="331"/>
        <v>5895</v>
      </c>
      <c r="AU218" s="341">
        <f t="shared" si="331"/>
        <v>0</v>
      </c>
      <c r="AV218" s="341">
        <f t="shared" si="331"/>
        <v>0</v>
      </c>
      <c r="AW218" s="341">
        <f t="shared" si="331"/>
        <v>0</v>
      </c>
      <c r="AX218" s="341">
        <f t="shared" si="331"/>
        <v>0</v>
      </c>
      <c r="AY218" s="341">
        <f t="shared" si="331"/>
        <v>50364</v>
      </c>
      <c r="BA218" s="757"/>
      <c r="BB218" s="757"/>
      <c r="BC218" s="182" t="s">
        <v>6</v>
      </c>
      <c r="BD218" s="464">
        <f>AM218/V218</f>
        <v>2.3242977862413712</v>
      </c>
      <c r="BE218" s="464">
        <f t="shared" si="317"/>
        <v>1.310273347615647</v>
      </c>
      <c r="BF218" s="464">
        <f t="shared" si="286"/>
        <v>1.1835034909085937</v>
      </c>
      <c r="BG218" s="464">
        <f t="shared" si="287"/>
        <v>2.0666045121531909</v>
      </c>
      <c r="BH218" s="464">
        <f t="shared" si="288"/>
        <v>1.8049769896056493</v>
      </c>
      <c r="BI218" s="464">
        <f t="shared" si="289"/>
        <v>1.0220615461927054</v>
      </c>
      <c r="BJ218" s="464">
        <f t="shared" si="290"/>
        <v>0.22160042819657011</v>
      </c>
      <c r="BK218" s="464">
        <f t="shared" si="291"/>
        <v>0.27277296443444549</v>
      </c>
      <c r="BL218" s="464">
        <f t="shared" si="292"/>
        <v>0</v>
      </c>
      <c r="BM218" s="464">
        <f t="shared" si="293"/>
        <v>0</v>
      </c>
      <c r="BN218" s="464">
        <f t="shared" si="294"/>
        <v>0</v>
      </c>
      <c r="BO218" s="464">
        <f t="shared" si="295"/>
        <v>0</v>
      </c>
      <c r="BP218" s="464">
        <f t="shared" si="328"/>
        <v>0.33053545007342833</v>
      </c>
    </row>
    <row r="219" spans="2:68" ht="16" customHeight="1">
      <c r="B219" s="769"/>
      <c r="C219" s="769"/>
      <c r="D219" s="292" t="s">
        <v>99</v>
      </c>
      <c r="E219" s="69">
        <v>2652</v>
      </c>
      <c r="F219" s="69">
        <v>2671</v>
      </c>
      <c r="G219" s="69">
        <v>2926</v>
      </c>
      <c r="H219" s="69">
        <v>2018</v>
      </c>
      <c r="I219" s="69">
        <v>2581</v>
      </c>
      <c r="J219" s="69">
        <v>2802</v>
      </c>
      <c r="K219" s="69">
        <v>3522</v>
      </c>
      <c r="L219" s="69">
        <v>2641</v>
      </c>
      <c r="M219" s="69">
        <v>2802</v>
      </c>
      <c r="N219" s="69">
        <v>960</v>
      </c>
      <c r="O219" s="69">
        <v>1327</v>
      </c>
      <c r="P219" s="69">
        <v>792</v>
      </c>
      <c r="Q219" s="69">
        <f>SUM(E219:P219)</f>
        <v>27694</v>
      </c>
      <c r="S219" s="769"/>
      <c r="T219" s="769"/>
      <c r="U219" s="292" t="s">
        <v>99</v>
      </c>
      <c r="V219" s="69">
        <v>197.69411764705882</v>
      </c>
      <c r="W219" s="69">
        <v>593.08235294117651</v>
      </c>
      <c r="X219" s="69"/>
      <c r="Y219" s="69"/>
      <c r="Z219" s="69"/>
      <c r="AA219" s="69">
        <f>AA$218*'Region OP Sales Goals'!X93</f>
        <v>368.12008113590264</v>
      </c>
      <c r="AB219" s="69">
        <f>AB$218*'Region OP Sales Goals'!Y93</f>
        <v>1188.6258620689655</v>
      </c>
      <c r="AC219" s="69">
        <f>AC$218*'Region OP Sales Goals'!Z93</f>
        <v>2161.1379310344828</v>
      </c>
      <c r="AD219" s="69">
        <f>AD$218*'Region OP Sales Goals'!AA93</f>
        <v>2372.329411764706</v>
      </c>
      <c r="AE219" s="69">
        <f>AE$218*'Region OP Sales Goals'!AB93</f>
        <v>2774.0948766603415</v>
      </c>
      <c r="AF219" s="69">
        <f>AF$218*'Region OP Sales Goals'!AC93</f>
        <v>1907.6711366538952</v>
      </c>
      <c r="AG219" s="69">
        <f>AG$218*'Region OP Sales Goals'!AD93</f>
        <v>1981.0431034482758</v>
      </c>
      <c r="AH219" s="69">
        <f>AH$218*'Region OP Sales Goals'!AE93</f>
        <v>14755.289467365248</v>
      </c>
      <c r="AJ219" s="757"/>
      <c r="AK219" s="757"/>
      <c r="AL219" s="292" t="s">
        <v>99</v>
      </c>
      <c r="AM219" s="69">
        <v>893</v>
      </c>
      <c r="AN219" s="69">
        <v>453</v>
      </c>
      <c r="AO219" s="69">
        <v>495</v>
      </c>
      <c r="AP219" s="69">
        <v>580</v>
      </c>
      <c r="AQ219" s="69">
        <v>359</v>
      </c>
      <c r="AR219" s="69">
        <v>166</v>
      </c>
      <c r="AS219" s="69">
        <v>119</v>
      </c>
      <c r="AT219" s="69">
        <v>248</v>
      </c>
      <c r="AU219" s="69"/>
      <c r="AV219" s="69"/>
      <c r="AW219" s="69"/>
      <c r="AX219" s="69"/>
      <c r="AY219" s="69">
        <f>SUM(AM219:AX219)</f>
        <v>3313</v>
      </c>
      <c r="BA219" s="757"/>
      <c r="BB219" s="757"/>
      <c r="BC219" s="292" t="s">
        <v>99</v>
      </c>
      <c r="BD219" s="465">
        <f>AM219/V219</f>
        <v>4.5170792668412281</v>
      </c>
      <c r="BE219" s="465">
        <f t="shared" si="317"/>
        <v>0.76380623661033087</v>
      </c>
      <c r="BF219" s="465" t="e">
        <f t="shared" si="286"/>
        <v>#DIV/0!</v>
      </c>
      <c r="BG219" s="465" t="e">
        <f t="shared" si="287"/>
        <v>#DIV/0!</v>
      </c>
      <c r="BH219" s="465" t="e">
        <f t="shared" si="288"/>
        <v>#DIV/0!</v>
      </c>
      <c r="BI219" s="465">
        <f t="shared" si="289"/>
        <v>0.4509398115087237</v>
      </c>
      <c r="BJ219" s="465">
        <f t="shared" si="290"/>
        <v>0.10011560727179894</v>
      </c>
      <c r="BK219" s="465">
        <f t="shared" si="291"/>
        <v>0.11475435993170903</v>
      </c>
      <c r="BL219" s="465">
        <f t="shared" si="292"/>
        <v>0</v>
      </c>
      <c r="BM219" s="465">
        <f t="shared" si="293"/>
        <v>0</v>
      </c>
      <c r="BN219" s="465">
        <f t="shared" si="294"/>
        <v>0</v>
      </c>
      <c r="BO219" s="465">
        <f t="shared" si="295"/>
        <v>0</v>
      </c>
      <c r="BP219" s="465">
        <f>AY219/AH219</f>
        <v>0.22452965137196865</v>
      </c>
    </row>
    <row r="220" spans="2:68" ht="16" customHeight="1">
      <c r="B220" s="769"/>
      <c r="C220" s="769"/>
      <c r="D220" s="292" t="s">
        <v>100</v>
      </c>
      <c r="E220" s="69">
        <v>9621</v>
      </c>
      <c r="F220" s="69">
        <v>10217</v>
      </c>
      <c r="G220" s="69">
        <v>13534</v>
      </c>
      <c r="H220" s="69">
        <v>8396</v>
      </c>
      <c r="I220" s="69">
        <v>5955</v>
      </c>
      <c r="J220" s="69">
        <v>5049</v>
      </c>
      <c r="K220" s="69">
        <v>6617</v>
      </c>
      <c r="L220" s="69">
        <v>4262</v>
      </c>
      <c r="M220" s="69">
        <v>2887</v>
      </c>
      <c r="N220" s="69">
        <v>1367</v>
      </c>
      <c r="O220" s="69">
        <v>761</v>
      </c>
      <c r="P220" s="69">
        <v>811</v>
      </c>
      <c r="Q220" s="69">
        <f t="shared" ref="Q220:Q225" si="332">SUM(E220:P220)</f>
        <v>69477</v>
      </c>
      <c r="S220" s="769"/>
      <c r="T220" s="769"/>
      <c r="U220" s="292" t="s">
        <v>100</v>
      </c>
      <c r="V220" s="69">
        <v>0</v>
      </c>
      <c r="W220" s="69">
        <v>790.77647058823527</v>
      </c>
      <c r="X220" s="69"/>
      <c r="Y220" s="69"/>
      <c r="Z220" s="69"/>
      <c r="AA220" s="69">
        <f>AA$218*'Region OP Sales Goals'!X94</f>
        <v>490.82677484787018</v>
      </c>
      <c r="AB220" s="69">
        <f>AB$218*'Region OP Sales Goals'!Y94</f>
        <v>1347.1093103448275</v>
      </c>
      <c r="AC220" s="69">
        <f>AC$218*'Region OP Sales Goals'!Z94</f>
        <v>1584.8344827586207</v>
      </c>
      <c r="AD220" s="69">
        <f>AD$218*'Region OP Sales Goals'!AA94</f>
        <v>3558.4941176470588</v>
      </c>
      <c r="AE220" s="69">
        <f>AE$218*'Region OP Sales Goals'!AB94</f>
        <v>4253.6121442125232</v>
      </c>
      <c r="AF220" s="69">
        <f>AF$218*'Region OP Sales Goals'!AC94</f>
        <v>2934.8786717752232</v>
      </c>
      <c r="AG220" s="69">
        <f>AG$218*'Region OP Sales Goals'!AD94</f>
        <v>2913.298681541582</v>
      </c>
      <c r="AH220" s="69">
        <f>AH$218*'Region OP Sales Goals'!AE94</f>
        <v>18669.958101564192</v>
      </c>
      <c r="AJ220" s="757"/>
      <c r="AK220" s="757"/>
      <c r="AL220" s="292" t="s">
        <v>100</v>
      </c>
      <c r="AM220" s="69">
        <v>833</v>
      </c>
      <c r="AN220" s="69">
        <v>775</v>
      </c>
      <c r="AO220" s="69">
        <v>1036</v>
      </c>
      <c r="AP220" s="69">
        <v>1204</v>
      </c>
      <c r="AQ220" s="69">
        <v>1818</v>
      </c>
      <c r="AR220" s="69">
        <v>1942</v>
      </c>
      <c r="AS220" s="69">
        <v>1212</v>
      </c>
      <c r="AT220" s="69">
        <v>1447</v>
      </c>
      <c r="AU220" s="69"/>
      <c r="AV220" s="69"/>
      <c r="AW220" s="69"/>
      <c r="AX220" s="69"/>
      <c r="AY220" s="69">
        <f t="shared" ref="AY220:AY225" si="333">SUM(AM220:AX220)</f>
        <v>10267</v>
      </c>
      <c r="BA220" s="757"/>
      <c r="BB220" s="757"/>
      <c r="BC220" s="292" t="s">
        <v>100</v>
      </c>
      <c r="BD220" s="465" t="e">
        <f t="shared" ref="BD220:BD221" si="334">AM220/V220</f>
        <v>#DIV/0!</v>
      </c>
      <c r="BE220" s="465">
        <f t="shared" si="317"/>
        <v>0.98004939300166627</v>
      </c>
      <c r="BF220" s="465" t="e">
        <f t="shared" si="286"/>
        <v>#DIV/0!</v>
      </c>
      <c r="BG220" s="465" t="e">
        <f t="shared" si="287"/>
        <v>#DIV/0!</v>
      </c>
      <c r="BH220" s="465" t="e">
        <f t="shared" si="288"/>
        <v>#DIV/0!</v>
      </c>
      <c r="BI220" s="465">
        <f t="shared" si="289"/>
        <v>3.9565893702557591</v>
      </c>
      <c r="BJ220" s="465">
        <f t="shared" si="290"/>
        <v>0.89970427098433259</v>
      </c>
      <c r="BK220" s="465">
        <f t="shared" si="291"/>
        <v>0.91302909909008234</v>
      </c>
      <c r="BL220" s="465">
        <f t="shared" si="292"/>
        <v>0</v>
      </c>
      <c r="BM220" s="465">
        <f t="shared" si="293"/>
        <v>0</v>
      </c>
      <c r="BN220" s="465">
        <f t="shared" si="294"/>
        <v>0</v>
      </c>
      <c r="BO220" s="465">
        <f t="shared" si="295"/>
        <v>0</v>
      </c>
      <c r="BP220" s="465">
        <f t="shared" ref="BP220:BP225" si="335">AY220/AH220</f>
        <v>0.54992089131361355</v>
      </c>
    </row>
    <row r="221" spans="2:68" ht="16" customHeight="1">
      <c r="B221" s="769"/>
      <c r="C221" s="769"/>
      <c r="D221" s="292" t="s">
        <v>101</v>
      </c>
      <c r="E221" s="69">
        <v>6077</v>
      </c>
      <c r="F221" s="69">
        <v>5548</v>
      </c>
      <c r="G221" s="69">
        <v>5603</v>
      </c>
      <c r="H221" s="69">
        <v>3296</v>
      </c>
      <c r="I221" s="69">
        <v>6987</v>
      </c>
      <c r="J221" s="69">
        <v>7794</v>
      </c>
      <c r="K221" s="69">
        <v>7083</v>
      </c>
      <c r="L221" s="69">
        <v>5060</v>
      </c>
      <c r="M221" s="69">
        <v>2378</v>
      </c>
      <c r="N221" s="69">
        <v>1201</v>
      </c>
      <c r="O221" s="69">
        <v>1530</v>
      </c>
      <c r="P221" s="69">
        <v>1290</v>
      </c>
      <c r="Q221" s="69">
        <f t="shared" si="332"/>
        <v>53847</v>
      </c>
      <c r="S221" s="769"/>
      <c r="T221" s="769"/>
      <c r="U221" s="292" t="s">
        <v>101</v>
      </c>
      <c r="V221" s="69">
        <v>0</v>
      </c>
      <c r="W221" s="69">
        <v>593.08235294117651</v>
      </c>
      <c r="X221" s="69"/>
      <c r="Y221" s="69"/>
      <c r="Z221" s="69"/>
      <c r="AA221" s="69">
        <f>AA$218*'Region OP Sales Goals'!X95</f>
        <v>368.12008113590264</v>
      </c>
      <c r="AB221" s="69">
        <f>AB$218*'Region OP Sales Goals'!Y95</f>
        <v>1109.3841379310345</v>
      </c>
      <c r="AC221" s="69">
        <f>AC$218*'Region OP Sales Goals'!Z95</f>
        <v>1008.5310344827586</v>
      </c>
      <c r="AD221" s="69">
        <f>AD$218*'Region OP Sales Goals'!AA95</f>
        <v>2202.8773109243698</v>
      </c>
      <c r="AE221" s="69">
        <f>AE$218*'Region OP Sales Goals'!AB95</f>
        <v>2589.1552182163186</v>
      </c>
      <c r="AF221" s="69">
        <f>AF$218*'Region OP Sales Goals'!AC95</f>
        <v>1760.9272030651341</v>
      </c>
      <c r="AG221" s="69">
        <f>AG$218*'Region OP Sales Goals'!AD95</f>
        <v>1747.9792089249493</v>
      </c>
      <c r="AH221" s="69">
        <f>AH$218*'Region OP Sales Goals'!AE95</f>
        <v>12045.134259073673</v>
      </c>
      <c r="AJ221" s="757"/>
      <c r="AK221" s="757"/>
      <c r="AL221" s="292" t="s">
        <v>101</v>
      </c>
      <c r="AM221" s="69">
        <v>884</v>
      </c>
      <c r="AN221" s="69">
        <v>716</v>
      </c>
      <c r="AO221" s="69">
        <v>431</v>
      </c>
      <c r="AP221" s="69">
        <v>262</v>
      </c>
      <c r="AQ221" s="69">
        <v>209</v>
      </c>
      <c r="AR221" s="69">
        <v>16</v>
      </c>
      <c r="AS221" s="69">
        <v>23</v>
      </c>
      <c r="AT221" s="69">
        <v>401</v>
      </c>
      <c r="AU221" s="69"/>
      <c r="AV221" s="69"/>
      <c r="AW221" s="69"/>
      <c r="AX221" s="69"/>
      <c r="AY221" s="69">
        <f t="shared" si="333"/>
        <v>2942</v>
      </c>
      <c r="BA221" s="757"/>
      <c r="BB221" s="757"/>
      <c r="BC221" s="292" t="s">
        <v>101</v>
      </c>
      <c r="BD221" s="465" t="e">
        <f t="shared" si="334"/>
        <v>#DIV/0!</v>
      </c>
      <c r="BE221" s="465">
        <f t="shared" si="317"/>
        <v>1.2072522415297944</v>
      </c>
      <c r="BF221" s="465" t="e">
        <f t="shared" si="286"/>
        <v>#DIV/0!</v>
      </c>
      <c r="BG221" s="465" t="e">
        <f t="shared" si="287"/>
        <v>#DIV/0!</v>
      </c>
      <c r="BH221" s="465" t="e">
        <f t="shared" si="288"/>
        <v>#DIV/0!</v>
      </c>
      <c r="BI221" s="465">
        <f t="shared" si="289"/>
        <v>4.3464078217708306E-2</v>
      </c>
      <c r="BJ221" s="465">
        <f t="shared" si="290"/>
        <v>2.0732223594700259E-2</v>
      </c>
      <c r="BK221" s="465">
        <f t="shared" si="291"/>
        <v>0.3976079925053167</v>
      </c>
      <c r="BL221" s="465">
        <f t="shared" si="292"/>
        <v>0</v>
      </c>
      <c r="BM221" s="465">
        <f t="shared" si="293"/>
        <v>0</v>
      </c>
      <c r="BN221" s="465">
        <f t="shared" si="294"/>
        <v>0</v>
      </c>
      <c r="BO221" s="465">
        <f t="shared" si="295"/>
        <v>0</v>
      </c>
      <c r="BP221" s="465">
        <f t="shared" si="335"/>
        <v>0.24424800394265206</v>
      </c>
    </row>
    <row r="222" spans="2:68" ht="16" customHeight="1">
      <c r="B222" s="769"/>
      <c r="C222" s="769"/>
      <c r="D222" s="292" t="s">
        <v>102</v>
      </c>
      <c r="E222" s="69">
        <v>2830</v>
      </c>
      <c r="F222" s="69">
        <v>2703</v>
      </c>
      <c r="G222" s="69">
        <v>4009</v>
      </c>
      <c r="H222" s="69">
        <v>2475</v>
      </c>
      <c r="I222" s="69">
        <v>3713</v>
      </c>
      <c r="J222" s="69">
        <v>3221</v>
      </c>
      <c r="K222" s="69">
        <v>4059</v>
      </c>
      <c r="L222" s="69">
        <v>4425</v>
      </c>
      <c r="M222" s="69">
        <v>4767</v>
      </c>
      <c r="N222" s="69">
        <v>1473</v>
      </c>
      <c r="O222" s="69">
        <v>1486</v>
      </c>
      <c r="P222" s="69">
        <v>1327</v>
      </c>
      <c r="Q222" s="69">
        <f t="shared" si="332"/>
        <v>36488</v>
      </c>
      <c r="S222" s="769"/>
      <c r="T222" s="769"/>
      <c r="U222" s="292" t="s">
        <v>102</v>
      </c>
      <c r="V222" s="69">
        <v>197.69411764705882</v>
      </c>
      <c r="W222" s="69">
        <v>790.77647058823527</v>
      </c>
      <c r="X222" s="69"/>
      <c r="Y222" s="69"/>
      <c r="Z222" s="69"/>
      <c r="AA222" s="69">
        <f>AA$218*'Region OP Sales Goals'!X96</f>
        <v>490.82677484787018</v>
      </c>
      <c r="AB222" s="69">
        <f>AB$218*'Region OP Sales Goals'!Y96</f>
        <v>1426.3510344827585</v>
      </c>
      <c r="AC222" s="69">
        <f>AC$218*'Region OP Sales Goals'!Z96</f>
        <v>2593.3655172413792</v>
      </c>
      <c r="AD222" s="69">
        <f>AD$218*'Region OP Sales Goals'!AA96</f>
        <v>2880.6857142857143</v>
      </c>
      <c r="AE222" s="69">
        <f>AE$218*'Region OP Sales Goals'!AB96</f>
        <v>3513.8535104364323</v>
      </c>
      <c r="AF222" s="69">
        <f>AF$218*'Region OP Sales Goals'!AC96</f>
        <v>2494.6468710089393</v>
      </c>
      <c r="AG222" s="69">
        <f>AG$218*'Region OP Sales Goals'!AD96</f>
        <v>2447.1708924949289</v>
      </c>
      <c r="AH222" s="69">
        <f>AH$218*'Region OP Sales Goals'!AE96</f>
        <v>19272.214814517873</v>
      </c>
      <c r="AJ222" s="757"/>
      <c r="AK222" s="757"/>
      <c r="AL222" s="292" t="s">
        <v>102</v>
      </c>
      <c r="AM222" s="69">
        <v>1241</v>
      </c>
      <c r="AN222" s="69">
        <v>1333</v>
      </c>
      <c r="AO222" s="69">
        <v>1339</v>
      </c>
      <c r="AP222" s="69">
        <v>951</v>
      </c>
      <c r="AQ222" s="69">
        <v>1029</v>
      </c>
      <c r="AR222" s="69">
        <v>495</v>
      </c>
      <c r="AS222" s="69">
        <v>490</v>
      </c>
      <c r="AT222" s="69">
        <v>659</v>
      </c>
      <c r="AU222" s="69"/>
      <c r="AV222" s="69"/>
      <c r="AW222" s="69"/>
      <c r="AX222" s="69"/>
      <c r="AY222" s="69">
        <f t="shared" si="333"/>
        <v>7537</v>
      </c>
      <c r="BA222" s="757"/>
      <c r="BB222" s="757"/>
      <c r="BC222" s="292" t="s">
        <v>102</v>
      </c>
      <c r="BD222" s="465">
        <f>AM222/V222</f>
        <v>6.277374434658415</v>
      </c>
      <c r="BE222" s="465">
        <f t="shared" si="317"/>
        <v>1.6856849559628659</v>
      </c>
      <c r="BF222" s="465" t="e">
        <f t="shared" si="286"/>
        <v>#DIV/0!</v>
      </c>
      <c r="BG222" s="465" t="e">
        <f t="shared" si="287"/>
        <v>#DIV/0!</v>
      </c>
      <c r="BH222" s="465" t="e">
        <f t="shared" si="288"/>
        <v>#DIV/0!</v>
      </c>
      <c r="BI222" s="465">
        <f t="shared" si="289"/>
        <v>1.0085024398952631</v>
      </c>
      <c r="BJ222" s="465">
        <f t="shared" si="290"/>
        <v>0.34353394652087871</v>
      </c>
      <c r="BK222" s="465">
        <f t="shared" si="291"/>
        <v>0.25410995697243366</v>
      </c>
      <c r="BL222" s="465">
        <f t="shared" si="292"/>
        <v>0</v>
      </c>
      <c r="BM222" s="465">
        <f t="shared" si="293"/>
        <v>0</v>
      </c>
      <c r="BN222" s="465">
        <f t="shared" si="294"/>
        <v>0</v>
      </c>
      <c r="BO222" s="465">
        <f t="shared" si="295"/>
        <v>0</v>
      </c>
      <c r="BP222" s="465">
        <f t="shared" si="335"/>
        <v>0.39108115349162326</v>
      </c>
    </row>
    <row r="223" spans="2:68" ht="16" customHeight="1">
      <c r="B223" s="769"/>
      <c r="C223" s="769"/>
      <c r="D223" s="292" t="s">
        <v>103</v>
      </c>
      <c r="E223" s="69">
        <v>1923</v>
      </c>
      <c r="F223" s="69">
        <v>1808</v>
      </c>
      <c r="G223" s="69">
        <v>1961</v>
      </c>
      <c r="H223" s="69">
        <v>711</v>
      </c>
      <c r="I223" s="69">
        <v>1001</v>
      </c>
      <c r="J223" s="69">
        <v>2235</v>
      </c>
      <c r="K223" s="69">
        <v>2294</v>
      </c>
      <c r="L223" s="69">
        <v>2545</v>
      </c>
      <c r="M223" s="69">
        <v>2050</v>
      </c>
      <c r="N223" s="69">
        <v>595</v>
      </c>
      <c r="O223" s="69">
        <v>443</v>
      </c>
      <c r="P223" s="69">
        <v>464</v>
      </c>
      <c r="Q223" s="69">
        <f t="shared" si="332"/>
        <v>18030</v>
      </c>
      <c r="S223" s="769"/>
      <c r="T223" s="769"/>
      <c r="U223" s="292" t="s">
        <v>103</v>
      </c>
      <c r="V223" s="69">
        <v>0</v>
      </c>
      <c r="W223" s="69">
        <v>197.69411764705882</v>
      </c>
      <c r="X223" s="69"/>
      <c r="Y223" s="69"/>
      <c r="Z223" s="69"/>
      <c r="AA223" s="69">
        <f>AA$218*'Region OP Sales Goals'!X97</f>
        <v>122.70669371196755</v>
      </c>
      <c r="AB223" s="69">
        <f>AB$218*'Region OP Sales Goals'!Y97</f>
        <v>316.96689655172412</v>
      </c>
      <c r="AC223" s="69">
        <f>AC$218*'Region OP Sales Goals'!Z97</f>
        <v>576.30344827586202</v>
      </c>
      <c r="AD223" s="69">
        <f>AD$218*'Region OP Sales Goals'!AA97</f>
        <v>1016.7126050420169</v>
      </c>
      <c r="AE223" s="69">
        <f>AE$218*'Region OP Sales Goals'!AB97</f>
        <v>1294.5776091081593</v>
      </c>
      <c r="AF223" s="69">
        <f>AF$218*'Region OP Sales Goals'!AC97</f>
        <v>880.46360153256705</v>
      </c>
      <c r="AG223" s="69">
        <f>AG$218*'Region OP Sales Goals'!AD97</f>
        <v>815.72363083164294</v>
      </c>
      <c r="AH223" s="69">
        <f>AH$218*'Region OP Sales Goals'!AE97</f>
        <v>5420.3104165831528</v>
      </c>
      <c r="AJ223" s="757"/>
      <c r="AK223" s="757"/>
      <c r="AL223" s="292" t="s">
        <v>103</v>
      </c>
      <c r="AM223" s="69">
        <v>191</v>
      </c>
      <c r="AN223" s="69">
        <v>29</v>
      </c>
      <c r="AO223" s="69">
        <v>102</v>
      </c>
      <c r="AP223" s="69">
        <v>3</v>
      </c>
      <c r="AQ223" s="69">
        <v>14</v>
      </c>
      <c r="AR223" s="69"/>
      <c r="AS223" s="69"/>
      <c r="AT223" s="69">
        <v>136</v>
      </c>
      <c r="AU223" s="69"/>
      <c r="AV223" s="69"/>
      <c r="AW223" s="69"/>
      <c r="AX223" s="69"/>
      <c r="AY223" s="69">
        <f t="shared" si="333"/>
        <v>475</v>
      </c>
      <c r="BA223" s="757"/>
      <c r="BB223" s="757"/>
      <c r="BC223" s="292" t="s">
        <v>103</v>
      </c>
      <c r="BD223" s="465" t="e">
        <f t="shared" ref="BD223:BD225" si="336">AM223/V223</f>
        <v>#DIV/0!</v>
      </c>
      <c r="BE223" s="465">
        <f t="shared" si="317"/>
        <v>0.14669126398476554</v>
      </c>
      <c r="BF223" s="465" t="e">
        <f t="shared" si="286"/>
        <v>#DIV/0!</v>
      </c>
      <c r="BG223" s="465" t="e">
        <f t="shared" si="287"/>
        <v>#DIV/0!</v>
      </c>
      <c r="BH223" s="465" t="e">
        <f t="shared" si="288"/>
        <v>#DIV/0!</v>
      </c>
      <c r="BI223" s="465">
        <f t="shared" si="289"/>
        <v>0</v>
      </c>
      <c r="BJ223" s="465">
        <f t="shared" si="290"/>
        <v>0</v>
      </c>
      <c r="BK223" s="465">
        <f t="shared" si="291"/>
        <v>0.23598678856924035</v>
      </c>
      <c r="BL223" s="465">
        <f t="shared" si="292"/>
        <v>0</v>
      </c>
      <c r="BM223" s="465">
        <f t="shared" si="293"/>
        <v>0</v>
      </c>
      <c r="BN223" s="465">
        <f t="shared" si="294"/>
        <v>0</v>
      </c>
      <c r="BO223" s="465">
        <f t="shared" si="295"/>
        <v>0</v>
      </c>
      <c r="BP223" s="465">
        <f t="shared" si="335"/>
        <v>8.7633357408233054E-2</v>
      </c>
    </row>
    <row r="224" spans="2:68" ht="16" customHeight="1">
      <c r="B224" s="769"/>
      <c r="C224" s="769"/>
      <c r="D224" s="292" t="s">
        <v>104</v>
      </c>
      <c r="E224" s="69">
        <v>4497</v>
      </c>
      <c r="F224" s="69">
        <v>4183</v>
      </c>
      <c r="G224" s="69">
        <v>5902</v>
      </c>
      <c r="H224" s="69">
        <v>4601</v>
      </c>
      <c r="I224" s="69">
        <v>5532</v>
      </c>
      <c r="J224" s="69">
        <v>6012</v>
      </c>
      <c r="K224" s="69">
        <v>7502</v>
      </c>
      <c r="L224" s="69">
        <v>7139</v>
      </c>
      <c r="M224" s="69">
        <v>5721</v>
      </c>
      <c r="N224" s="69">
        <v>2793</v>
      </c>
      <c r="O224" s="69">
        <v>1741</v>
      </c>
      <c r="P224" s="69">
        <v>1622</v>
      </c>
      <c r="Q224" s="69">
        <f t="shared" si="332"/>
        <v>57245</v>
      </c>
      <c r="S224" s="769"/>
      <c r="T224" s="769"/>
      <c r="U224" s="292" t="s">
        <v>104</v>
      </c>
      <c r="V224" s="69">
        <v>593.0823529411764</v>
      </c>
      <c r="W224" s="69">
        <v>988.47058823529414</v>
      </c>
      <c r="X224" s="69"/>
      <c r="Y224" s="69"/>
      <c r="Z224" s="69"/>
      <c r="AA224" s="69">
        <f>AA$218*'Region OP Sales Goals'!X98</f>
        <v>490.82677484787018</v>
      </c>
      <c r="AB224" s="69">
        <f>AB$218*'Region OP Sales Goals'!Y98</f>
        <v>1822.5596551724134</v>
      </c>
      <c r="AC224" s="69">
        <f>AC$218*'Region OP Sales Goals'!Z98</f>
        <v>3313.7448275862066</v>
      </c>
      <c r="AD224" s="69">
        <f>AD$218*'Region OP Sales Goals'!AA98</f>
        <v>3727.9462184873951</v>
      </c>
      <c r="AE224" s="69">
        <f>AE$218*'Region OP Sales Goals'!AB98</f>
        <v>4438.5518026565469</v>
      </c>
      <c r="AF224" s="69">
        <f>AF$218*'Region OP Sales Goals'!AC98</f>
        <v>3081.6226053639843</v>
      </c>
      <c r="AG224" s="69">
        <f>AG$218*'Region OP Sales Goals'!AD98</f>
        <v>3029.8306288032454</v>
      </c>
      <c r="AH224" s="69">
        <f>AH$218*'Region OP Sales Goals'!AE98</f>
        <v>23186.883448716821</v>
      </c>
      <c r="AJ224" s="757"/>
      <c r="AK224" s="757"/>
      <c r="AL224" s="292" t="s">
        <v>104</v>
      </c>
      <c r="AM224" s="69">
        <v>1480</v>
      </c>
      <c r="AN224" s="69">
        <v>983</v>
      </c>
      <c r="AO224" s="69">
        <v>1062</v>
      </c>
      <c r="AP224" s="69">
        <v>1640</v>
      </c>
      <c r="AQ224" s="156">
        <v>1093</v>
      </c>
      <c r="AR224" s="156">
        <v>446</v>
      </c>
      <c r="AS224" s="156">
        <v>379</v>
      </c>
      <c r="AT224" s="156">
        <v>731</v>
      </c>
      <c r="AU224" s="69"/>
      <c r="AV224" s="69"/>
      <c r="AW224" s="69"/>
      <c r="AX224" s="69"/>
      <c r="AY224" s="69">
        <f t="shared" si="333"/>
        <v>7814</v>
      </c>
      <c r="BA224" s="757"/>
      <c r="BB224" s="757"/>
      <c r="BC224" s="292" t="s">
        <v>104</v>
      </c>
      <c r="BD224" s="465">
        <f t="shared" si="336"/>
        <v>2.4954375942235978</v>
      </c>
      <c r="BE224" s="465">
        <f t="shared" si="317"/>
        <v>0.99446560342775525</v>
      </c>
      <c r="BF224" s="465" t="e">
        <f t="shared" si="286"/>
        <v>#DIV/0!</v>
      </c>
      <c r="BG224" s="465" t="e">
        <f t="shared" si="287"/>
        <v>#DIV/0!</v>
      </c>
      <c r="BH224" s="465" t="e">
        <f t="shared" si="288"/>
        <v>#DIV/0!</v>
      </c>
      <c r="BI224" s="465">
        <f t="shared" si="289"/>
        <v>0.90867088523896422</v>
      </c>
      <c r="BJ224" s="465">
        <f t="shared" si="290"/>
        <v>0.20794929753020719</v>
      </c>
      <c r="BK224" s="465">
        <f t="shared" si="291"/>
        <v>0.22059634583646381</v>
      </c>
      <c r="BL224" s="465">
        <f t="shared" si="292"/>
        <v>0</v>
      </c>
      <c r="BM224" s="465">
        <f t="shared" si="293"/>
        <v>0</v>
      </c>
      <c r="BN224" s="465">
        <f t="shared" si="294"/>
        <v>0</v>
      </c>
      <c r="BO224" s="465">
        <f t="shared" si="295"/>
        <v>0</v>
      </c>
      <c r="BP224" s="465">
        <f t="shared" si="335"/>
        <v>0.33700087453678179</v>
      </c>
    </row>
    <row r="225" spans="2:68" ht="16" customHeight="1">
      <c r="B225" s="770"/>
      <c r="C225" s="770"/>
      <c r="D225" s="292" t="s">
        <v>105</v>
      </c>
      <c r="E225" s="69">
        <v>8216</v>
      </c>
      <c r="F225" s="69">
        <v>9511</v>
      </c>
      <c r="G225" s="69">
        <v>10802</v>
      </c>
      <c r="H225" s="69">
        <v>9336</v>
      </c>
      <c r="I225" s="69">
        <v>8369</v>
      </c>
      <c r="J225" s="69">
        <v>7424</v>
      </c>
      <c r="K225" s="69">
        <v>10274</v>
      </c>
      <c r="L225" s="69">
        <v>12420</v>
      </c>
      <c r="M225" s="69">
        <v>11939</v>
      </c>
      <c r="N225" s="69">
        <v>5523</v>
      </c>
      <c r="O225" s="69">
        <v>3719</v>
      </c>
      <c r="P225" s="69">
        <v>4333</v>
      </c>
      <c r="Q225" s="69">
        <f t="shared" si="332"/>
        <v>101866</v>
      </c>
      <c r="S225" s="770"/>
      <c r="T225" s="770"/>
      <c r="U225" s="292" t="s">
        <v>105</v>
      </c>
      <c r="V225" s="69">
        <v>2965.411764705882</v>
      </c>
      <c r="W225" s="69">
        <v>1976.9411764705883</v>
      </c>
      <c r="X225" s="69"/>
      <c r="Y225" s="69"/>
      <c r="Z225" s="69"/>
      <c r="AA225" s="69">
        <f>AA$218*'Region OP Sales Goals'!X99</f>
        <v>1227.0669371196755</v>
      </c>
      <c r="AB225" s="69">
        <f>AB$218*'Region OP Sales Goals'!Y99</f>
        <v>4675.2617241379303</v>
      </c>
      <c r="AC225" s="69">
        <f>AC$218*'Region OP Sales Goals'!Z99</f>
        <v>10373.462068965517</v>
      </c>
      <c r="AD225" s="69">
        <f>AD$218*'Region OP Sales Goals'!AA99</f>
        <v>7964.248739495798</v>
      </c>
      <c r="AE225" s="69">
        <f>AE$218*'Region OP Sales Goals'!AB99</f>
        <v>9801.8018975332052</v>
      </c>
      <c r="AF225" s="69">
        <f>AF$218*'Region OP Sales Goals'!AC99</f>
        <v>6750.2209450830132</v>
      </c>
      <c r="AG225" s="69">
        <f>AG$218*'Region OP Sales Goals'!AD99</f>
        <v>6875.3848884381332</v>
      </c>
      <c r="AH225" s="69">
        <f>AH$218*'Region OP Sales Goals'!AE99</f>
        <v>59021.157869460993</v>
      </c>
      <c r="AJ225" s="757"/>
      <c r="AK225" s="757"/>
      <c r="AL225" s="292" t="s">
        <v>105</v>
      </c>
      <c r="AM225" s="69">
        <v>3668</v>
      </c>
      <c r="AN225" s="69">
        <v>3482</v>
      </c>
      <c r="AO225" s="69">
        <v>2995</v>
      </c>
      <c r="AP225" s="69">
        <v>2714</v>
      </c>
      <c r="AQ225" s="69">
        <v>1901</v>
      </c>
      <c r="AR225" s="69">
        <v>572</v>
      </c>
      <c r="AS225" s="69">
        <v>411</v>
      </c>
      <c r="AT225" s="69">
        <v>2273</v>
      </c>
      <c r="AU225" s="69"/>
      <c r="AV225" s="69"/>
      <c r="AW225" s="69"/>
      <c r="AX225" s="69"/>
      <c r="AY225" s="69">
        <f t="shared" si="333"/>
        <v>18016</v>
      </c>
      <c r="BA225" s="757"/>
      <c r="BB225" s="757"/>
      <c r="BC225" s="292" t="s">
        <v>105</v>
      </c>
      <c r="BD225" s="465">
        <f t="shared" si="336"/>
        <v>1.2369277156232645</v>
      </c>
      <c r="BE225" s="465">
        <f t="shared" si="317"/>
        <v>1.7613068317067364</v>
      </c>
      <c r="BF225" s="465" t="e">
        <f t="shared" si="286"/>
        <v>#DIV/0!</v>
      </c>
      <c r="BG225" s="465" t="e">
        <f t="shared" si="287"/>
        <v>#DIV/0!</v>
      </c>
      <c r="BH225" s="465" t="e">
        <f t="shared" si="288"/>
        <v>#DIV/0!</v>
      </c>
      <c r="BI225" s="465">
        <f t="shared" si="289"/>
        <v>0.46615223888492158</v>
      </c>
      <c r="BJ225" s="465">
        <f t="shared" si="290"/>
        <v>8.7909516996245621E-2</v>
      </c>
      <c r="BK225" s="465">
        <f t="shared" si="291"/>
        <v>0.21911681798116148</v>
      </c>
      <c r="BL225" s="465">
        <f t="shared" si="292"/>
        <v>0</v>
      </c>
      <c r="BM225" s="465">
        <f t="shared" si="293"/>
        <v>0</v>
      </c>
      <c r="BN225" s="465">
        <f t="shared" si="294"/>
        <v>0</v>
      </c>
      <c r="BO225" s="465">
        <f t="shared" si="295"/>
        <v>0</v>
      </c>
      <c r="BP225" s="465">
        <f t="shared" si="335"/>
        <v>0.30524646839098907</v>
      </c>
    </row>
    <row r="227" spans="2:68" ht="50" customHeight="1">
      <c r="B227" s="771" t="s">
        <v>352</v>
      </c>
      <c r="C227" s="772"/>
      <c r="D227" s="772"/>
      <c r="E227" s="772"/>
      <c r="F227" s="772"/>
      <c r="G227" s="772"/>
      <c r="H227" s="772"/>
      <c r="I227" s="772"/>
      <c r="J227" s="772"/>
      <c r="K227" s="772"/>
      <c r="L227" s="772"/>
      <c r="M227" s="772"/>
      <c r="N227" s="772"/>
      <c r="O227" s="772"/>
      <c r="P227" s="772"/>
      <c r="Q227" s="773"/>
      <c r="S227" s="771" t="s">
        <v>353</v>
      </c>
      <c r="T227" s="772"/>
      <c r="U227" s="772"/>
      <c r="V227" s="772"/>
      <c r="W227" s="772"/>
      <c r="X227" s="772"/>
      <c r="Y227" s="772"/>
      <c r="Z227" s="772"/>
      <c r="AA227" s="772"/>
      <c r="AB227" s="772"/>
      <c r="AC227" s="772"/>
      <c r="AD227" s="772"/>
      <c r="AE227" s="772"/>
      <c r="AF227" s="772"/>
      <c r="AG227" s="772"/>
      <c r="AH227" s="773"/>
      <c r="AJ227" s="771" t="s">
        <v>354</v>
      </c>
      <c r="AK227" s="772"/>
      <c r="AL227" s="772"/>
      <c r="AM227" s="772"/>
      <c r="AN227" s="772"/>
      <c r="AO227" s="772"/>
      <c r="AP227" s="772"/>
      <c r="AQ227" s="772"/>
      <c r="AR227" s="772"/>
      <c r="AS227" s="772"/>
      <c r="AT227" s="772"/>
      <c r="AU227" s="772"/>
      <c r="AV227" s="772"/>
      <c r="AW227" s="772"/>
      <c r="AX227" s="772"/>
      <c r="AY227" s="773"/>
      <c r="BA227" s="771" t="s">
        <v>355</v>
      </c>
      <c r="BB227" s="772"/>
      <c r="BC227" s="772"/>
      <c r="BD227" s="772"/>
      <c r="BE227" s="772"/>
      <c r="BF227" s="772"/>
      <c r="BG227" s="772"/>
      <c r="BH227" s="772"/>
      <c r="BI227" s="772"/>
      <c r="BJ227" s="772"/>
      <c r="BK227" s="772"/>
      <c r="BL227" s="772"/>
      <c r="BM227" s="772"/>
      <c r="BN227" s="772"/>
      <c r="BO227" s="772"/>
      <c r="BP227" s="773"/>
    </row>
    <row r="228" spans="2:68">
      <c r="B228" s="765" t="s">
        <v>88</v>
      </c>
      <c r="C228" s="766"/>
      <c r="D228" s="767"/>
      <c r="E228" s="234" t="s">
        <v>252</v>
      </c>
      <c r="F228" s="234" t="s">
        <v>253</v>
      </c>
      <c r="G228" s="234" t="s">
        <v>230</v>
      </c>
      <c r="H228" s="234" t="s">
        <v>254</v>
      </c>
      <c r="I228" s="234" t="s">
        <v>78</v>
      </c>
      <c r="J228" s="234" t="s">
        <v>255</v>
      </c>
      <c r="K228" s="234" t="s">
        <v>256</v>
      </c>
      <c r="L228" s="234" t="s">
        <v>236</v>
      </c>
      <c r="M228" s="234" t="s">
        <v>257</v>
      </c>
      <c r="N228" s="234" t="s">
        <v>258</v>
      </c>
      <c r="O228" s="234" t="s">
        <v>259</v>
      </c>
      <c r="P228" s="234" t="s">
        <v>260</v>
      </c>
      <c r="Q228" s="234" t="s">
        <v>24</v>
      </c>
      <c r="S228" s="765" t="s">
        <v>88</v>
      </c>
      <c r="T228" s="766"/>
      <c r="U228" s="767"/>
      <c r="V228" s="234" t="s">
        <v>252</v>
      </c>
      <c r="W228" s="234" t="s">
        <v>253</v>
      </c>
      <c r="X228" s="234" t="s">
        <v>230</v>
      </c>
      <c r="Y228" s="234" t="s">
        <v>254</v>
      </c>
      <c r="Z228" s="234" t="s">
        <v>78</v>
      </c>
      <c r="AA228" s="234" t="s">
        <v>255</v>
      </c>
      <c r="AB228" s="234" t="s">
        <v>256</v>
      </c>
      <c r="AC228" s="234" t="s">
        <v>236</v>
      </c>
      <c r="AD228" s="234" t="s">
        <v>257</v>
      </c>
      <c r="AE228" s="234" t="s">
        <v>258</v>
      </c>
      <c r="AF228" s="234" t="s">
        <v>259</v>
      </c>
      <c r="AG228" s="234" t="s">
        <v>260</v>
      </c>
      <c r="AH228" s="234" t="s">
        <v>24</v>
      </c>
      <c r="AJ228" s="765" t="s">
        <v>88</v>
      </c>
      <c r="AK228" s="766"/>
      <c r="AL228" s="767"/>
      <c r="AM228" s="234" t="s">
        <v>252</v>
      </c>
      <c r="AN228" s="234" t="s">
        <v>253</v>
      </c>
      <c r="AO228" s="234" t="s">
        <v>230</v>
      </c>
      <c r="AP228" s="234" t="s">
        <v>254</v>
      </c>
      <c r="AQ228" s="234" t="s">
        <v>78</v>
      </c>
      <c r="AR228" s="234" t="s">
        <v>255</v>
      </c>
      <c r="AS228" s="234" t="s">
        <v>256</v>
      </c>
      <c r="AT228" s="234" t="s">
        <v>236</v>
      </c>
      <c r="AU228" s="234" t="s">
        <v>257</v>
      </c>
      <c r="AV228" s="234" t="s">
        <v>258</v>
      </c>
      <c r="AW228" s="234" t="s">
        <v>259</v>
      </c>
      <c r="AX228" s="234" t="s">
        <v>260</v>
      </c>
      <c r="AY228" s="234" t="s">
        <v>24</v>
      </c>
      <c r="BA228" s="765" t="s">
        <v>88</v>
      </c>
      <c r="BB228" s="766"/>
      <c r="BC228" s="767"/>
      <c r="BD228" s="234" t="s">
        <v>252</v>
      </c>
      <c r="BE228" s="234" t="s">
        <v>253</v>
      </c>
      <c r="BF228" s="234" t="s">
        <v>230</v>
      </c>
      <c r="BG228" s="234" t="s">
        <v>254</v>
      </c>
      <c r="BH228" s="234" t="s">
        <v>78</v>
      </c>
      <c r="BI228" s="234" t="s">
        <v>255</v>
      </c>
      <c r="BJ228" s="234" t="s">
        <v>256</v>
      </c>
      <c r="BK228" s="234" t="s">
        <v>236</v>
      </c>
      <c r="BL228" s="234" t="s">
        <v>257</v>
      </c>
      <c r="BM228" s="234" t="s">
        <v>258</v>
      </c>
      <c r="BN228" s="234" t="s">
        <v>259</v>
      </c>
      <c r="BO228" s="234" t="s">
        <v>260</v>
      </c>
      <c r="BP228" s="234" t="s">
        <v>24</v>
      </c>
    </row>
    <row r="229" spans="2:68">
      <c r="B229" s="768" t="s">
        <v>48</v>
      </c>
      <c r="C229" s="768" t="s">
        <v>49</v>
      </c>
      <c r="D229" s="343" t="s">
        <v>50</v>
      </c>
      <c r="E229" s="344">
        <f>E230+E238</f>
        <v>56922</v>
      </c>
      <c r="F229" s="344">
        <f t="shared" ref="F229:Q229" si="337">F230+F238</f>
        <v>54676</v>
      </c>
      <c r="G229" s="344">
        <f t="shared" si="337"/>
        <v>79676</v>
      </c>
      <c r="H229" s="344">
        <f t="shared" si="337"/>
        <v>70399</v>
      </c>
      <c r="I229" s="344">
        <f t="shared" si="337"/>
        <v>73790</v>
      </c>
      <c r="J229" s="344">
        <f t="shared" si="337"/>
        <v>68735</v>
      </c>
      <c r="K229" s="344">
        <f t="shared" si="337"/>
        <v>79403</v>
      </c>
      <c r="L229" s="344">
        <f t="shared" si="337"/>
        <v>85047</v>
      </c>
      <c r="M229" s="344">
        <f t="shared" si="337"/>
        <v>61443</v>
      </c>
      <c r="N229" s="344">
        <f t="shared" si="337"/>
        <v>64624</v>
      </c>
      <c r="O229" s="344">
        <f t="shared" si="337"/>
        <v>70196</v>
      </c>
      <c r="P229" s="344">
        <f t="shared" si="337"/>
        <v>75600</v>
      </c>
      <c r="Q229" s="344">
        <f t="shared" si="337"/>
        <v>840511</v>
      </c>
      <c r="S229" s="768" t="s">
        <v>48</v>
      </c>
      <c r="T229" s="768" t="s">
        <v>49</v>
      </c>
      <c r="U229" s="343" t="s">
        <v>50</v>
      </c>
      <c r="V229" s="344">
        <v>53629.123351435221</v>
      </c>
      <c r="W229" s="344">
        <v>66078.74127230412</v>
      </c>
      <c r="X229" s="344">
        <v>75384.890022314314</v>
      </c>
      <c r="Y229" s="344" cm="1">
        <f t="array" ref="Y229">INDEX('Research Goals'!$G$121:$G$132, COLUMN()-COLUMN($V$3)+1)</f>
        <v>80227.792862684248</v>
      </c>
      <c r="Z229" s="344" cm="1">
        <f t="array" ref="Z229">INDEX('Research Goals'!$G$121:$G$132, COLUMN()-COLUMN($V$3)+1)</f>
        <v>89396.683475562444</v>
      </c>
      <c r="AA229" s="344" cm="1">
        <f t="array" ref="AA229">INDEX('Research Goals'!$G$121:$G$132, COLUMN()-COLUMN($V$3)+1)</f>
        <v>87104.460822342895</v>
      </c>
      <c r="AB229" s="344" cm="1">
        <f t="array" ref="AB229">INDEX('Research Goals'!$G$121:$G$132, COLUMN()-COLUMN($V$3)+1)</f>
        <v>84345.051004144087</v>
      </c>
      <c r="AC229" s="344" cm="1">
        <f t="array" ref="AC229">INDEX('Research Goals'!$G$121:$G$132, COLUMN()-COLUMN($V$3)+1)</f>
        <v>81624.242907236214</v>
      </c>
      <c r="AD229" s="344" cm="1">
        <f t="array" ref="AD229">INDEX('Research Goals'!$G$121:$G$132, COLUMN()-COLUMN($V$3)+1)</f>
        <v>81946.959852598913</v>
      </c>
      <c r="AE229" s="344" cm="1">
        <f t="array" ref="AE229">INDEX('Research Goals'!$G$121:$G$132, COLUMN()-COLUMN($V$3)+1)</f>
        <v>78508.625872769582</v>
      </c>
      <c r="AF229" s="344" cm="1">
        <f t="array" ref="AF229">INDEX('Research Goals'!$G$121:$G$132, COLUMN()-COLUMN($V$3)+1)</f>
        <v>67476.040803315263</v>
      </c>
      <c r="AG229" s="344" cm="1">
        <f t="array" ref="AG229">INDEX('Research Goals'!$G$121:$G$132, COLUMN()-COLUMN($V$3)+1)</f>
        <v>84889.212623525658</v>
      </c>
      <c r="AH229" s="345">
        <f>SUM(V229:AG229)</f>
        <v>930611.82487023296</v>
      </c>
      <c r="AI229" s="47"/>
      <c r="AJ229" s="757" t="s">
        <v>48</v>
      </c>
      <c r="AK229" s="757" t="s">
        <v>49</v>
      </c>
      <c r="AL229" s="343" t="s">
        <v>50</v>
      </c>
      <c r="AM229" s="344">
        <f>AM230+AM238</f>
        <v>73681.571428571435</v>
      </c>
      <c r="AN229" s="344">
        <f t="shared" ref="AN229:AY229" si="338">AN230+AN238</f>
        <v>64425.857142857145</v>
      </c>
      <c r="AO229" s="344">
        <f t="shared" si="338"/>
        <v>76891</v>
      </c>
      <c r="AP229" s="344">
        <f t="shared" si="338"/>
        <v>72973.71428571429</v>
      </c>
      <c r="AQ229" s="344">
        <f t="shared" si="338"/>
        <v>72521.28571428571</v>
      </c>
      <c r="AR229" s="344">
        <f t="shared" si="338"/>
        <v>70113.71428571429</v>
      </c>
      <c r="AS229" s="344">
        <f t="shared" si="338"/>
        <v>89340.142857142855</v>
      </c>
      <c r="AT229" s="344">
        <f t="shared" si="338"/>
        <v>65088.142857142855</v>
      </c>
      <c r="AU229" s="344">
        <f t="shared" si="338"/>
        <v>0</v>
      </c>
      <c r="AV229" s="344">
        <f t="shared" si="338"/>
        <v>0</v>
      </c>
      <c r="AW229" s="344">
        <f t="shared" si="338"/>
        <v>0</v>
      </c>
      <c r="AX229" s="344">
        <f t="shared" si="338"/>
        <v>0</v>
      </c>
      <c r="AY229" s="344">
        <f t="shared" si="338"/>
        <v>585035.42857142852</v>
      </c>
      <c r="BA229" s="757" t="s">
        <v>48</v>
      </c>
      <c r="BB229" s="757" t="s">
        <v>49</v>
      </c>
      <c r="BC229" s="343" t="s">
        <v>50</v>
      </c>
      <c r="BD229" s="463">
        <f>AM229/V229</f>
        <v>1.3739096748930835</v>
      </c>
      <c r="BE229" s="463">
        <f>AN229/W229</f>
        <v>0.97498614383958071</v>
      </c>
      <c r="BF229" s="463">
        <f t="shared" ref="BF229:BF240" si="339">AO229/X229</f>
        <v>1.0199789371217478</v>
      </c>
      <c r="BG229" s="463">
        <f t="shared" ref="BG229:BG270" si="340">AP229/Y229</f>
        <v>0.90958147646681686</v>
      </c>
      <c r="BH229" s="463">
        <f t="shared" ref="BH229:BH270" si="341">AQ229/Z229</f>
        <v>0.8112301586010201</v>
      </c>
      <c r="BI229" s="463">
        <f t="shared" ref="BI229:BI270" si="342">AR229/AA229</f>
        <v>0.80493827323858069</v>
      </c>
      <c r="BJ229" s="463">
        <f t="shared" ref="BJ229:BJ270" si="343">AS229/AB229</f>
        <v>1.0592221095788221</v>
      </c>
      <c r="BK229" s="463">
        <f t="shared" ref="BK229:BK270" si="344">AT229/AC229</f>
        <v>0.79741190287196662</v>
      </c>
      <c r="BL229" s="463">
        <f t="shared" ref="BL229:BL270" si="345">AU229/AD229</f>
        <v>0</v>
      </c>
      <c r="BM229" s="463">
        <f t="shared" ref="BM229:BM270" si="346">AV229/AE229</f>
        <v>0</v>
      </c>
      <c r="BN229" s="463">
        <f t="shared" ref="BN229:BN270" si="347">AW229/AF229</f>
        <v>0</v>
      </c>
      <c r="BO229" s="463">
        <f t="shared" ref="BO229:BO270" si="348">AX229/AG229</f>
        <v>0</v>
      </c>
      <c r="BP229" s="463">
        <f t="shared" ref="BP229:BP230" si="349">AY229/AH229</f>
        <v>0.62865677496952876</v>
      </c>
    </row>
    <row r="230" spans="2:68">
      <c r="B230" s="769"/>
      <c r="C230" s="769"/>
      <c r="D230" s="182" t="s">
        <v>52</v>
      </c>
      <c r="E230" s="341">
        <f>SUM(E231:E237)</f>
        <v>40483</v>
      </c>
      <c r="F230" s="341">
        <f t="shared" ref="F230:Q230" si="350">SUM(F231:F237)</f>
        <v>37992</v>
      </c>
      <c r="G230" s="341">
        <f t="shared" si="350"/>
        <v>60125</v>
      </c>
      <c r="H230" s="341">
        <f t="shared" si="350"/>
        <v>52789</v>
      </c>
      <c r="I230" s="341">
        <f t="shared" si="350"/>
        <v>56414</v>
      </c>
      <c r="J230" s="341">
        <f t="shared" si="350"/>
        <v>51918</v>
      </c>
      <c r="K230" s="341">
        <f t="shared" si="350"/>
        <v>60726</v>
      </c>
      <c r="L230" s="341">
        <f t="shared" si="350"/>
        <v>65661</v>
      </c>
      <c r="M230" s="341">
        <f t="shared" si="350"/>
        <v>48171</v>
      </c>
      <c r="N230" s="341">
        <f t="shared" si="350"/>
        <v>50828</v>
      </c>
      <c r="O230" s="341">
        <f t="shared" si="350"/>
        <v>56415</v>
      </c>
      <c r="P230" s="341">
        <f t="shared" si="350"/>
        <v>61963</v>
      </c>
      <c r="Q230" s="341">
        <f t="shared" si="350"/>
        <v>643485</v>
      </c>
      <c r="S230" s="769"/>
      <c r="T230" s="769"/>
      <c r="U230" s="182" t="s">
        <v>52</v>
      </c>
      <c r="V230" s="341">
        <v>44741.784328937159</v>
      </c>
      <c r="W230" s="341">
        <v>55128.269976726144</v>
      </c>
      <c r="X230" s="341">
        <v>63881.925406439274</v>
      </c>
      <c r="Y230" s="341" cm="1">
        <f t="array" ref="Y230">INDEX('Research Goals'!$D$121:$D$132, COLUMN()-COLUMN($V$3)+1)</f>
        <v>55927.230411171447</v>
      </c>
      <c r="Z230" s="341" cm="1">
        <f t="array" ref="Z230">INDEX('Research Goals'!$D$121:$D$132, COLUMN()-COLUMN($V$3)+1)</f>
        <v>62318.913886733899</v>
      </c>
      <c r="AA230" s="341" cm="1">
        <f t="array" ref="AA230">INDEX('Research Goals'!$D$121:$D$132, COLUMN()-COLUMN($V$3)+1)</f>
        <v>60720.993017843291</v>
      </c>
      <c r="AB230" s="341" cm="1">
        <f t="array" ref="AB230">INDEX('Research Goals'!$D$121:$D$132, COLUMN()-COLUMN($V$3)+1)</f>
        <v>61885.615237488048</v>
      </c>
      <c r="AC230" s="341" cm="1">
        <f t="array" ref="AC230">INDEX('Research Goals'!$D$121:$D$132, COLUMN()-COLUMN($V$3)+1)</f>
        <v>59889.305068536822</v>
      </c>
      <c r="AD230" s="341" cm="1">
        <f t="array" ref="AD230">INDEX('Research Goals'!$D$121:$D$132, COLUMN()-COLUMN($V$3)+1)</f>
        <v>57125.671062839414</v>
      </c>
      <c r="AE230" s="341" cm="1">
        <f t="array" ref="AE230">INDEX('Research Goals'!$D$121:$D$132, COLUMN()-COLUMN($V$3)+1)</f>
        <v>54728.789759503488</v>
      </c>
      <c r="AF230" s="341" cm="1">
        <f t="array" ref="AF230">INDEX('Research Goals'!$D$121:$D$132, COLUMN()-COLUMN($V$3)+1)</f>
        <v>49508.492189990437</v>
      </c>
      <c r="AG230" s="341" cm="1">
        <f t="array" ref="AG230">INDEX('Research Goals'!$D$121:$D$132, COLUMN()-COLUMN($V$3)+1)</f>
        <v>62284.877271278288</v>
      </c>
      <c r="AH230" s="342">
        <f>SUM(V230:AG230)</f>
        <v>688141.86761748767</v>
      </c>
      <c r="AJ230" s="757"/>
      <c r="AK230" s="757"/>
      <c r="AL230" s="182" t="s">
        <v>52</v>
      </c>
      <c r="AM230" s="341">
        <f>SUM(AM231:AM237)</f>
        <v>59130</v>
      </c>
      <c r="AN230" s="341">
        <f t="shared" ref="AN230:AY230" si="351">SUM(AN231:AN237)</f>
        <v>51542</v>
      </c>
      <c r="AO230" s="341">
        <f t="shared" si="351"/>
        <v>63290</v>
      </c>
      <c r="AP230" s="341">
        <f t="shared" si="351"/>
        <v>58841</v>
      </c>
      <c r="AQ230" s="341">
        <f t="shared" si="351"/>
        <v>57527</v>
      </c>
      <c r="AR230" s="341">
        <f t="shared" si="351"/>
        <v>54306</v>
      </c>
      <c r="AS230" s="341">
        <f t="shared" si="351"/>
        <v>73327</v>
      </c>
      <c r="AT230" s="341">
        <f t="shared" si="351"/>
        <v>53229</v>
      </c>
      <c r="AU230" s="341">
        <f t="shared" si="351"/>
        <v>0</v>
      </c>
      <c r="AV230" s="341">
        <f t="shared" si="351"/>
        <v>0</v>
      </c>
      <c r="AW230" s="341">
        <f t="shared" si="351"/>
        <v>0</v>
      </c>
      <c r="AX230" s="341">
        <f t="shared" si="351"/>
        <v>0</v>
      </c>
      <c r="AY230" s="341">
        <f t="shared" si="351"/>
        <v>471192</v>
      </c>
      <c r="BA230" s="757"/>
      <c r="BB230" s="757"/>
      <c r="BC230" s="182" t="s">
        <v>52</v>
      </c>
      <c r="BD230" s="464">
        <f>AM230/V230</f>
        <v>1.3215834121697541</v>
      </c>
      <c r="BE230" s="464">
        <f t="shared" ref="BE230:BE245" si="352">AN230/W230</f>
        <v>0.93494680717823753</v>
      </c>
      <c r="BF230" s="464">
        <f t="shared" si="339"/>
        <v>0.99073407066751296</v>
      </c>
      <c r="BG230" s="464">
        <f t="shared" si="340"/>
        <v>1.0520993005984169</v>
      </c>
      <c r="BH230" s="464">
        <f t="shared" si="341"/>
        <v>0.92310658854800787</v>
      </c>
      <c r="BI230" s="464">
        <f t="shared" si="342"/>
        <v>0.89435296264080855</v>
      </c>
      <c r="BJ230" s="464">
        <f t="shared" si="343"/>
        <v>1.1848795510653851</v>
      </c>
      <c r="BK230" s="464">
        <f t="shared" si="344"/>
        <v>0.88878974199291805</v>
      </c>
      <c r="BL230" s="464">
        <f t="shared" si="345"/>
        <v>0</v>
      </c>
      <c r="BM230" s="464">
        <f t="shared" si="346"/>
        <v>0</v>
      </c>
      <c r="BN230" s="464">
        <f t="shared" si="347"/>
        <v>0</v>
      </c>
      <c r="BO230" s="464">
        <f t="shared" si="348"/>
        <v>0</v>
      </c>
      <c r="BP230" s="464">
        <f t="shared" si="349"/>
        <v>0.68473089950387678</v>
      </c>
    </row>
    <row r="231" spans="2:68" ht="16" customHeight="1">
      <c r="B231" s="769"/>
      <c r="C231" s="769"/>
      <c r="D231" s="292" t="s">
        <v>99</v>
      </c>
      <c r="E231" s="69">
        <v>6426</v>
      </c>
      <c r="F231" s="69">
        <v>6348</v>
      </c>
      <c r="G231" s="69">
        <v>10002</v>
      </c>
      <c r="H231" s="69">
        <v>8703</v>
      </c>
      <c r="I231" s="69">
        <v>8872</v>
      </c>
      <c r="J231" s="69">
        <v>8787</v>
      </c>
      <c r="K231" s="69">
        <v>10402</v>
      </c>
      <c r="L231" s="69">
        <v>11109</v>
      </c>
      <c r="M231" s="69">
        <v>8038</v>
      </c>
      <c r="N231" s="69">
        <v>8415</v>
      </c>
      <c r="O231" s="69">
        <v>9055</v>
      </c>
      <c r="P231" s="69">
        <v>9674</v>
      </c>
      <c r="Q231" s="69">
        <f>SUM(E231:P231)</f>
        <v>105831</v>
      </c>
      <c r="S231" s="769"/>
      <c r="T231" s="769"/>
      <c r="U231" s="292" t="s">
        <v>99</v>
      </c>
      <c r="V231" s="69">
        <v>5273.138867339022</v>
      </c>
      <c r="W231" s="69">
        <v>5793.1402348424081</v>
      </c>
      <c r="X231" s="69">
        <v>6803.0102380883382</v>
      </c>
      <c r="Y231" s="69">
        <f>Y$230*'Region OP Sales Goals'!V27</f>
        <v>5912.3072148952679</v>
      </c>
      <c r="Z231" s="69">
        <f>Z$230*'Region OP Sales Goals'!W27</f>
        <v>6551.4755624515128</v>
      </c>
      <c r="AA231" s="69">
        <f>AA$230*'Region OP Sales Goals'!X27</f>
        <v>6419.0764047434341</v>
      </c>
      <c r="AB231" s="69">
        <f>AB$230*'Region OP Sales Goals'!Y27</f>
        <v>6514.2752881566366</v>
      </c>
      <c r="AC231" s="69">
        <f>AC$230*'Region OP Sales Goals'!Z27</f>
        <v>6312.6564801971244</v>
      </c>
      <c r="AD231" s="69">
        <f>AD$230*'Region OP Sales Goals'!AA27</f>
        <v>6025.5844819707327</v>
      </c>
      <c r="AE231" s="69">
        <f>AE$230*'Region OP Sales Goals'!AB27</f>
        <v>5807.9531989677171</v>
      </c>
      <c r="AF231" s="69">
        <f>AF$230*'Region OP Sales Goals'!AC27</f>
        <v>5211.4202305253084</v>
      </c>
      <c r="AG231" s="69">
        <f>AG$230*'Region OP Sales Goals'!AD27</f>
        <v>6547.8973541600253</v>
      </c>
      <c r="AH231" s="69">
        <f>AH$230*'Region OP Sales Goals'!AE27</f>
        <v>72410.857947723605</v>
      </c>
      <c r="AJ231" s="757"/>
      <c r="AK231" s="757"/>
      <c r="AL231" s="292" t="s">
        <v>99</v>
      </c>
      <c r="AM231" s="69">
        <v>8898</v>
      </c>
      <c r="AN231" s="69">
        <v>8076</v>
      </c>
      <c r="AO231" s="69">
        <v>10399</v>
      </c>
      <c r="AP231" s="69">
        <v>8887</v>
      </c>
      <c r="AQ231" s="69">
        <v>8883</v>
      </c>
      <c r="AR231" s="69">
        <v>8592</v>
      </c>
      <c r="AS231" s="69">
        <v>11912</v>
      </c>
      <c r="AT231" s="69">
        <v>8582</v>
      </c>
      <c r="AU231" s="69"/>
      <c r="AV231" s="69"/>
      <c r="AW231" s="69"/>
      <c r="AX231" s="69"/>
      <c r="AY231" s="69">
        <f>SUM(AM231:AX231)</f>
        <v>74229</v>
      </c>
      <c r="BA231" s="757"/>
      <c r="BB231" s="757"/>
      <c r="BC231" s="292" t="s">
        <v>99</v>
      </c>
      <c r="BD231" s="465">
        <f>AM231/V231</f>
        <v>1.6874200023657233</v>
      </c>
      <c r="BE231" s="465">
        <f t="shared" si="352"/>
        <v>1.3940625761875232</v>
      </c>
      <c r="BF231" s="465">
        <f t="shared" si="339"/>
        <v>1.5285880273674473</v>
      </c>
      <c r="BG231" s="465">
        <f t="shared" si="340"/>
        <v>1.5031356925449326</v>
      </c>
      <c r="BH231" s="465">
        <f t="shared" si="341"/>
        <v>1.3558777584260802</v>
      </c>
      <c r="BI231" s="465">
        <f t="shared" si="342"/>
        <v>1.3385103180343616</v>
      </c>
      <c r="BJ231" s="465">
        <f t="shared" si="343"/>
        <v>1.8285994179055907</v>
      </c>
      <c r="BK231" s="465">
        <f t="shared" si="344"/>
        <v>1.3594910521302452</v>
      </c>
      <c r="BL231" s="465">
        <f t="shared" si="345"/>
        <v>0</v>
      </c>
      <c r="BM231" s="465">
        <f t="shared" si="346"/>
        <v>0</v>
      </c>
      <c r="BN231" s="465">
        <f t="shared" si="347"/>
        <v>0</v>
      </c>
      <c r="BO231" s="465">
        <f t="shared" si="348"/>
        <v>0</v>
      </c>
      <c r="BP231" s="465">
        <f>AY231/AH231</f>
        <v>1.0251086936932716</v>
      </c>
    </row>
    <row r="232" spans="2:68" ht="16" customHeight="1">
      <c r="B232" s="769"/>
      <c r="C232" s="769"/>
      <c r="D232" s="292" t="s">
        <v>100</v>
      </c>
      <c r="E232" s="69">
        <v>9737</v>
      </c>
      <c r="F232" s="69">
        <v>9054</v>
      </c>
      <c r="G232" s="69">
        <v>13757</v>
      </c>
      <c r="H232" s="69">
        <v>12734</v>
      </c>
      <c r="I232" s="69">
        <v>13796</v>
      </c>
      <c r="J232" s="69">
        <v>12883</v>
      </c>
      <c r="K232" s="69">
        <v>15064</v>
      </c>
      <c r="L232" s="69">
        <v>16054</v>
      </c>
      <c r="M232" s="69">
        <v>11597</v>
      </c>
      <c r="N232" s="69">
        <v>11414</v>
      </c>
      <c r="O232" s="69">
        <v>11946</v>
      </c>
      <c r="P232" s="69">
        <v>13192</v>
      </c>
      <c r="Q232" s="69">
        <f t="shared" ref="Q232:Q237" si="353">SUM(E232:P232)</f>
        <v>151228</v>
      </c>
      <c r="S232" s="769"/>
      <c r="T232" s="769"/>
      <c r="U232" s="292" t="s">
        <v>100</v>
      </c>
      <c r="V232" s="69">
        <v>9667.4212567882078</v>
      </c>
      <c r="W232" s="69">
        <v>10745.340758175435</v>
      </c>
      <c r="X232" s="69">
        <v>13191.202778732266</v>
      </c>
      <c r="Y232" s="69">
        <f>Y$230*'Region OP Sales Goals'!V28</f>
        <v>11345.23816912335</v>
      </c>
      <c r="Z232" s="69">
        <f>Z$230*'Region OP Sales Goals'!W28</f>
        <v>12703.470907680372</v>
      </c>
      <c r="AA232" s="69">
        <f>AA$230*'Region OP Sales Goals'!X28</f>
        <v>12317.68715504821</v>
      </c>
      <c r="AB232" s="69">
        <f>AB$230*'Region OP Sales Goals'!Y28</f>
        <v>12621.408370803483</v>
      </c>
      <c r="AC232" s="69">
        <f>AC$230*'Region OP Sales Goals'!Z28</f>
        <v>12220.655493714947</v>
      </c>
      <c r="AD232" s="69">
        <f>AD$230*'Region OP Sales Goals'!AA28</f>
        <v>11659.897244332977</v>
      </c>
      <c r="AE232" s="69">
        <f>AE$230*'Region OP Sales Goals'!AB28</f>
        <v>11169.14076724561</v>
      </c>
      <c r="AF232" s="69">
        <f>AF$230*'Region OP Sales Goals'!AC28</f>
        <v>10050.596158870238</v>
      </c>
      <c r="AG232" s="69">
        <f>AG$230*'Region OP Sales Goals'!AD28</f>
        <v>12696.532674529804</v>
      </c>
      <c r="AH232" s="69">
        <f>AH$230*'Region OP Sales Goals'!AE28</f>
        <v>142116.25526882897</v>
      </c>
      <c r="AJ232" s="757"/>
      <c r="AK232" s="757"/>
      <c r="AL232" s="292" t="s">
        <v>100</v>
      </c>
      <c r="AM232" s="69">
        <v>12684</v>
      </c>
      <c r="AN232" s="69">
        <v>11281</v>
      </c>
      <c r="AO232" s="69">
        <v>13528</v>
      </c>
      <c r="AP232" s="69">
        <v>13018</v>
      </c>
      <c r="AQ232" s="69">
        <v>12982</v>
      </c>
      <c r="AR232" s="69">
        <v>12141</v>
      </c>
      <c r="AS232" s="69">
        <v>15833</v>
      </c>
      <c r="AT232" s="69">
        <v>11792</v>
      </c>
      <c r="AU232" s="69"/>
      <c r="AV232" s="69"/>
      <c r="AW232" s="69"/>
      <c r="AX232" s="69"/>
      <c r="AY232" s="69">
        <f t="shared" ref="AY232:AY237" si="354">SUM(AM232:AX232)</f>
        <v>103259</v>
      </c>
      <c r="BA232" s="757"/>
      <c r="BB232" s="757"/>
      <c r="BC232" s="292" t="s">
        <v>100</v>
      </c>
      <c r="BD232" s="465">
        <f>AM232/V232</f>
        <v>1.3120355121686282</v>
      </c>
      <c r="BE232" s="465">
        <f t="shared" si="352"/>
        <v>1.0498503727224302</v>
      </c>
      <c r="BF232" s="465">
        <f t="shared" si="339"/>
        <v>1.0255319569350219</v>
      </c>
      <c r="BG232" s="465">
        <f t="shared" si="340"/>
        <v>1.147441755381492</v>
      </c>
      <c r="BH232" s="465">
        <f t="shared" si="341"/>
        <v>1.0219254323754332</v>
      </c>
      <c r="BI232" s="465">
        <f t="shared" si="342"/>
        <v>0.98565581729555474</v>
      </c>
      <c r="BJ232" s="465">
        <f t="shared" si="343"/>
        <v>1.254455884386543</v>
      </c>
      <c r="BK232" s="465">
        <f t="shared" si="344"/>
        <v>0.96492369055527316</v>
      </c>
      <c r="BL232" s="465">
        <f t="shared" si="345"/>
        <v>0</v>
      </c>
      <c r="BM232" s="465">
        <f t="shared" si="346"/>
        <v>0</v>
      </c>
      <c r="BN232" s="465">
        <f t="shared" si="347"/>
        <v>0</v>
      </c>
      <c r="BO232" s="465">
        <f t="shared" si="348"/>
        <v>0</v>
      </c>
      <c r="BP232" s="465">
        <f t="shared" ref="BP232:BP238" si="355">AY232/AH232</f>
        <v>0.72658120497668566</v>
      </c>
    </row>
    <row r="233" spans="2:68" ht="16" customHeight="1">
      <c r="B233" s="769"/>
      <c r="C233" s="769"/>
      <c r="D233" s="292" t="s">
        <v>101</v>
      </c>
      <c r="E233" s="69">
        <v>4023</v>
      </c>
      <c r="F233" s="69">
        <v>3601</v>
      </c>
      <c r="G233" s="69">
        <v>5383</v>
      </c>
      <c r="H233" s="69">
        <v>4852</v>
      </c>
      <c r="I233" s="69">
        <v>5326</v>
      </c>
      <c r="J233" s="69">
        <v>4560</v>
      </c>
      <c r="K233" s="69">
        <v>5386</v>
      </c>
      <c r="L233" s="69">
        <v>5563</v>
      </c>
      <c r="M233" s="69">
        <v>4455</v>
      </c>
      <c r="N233" s="69">
        <v>4384</v>
      </c>
      <c r="O233" s="69">
        <v>5241</v>
      </c>
      <c r="P233" s="69">
        <v>5760</v>
      </c>
      <c r="Q233" s="69">
        <f t="shared" si="353"/>
        <v>58534</v>
      </c>
      <c r="S233" s="769"/>
      <c r="T233" s="769"/>
      <c r="U233" s="292" t="s">
        <v>101</v>
      </c>
      <c r="V233" s="69">
        <v>3595.3219550038793</v>
      </c>
      <c r="W233" s="69">
        <v>5139.0760147795554</v>
      </c>
      <c r="X233" s="69">
        <v>4894.8488298440479</v>
      </c>
      <c r="Y233" s="69">
        <f>Y$230*'Region OP Sales Goals'!V29</f>
        <v>4633.970519782777</v>
      </c>
      <c r="Z233" s="69">
        <f>Z$230*'Region OP Sales Goals'!W29</f>
        <v>5193.2428238944913</v>
      </c>
      <c r="AA233" s="69">
        <f>AA$230*'Region OP Sales Goals'!X29</f>
        <v>5031.1679929070151</v>
      </c>
      <c r="AB233" s="69">
        <f>AB$230*'Region OP Sales Goals'!Y29</f>
        <v>5129.9917894233513</v>
      </c>
      <c r="AC233" s="69">
        <f>AC$230*'Region OP Sales Goals'!Z29</f>
        <v>4936.8210934874951</v>
      </c>
      <c r="AD233" s="69">
        <f>AD$230*'Region OP Sales Goals'!AA29</f>
        <v>4695.2606353018691</v>
      </c>
      <c r="AE233" s="69">
        <f>AE$230*'Region OP Sales Goals'!AB29</f>
        <v>4542.1172453465479</v>
      </c>
      <c r="AF233" s="69">
        <f>AF$230*'Region OP Sales Goals'!AC29</f>
        <v>4094.6873239841711</v>
      </c>
      <c r="AG233" s="69">
        <f>AG$230*'Region OP Sales Goals'!AD29</f>
        <v>5190.4064392731907</v>
      </c>
      <c r="AH233" s="69">
        <f>AH$230*'Region OP Sales Goals'!AE29</f>
        <v>55143.653360189521</v>
      </c>
      <c r="AJ233" s="757"/>
      <c r="AK233" s="757"/>
      <c r="AL233" s="292" t="s">
        <v>101</v>
      </c>
      <c r="AM233" s="69">
        <v>5233</v>
      </c>
      <c r="AN233" s="69">
        <v>4549</v>
      </c>
      <c r="AO233" s="69">
        <v>5629</v>
      </c>
      <c r="AP233" s="69">
        <v>5118</v>
      </c>
      <c r="AQ233" s="69">
        <v>5463</v>
      </c>
      <c r="AR233" s="69">
        <v>5083</v>
      </c>
      <c r="AS233" s="69">
        <v>6547</v>
      </c>
      <c r="AT233" s="69">
        <v>4294</v>
      </c>
      <c r="AU233" s="69"/>
      <c r="AV233" s="69"/>
      <c r="AW233" s="69"/>
      <c r="AX233" s="69"/>
      <c r="AY233" s="69">
        <f t="shared" si="354"/>
        <v>41916</v>
      </c>
      <c r="BA233" s="757"/>
      <c r="BB233" s="757"/>
      <c r="BC233" s="292" t="s">
        <v>101</v>
      </c>
      <c r="BD233" s="465">
        <f t="shared" ref="BD233:BD237" si="356">AM233/V233</f>
        <v>1.4555024739069171</v>
      </c>
      <c r="BE233" s="465">
        <f t="shared" si="352"/>
        <v>0.88517857819527368</v>
      </c>
      <c r="BF233" s="465">
        <f t="shared" si="339"/>
        <v>1.1499844419463598</v>
      </c>
      <c r="BG233" s="465">
        <f t="shared" si="340"/>
        <v>1.1044524297577776</v>
      </c>
      <c r="BH233" s="465">
        <f t="shared" si="341"/>
        <v>1.0519438788543327</v>
      </c>
      <c r="BI233" s="465">
        <f t="shared" si="342"/>
        <v>1.010302181753036</v>
      </c>
      <c r="BJ233" s="465">
        <f t="shared" si="343"/>
        <v>1.2762203661803386</v>
      </c>
      <c r="BK233" s="465">
        <f t="shared" si="344"/>
        <v>0.86979048231351042</v>
      </c>
      <c r="BL233" s="465">
        <f t="shared" si="345"/>
        <v>0</v>
      </c>
      <c r="BM233" s="465">
        <f t="shared" si="346"/>
        <v>0</v>
      </c>
      <c r="BN233" s="465">
        <f t="shared" si="347"/>
        <v>0</v>
      </c>
      <c r="BO233" s="465">
        <f t="shared" si="348"/>
        <v>0</v>
      </c>
      <c r="BP233" s="465">
        <f t="shared" si="355"/>
        <v>0.76012373946665079</v>
      </c>
    </row>
    <row r="234" spans="2:68" ht="16" customHeight="1">
      <c r="B234" s="769"/>
      <c r="C234" s="769"/>
      <c r="D234" s="292" t="s">
        <v>102</v>
      </c>
      <c r="E234" s="69">
        <v>2422</v>
      </c>
      <c r="F234" s="69">
        <v>2171</v>
      </c>
      <c r="G234" s="69">
        <v>3562</v>
      </c>
      <c r="H234" s="69">
        <v>3051</v>
      </c>
      <c r="I234" s="69">
        <v>3174</v>
      </c>
      <c r="J234" s="69">
        <v>3052</v>
      </c>
      <c r="K234" s="69">
        <v>3400</v>
      </c>
      <c r="L234" s="69">
        <v>4006</v>
      </c>
      <c r="M234" s="69">
        <v>2780</v>
      </c>
      <c r="N234" s="69">
        <v>3156</v>
      </c>
      <c r="O234" s="69">
        <v>3487</v>
      </c>
      <c r="P234" s="69">
        <v>3702</v>
      </c>
      <c r="Q234" s="69">
        <f t="shared" si="353"/>
        <v>37963</v>
      </c>
      <c r="S234" s="769"/>
      <c r="T234" s="769"/>
      <c r="U234" s="292" t="s">
        <v>102</v>
      </c>
      <c r="V234" s="69">
        <v>1757.7129557796741</v>
      </c>
      <c r="W234" s="69">
        <v>1868.754914465293</v>
      </c>
      <c r="X234" s="69">
        <v>2737.7968031331116</v>
      </c>
      <c r="Y234" s="69">
        <f>Y$230*'Region OP Sales Goals'!V30</f>
        <v>2316.9852598913885</v>
      </c>
      <c r="Z234" s="69">
        <f>Z$230*'Region OP Sales Goals'!W30</f>
        <v>2556.6733902249803</v>
      </c>
      <c r="AA234" s="69">
        <f>AA$230*'Region OP Sales Goals'!X30</f>
        <v>2515.5839964535076</v>
      </c>
      <c r="AB234" s="69">
        <f>AB$230*'Region OP Sales Goals'!Y30</f>
        <v>2524.2816741606966</v>
      </c>
      <c r="AC234" s="69">
        <f>AC$230*'Region OP Sales Goals'!Z30</f>
        <v>2427.9448000758171</v>
      </c>
      <c r="AD234" s="69">
        <f>AD$230*'Region OP Sales Goals'!AA30</f>
        <v>2347.6303176509346</v>
      </c>
      <c r="AE234" s="69">
        <f>AE$230*'Region OP Sales Goals'!AB30</f>
        <v>2233.8281534491216</v>
      </c>
      <c r="AF234" s="69">
        <f>AF$230*'Region OP Sales Goals'!AC30</f>
        <v>2010.1192317740479</v>
      </c>
      <c r="AG234" s="69">
        <f>AG$230*'Region OP Sales Goals'!AD30</f>
        <v>2555.2770162575707</v>
      </c>
      <c r="AH234" s="69">
        <f>AH$230*'Region OP Sales Goals'!AE30</f>
        <v>27611.612865780324</v>
      </c>
      <c r="AJ234" s="757"/>
      <c r="AK234" s="757"/>
      <c r="AL234" s="292" t="s">
        <v>102</v>
      </c>
      <c r="AM234" s="69">
        <v>3646</v>
      </c>
      <c r="AN234" s="69">
        <v>3251</v>
      </c>
      <c r="AO234" s="69">
        <v>3777</v>
      </c>
      <c r="AP234" s="69">
        <v>3788</v>
      </c>
      <c r="AQ234" s="69">
        <v>3616</v>
      </c>
      <c r="AR234" s="69">
        <v>3257</v>
      </c>
      <c r="AS234" s="69">
        <v>4626</v>
      </c>
      <c r="AT234" s="69">
        <v>3393</v>
      </c>
      <c r="AU234" s="69"/>
      <c r="AV234" s="69"/>
      <c r="AW234" s="69"/>
      <c r="AX234" s="69"/>
      <c r="AY234" s="69">
        <f t="shared" si="354"/>
        <v>29354</v>
      </c>
      <c r="BA234" s="757"/>
      <c r="BB234" s="757"/>
      <c r="BC234" s="292" t="s">
        <v>102</v>
      </c>
      <c r="BD234" s="465">
        <f t="shared" si="356"/>
        <v>2.0742863548973118</v>
      </c>
      <c r="BE234" s="465">
        <f t="shared" si="352"/>
        <v>1.7396609768543185</v>
      </c>
      <c r="BF234" s="465">
        <f t="shared" si="339"/>
        <v>1.3795764520133975</v>
      </c>
      <c r="BG234" s="465">
        <f t="shared" si="340"/>
        <v>1.6348830808606729</v>
      </c>
      <c r="BH234" s="465">
        <f t="shared" si="341"/>
        <v>1.414337871166955</v>
      </c>
      <c r="BI234" s="465">
        <f t="shared" si="342"/>
        <v>1.2947291780325154</v>
      </c>
      <c r="BJ234" s="465">
        <f t="shared" si="343"/>
        <v>1.8326005561713345</v>
      </c>
      <c r="BK234" s="465">
        <f t="shared" si="344"/>
        <v>1.3974782292801908</v>
      </c>
      <c r="BL234" s="465">
        <f t="shared" si="345"/>
        <v>0</v>
      </c>
      <c r="BM234" s="465">
        <f t="shared" si="346"/>
        <v>0</v>
      </c>
      <c r="BN234" s="465">
        <f t="shared" si="347"/>
        <v>0</v>
      </c>
      <c r="BO234" s="465">
        <f t="shared" si="348"/>
        <v>0</v>
      </c>
      <c r="BP234" s="465">
        <f t="shared" si="355"/>
        <v>1.0631034174892062</v>
      </c>
    </row>
    <row r="235" spans="2:68" ht="16" customHeight="1">
      <c r="B235" s="769"/>
      <c r="C235" s="769"/>
      <c r="D235" s="292" t="s">
        <v>103</v>
      </c>
      <c r="E235" s="69">
        <v>5191</v>
      </c>
      <c r="F235" s="69">
        <v>5034</v>
      </c>
      <c r="G235" s="69">
        <v>7982</v>
      </c>
      <c r="H235" s="69">
        <v>6986</v>
      </c>
      <c r="I235" s="69">
        <v>7554</v>
      </c>
      <c r="J235" s="69">
        <v>6872</v>
      </c>
      <c r="K235" s="69">
        <v>7594</v>
      </c>
      <c r="L235" s="69">
        <v>8188</v>
      </c>
      <c r="M235" s="69">
        <v>6038</v>
      </c>
      <c r="N235" s="69">
        <v>6842</v>
      </c>
      <c r="O235" s="69">
        <v>7529</v>
      </c>
      <c r="P235" s="69">
        <v>8571</v>
      </c>
      <c r="Q235" s="69">
        <f t="shared" si="353"/>
        <v>84381</v>
      </c>
      <c r="S235" s="769"/>
      <c r="T235" s="769"/>
      <c r="U235" s="292" t="s">
        <v>103</v>
      </c>
      <c r="V235" s="69">
        <v>4554.0744763382463</v>
      </c>
      <c r="W235" s="69">
        <v>7568.4574035844371</v>
      </c>
      <c r="X235" s="69">
        <v>7549.682093488278</v>
      </c>
      <c r="Y235" s="69">
        <f>Y$230*'Region OP Sales Goals'!V31</f>
        <v>6391.6834755624513</v>
      </c>
      <c r="Z235" s="69">
        <f>Z$230*'Region OP Sales Goals'!W31</f>
        <v>7110.747866563227</v>
      </c>
      <c r="AA235" s="69">
        <f>AA$230*'Region OP Sales Goals'!X31</f>
        <v>6939.5420591820903</v>
      </c>
      <c r="AB235" s="69">
        <f>AB$230*'Region OP Sales Goals'!Y31</f>
        <v>7002.8459347683847</v>
      </c>
      <c r="AC235" s="69">
        <f>AC$230*'Region OP Sales Goals'!Z31</f>
        <v>6798.2454402122885</v>
      </c>
      <c r="AD235" s="69">
        <f>AD$230*'Region OP Sales Goals'!AA31</f>
        <v>6495.1105455009201</v>
      </c>
      <c r="AE235" s="69">
        <f>AE$230*'Region OP Sales Goals'!AB31</f>
        <v>6254.7188296575414</v>
      </c>
      <c r="AF235" s="69">
        <f>AF$230*'Region OP Sales Goals'!AC31</f>
        <v>5658.1133931417644</v>
      </c>
      <c r="AG235" s="69">
        <f>AG$230*'Region OP Sales Goals'!AD31</f>
        <v>7106.8642014663683</v>
      </c>
      <c r="AH235" s="69">
        <f>AH$230*'Region OP Sales Goals'!AE31</f>
        <v>74877.601460228485</v>
      </c>
      <c r="AJ235" s="757"/>
      <c r="AK235" s="757"/>
      <c r="AL235" s="292" t="s">
        <v>103</v>
      </c>
      <c r="AM235" s="69">
        <v>7966</v>
      </c>
      <c r="AN235" s="69">
        <v>6705</v>
      </c>
      <c r="AO235" s="69">
        <v>8566</v>
      </c>
      <c r="AP235" s="69">
        <v>8034</v>
      </c>
      <c r="AQ235" s="69">
        <v>7763</v>
      </c>
      <c r="AR235" s="69">
        <v>7259</v>
      </c>
      <c r="AS235" s="69">
        <v>10310</v>
      </c>
      <c r="AT235" s="69">
        <v>7229</v>
      </c>
      <c r="AU235" s="69"/>
      <c r="AV235" s="69"/>
      <c r="AW235" s="69"/>
      <c r="AX235" s="69"/>
      <c r="AY235" s="69">
        <f t="shared" si="354"/>
        <v>63832</v>
      </c>
      <c r="BA235" s="757"/>
      <c r="BB235" s="757"/>
      <c r="BC235" s="292" t="s">
        <v>103</v>
      </c>
      <c r="BD235" s="465">
        <f t="shared" si="356"/>
        <v>1.7492028383350353</v>
      </c>
      <c r="BE235" s="465">
        <f t="shared" si="352"/>
        <v>0.88591368656240277</v>
      </c>
      <c r="BF235" s="465">
        <f t="shared" si="339"/>
        <v>1.1346173115538616</v>
      </c>
      <c r="BG235" s="465">
        <f t="shared" si="340"/>
        <v>1.2569458470083312</v>
      </c>
      <c r="BH235" s="465">
        <f t="shared" si="341"/>
        <v>1.0917276418284847</v>
      </c>
      <c r="BI235" s="465">
        <f t="shared" si="342"/>
        <v>1.0460344411912912</v>
      </c>
      <c r="BJ235" s="465">
        <f t="shared" si="343"/>
        <v>1.4722585783034219</v>
      </c>
      <c r="BK235" s="465">
        <f t="shared" si="344"/>
        <v>1.0633626078340386</v>
      </c>
      <c r="BL235" s="465">
        <f t="shared" si="345"/>
        <v>0</v>
      </c>
      <c r="BM235" s="465">
        <f t="shared" si="346"/>
        <v>0</v>
      </c>
      <c r="BN235" s="465">
        <f t="shared" si="347"/>
        <v>0</v>
      </c>
      <c r="BO235" s="465">
        <f t="shared" si="348"/>
        <v>0</v>
      </c>
      <c r="BP235" s="465">
        <f t="shared" si="355"/>
        <v>0.85248457155648349</v>
      </c>
    </row>
    <row r="236" spans="2:68" ht="16" customHeight="1">
      <c r="B236" s="769"/>
      <c r="C236" s="769"/>
      <c r="D236" s="292" t="s">
        <v>104</v>
      </c>
      <c r="E236" s="69">
        <v>6940</v>
      </c>
      <c r="F236" s="69">
        <v>6422</v>
      </c>
      <c r="G236" s="69">
        <v>10285</v>
      </c>
      <c r="H236" s="69">
        <v>8743</v>
      </c>
      <c r="I236" s="69">
        <v>9400</v>
      </c>
      <c r="J236" s="69">
        <v>8317</v>
      </c>
      <c r="K236" s="69">
        <v>10057</v>
      </c>
      <c r="L236" s="69">
        <v>11323</v>
      </c>
      <c r="M236" s="69">
        <v>7867</v>
      </c>
      <c r="N236" s="69">
        <v>8802</v>
      </c>
      <c r="O236" s="69">
        <v>10217</v>
      </c>
      <c r="P236" s="69">
        <v>11632</v>
      </c>
      <c r="Q236" s="69">
        <f t="shared" si="353"/>
        <v>110005</v>
      </c>
      <c r="S236" s="769"/>
      <c r="T236" s="769"/>
      <c r="U236" s="292" t="s">
        <v>104</v>
      </c>
      <c r="V236" s="69">
        <v>13023.055081458495</v>
      </c>
      <c r="W236" s="69">
        <v>14576.288332829285</v>
      </c>
      <c r="X236" s="69">
        <v>18169.015148065195</v>
      </c>
      <c r="Y236" s="69">
        <f>Y$230*'Region OP Sales Goals'!V32</f>
        <v>15899.312645461598</v>
      </c>
      <c r="Z236" s="69">
        <f>Z$230*'Region OP Sales Goals'!W32</f>
        <v>17736.921644685801</v>
      </c>
      <c r="AA236" s="69">
        <f>AA$230*'Region OP Sales Goals'!X32</f>
        <v>17262.110872215453</v>
      </c>
      <c r="AB236" s="69">
        <f>AB$230*'Region OP Sales Goals'!Y32</f>
        <v>17588.54327802292</v>
      </c>
      <c r="AC236" s="69">
        <f>AC$230*'Region OP Sales Goals'!Z32</f>
        <v>17076.545093866578</v>
      </c>
      <c r="AD236" s="69">
        <f>AD$230*'Region OP Sales Goals'!AA32</f>
        <v>16276.903535713147</v>
      </c>
      <c r="AE236" s="69">
        <f>AE$230*'Region OP Sales Goals'!AB32</f>
        <v>15562.33613569555</v>
      </c>
      <c r="AF236" s="69">
        <f>AF$230*'Region OP Sales Goals'!AC32</f>
        <v>14070.834622418335</v>
      </c>
      <c r="AG236" s="69">
        <f>AG$230*'Region OP Sales Goals'!AD32</f>
        <v>17727.234300286898</v>
      </c>
      <c r="AH236" s="69">
        <f>AH$230*'Region OP Sales Goals'!AE32</f>
        <v>198771.78368506985</v>
      </c>
      <c r="AJ236" s="757"/>
      <c r="AK236" s="757"/>
      <c r="AL236" s="292" t="s">
        <v>104</v>
      </c>
      <c r="AM236" s="69">
        <v>11462</v>
      </c>
      <c r="AN236" s="69">
        <v>9714</v>
      </c>
      <c r="AO236" s="69">
        <v>11991</v>
      </c>
      <c r="AP236" s="69">
        <v>10802</v>
      </c>
      <c r="AQ236" s="156">
        <v>10640</v>
      </c>
      <c r="AR236" s="156">
        <v>9952</v>
      </c>
      <c r="AS236" s="156">
        <v>13399</v>
      </c>
      <c r="AT236" s="156">
        <v>10322</v>
      </c>
      <c r="AU236" s="69"/>
      <c r="AV236" s="69"/>
      <c r="AW236" s="69"/>
      <c r="AX236" s="69"/>
      <c r="AY236" s="69">
        <f t="shared" si="354"/>
        <v>88282</v>
      </c>
      <c r="BA236" s="757"/>
      <c r="BB236" s="757"/>
      <c r="BC236" s="292" t="s">
        <v>104</v>
      </c>
      <c r="BD236" s="465">
        <f t="shared" si="356"/>
        <v>0.88013142294997748</v>
      </c>
      <c r="BE236" s="465">
        <f t="shared" si="352"/>
        <v>0.66642479746519223</v>
      </c>
      <c r="BF236" s="465">
        <f t="shared" si="339"/>
        <v>0.65996972880926419</v>
      </c>
      <c r="BG236" s="465">
        <f t="shared" si="340"/>
        <v>0.67940043955820895</v>
      </c>
      <c r="BH236" s="465">
        <f t="shared" si="341"/>
        <v>0.59987861553122857</v>
      </c>
      <c r="BI236" s="465">
        <f t="shared" si="342"/>
        <v>0.57652277138472241</v>
      </c>
      <c r="BJ236" s="465">
        <f t="shared" si="343"/>
        <v>0.76180271374390618</v>
      </c>
      <c r="BK236" s="465">
        <f t="shared" si="344"/>
        <v>0.60445482053084476</v>
      </c>
      <c r="BL236" s="465">
        <f t="shared" si="345"/>
        <v>0</v>
      </c>
      <c r="BM236" s="465">
        <f t="shared" si="346"/>
        <v>0</v>
      </c>
      <c r="BN236" s="465">
        <f t="shared" si="347"/>
        <v>0</v>
      </c>
      <c r="BO236" s="465">
        <f t="shared" si="348"/>
        <v>0</v>
      </c>
      <c r="BP236" s="465">
        <f t="shared" si="355"/>
        <v>0.44413748452281476</v>
      </c>
    </row>
    <row r="237" spans="2:68" ht="16" customHeight="1">
      <c r="B237" s="769"/>
      <c r="C237" s="769"/>
      <c r="D237" s="292" t="s">
        <v>105</v>
      </c>
      <c r="E237" s="69">
        <v>5744</v>
      </c>
      <c r="F237" s="69">
        <v>5362</v>
      </c>
      <c r="G237" s="69">
        <v>9154</v>
      </c>
      <c r="H237" s="69">
        <v>7720</v>
      </c>
      <c r="I237" s="69">
        <v>8292</v>
      </c>
      <c r="J237" s="69">
        <v>7447</v>
      </c>
      <c r="K237" s="69">
        <v>8823</v>
      </c>
      <c r="L237" s="69">
        <v>9418</v>
      </c>
      <c r="M237" s="69">
        <v>7396</v>
      </c>
      <c r="N237" s="69">
        <v>7815</v>
      </c>
      <c r="O237" s="69">
        <v>8940</v>
      </c>
      <c r="P237" s="69">
        <v>9432</v>
      </c>
      <c r="Q237" s="69">
        <f t="shared" si="353"/>
        <v>95543</v>
      </c>
      <c r="S237" s="769"/>
      <c r="T237" s="769"/>
      <c r="U237" s="292" t="s">
        <v>105</v>
      </c>
      <c r="V237" s="69">
        <v>6871.0597362296357</v>
      </c>
      <c r="W237" s="69">
        <v>9437.2123180497292</v>
      </c>
      <c r="X237" s="69">
        <v>10536.369515088036</v>
      </c>
      <c r="Y237" s="69">
        <f>Y$230*'Region OP Sales Goals'!V33</f>
        <v>9427.7331264546156</v>
      </c>
      <c r="Z237" s="69">
        <f>Z$230*'Region OP Sales Goals'!W33</f>
        <v>10466.381691233513</v>
      </c>
      <c r="AA237" s="69">
        <f>AA$230*'Region OP Sales Goals'!X33</f>
        <v>10235.824537293583</v>
      </c>
      <c r="AB237" s="69">
        <f>AB$230*'Region OP Sales Goals'!Y33</f>
        <v>10504.268902152577</v>
      </c>
      <c r="AC237" s="69">
        <f>AC$230*'Region OP Sales Goals'!Z33</f>
        <v>10116.43666698257</v>
      </c>
      <c r="AD237" s="69">
        <f>AD$230*'Region OP Sales Goals'!AA33</f>
        <v>9625.2843023688329</v>
      </c>
      <c r="AE237" s="69">
        <f>AE$230*'Region OP Sales Goals'!AB33</f>
        <v>9158.6954291414004</v>
      </c>
      <c r="AF237" s="69">
        <f>AF$230*'Region OP Sales Goals'!AC33</f>
        <v>8412.7212292765707</v>
      </c>
      <c r="AG237" s="69">
        <f>AG$230*'Region OP Sales Goals'!AD33</f>
        <v>10460.665285304429</v>
      </c>
      <c r="AH237" s="69">
        <f>AH$230*'Region OP Sales Goals'!AE33</f>
        <v>116493.95168732677</v>
      </c>
      <c r="AJ237" s="757"/>
      <c r="AK237" s="757"/>
      <c r="AL237" s="292" t="s">
        <v>105</v>
      </c>
      <c r="AM237" s="69">
        <v>9241</v>
      </c>
      <c r="AN237" s="69">
        <v>7966</v>
      </c>
      <c r="AO237" s="69">
        <v>9400</v>
      </c>
      <c r="AP237" s="69">
        <v>9194</v>
      </c>
      <c r="AQ237" s="69">
        <v>8180</v>
      </c>
      <c r="AR237" s="69">
        <v>8022</v>
      </c>
      <c r="AS237" s="69">
        <v>10700</v>
      </c>
      <c r="AT237" s="69">
        <v>7617</v>
      </c>
      <c r="AU237" s="69"/>
      <c r="AV237" s="69"/>
      <c r="AW237" s="69"/>
      <c r="AX237" s="69"/>
      <c r="AY237" s="69">
        <f t="shared" si="354"/>
        <v>70320</v>
      </c>
      <c r="BA237" s="757"/>
      <c r="BB237" s="757"/>
      <c r="BC237" s="292" t="s">
        <v>105</v>
      </c>
      <c r="BD237" s="465">
        <f t="shared" si="356"/>
        <v>1.3449162654305236</v>
      </c>
      <c r="BE237" s="465">
        <f t="shared" si="352"/>
        <v>0.84410520093567565</v>
      </c>
      <c r="BF237" s="465">
        <f t="shared" si="339"/>
        <v>0.89214790602581284</v>
      </c>
      <c r="BG237" s="465">
        <f t="shared" si="340"/>
        <v>0.97520791866724033</v>
      </c>
      <c r="BH237" s="465">
        <f t="shared" si="341"/>
        <v>0.78154994164329461</v>
      </c>
      <c r="BI237" s="465">
        <f t="shared" si="342"/>
        <v>0.78371800637773215</v>
      </c>
      <c r="BJ237" s="465">
        <f t="shared" si="343"/>
        <v>1.0186334812703921</v>
      </c>
      <c r="BK237" s="465">
        <f t="shared" si="344"/>
        <v>0.75293309796125307</v>
      </c>
      <c r="BL237" s="465">
        <f t="shared" si="345"/>
        <v>0</v>
      </c>
      <c r="BM237" s="465">
        <f t="shared" si="346"/>
        <v>0</v>
      </c>
      <c r="BN237" s="465">
        <f t="shared" si="347"/>
        <v>0</v>
      </c>
      <c r="BO237" s="465">
        <f t="shared" si="348"/>
        <v>0</v>
      </c>
      <c r="BP237" s="465">
        <f t="shared" si="355"/>
        <v>0.60363648911782963</v>
      </c>
    </row>
    <row r="238" spans="2:68">
      <c r="B238" s="769"/>
      <c r="C238" s="769"/>
      <c r="D238" s="182" t="s">
        <v>14</v>
      </c>
      <c r="E238" s="341">
        <f>SUM(E239:E245)</f>
        <v>16439</v>
      </c>
      <c r="F238" s="341">
        <f t="shared" ref="F238:Q238" si="357">SUM(F239:F245)</f>
        <v>16684</v>
      </c>
      <c r="G238" s="341">
        <f t="shared" si="357"/>
        <v>19551</v>
      </c>
      <c r="H238" s="341">
        <f t="shared" si="357"/>
        <v>17610</v>
      </c>
      <c r="I238" s="341">
        <f t="shared" si="357"/>
        <v>17376</v>
      </c>
      <c r="J238" s="341">
        <f t="shared" si="357"/>
        <v>16817</v>
      </c>
      <c r="K238" s="341">
        <f t="shared" si="357"/>
        <v>18677</v>
      </c>
      <c r="L238" s="341">
        <f t="shared" si="357"/>
        <v>19386</v>
      </c>
      <c r="M238" s="341">
        <f t="shared" si="357"/>
        <v>13272</v>
      </c>
      <c r="N238" s="341">
        <f t="shared" si="357"/>
        <v>13796</v>
      </c>
      <c r="O238" s="341">
        <f t="shared" si="357"/>
        <v>13781</v>
      </c>
      <c r="P238" s="341">
        <f t="shared" si="357"/>
        <v>13637</v>
      </c>
      <c r="Q238" s="341">
        <f t="shared" si="357"/>
        <v>197026</v>
      </c>
      <c r="S238" s="769"/>
      <c r="T238" s="769"/>
      <c r="U238" s="182" t="s">
        <v>14</v>
      </c>
      <c r="V238" s="341">
        <v>8887.3390224980612</v>
      </c>
      <c r="W238" s="341">
        <v>10950.471295577969</v>
      </c>
      <c r="X238" s="341">
        <v>11502.96461587504</v>
      </c>
      <c r="Y238" s="341" cm="1">
        <f t="array" ref="Y238">INDEX('Research Goals'!$F$121:$F$132, COLUMN()-COLUMN($V$3)+1)</f>
        <v>24300.5624515128</v>
      </c>
      <c r="Z238" s="341" cm="1">
        <f t="array" ref="Z238">INDEX('Research Goals'!$F$121:$F$132, COLUMN()-COLUMN($V$3)+1)</f>
        <v>27077.769588828549</v>
      </c>
      <c r="AA238" s="341" cm="1">
        <f t="array" ref="AA238">INDEX('Research Goals'!$F$121:$F$132, COLUMN()-COLUMN($V$3)+1)</f>
        <v>26383.467804499611</v>
      </c>
      <c r="AB238" s="341" cm="1">
        <f t="array" ref="AB238">INDEX('Research Goals'!$F$121:$F$132, COLUMN()-COLUMN($V$3)+1)</f>
        <v>22459.435766656039</v>
      </c>
      <c r="AC238" s="341" cm="1">
        <f t="array" ref="AC238">INDEX('Research Goals'!$F$121:$F$132, COLUMN()-COLUMN($V$3)+1)</f>
        <v>21734.937838699392</v>
      </c>
      <c r="AD238" s="341" cm="1">
        <f t="array" ref="AD238">INDEX('Research Goals'!$F$121:$F$132, COLUMN()-COLUMN($V$3)+1)</f>
        <v>24821.288789759503</v>
      </c>
      <c r="AE238" s="341" cm="1">
        <f t="array" ref="AE238">INDEX('Research Goals'!$F$121:$F$132, COLUMN()-COLUMN($V$3)+1)</f>
        <v>23779.836113266098</v>
      </c>
      <c r="AF238" s="341" cm="1">
        <f t="array" ref="AF238">INDEX('Research Goals'!$F$121:$F$132, COLUMN()-COLUMN($V$3)+1)</f>
        <v>17967.548613324831</v>
      </c>
      <c r="AG238" s="341" cm="1">
        <f t="array" ref="AG238">INDEX('Research Goals'!$F$121:$F$132, COLUMN()-COLUMN($V$3)+1)</f>
        <v>22604.335352247366</v>
      </c>
      <c r="AH238" s="342">
        <f>SUM(V238:AG238)</f>
        <v>242469.95725274523</v>
      </c>
      <c r="AJ238" s="757"/>
      <c r="AK238" s="757"/>
      <c r="AL238" s="182" t="s">
        <v>14</v>
      </c>
      <c r="AM238" s="341">
        <f>SUM(AM239:AM245)</f>
        <v>14551.571428571429</v>
      </c>
      <c r="AN238" s="341">
        <f t="shared" ref="AN238:AY238" si="358">SUM(AN239:AN245)</f>
        <v>12883.857142857143</v>
      </c>
      <c r="AO238" s="341">
        <f t="shared" si="358"/>
        <v>13601</v>
      </c>
      <c r="AP238" s="341">
        <f t="shared" si="358"/>
        <v>14132.714285714286</v>
      </c>
      <c r="AQ238" s="341">
        <f t="shared" si="358"/>
        <v>14994.285714285714</v>
      </c>
      <c r="AR238" s="341">
        <f t="shared" si="358"/>
        <v>15807.714285714288</v>
      </c>
      <c r="AS238" s="341">
        <f t="shared" si="358"/>
        <v>16013.142857142857</v>
      </c>
      <c r="AT238" s="341">
        <f t="shared" si="358"/>
        <v>11859.142857142857</v>
      </c>
      <c r="AU238" s="341">
        <f t="shared" si="358"/>
        <v>0</v>
      </c>
      <c r="AV238" s="341">
        <f t="shared" si="358"/>
        <v>0</v>
      </c>
      <c r="AW238" s="341">
        <f t="shared" si="358"/>
        <v>0</v>
      </c>
      <c r="AX238" s="341">
        <f t="shared" si="358"/>
        <v>0</v>
      </c>
      <c r="AY238" s="341">
        <f t="shared" si="358"/>
        <v>113843.42857142857</v>
      </c>
      <c r="BA238" s="757"/>
      <c r="BB238" s="757"/>
      <c r="BC238" s="182" t="s">
        <v>14</v>
      </c>
      <c r="BD238" s="464">
        <f>AM238/V238</f>
        <v>1.6373372717901855</v>
      </c>
      <c r="BE238" s="464">
        <f t="shared" si="352"/>
        <v>1.1765573184105707</v>
      </c>
      <c r="BF238" s="464">
        <f t="shared" si="339"/>
        <v>1.1823908404646832</v>
      </c>
      <c r="BG238" s="464">
        <f t="shared" si="340"/>
        <v>0.58157971914903028</v>
      </c>
      <c r="BH238" s="464">
        <f t="shared" si="341"/>
        <v>0.55374892178977297</v>
      </c>
      <c r="BI238" s="464">
        <f t="shared" si="342"/>
        <v>0.59915225711982922</v>
      </c>
      <c r="BJ238" s="464">
        <f t="shared" si="343"/>
        <v>0.71298063867287598</v>
      </c>
      <c r="BK238" s="464">
        <f t="shared" si="344"/>
        <v>0.54562580050389975</v>
      </c>
      <c r="BL238" s="464">
        <f t="shared" si="345"/>
        <v>0</v>
      </c>
      <c r="BM238" s="464">
        <f t="shared" si="346"/>
        <v>0</v>
      </c>
      <c r="BN238" s="464">
        <f t="shared" si="347"/>
        <v>0</v>
      </c>
      <c r="BO238" s="464">
        <f t="shared" si="348"/>
        <v>0</v>
      </c>
      <c r="BP238" s="464">
        <f t="shared" si="355"/>
        <v>0.46951560457760438</v>
      </c>
    </row>
    <row r="239" spans="2:68" ht="16" customHeight="1">
      <c r="B239" s="769"/>
      <c r="C239" s="769"/>
      <c r="D239" s="292" t="s">
        <v>99</v>
      </c>
      <c r="E239" s="69">
        <v>2696</v>
      </c>
      <c r="F239" s="69">
        <v>2498</v>
      </c>
      <c r="G239" s="69">
        <v>3050</v>
      </c>
      <c r="H239" s="69">
        <v>2964</v>
      </c>
      <c r="I239" s="69">
        <v>2593</v>
      </c>
      <c r="J239" s="69">
        <v>2267</v>
      </c>
      <c r="K239" s="69">
        <v>2578</v>
      </c>
      <c r="L239" s="69">
        <v>2600</v>
      </c>
      <c r="M239" s="69">
        <v>1765</v>
      </c>
      <c r="N239" s="69">
        <v>1928</v>
      </c>
      <c r="O239" s="69">
        <v>2032</v>
      </c>
      <c r="P239" s="69">
        <v>1826</v>
      </c>
      <c r="Q239" s="69">
        <f>SUM(E239:P239)</f>
        <v>28797</v>
      </c>
      <c r="S239" s="769"/>
      <c r="T239" s="769"/>
      <c r="U239" s="292" t="s">
        <v>99</v>
      </c>
      <c r="V239" s="69">
        <v>1047.4363847944144</v>
      </c>
      <c r="W239" s="69">
        <v>1150.7274920776847</v>
      </c>
      <c r="X239" s="69">
        <v>1224.9910370152641</v>
      </c>
      <c r="Y239" s="69">
        <f>Y$238*'Region OP Sales Goals'!V27</f>
        <v>2568.9166020170674</v>
      </c>
      <c r="Z239" s="69">
        <f>Z$238*'Region OP Sales Goals'!W27</f>
        <v>2846.6373157486423</v>
      </c>
      <c r="AA239" s="69">
        <f>AA$238*'Region OP Sales Goals'!X27</f>
        <v>2789.1094536185306</v>
      </c>
      <c r="AB239" s="69">
        <f>AB$238*'Region OP Sales Goals'!Y27</f>
        <v>2364.1511333322146</v>
      </c>
      <c r="AC239" s="69">
        <f>AC$238*'Region OP Sales Goals'!Z27</f>
        <v>2290.9799343493955</v>
      </c>
      <c r="AD239" s="69">
        <f>AD$238*'Region OP Sales Goals'!AA27</f>
        <v>2618.1359408376461</v>
      </c>
      <c r="AE239" s="69">
        <f>AE$238*'Region OP Sales Goals'!AB27</f>
        <v>2523.5744446731369</v>
      </c>
      <c r="AF239" s="69">
        <f>AF$238*'Region OP Sales Goals'!AC27</f>
        <v>1891.3209066657714</v>
      </c>
      <c r="AG239" s="69">
        <f>AG$238*'Region OP Sales Goals'!AD27</f>
        <v>2376.3532036977999</v>
      </c>
      <c r="AH239" s="69">
        <f>AH$238*'Region OP Sales Goals'!AE27</f>
        <v>25514.299387141324</v>
      </c>
      <c r="AJ239" s="757"/>
      <c r="AK239" s="757"/>
      <c r="AL239" s="292" t="s">
        <v>99</v>
      </c>
      <c r="AM239" s="69">
        <v>1862</v>
      </c>
      <c r="AN239" s="69">
        <v>1844.8571428571429</v>
      </c>
      <c r="AO239" s="69">
        <v>2069</v>
      </c>
      <c r="AP239" s="69">
        <v>2184.4285714285716</v>
      </c>
      <c r="AQ239" s="156">
        <v>2223.5714285714284</v>
      </c>
      <c r="AR239" s="156">
        <v>2088</v>
      </c>
      <c r="AS239" s="156">
        <v>2484.2857142857142</v>
      </c>
      <c r="AT239" s="156">
        <v>1731.7142857142858</v>
      </c>
      <c r="AU239" s="69"/>
      <c r="AV239" s="69"/>
      <c r="AW239" s="69"/>
      <c r="AX239" s="69"/>
      <c r="AY239" s="69">
        <f>SUM(AM239:AX239)</f>
        <v>16487.857142857141</v>
      </c>
      <c r="BA239" s="757"/>
      <c r="BB239" s="757"/>
      <c r="BC239" s="292" t="s">
        <v>99</v>
      </c>
      <c r="BD239" s="465">
        <f>AM239/V239</f>
        <v>1.7776735914758814</v>
      </c>
      <c r="BE239" s="465">
        <f t="shared" si="352"/>
        <v>1.6032094093156488</v>
      </c>
      <c r="BF239" s="465">
        <f t="shared" si="339"/>
        <v>1.6889919497216852</v>
      </c>
      <c r="BG239" s="465">
        <f t="shared" si="340"/>
        <v>0.85033066846677596</v>
      </c>
      <c r="BH239" s="465">
        <f t="shared" si="341"/>
        <v>0.78112213883722215</v>
      </c>
      <c r="BI239" s="465">
        <f t="shared" si="342"/>
        <v>0.74862605240933577</v>
      </c>
      <c r="BJ239" s="465">
        <f t="shared" si="343"/>
        <v>1.0508151019872289</v>
      </c>
      <c r="BK239" s="465">
        <f t="shared" si="344"/>
        <v>0.75588365474098618</v>
      </c>
      <c r="BL239" s="465">
        <f t="shared" si="345"/>
        <v>0</v>
      </c>
      <c r="BM239" s="465">
        <f t="shared" si="346"/>
        <v>0</v>
      </c>
      <c r="BN239" s="465">
        <f t="shared" si="347"/>
        <v>0</v>
      </c>
      <c r="BO239" s="465">
        <f t="shared" si="348"/>
        <v>0</v>
      </c>
      <c r="BP239" s="465">
        <f>AY239/AH239</f>
        <v>0.64622025840014552</v>
      </c>
    </row>
    <row r="240" spans="2:68" ht="16" customHeight="1">
      <c r="B240" s="769"/>
      <c r="C240" s="769"/>
      <c r="D240" s="292" t="s">
        <v>100</v>
      </c>
      <c r="E240" s="69">
        <v>1457</v>
      </c>
      <c r="F240" s="69">
        <v>1724</v>
      </c>
      <c r="G240" s="69">
        <v>1862</v>
      </c>
      <c r="H240" s="69">
        <v>1799</v>
      </c>
      <c r="I240" s="69">
        <v>1630</v>
      </c>
      <c r="J240" s="69">
        <v>1678</v>
      </c>
      <c r="K240" s="69">
        <v>1964</v>
      </c>
      <c r="L240" s="69">
        <v>2088</v>
      </c>
      <c r="M240" s="69">
        <v>1650</v>
      </c>
      <c r="N240" s="69">
        <v>1636</v>
      </c>
      <c r="O240" s="69">
        <v>1431</v>
      </c>
      <c r="P240" s="69">
        <v>1352</v>
      </c>
      <c r="Q240" s="69">
        <f t="shared" ref="Q240:Q245" si="359">SUM(E240:P240)</f>
        <v>20271</v>
      </c>
      <c r="S240" s="769"/>
      <c r="T240" s="769"/>
      <c r="U240" s="292" t="s">
        <v>100</v>
      </c>
      <c r="V240" s="69">
        <v>1920.3000387897598</v>
      </c>
      <c r="W240" s="69">
        <v>2134.4138965957059</v>
      </c>
      <c r="X240" s="69">
        <v>2375.2874986027682</v>
      </c>
      <c r="Y240" s="69">
        <f>Y$238*'Region OP Sales Goals'!V28</f>
        <v>4929.5426687354538</v>
      </c>
      <c r="Z240" s="69">
        <f>Z$238*'Region OP Sales Goals'!W28</f>
        <v>5519.6991854150501</v>
      </c>
      <c r="AA240" s="69">
        <f>AA$238*'Region OP Sales Goals'!X28</f>
        <v>5352.0748974842063</v>
      </c>
      <c r="AB240" s="69">
        <f>AB$238*'Region OP Sales Goals'!Y28</f>
        <v>4580.542820831166</v>
      </c>
      <c r="AC240" s="69">
        <f>AC$238*'Region OP Sales Goals'!Z28</f>
        <v>4435.1021805994706</v>
      </c>
      <c r="AD240" s="69">
        <f>AD$238*'Region OP Sales Goals'!AA28</f>
        <v>5066.2630543481728</v>
      </c>
      <c r="AE240" s="69">
        <f>AE$238*'Region OP Sales Goals'!AB28</f>
        <v>4853.0277782175708</v>
      </c>
      <c r="AF240" s="69">
        <f>AF$238*'Region OP Sales Goals'!AC28</f>
        <v>3647.5474628554166</v>
      </c>
      <c r="AG240" s="69">
        <f>AG$238*'Region OP Sales Goals'!AD28</f>
        <v>4607.8068218042708</v>
      </c>
      <c r="AH240" s="69">
        <f>AH$238*'Region OP Sales Goals'!AE28</f>
        <v>50075.317258719122</v>
      </c>
      <c r="AJ240" s="757"/>
      <c r="AK240" s="757"/>
      <c r="AL240" s="292" t="s">
        <v>100</v>
      </c>
      <c r="AM240" s="69">
        <v>1603.8571428571429</v>
      </c>
      <c r="AN240" s="69">
        <v>1367.2857142857142</v>
      </c>
      <c r="AO240" s="69">
        <v>1636</v>
      </c>
      <c r="AP240" s="69">
        <v>1979.5714285714287</v>
      </c>
      <c r="AQ240" s="156">
        <v>2046.4285714285716</v>
      </c>
      <c r="AR240" s="156">
        <v>1701.4285714285713</v>
      </c>
      <c r="AS240" s="156">
        <v>2111.4285714285716</v>
      </c>
      <c r="AT240" s="156">
        <v>1347.1428571428571</v>
      </c>
      <c r="AU240" s="69"/>
      <c r="AV240" s="69"/>
      <c r="AW240" s="69"/>
      <c r="AX240" s="69"/>
      <c r="AY240" s="69">
        <f t="shared" ref="AY240:AY245" si="360">SUM(AM240:AX240)</f>
        <v>13793.142857142857</v>
      </c>
      <c r="BA240" s="757"/>
      <c r="BB240" s="757"/>
      <c r="BC240" s="292" t="s">
        <v>100</v>
      </c>
      <c r="BD240" s="465">
        <f t="shared" ref="BD240:BD241" si="361">AM240/V240</f>
        <v>0.83521174319610481</v>
      </c>
      <c r="BE240" s="465">
        <f t="shared" si="352"/>
        <v>0.64059071038961723</v>
      </c>
      <c r="BF240" s="465">
        <f t="shared" si="339"/>
        <v>0.68875872961161777</v>
      </c>
      <c r="BG240" s="465">
        <f t="shared" si="340"/>
        <v>0.4015730386363075</v>
      </c>
      <c r="BH240" s="465">
        <f t="shared" si="341"/>
        <v>0.37075001783356998</v>
      </c>
      <c r="BI240" s="465">
        <f t="shared" si="342"/>
        <v>0.31790074018365178</v>
      </c>
      <c r="BJ240" s="465">
        <f t="shared" si="343"/>
        <v>0.46095597269090494</v>
      </c>
      <c r="BK240" s="465">
        <f t="shared" si="344"/>
        <v>0.30374561899287977</v>
      </c>
      <c r="BL240" s="465">
        <f t="shared" si="345"/>
        <v>0</v>
      </c>
      <c r="BM240" s="465">
        <f t="shared" si="346"/>
        <v>0</v>
      </c>
      <c r="BN240" s="465">
        <f t="shared" si="347"/>
        <v>0</v>
      </c>
      <c r="BO240" s="465">
        <f t="shared" si="348"/>
        <v>0</v>
      </c>
      <c r="BP240" s="465">
        <f t="shared" ref="BP240:BP247" si="362">AY240/AH240</f>
        <v>0.27544793747145341</v>
      </c>
    </row>
    <row r="241" spans="2:68" ht="16" customHeight="1">
      <c r="B241" s="769"/>
      <c r="C241" s="769"/>
      <c r="D241" s="292" t="s">
        <v>101</v>
      </c>
      <c r="E241" s="69">
        <v>1530</v>
      </c>
      <c r="F241" s="69">
        <v>1453</v>
      </c>
      <c r="G241" s="69">
        <v>1602</v>
      </c>
      <c r="H241" s="69">
        <v>1453</v>
      </c>
      <c r="I241" s="69">
        <v>1841</v>
      </c>
      <c r="J241" s="69">
        <v>1946</v>
      </c>
      <c r="K241" s="69">
        <v>1822</v>
      </c>
      <c r="L241" s="69">
        <v>1707</v>
      </c>
      <c r="M241" s="69">
        <v>1042</v>
      </c>
      <c r="N241" s="69">
        <v>1178</v>
      </c>
      <c r="O241" s="69">
        <v>1232</v>
      </c>
      <c r="P241" s="69">
        <v>1215</v>
      </c>
      <c r="Q241" s="69">
        <f t="shared" si="359"/>
        <v>18021</v>
      </c>
      <c r="S241" s="769"/>
      <c r="T241" s="769"/>
      <c r="U241" s="292" t="s">
        <v>101</v>
      </c>
      <c r="V241" s="69">
        <v>714.16117145073713</v>
      </c>
      <c r="W241" s="69">
        <v>1020.8066461979463</v>
      </c>
      <c r="X241" s="69">
        <v>881.39599004756803</v>
      </c>
      <c r="Y241" s="69">
        <f>Y$238*'Region OP Sales Goals'!V29</f>
        <v>2013.4751745539177</v>
      </c>
      <c r="Z241" s="69">
        <f>Z$238*'Region OP Sales Goals'!W29</f>
        <v>2256.4807990690456</v>
      </c>
      <c r="AA241" s="69">
        <f>AA$238*'Region OP Sales Goals'!X29</f>
        <v>2186.0587609442532</v>
      </c>
      <c r="AB241" s="69">
        <f>AB$238*'Region OP Sales Goals'!Y29</f>
        <v>1861.7690174991189</v>
      </c>
      <c r="AC241" s="69">
        <f>AC$238*'Region OP Sales Goals'!Z29</f>
        <v>1791.6637948117068</v>
      </c>
      <c r="AD241" s="69">
        <f>AD$238*'Region OP Sales Goals'!AA29</f>
        <v>2040.1059279254384</v>
      </c>
      <c r="AE241" s="69">
        <f>AE$238*'Region OP Sales Goals'!AB29</f>
        <v>1973.5646298084789</v>
      </c>
      <c r="AF241" s="69">
        <f>AF$238*'Region OP Sales Goals'!AC29</f>
        <v>1486.037855237392</v>
      </c>
      <c r="AG241" s="69">
        <f>AG$238*'Region OP Sales Goals'!AD29</f>
        <v>1883.6946126872804</v>
      </c>
      <c r="AH241" s="69">
        <f>AH$238*'Region OP Sales Goals'!AE29</f>
        <v>19430.120302515315</v>
      </c>
      <c r="AJ241" s="757"/>
      <c r="AK241" s="757"/>
      <c r="AL241" s="292" t="s">
        <v>101</v>
      </c>
      <c r="AM241" s="69">
        <v>1128.7142857142858</v>
      </c>
      <c r="AN241" s="69">
        <v>1238.2857142857142</v>
      </c>
      <c r="AO241" s="69">
        <v>1212</v>
      </c>
      <c r="AP241" s="69">
        <v>1046.5714285714284</v>
      </c>
      <c r="AQ241" s="156">
        <v>1373.4285714285716</v>
      </c>
      <c r="AR241" s="156">
        <v>1230.8571428571429</v>
      </c>
      <c r="AS241" s="156">
        <v>1338</v>
      </c>
      <c r="AT241" s="156">
        <v>1121.1428571428571</v>
      </c>
      <c r="AU241" s="69"/>
      <c r="AV241" s="69"/>
      <c r="AW241" s="69"/>
      <c r="AX241" s="69"/>
      <c r="AY241" s="69">
        <f t="shared" si="360"/>
        <v>9689</v>
      </c>
      <c r="BA241" s="757"/>
      <c r="BB241" s="757"/>
      <c r="BC241" s="292" t="s">
        <v>101</v>
      </c>
      <c r="BD241" s="465">
        <f t="shared" si="361"/>
        <v>1.5804755716716314</v>
      </c>
      <c r="BE241" s="465">
        <f t="shared" si="352"/>
        <v>1.2130462893220586</v>
      </c>
      <c r="BF241" s="465">
        <f>AO241/X241</f>
        <v>1.3750913479134272</v>
      </c>
      <c r="BG241" s="465">
        <f t="shared" si="340"/>
        <v>0.51978362673544998</v>
      </c>
      <c r="BH241" s="465">
        <f t="shared" si="341"/>
        <v>0.60865954276907908</v>
      </c>
      <c r="BI241" s="465">
        <f t="shared" si="342"/>
        <v>0.56304851674045697</v>
      </c>
      <c r="BJ241" s="465">
        <f t="shared" si="343"/>
        <v>0.71867132142810686</v>
      </c>
      <c r="BK241" s="465">
        <f t="shared" si="344"/>
        <v>0.62575515584422614</v>
      </c>
      <c r="BL241" s="465">
        <f t="shared" si="345"/>
        <v>0</v>
      </c>
      <c r="BM241" s="465">
        <f t="shared" si="346"/>
        <v>0</v>
      </c>
      <c r="BN241" s="465">
        <f t="shared" si="347"/>
        <v>0</v>
      </c>
      <c r="BO241" s="465">
        <f t="shared" si="348"/>
        <v>0</v>
      </c>
      <c r="BP241" s="465">
        <f t="shared" si="362"/>
        <v>0.49865877560962479</v>
      </c>
    </row>
    <row r="242" spans="2:68" ht="16" customHeight="1">
      <c r="B242" s="769"/>
      <c r="C242" s="769"/>
      <c r="D242" s="292" t="s">
        <v>102</v>
      </c>
      <c r="E242" s="69">
        <v>949</v>
      </c>
      <c r="F242" s="69">
        <v>897</v>
      </c>
      <c r="G242" s="69">
        <v>1088</v>
      </c>
      <c r="H242" s="69">
        <v>853</v>
      </c>
      <c r="I242" s="69">
        <v>818</v>
      </c>
      <c r="J242" s="69">
        <v>814</v>
      </c>
      <c r="K242" s="69">
        <v>978</v>
      </c>
      <c r="L242" s="69">
        <v>1181</v>
      </c>
      <c r="M242" s="69">
        <v>716</v>
      </c>
      <c r="N242" s="69">
        <v>859</v>
      </c>
      <c r="O242" s="69">
        <v>882</v>
      </c>
      <c r="P242" s="69">
        <v>859</v>
      </c>
      <c r="Q242" s="69">
        <f t="shared" si="359"/>
        <v>10894</v>
      </c>
      <c r="S242" s="769"/>
      <c r="T242" s="769"/>
      <c r="U242" s="292" t="s">
        <v>102</v>
      </c>
      <c r="V242" s="69">
        <v>349.14546159813813</v>
      </c>
      <c r="W242" s="69">
        <v>371.20241679925317</v>
      </c>
      <c r="X242" s="69">
        <v>492.98419782321599</v>
      </c>
      <c r="Y242" s="69">
        <f>Y$238*'Region OP Sales Goals'!V30</f>
        <v>1006.7375872769588</v>
      </c>
      <c r="Z242" s="69">
        <f>Z$238*'Region OP Sales Goals'!W30</f>
        <v>1110.8828549262994</v>
      </c>
      <c r="AA242" s="69">
        <f>AA$238*'Region OP Sales Goals'!X30</f>
        <v>1093.0293804721266</v>
      </c>
      <c r="AB242" s="69">
        <f>AB$238*'Region OP Sales Goals'!Y30</f>
        <v>916.10856416623324</v>
      </c>
      <c r="AC242" s="69">
        <f>AC$238*'Region OP Sales Goals'!Z30</f>
        <v>881.14612859592137</v>
      </c>
      <c r="AD242" s="69">
        <f>AD$238*'Region OP Sales Goals'!AA30</f>
        <v>1020.0529639627192</v>
      </c>
      <c r="AE242" s="69">
        <f>AE$238*'Region OP Sales Goals'!AB30</f>
        <v>970.60555564351409</v>
      </c>
      <c r="AF242" s="69">
        <f>AF$238*'Region OP Sales Goals'!AC30</f>
        <v>729.50949257108346</v>
      </c>
      <c r="AG242" s="69">
        <f>AG$238*'Region OP Sales Goals'!AD30</f>
        <v>927.35734778450728</v>
      </c>
      <c r="AH242" s="69">
        <f>AH$238*'Region OP Sales Goals'!AE30</f>
        <v>9729.0789970747683</v>
      </c>
      <c r="AJ242" s="757"/>
      <c r="AK242" s="757"/>
      <c r="AL242" s="292" t="s">
        <v>102</v>
      </c>
      <c r="AM242" s="69">
        <v>879.57142857142856</v>
      </c>
      <c r="AN242" s="69">
        <v>852.71428571428578</v>
      </c>
      <c r="AO242" s="69">
        <v>847</v>
      </c>
      <c r="AP242" s="69">
        <v>744.28571428571422</v>
      </c>
      <c r="AQ242" s="156">
        <v>830.71428571428578</v>
      </c>
      <c r="AR242" s="156">
        <v>882.28571428571422</v>
      </c>
      <c r="AS242" s="156">
        <v>844.28571428571422</v>
      </c>
      <c r="AT242" s="156">
        <v>590.42857142857144</v>
      </c>
      <c r="AU242" s="69"/>
      <c r="AV242" s="69"/>
      <c r="AW242" s="69"/>
      <c r="AX242" s="69"/>
      <c r="AY242" s="69">
        <f t="shared" si="360"/>
        <v>6471.2857142857129</v>
      </c>
      <c r="BA242" s="757"/>
      <c r="BB242" s="757"/>
      <c r="BC242" s="292" t="s">
        <v>102</v>
      </c>
      <c r="BD242" s="465">
        <f>AM242/V242</f>
        <v>2.51921197699486</v>
      </c>
      <c r="BE242" s="465">
        <f t="shared" si="352"/>
        <v>2.2971679254325408</v>
      </c>
      <c r="BF242" s="465">
        <f t="shared" ref="BF242:BF270" si="363">AO242/X242</f>
        <v>1.7181078090128439</v>
      </c>
      <c r="BG242" s="465">
        <f t="shared" si="340"/>
        <v>0.73930458511921771</v>
      </c>
      <c r="BH242" s="465">
        <f t="shared" si="341"/>
        <v>0.74779647739670885</v>
      </c>
      <c r="BI242" s="465">
        <f t="shared" si="342"/>
        <v>0.80719304535493541</v>
      </c>
      <c r="BJ242" s="465">
        <f t="shared" si="343"/>
        <v>0.92160006718648435</v>
      </c>
      <c r="BK242" s="465">
        <f t="shared" si="344"/>
        <v>0.67006884813691547</v>
      </c>
      <c r="BL242" s="465">
        <f t="shared" si="345"/>
        <v>0</v>
      </c>
      <c r="BM242" s="465">
        <f t="shared" si="346"/>
        <v>0</v>
      </c>
      <c r="BN242" s="465">
        <f t="shared" si="347"/>
        <v>0</v>
      </c>
      <c r="BO242" s="465">
        <f t="shared" si="348"/>
        <v>0</v>
      </c>
      <c r="BP242" s="465">
        <f t="shared" si="362"/>
        <v>0.66514885080401009</v>
      </c>
    </row>
    <row r="243" spans="2:68" ht="16" customHeight="1">
      <c r="B243" s="769"/>
      <c r="C243" s="769"/>
      <c r="D243" s="292" t="s">
        <v>103</v>
      </c>
      <c r="E243" s="69">
        <v>3247</v>
      </c>
      <c r="F243" s="69">
        <v>3230</v>
      </c>
      <c r="G243" s="69">
        <v>3462</v>
      </c>
      <c r="H243" s="69">
        <v>2834</v>
      </c>
      <c r="I243" s="69">
        <v>2535</v>
      </c>
      <c r="J243" s="69">
        <v>2486</v>
      </c>
      <c r="K243" s="69">
        <v>2862</v>
      </c>
      <c r="L243" s="69">
        <v>2638</v>
      </c>
      <c r="M243" s="69">
        <v>1961</v>
      </c>
      <c r="N243" s="69">
        <v>1987</v>
      </c>
      <c r="O243" s="69">
        <v>2305</v>
      </c>
      <c r="P243" s="69">
        <v>2257</v>
      </c>
      <c r="Q243" s="69">
        <f t="shared" si="359"/>
        <v>31804</v>
      </c>
      <c r="S243" s="769"/>
      <c r="T243" s="769"/>
      <c r="U243" s="292" t="s">
        <v>103</v>
      </c>
      <c r="V243" s="69">
        <v>904.60415050426695</v>
      </c>
      <c r="W243" s="69">
        <v>1503.3697880369755</v>
      </c>
      <c r="X243" s="69">
        <v>1359.4412727852321</v>
      </c>
      <c r="Y243" s="69">
        <f>Y$238*'Region OP Sales Goals'!V31</f>
        <v>2777.2071373157487</v>
      </c>
      <c r="Z243" s="69">
        <f>Z$238*'Region OP Sales Goals'!W31</f>
        <v>3089.64294026377</v>
      </c>
      <c r="AA243" s="69">
        <f>AA$238*'Region OP Sales Goals'!X31</f>
        <v>3015.253463371384</v>
      </c>
      <c r="AB243" s="69">
        <f>AB$238*'Region OP Sales Goals'!Y31</f>
        <v>2541.4624683321308</v>
      </c>
      <c r="AC243" s="69">
        <f>AC$238*'Region OP Sales Goals'!Z31</f>
        <v>2467.2091600685799</v>
      </c>
      <c r="AD243" s="69">
        <f>AD$238*'Region OP Sales Goals'!AA31</f>
        <v>2822.1465336301903</v>
      </c>
      <c r="AE243" s="69">
        <f>AE$238*'Region OP Sales Goals'!AB31</f>
        <v>2717.6955558018394</v>
      </c>
      <c r="AF243" s="69">
        <f>AF$238*'Region OP Sales Goals'!AC31</f>
        <v>2053.4341272371234</v>
      </c>
      <c r="AG243" s="69">
        <f>AG$238*'Region OP Sales Goals'!AD31</f>
        <v>2579.212623525661</v>
      </c>
      <c r="AH243" s="69">
        <f>AH$238*'Region OP Sales Goals'!AE31</f>
        <v>26383.467827802182</v>
      </c>
      <c r="AJ243" s="757"/>
      <c r="AK243" s="757"/>
      <c r="AL243" s="292" t="s">
        <v>103</v>
      </c>
      <c r="AM243" s="69">
        <v>2499</v>
      </c>
      <c r="AN243" s="69">
        <v>2024.7142857142858</v>
      </c>
      <c r="AO243" s="69">
        <v>2155</v>
      </c>
      <c r="AP243" s="69">
        <v>2286</v>
      </c>
      <c r="AQ243" s="156">
        <v>2410</v>
      </c>
      <c r="AR243" s="156">
        <v>2749.7142857142858</v>
      </c>
      <c r="AS243" s="156">
        <v>2766.8571428571431</v>
      </c>
      <c r="AT243" s="156">
        <v>1926.4285714285713</v>
      </c>
      <c r="AU243" s="69"/>
      <c r="AV243" s="69"/>
      <c r="AW243" s="69"/>
      <c r="AX243" s="69"/>
      <c r="AY243" s="69">
        <f t="shared" si="360"/>
        <v>18817.71428571429</v>
      </c>
      <c r="BA243" s="757"/>
      <c r="BB243" s="757"/>
      <c r="BC243" s="292" t="s">
        <v>103</v>
      </c>
      <c r="BD243" s="465">
        <f t="shared" ref="BD243:BD245" si="364">AM243/V243</f>
        <v>2.762534306974985</v>
      </c>
      <c r="BE243" s="465">
        <f t="shared" si="352"/>
        <v>1.3467839395376275</v>
      </c>
      <c r="BF243" s="465">
        <f t="shared" si="363"/>
        <v>1.5852100735361832</v>
      </c>
      <c r="BG243" s="465">
        <f t="shared" si="340"/>
        <v>0.82312909587632899</v>
      </c>
      <c r="BH243" s="465">
        <f t="shared" si="341"/>
        <v>0.78002540960097244</v>
      </c>
      <c r="BI243" s="465">
        <f t="shared" si="342"/>
        <v>0.91193470768450879</v>
      </c>
      <c r="BJ243" s="465">
        <f t="shared" si="343"/>
        <v>1.0886869970867328</v>
      </c>
      <c r="BK243" s="465">
        <f t="shared" si="344"/>
        <v>0.78081283200773433</v>
      </c>
      <c r="BL243" s="465">
        <f t="shared" si="345"/>
        <v>0</v>
      </c>
      <c r="BM243" s="465">
        <f t="shared" si="346"/>
        <v>0</v>
      </c>
      <c r="BN243" s="465">
        <f t="shared" si="347"/>
        <v>0</v>
      </c>
      <c r="BO243" s="465">
        <f t="shared" si="348"/>
        <v>0</v>
      </c>
      <c r="BP243" s="465">
        <f t="shared" si="362"/>
        <v>0.71323885125838893</v>
      </c>
    </row>
    <row r="244" spans="2:68" ht="16" customHeight="1">
      <c r="B244" s="769"/>
      <c r="C244" s="769"/>
      <c r="D244" s="292" t="s">
        <v>104</v>
      </c>
      <c r="E244" s="69">
        <v>4342</v>
      </c>
      <c r="F244" s="69">
        <v>4478</v>
      </c>
      <c r="G244" s="69">
        <v>5676</v>
      </c>
      <c r="H244" s="69">
        <v>4514</v>
      </c>
      <c r="I244" s="69">
        <v>4653</v>
      </c>
      <c r="J244" s="69">
        <v>4452</v>
      </c>
      <c r="K244" s="69">
        <v>5120</v>
      </c>
      <c r="L244" s="69">
        <v>4915</v>
      </c>
      <c r="M244" s="69">
        <v>3283</v>
      </c>
      <c r="N244" s="69">
        <v>3322</v>
      </c>
      <c r="O244" s="69">
        <v>3468</v>
      </c>
      <c r="P244" s="69">
        <v>3830</v>
      </c>
      <c r="Q244" s="69">
        <f t="shared" si="359"/>
        <v>52053</v>
      </c>
      <c r="S244" s="769"/>
      <c r="T244" s="769"/>
      <c r="U244" s="292" t="s">
        <v>104</v>
      </c>
      <c r="V244" s="69">
        <v>2586.8504654771145</v>
      </c>
      <c r="W244" s="69">
        <v>2895.3788510341747</v>
      </c>
      <c r="X244" s="69">
        <v>3271.6224037358879</v>
      </c>
      <c r="Y244" s="69">
        <f>Y$238*'Region OP Sales Goals'!V32</f>
        <v>6908.3027540729254</v>
      </c>
      <c r="Z244" s="69">
        <f>Z$238*'Region OP Sales Goals'!W32</f>
        <v>7706.7498060512016</v>
      </c>
      <c r="AA244" s="69">
        <f>AA$238*'Region OP Sales Goals'!X32</f>
        <v>7500.4429901363183</v>
      </c>
      <c r="AB244" s="69">
        <f>AB$238*'Region OP Sales Goals'!Y32</f>
        <v>6383.2080599969795</v>
      </c>
      <c r="AC244" s="69">
        <f>AC$238*'Region OP Sales Goals'!Z32</f>
        <v>6197.3944377913122</v>
      </c>
      <c r="AD244" s="69">
        <f>AD$238*'Region OP Sales Goals'!AA32</f>
        <v>7072.3672168081866</v>
      </c>
      <c r="AE244" s="69">
        <f>AE$238*'Region OP Sales Goals'!AB32</f>
        <v>6761.8853709831492</v>
      </c>
      <c r="AF244" s="69">
        <f>AF$238*'Region OP Sales Goals'!AC32</f>
        <v>5106.5664479975831</v>
      </c>
      <c r="AG244" s="69">
        <f>AG$238*'Region OP Sales Goals'!AD32</f>
        <v>6433.5416002550191</v>
      </c>
      <c r="AH244" s="69">
        <f>AH$238*'Region OP Sales Goals'!AE32</f>
        <v>70038.153702284631</v>
      </c>
      <c r="AJ244" s="757"/>
      <c r="AK244" s="757"/>
      <c r="AL244" s="292" t="s">
        <v>104</v>
      </c>
      <c r="AM244" s="69">
        <v>4177.5714285714284</v>
      </c>
      <c r="AN244" s="69">
        <v>3467.7142857142858</v>
      </c>
      <c r="AO244" s="69">
        <v>3178</v>
      </c>
      <c r="AP244" s="69">
        <v>3089.1428571428569</v>
      </c>
      <c r="AQ244" s="156">
        <v>3656.8571428571427</v>
      </c>
      <c r="AR244" s="156">
        <v>4529.5714285714284</v>
      </c>
      <c r="AS244" s="156">
        <v>3625</v>
      </c>
      <c r="AT244" s="156">
        <v>3015.4285714285716</v>
      </c>
      <c r="AU244" s="69"/>
      <c r="AV244" s="69"/>
      <c r="AW244" s="69"/>
      <c r="AX244" s="69"/>
      <c r="AY244" s="69">
        <f t="shared" si="360"/>
        <v>28739.285714285714</v>
      </c>
      <c r="BA244" s="757"/>
      <c r="BB244" s="757"/>
      <c r="BC244" s="292" t="s">
        <v>104</v>
      </c>
      <c r="BD244" s="465">
        <f t="shared" si="364"/>
        <v>1.6149257501828285</v>
      </c>
      <c r="BE244" s="465">
        <f t="shared" si="352"/>
        <v>1.1976720367615048</v>
      </c>
      <c r="BF244" s="465">
        <f t="shared" si="363"/>
        <v>0.97138349351411091</v>
      </c>
      <c r="BG244" s="465">
        <f t="shared" si="340"/>
        <v>0.44716379219506441</v>
      </c>
      <c r="BH244" s="465">
        <f t="shared" si="341"/>
        <v>0.47450056572302945</v>
      </c>
      <c r="BI244" s="465">
        <f t="shared" si="342"/>
        <v>0.60390718715256908</v>
      </c>
      <c r="BJ244" s="465">
        <f t="shared" si="343"/>
        <v>0.56789626249496172</v>
      </c>
      <c r="BK244" s="465">
        <f t="shared" si="344"/>
        <v>0.48656392645281415</v>
      </c>
      <c r="BL244" s="465">
        <f t="shared" si="345"/>
        <v>0</v>
      </c>
      <c r="BM244" s="465">
        <f t="shared" si="346"/>
        <v>0</v>
      </c>
      <c r="BN244" s="465">
        <f t="shared" si="347"/>
        <v>0</v>
      </c>
      <c r="BO244" s="465">
        <f t="shared" si="348"/>
        <v>0</v>
      </c>
      <c r="BP244" s="465">
        <f t="shared" si="362"/>
        <v>0.41033756881212935</v>
      </c>
    </row>
    <row r="245" spans="2:68" ht="16" customHeight="1">
      <c r="B245" s="770"/>
      <c r="C245" s="770"/>
      <c r="D245" s="292" t="s">
        <v>105</v>
      </c>
      <c r="E245" s="69">
        <v>2218</v>
      </c>
      <c r="F245" s="69">
        <v>2404</v>
      </c>
      <c r="G245" s="69">
        <v>2811</v>
      </c>
      <c r="H245" s="69">
        <v>3193</v>
      </c>
      <c r="I245" s="69">
        <v>3306</v>
      </c>
      <c r="J245" s="69">
        <v>3174</v>
      </c>
      <c r="K245" s="69">
        <v>3353</v>
      </c>
      <c r="L245" s="69">
        <v>4257</v>
      </c>
      <c r="M245" s="69">
        <v>2855</v>
      </c>
      <c r="N245" s="69">
        <v>2886</v>
      </c>
      <c r="O245" s="69">
        <v>2431</v>
      </c>
      <c r="P245" s="69">
        <v>2298</v>
      </c>
      <c r="Q245" s="69">
        <f t="shared" si="359"/>
        <v>35186</v>
      </c>
      <c r="S245" s="770"/>
      <c r="T245" s="770"/>
      <c r="U245" s="292" t="s">
        <v>105</v>
      </c>
      <c r="V245" s="69">
        <v>1364.841349883631</v>
      </c>
      <c r="W245" s="69">
        <v>1874.5722048362284</v>
      </c>
      <c r="X245" s="69">
        <v>1897.2422158651041</v>
      </c>
      <c r="Y245" s="69">
        <f>Y$238*'Region OP Sales Goals'!V33</f>
        <v>4096.3805275407294</v>
      </c>
      <c r="Z245" s="69">
        <f>Z$238*'Region OP Sales Goals'!W33</f>
        <v>4547.6766873545375</v>
      </c>
      <c r="AA245" s="69">
        <f>AA$238*'Region OP Sales Goals'!X33</f>
        <v>4447.4988584727917</v>
      </c>
      <c r="AB245" s="69">
        <f>AB$238*'Region OP Sales Goals'!Y33</f>
        <v>3812.1937024981962</v>
      </c>
      <c r="AC245" s="69">
        <f>AC$238*'Region OP Sales Goals'!Z33</f>
        <v>3671.4422024830055</v>
      </c>
      <c r="AD245" s="69">
        <f>AD$238*'Region OP Sales Goals'!AA33</f>
        <v>4182.217152247149</v>
      </c>
      <c r="AE245" s="69">
        <f>AE$238*'Region OP Sales Goals'!AB33</f>
        <v>3979.4827781384083</v>
      </c>
      <c r="AF245" s="69">
        <f>AF$238*'Region OP Sales Goals'!AC33</f>
        <v>3053.1323207604601</v>
      </c>
      <c r="AG245" s="69">
        <f>AG$238*'Region OP Sales Goals'!AD33</f>
        <v>3796.3691424928265</v>
      </c>
      <c r="AH245" s="69">
        <f>AH$238*'Region OP Sales Goals'!AE33</f>
        <v>41047.180552499885</v>
      </c>
      <c r="AJ245" s="757"/>
      <c r="AK245" s="757"/>
      <c r="AL245" s="292" t="s">
        <v>105</v>
      </c>
      <c r="AM245" s="69">
        <v>2400.8571428571431</v>
      </c>
      <c r="AN245" s="69">
        <v>2088.2857142857142</v>
      </c>
      <c r="AO245" s="69">
        <v>2504</v>
      </c>
      <c r="AP245" s="69">
        <v>2802.7142857142858</v>
      </c>
      <c r="AQ245" s="156">
        <v>2453.2857142857142</v>
      </c>
      <c r="AR245" s="156">
        <v>2625.8571428571431</v>
      </c>
      <c r="AS245" s="156">
        <v>2843.2857142857142</v>
      </c>
      <c r="AT245" s="156">
        <v>2126.8571428571431</v>
      </c>
      <c r="AU245" s="69"/>
      <c r="AV245" s="69"/>
      <c r="AW245" s="69"/>
      <c r="AX245" s="69"/>
      <c r="AY245" s="69">
        <f t="shared" si="360"/>
        <v>19845.142857142855</v>
      </c>
      <c r="BA245" s="757"/>
      <c r="BB245" s="757"/>
      <c r="BC245" s="292" t="s">
        <v>105</v>
      </c>
      <c r="BD245" s="465">
        <f t="shared" si="364"/>
        <v>1.7590741539753649</v>
      </c>
      <c r="BE245" s="465">
        <f t="shared" si="352"/>
        <v>1.1140065498134051</v>
      </c>
      <c r="BF245" s="465">
        <f t="shared" si="363"/>
        <v>1.3198103958793825</v>
      </c>
      <c r="BG245" s="465">
        <f t="shared" si="340"/>
        <v>0.68419285436768273</v>
      </c>
      <c r="BH245" s="465">
        <f t="shared" si="341"/>
        <v>0.5394591311003758</v>
      </c>
      <c r="BI245" s="465">
        <f t="shared" si="342"/>
        <v>0.59041210046736814</v>
      </c>
      <c r="BJ245" s="465">
        <f t="shared" si="343"/>
        <v>0.74583978049763322</v>
      </c>
      <c r="BK245" s="465">
        <f t="shared" si="344"/>
        <v>0.57929746011492278</v>
      </c>
      <c r="BL245" s="465">
        <f t="shared" si="345"/>
        <v>0</v>
      </c>
      <c r="BM245" s="465">
        <f t="shared" si="346"/>
        <v>0</v>
      </c>
      <c r="BN245" s="465">
        <f t="shared" si="347"/>
        <v>0</v>
      </c>
      <c r="BO245" s="465">
        <f t="shared" si="348"/>
        <v>0</v>
      </c>
      <c r="BP245" s="465">
        <f t="shared" si="362"/>
        <v>0.48347152203939209</v>
      </c>
    </row>
    <row r="246" spans="2:68">
      <c r="B246" s="768" t="s">
        <v>57</v>
      </c>
      <c r="C246" s="768" t="s">
        <v>49</v>
      </c>
      <c r="D246" s="343" t="s">
        <v>58</v>
      </c>
      <c r="E246" s="344">
        <f>E247+E255+E263</f>
        <v>166100</v>
      </c>
      <c r="F246" s="344">
        <f t="shared" ref="F246:P246" si="365">F247+F255+F263</f>
        <v>159383</v>
      </c>
      <c r="G246" s="344">
        <f t="shared" si="365"/>
        <v>206085</v>
      </c>
      <c r="H246" s="344">
        <f t="shared" si="365"/>
        <v>196467</v>
      </c>
      <c r="I246" s="344">
        <f t="shared" si="365"/>
        <v>194746</v>
      </c>
      <c r="J246" s="344">
        <f t="shared" si="365"/>
        <v>214151</v>
      </c>
      <c r="K246" s="344">
        <f t="shared" si="365"/>
        <v>224103</v>
      </c>
      <c r="L246" s="344">
        <f t="shared" si="365"/>
        <v>225445</v>
      </c>
      <c r="M246" s="344">
        <f t="shared" si="365"/>
        <v>192618</v>
      </c>
      <c r="N246" s="344">
        <f t="shared" si="365"/>
        <v>179384</v>
      </c>
      <c r="O246" s="344">
        <f t="shared" si="365"/>
        <v>178841</v>
      </c>
      <c r="P246" s="344">
        <f t="shared" si="365"/>
        <v>190825</v>
      </c>
      <c r="Q246" s="344">
        <f>Q247+Q255+Q263</f>
        <v>2328148</v>
      </c>
      <c r="S246" s="768" t="s">
        <v>57</v>
      </c>
      <c r="T246" s="768" t="s">
        <v>49</v>
      </c>
      <c r="U246" s="343" t="s">
        <v>58</v>
      </c>
      <c r="V246" s="344">
        <v>169965.47082283063</v>
      </c>
      <c r="W246" s="344">
        <v>209421.74083527343</v>
      </c>
      <c r="X246" s="344">
        <v>204987.08400102353</v>
      </c>
      <c r="Y246" s="344" cm="1">
        <f t="array" ref="Y246">INDEX('Shop Goals'!$H$128:$H$139, COLUMN()-COLUMN($V$3)+1)</f>
        <v>212456.83852853827</v>
      </c>
      <c r="Z246" s="344" cm="1">
        <f t="array" ref="Z246">INDEX('Shop Goals'!$H$128:$H$139, COLUMN()-COLUMN($V$3)+1)</f>
        <v>236737.62007465694</v>
      </c>
      <c r="AA246" s="344" cm="1">
        <f t="array" ref="AA246">INDEX('Shop Goals'!$H$128:$H$139, COLUMN()-COLUMN($V$3)+1)</f>
        <v>230667.42468812724</v>
      </c>
      <c r="AB246" s="344" cm="1">
        <f t="array" ref="AB246">INDEX('Shop Goals'!$H$128:$H$139, COLUMN()-COLUMN($V$3)+1)</f>
        <v>198581.23762599155</v>
      </c>
      <c r="AC246" s="344" cm="1">
        <f t="array" ref="AC246">INDEX('Shop Goals'!$H$128:$H$139, COLUMN()-COLUMN($V$3)+1)</f>
        <v>192175.39125095954</v>
      </c>
      <c r="AD246" s="344" cm="1">
        <f t="array" ref="AD246">INDEX('Shop Goals'!$H$128:$H$139, COLUMN()-COLUMN($V$3)+1)</f>
        <v>217009.48506843552</v>
      </c>
      <c r="AE246" s="344" cm="1">
        <f t="array" ref="AE246">INDEX('Shop Goals'!$H$128:$H$139, COLUMN()-COLUMN($V$3)+1)</f>
        <v>207904.19198864102</v>
      </c>
      <c r="AF246" s="344" cm="1">
        <f t="array" ref="AF246">INDEX('Shop Goals'!$H$128:$H$139, COLUMN()-COLUMN($V$3)+1)</f>
        <v>158864.99010079325</v>
      </c>
      <c r="AG246" s="344" cm="1">
        <f t="array" ref="AG246">INDEX('Shop Goals'!$H$128:$H$139, COLUMN()-COLUMN($V$3)+1)</f>
        <v>199862.40690099794</v>
      </c>
      <c r="AH246" s="345">
        <f t="shared" ref="AH246:AH255" si="366">SUM(V246:AG246)</f>
        <v>2438633.8818862685</v>
      </c>
      <c r="AI246" s="47"/>
      <c r="AJ246" s="757" t="s">
        <v>57</v>
      </c>
      <c r="AK246" s="757" t="s">
        <v>49</v>
      </c>
      <c r="AL246" s="343" t="s">
        <v>58</v>
      </c>
      <c r="AM246" s="344">
        <f>AM247+AM255+AM263</f>
        <v>207629</v>
      </c>
      <c r="AN246" s="344">
        <f t="shared" ref="AN246:AX246" si="367">AN247+AN255+AN263</f>
        <v>183687</v>
      </c>
      <c r="AO246" s="344">
        <f t="shared" si="367"/>
        <v>211066</v>
      </c>
      <c r="AP246" s="344">
        <f t="shared" si="367"/>
        <v>200442</v>
      </c>
      <c r="AQ246" s="344">
        <f t="shared" si="367"/>
        <v>185751</v>
      </c>
      <c r="AR246" s="344">
        <f t="shared" si="367"/>
        <v>186240</v>
      </c>
      <c r="AS246" s="344">
        <f t="shared" si="367"/>
        <v>202960</v>
      </c>
      <c r="AT246" s="344">
        <f t="shared" si="367"/>
        <v>147901</v>
      </c>
      <c r="AU246" s="344">
        <f t="shared" si="367"/>
        <v>0</v>
      </c>
      <c r="AV246" s="344">
        <f t="shared" si="367"/>
        <v>0</v>
      </c>
      <c r="AW246" s="344">
        <f t="shared" si="367"/>
        <v>0</v>
      </c>
      <c r="AX246" s="344">
        <f t="shared" si="367"/>
        <v>0</v>
      </c>
      <c r="AY246" s="344">
        <f>AY247+AY255+AY263</f>
        <v>1525676</v>
      </c>
      <c r="BA246" s="757" t="s">
        <v>57</v>
      </c>
      <c r="BB246" s="757" t="s">
        <v>49</v>
      </c>
      <c r="BC246" s="343" t="s">
        <v>58</v>
      </c>
      <c r="BD246" s="463">
        <f>AM246/V246</f>
        <v>1.2215951804495</v>
      </c>
      <c r="BE246" s="463">
        <f>AN246/W246</f>
        <v>0.87711523773686983</v>
      </c>
      <c r="BF246" s="463">
        <f t="shared" si="363"/>
        <v>1.0296551171923891</v>
      </c>
      <c r="BG246" s="463">
        <f t="shared" si="340"/>
        <v>0.94344809697935716</v>
      </c>
      <c r="BH246" s="463">
        <f t="shared" si="341"/>
        <v>0.78462814630569522</v>
      </c>
      <c r="BI246" s="463">
        <f t="shared" si="342"/>
        <v>0.80739619064896084</v>
      </c>
      <c r="BJ246" s="463">
        <f t="shared" si="343"/>
        <v>1.0220502320680236</v>
      </c>
      <c r="BK246" s="463">
        <f t="shared" si="344"/>
        <v>0.76961466833626924</v>
      </c>
      <c r="BL246" s="463">
        <f t="shared" si="345"/>
        <v>0</v>
      </c>
      <c r="BM246" s="463">
        <f t="shared" si="346"/>
        <v>0</v>
      </c>
      <c r="BN246" s="463">
        <f t="shared" si="347"/>
        <v>0</v>
      </c>
      <c r="BO246" s="463">
        <f t="shared" si="348"/>
        <v>0</v>
      </c>
      <c r="BP246" s="463">
        <f t="shared" si="362"/>
        <v>0.62562732820717593</v>
      </c>
    </row>
    <row r="247" spans="2:68">
      <c r="B247" s="769"/>
      <c r="C247" s="769"/>
      <c r="D247" s="182" t="s">
        <v>60</v>
      </c>
      <c r="E247" s="341">
        <f>SUM(E248:E254)</f>
        <v>1553</v>
      </c>
      <c r="F247" s="341">
        <f t="shared" ref="F247:Q247" si="368">SUM(F248:F254)</f>
        <v>1642</v>
      </c>
      <c r="G247" s="341">
        <f t="shared" si="368"/>
        <v>2618</v>
      </c>
      <c r="H247" s="341">
        <f t="shared" si="368"/>
        <v>2229</v>
      </c>
      <c r="I247" s="341">
        <f t="shared" si="368"/>
        <v>2194</v>
      </c>
      <c r="J247" s="341">
        <f t="shared" si="368"/>
        <v>2650</v>
      </c>
      <c r="K247" s="341">
        <f t="shared" si="368"/>
        <v>2013</v>
      </c>
      <c r="L247" s="341">
        <f t="shared" si="368"/>
        <v>2597</v>
      </c>
      <c r="M247" s="341">
        <f t="shared" si="368"/>
        <v>1516</v>
      </c>
      <c r="N247" s="341">
        <f t="shared" si="368"/>
        <v>1560</v>
      </c>
      <c r="O247" s="341">
        <f t="shared" si="368"/>
        <v>1666</v>
      </c>
      <c r="P247" s="341">
        <f t="shared" si="368"/>
        <v>2178</v>
      </c>
      <c r="Q247" s="341">
        <f t="shared" si="368"/>
        <v>24416</v>
      </c>
      <c r="S247" s="769"/>
      <c r="T247" s="769"/>
      <c r="U247" s="182" t="s">
        <v>60</v>
      </c>
      <c r="V247" s="341">
        <v>1701.7222653219549</v>
      </c>
      <c r="W247" s="341">
        <v>2096.7649340574085</v>
      </c>
      <c r="X247" s="341">
        <v>2388.0140261396236</v>
      </c>
      <c r="Y247" s="341" cm="1">
        <f t="array" ref="Y247">INDEX('Shop Goals'!$D$128:$D$139, COLUMN()-COLUMN($V$3)+1)</f>
        <v>2127.1528316524436</v>
      </c>
      <c r="Z247" s="341" cm="1">
        <f t="array" ref="Z247">INDEX('Shop Goals'!$D$128:$D$139, COLUMN()-COLUMN($V$3)+1)</f>
        <v>2370.2560124127231</v>
      </c>
      <c r="AA247" s="341" cm="1">
        <f t="array" ref="AA247">INDEX('Shop Goals'!$D$128:$D$139, COLUMN()-COLUMN($V$3)+1)</f>
        <v>2309.4802172226532</v>
      </c>
      <c r="AB247" s="341" cm="1">
        <f t="array" ref="AB247">INDEX('Shop Goals'!$D$128:$D$139, COLUMN()-COLUMN($V$3)+1)</f>
        <v>2313.3885878227607</v>
      </c>
      <c r="AC247" s="341" cm="1">
        <f t="array" ref="AC247">INDEX('Shop Goals'!$D$128:$D$139, COLUMN()-COLUMN($V$3)+1)</f>
        <v>2238.7631495058972</v>
      </c>
      <c r="AD247" s="341" cm="1">
        <f t="array" ref="AD247">INDEX('Shop Goals'!$D$128:$D$139, COLUMN()-COLUMN($V$3)+1)</f>
        <v>2172.7346780449961</v>
      </c>
      <c r="AE247" s="341" cm="1">
        <f t="array" ref="AE247">INDEX('Shop Goals'!$D$128:$D$139, COLUMN()-COLUMN($V$3)+1)</f>
        <v>2081.5709852598911</v>
      </c>
      <c r="AF247" s="341" cm="1">
        <f t="array" ref="AF247">INDEX('Shop Goals'!$D$128:$D$139, COLUMN()-COLUMN($V$3)+1)</f>
        <v>1850.7108702582084</v>
      </c>
      <c r="AG247" s="341" cm="1">
        <f t="array" ref="AG247">INDEX('Shop Goals'!$D$128:$D$139, COLUMN()-COLUMN($V$3)+1)</f>
        <v>2328.3136754861334</v>
      </c>
      <c r="AH247" s="342">
        <f t="shared" si="366"/>
        <v>25978.872233184695</v>
      </c>
      <c r="AJ247" s="757"/>
      <c r="AK247" s="757"/>
      <c r="AL247" s="182" t="s">
        <v>60</v>
      </c>
      <c r="AM247" s="341">
        <f>SUM(AM248:AM254)</f>
        <v>1872</v>
      </c>
      <c r="AN247" s="341">
        <f t="shared" ref="AN247:AY247" si="369">SUM(AN248:AN254)</f>
        <v>1745</v>
      </c>
      <c r="AO247" s="341">
        <f t="shared" si="369"/>
        <v>2017</v>
      </c>
      <c r="AP247" s="341">
        <f t="shared" si="369"/>
        <v>1653</v>
      </c>
      <c r="AQ247" s="341">
        <f t="shared" si="369"/>
        <v>1714</v>
      </c>
      <c r="AR247" s="341">
        <f t="shared" si="369"/>
        <v>1735</v>
      </c>
      <c r="AS247" s="341">
        <f t="shared" si="369"/>
        <v>2129</v>
      </c>
      <c r="AT247" s="341">
        <f t="shared" si="369"/>
        <v>1602</v>
      </c>
      <c r="AU247" s="341">
        <f t="shared" si="369"/>
        <v>0</v>
      </c>
      <c r="AV247" s="341">
        <f t="shared" si="369"/>
        <v>0</v>
      </c>
      <c r="AW247" s="341">
        <f t="shared" si="369"/>
        <v>0</v>
      </c>
      <c r="AX247" s="341">
        <f t="shared" si="369"/>
        <v>0</v>
      </c>
      <c r="AY247" s="341">
        <f t="shared" si="369"/>
        <v>14467</v>
      </c>
      <c r="BA247" s="757"/>
      <c r="BB247" s="757"/>
      <c r="BC247" s="182" t="s">
        <v>60</v>
      </c>
      <c r="BD247" s="464">
        <f>AM247/V247</f>
        <v>1.1000620008023634</v>
      </c>
      <c r="BE247" s="464">
        <f t="shared" ref="BE247:BE270" si="370">AN247/W247</f>
        <v>0.83223444443211136</v>
      </c>
      <c r="BF247" s="464">
        <f t="shared" si="363"/>
        <v>0.84463490495514748</v>
      </c>
      <c r="BG247" s="464">
        <f t="shared" si="340"/>
        <v>0.77709508005397721</v>
      </c>
      <c r="BH247" s="464">
        <f t="shared" si="341"/>
        <v>0.72312863716999531</v>
      </c>
      <c r="BI247" s="464">
        <f t="shared" si="342"/>
        <v>0.75125129328299045</v>
      </c>
      <c r="BJ247" s="464">
        <f t="shared" si="343"/>
        <v>0.92029502142729191</v>
      </c>
      <c r="BK247" s="464">
        <f t="shared" si="344"/>
        <v>0.71557368645877839</v>
      </c>
      <c r="BL247" s="464">
        <f t="shared" si="345"/>
        <v>0</v>
      </c>
      <c r="BM247" s="464">
        <f t="shared" si="346"/>
        <v>0</v>
      </c>
      <c r="BN247" s="464">
        <f t="shared" si="347"/>
        <v>0</v>
      </c>
      <c r="BO247" s="464">
        <f t="shared" si="348"/>
        <v>0</v>
      </c>
      <c r="BP247" s="464">
        <f t="shared" si="362"/>
        <v>0.556875597606591</v>
      </c>
    </row>
    <row r="248" spans="2:68" ht="16" customHeight="1">
      <c r="B248" s="769"/>
      <c r="C248" s="769"/>
      <c r="D248" s="292" t="s">
        <v>99</v>
      </c>
      <c r="E248" s="69">
        <v>239</v>
      </c>
      <c r="F248" s="69">
        <v>306</v>
      </c>
      <c r="G248" s="69">
        <v>496</v>
      </c>
      <c r="H248" s="69">
        <v>330</v>
      </c>
      <c r="I248" s="69">
        <v>350</v>
      </c>
      <c r="J248" s="69">
        <v>467</v>
      </c>
      <c r="K248" s="69">
        <v>357</v>
      </c>
      <c r="L248" s="69">
        <v>458</v>
      </c>
      <c r="M248" s="69">
        <v>222</v>
      </c>
      <c r="N248" s="69">
        <v>228</v>
      </c>
      <c r="O248" s="69">
        <v>263</v>
      </c>
      <c r="P248" s="69">
        <v>286</v>
      </c>
      <c r="Q248" s="69">
        <f>SUM(E248:P248)</f>
        <v>4002</v>
      </c>
      <c r="S248" s="769"/>
      <c r="T248" s="769"/>
      <c r="U248" s="292" t="s">
        <v>99</v>
      </c>
      <c r="V248" s="69">
        <v>200.56012412723038</v>
      </c>
      <c r="W248" s="69">
        <v>220.33801001959208</v>
      </c>
      <c r="X248" s="69">
        <v>254.30798719928458</v>
      </c>
      <c r="Y248" s="69">
        <f>Y$247*'Region OP Sales Goals'!V27</f>
        <v>224.87044220325834</v>
      </c>
      <c r="Z248" s="69">
        <f>Z$247*'Region OP Sales Goals'!W27</f>
        <v>249.18076027928626</v>
      </c>
      <c r="AA248" s="69">
        <f>AA$247*'Region OP Sales Goals'!X27</f>
        <v>244.1450515349662</v>
      </c>
      <c r="AB248" s="69">
        <f>AB$247*'Region OP Sales Goals'!Y27</f>
        <v>243.51458819186954</v>
      </c>
      <c r="AC248" s="69">
        <f>AC$247*'Region OP Sales Goals'!Z27</f>
        <v>235.97773738035133</v>
      </c>
      <c r="AD248" s="69">
        <f>AD$247*'Region OP Sales Goals'!AA27</f>
        <v>229.17886330063658</v>
      </c>
      <c r="AE248" s="69">
        <f>AE$247*'Region OP Sales Goals'!AB27</f>
        <v>220.9014106806415</v>
      </c>
      <c r="AF248" s="69">
        <f>AF$247*'Region OP Sales Goals'!AC27</f>
        <v>194.81167055349562</v>
      </c>
      <c r="AG248" s="69">
        <f>AG$247*'Region OP Sales Goals'!AD27</f>
        <v>244.77143767931148</v>
      </c>
      <c r="AH248" s="69">
        <f>AH$247*'Region OP Sales Goals'!AE27</f>
        <v>2733.6694879970019</v>
      </c>
      <c r="AJ248" s="757"/>
      <c r="AK248" s="757"/>
      <c r="AL248" s="292" t="s">
        <v>99</v>
      </c>
      <c r="AM248" s="69">
        <v>289</v>
      </c>
      <c r="AN248" s="69">
        <v>288</v>
      </c>
      <c r="AO248" s="69">
        <v>346</v>
      </c>
      <c r="AP248" s="69">
        <v>278</v>
      </c>
      <c r="AQ248" s="69">
        <v>264</v>
      </c>
      <c r="AR248" s="69">
        <v>302</v>
      </c>
      <c r="AS248" s="69">
        <v>320</v>
      </c>
      <c r="AT248" s="69">
        <v>240</v>
      </c>
      <c r="AU248" s="69"/>
      <c r="AV248" s="69"/>
      <c r="AW248" s="69"/>
      <c r="AX248" s="69"/>
      <c r="AY248" s="69">
        <f>SUM(AM248:AX248)</f>
        <v>2327</v>
      </c>
      <c r="BA248" s="757"/>
      <c r="BB248" s="757"/>
      <c r="BC248" s="292" t="s">
        <v>99</v>
      </c>
      <c r="BD248" s="465">
        <f>AM248/V248</f>
        <v>1.4409644053504154</v>
      </c>
      <c r="BE248" s="465">
        <f t="shared" si="370"/>
        <v>1.3070826952389718</v>
      </c>
      <c r="BF248" s="465">
        <f t="shared" si="363"/>
        <v>1.360554986143091</v>
      </c>
      <c r="BG248" s="465">
        <f t="shared" si="340"/>
        <v>1.2362674136991216</v>
      </c>
      <c r="BH248" s="465">
        <f t="shared" si="341"/>
        <v>1.0594718456758221</v>
      </c>
      <c r="BI248" s="465">
        <f t="shared" si="342"/>
        <v>1.2369695723967924</v>
      </c>
      <c r="BJ248" s="465">
        <f t="shared" si="343"/>
        <v>1.3140896501357291</v>
      </c>
      <c r="BK248" s="465">
        <f t="shared" si="344"/>
        <v>1.0170450935935773</v>
      </c>
      <c r="BL248" s="465">
        <f t="shared" si="345"/>
        <v>0</v>
      </c>
      <c r="BM248" s="465">
        <f t="shared" si="346"/>
        <v>0</v>
      </c>
      <c r="BN248" s="465">
        <f t="shared" si="347"/>
        <v>0</v>
      </c>
      <c r="BO248" s="465">
        <f t="shared" si="348"/>
        <v>0</v>
      </c>
      <c r="BP248" s="465">
        <f>AY248/AH248</f>
        <v>0.85123677541026577</v>
      </c>
    </row>
    <row r="249" spans="2:68" ht="16" customHeight="1">
      <c r="B249" s="769"/>
      <c r="C249" s="769"/>
      <c r="D249" s="292" t="s">
        <v>100</v>
      </c>
      <c r="E249" s="69">
        <v>373</v>
      </c>
      <c r="F249" s="69">
        <v>377</v>
      </c>
      <c r="G249" s="69">
        <v>635</v>
      </c>
      <c r="H249" s="69">
        <v>516</v>
      </c>
      <c r="I249" s="69">
        <v>522</v>
      </c>
      <c r="J249" s="69">
        <v>592</v>
      </c>
      <c r="K249" s="69">
        <v>451</v>
      </c>
      <c r="L249" s="69">
        <v>547</v>
      </c>
      <c r="M249" s="69">
        <v>353</v>
      </c>
      <c r="N249" s="69">
        <v>244</v>
      </c>
      <c r="O249" s="69">
        <v>301</v>
      </c>
      <c r="P249" s="69">
        <v>405</v>
      </c>
      <c r="Q249" s="69">
        <f t="shared" ref="Q249:Q254" si="371">SUM(E249:P249)</f>
        <v>5316</v>
      </c>
      <c r="S249" s="769"/>
      <c r="T249" s="769"/>
      <c r="U249" s="292" t="s">
        <v>100</v>
      </c>
      <c r="V249" s="69">
        <v>367.69356089992243</v>
      </c>
      <c r="W249" s="69">
        <v>408.69147019763051</v>
      </c>
      <c r="X249" s="69">
        <v>493.10938981324699</v>
      </c>
      <c r="Y249" s="69">
        <f>Y$247*'Region OP Sales Goals'!V28</f>
        <v>431.50814584949569</v>
      </c>
      <c r="Z249" s="69">
        <f>Z$247*'Region OP Sales Goals'!W28</f>
        <v>483.16757176105506</v>
      </c>
      <c r="AA249" s="69">
        <f>AA$247*'Region OP Sales Goals'!X28</f>
        <v>468.49455835088105</v>
      </c>
      <c r="AB249" s="69">
        <f>AB$247*'Region OP Sales Goals'!Y28</f>
        <v>471.80951462174721</v>
      </c>
      <c r="AC249" s="69">
        <f>AC$247*'Region OP Sales Goals'!Z28</f>
        <v>456.82869672350063</v>
      </c>
      <c r="AD249" s="69">
        <f>AD$247*'Region OP Sales Goals'!AA28</f>
        <v>443.47598223110197</v>
      </c>
      <c r="AE249" s="69">
        <f>AE$247*'Region OP Sales Goals'!AB28</f>
        <v>424.81040515507982</v>
      </c>
      <c r="AF249" s="69">
        <f>AF$247*'Region OP Sales Goals'!AC28</f>
        <v>375.70822178174154</v>
      </c>
      <c r="AG249" s="69">
        <f>AG$247*'Region OP Sales Goals'!AD28</f>
        <v>474.61778769525029</v>
      </c>
      <c r="AH249" s="69">
        <f>AH$247*'Region OP Sales Goals'!AE28</f>
        <v>5365.2018742446653</v>
      </c>
      <c r="AJ249" s="757"/>
      <c r="AK249" s="757"/>
      <c r="AL249" s="292" t="s">
        <v>100</v>
      </c>
      <c r="AM249" s="69">
        <v>328</v>
      </c>
      <c r="AN249" s="69">
        <v>331</v>
      </c>
      <c r="AO249" s="69">
        <v>429</v>
      </c>
      <c r="AP249" s="69">
        <v>284</v>
      </c>
      <c r="AQ249" s="69">
        <v>336</v>
      </c>
      <c r="AR249" s="69">
        <v>291</v>
      </c>
      <c r="AS249" s="69">
        <v>344</v>
      </c>
      <c r="AT249" s="69">
        <v>316</v>
      </c>
      <c r="AU249" s="69"/>
      <c r="AV249" s="69"/>
      <c r="AW249" s="69"/>
      <c r="AX249" s="69"/>
      <c r="AY249" s="69">
        <f t="shared" ref="AY249:AY254" si="372">SUM(AM249:AX249)</f>
        <v>2659</v>
      </c>
      <c r="BA249" s="757"/>
      <c r="BB249" s="757"/>
      <c r="BC249" s="292" t="s">
        <v>100</v>
      </c>
      <c r="BD249" s="465">
        <f t="shared" ref="BD249:BD254" si="373">AM249/V249</f>
        <v>0.89204716883599144</v>
      </c>
      <c r="BE249" s="465">
        <f t="shared" si="370"/>
        <v>0.80990190433859233</v>
      </c>
      <c r="BF249" s="465">
        <f t="shared" si="363"/>
        <v>0.86998951726000018</v>
      </c>
      <c r="BG249" s="465">
        <f t="shared" si="340"/>
        <v>0.65815675261679862</v>
      </c>
      <c r="BH249" s="465">
        <f t="shared" si="341"/>
        <v>0.69541090842529663</v>
      </c>
      <c r="BI249" s="465">
        <f t="shared" si="342"/>
        <v>0.62113848456283305</v>
      </c>
      <c r="BJ249" s="465">
        <f t="shared" si="343"/>
        <v>0.72910780588175939</v>
      </c>
      <c r="BK249" s="465">
        <f t="shared" si="344"/>
        <v>0.69172537160304892</v>
      </c>
      <c r="BL249" s="465">
        <f t="shared" si="345"/>
        <v>0</v>
      </c>
      <c r="BM249" s="465">
        <f t="shared" si="346"/>
        <v>0</v>
      </c>
      <c r="BN249" s="465">
        <f t="shared" si="347"/>
        <v>0</v>
      </c>
      <c r="BO249" s="465">
        <f t="shared" si="348"/>
        <v>0</v>
      </c>
      <c r="BP249" s="465">
        <f t="shared" ref="BP249:BP255" si="374">AY249/AH249</f>
        <v>0.49560110920790745</v>
      </c>
    </row>
    <row r="250" spans="2:68" ht="16" customHeight="1">
      <c r="B250" s="769"/>
      <c r="C250" s="769"/>
      <c r="D250" s="292" t="s">
        <v>101</v>
      </c>
      <c r="E250" s="69">
        <v>178</v>
      </c>
      <c r="F250" s="69">
        <v>136</v>
      </c>
      <c r="G250" s="69">
        <v>249</v>
      </c>
      <c r="H250" s="69">
        <v>269</v>
      </c>
      <c r="I250" s="69">
        <v>185</v>
      </c>
      <c r="J250" s="69">
        <v>276</v>
      </c>
      <c r="K250" s="69">
        <v>207</v>
      </c>
      <c r="L250" s="69">
        <v>252</v>
      </c>
      <c r="M250" s="69">
        <v>158</v>
      </c>
      <c r="N250" s="69">
        <v>129</v>
      </c>
      <c r="O250" s="69">
        <v>211</v>
      </c>
      <c r="P250" s="69">
        <v>225</v>
      </c>
      <c r="Q250" s="69">
        <f t="shared" si="371"/>
        <v>2475</v>
      </c>
      <c r="S250" s="769"/>
      <c r="T250" s="769"/>
      <c r="U250" s="292" t="s">
        <v>101</v>
      </c>
      <c r="V250" s="69">
        <v>136.74553917765709</v>
      </c>
      <c r="W250" s="69">
        <v>195.46113792060586</v>
      </c>
      <c r="X250" s="69">
        <v>182.97769810680234</v>
      </c>
      <c r="Y250" s="69">
        <f>Y$247*'Region OP Sales Goals'!V29</f>
        <v>176.24980605120246</v>
      </c>
      <c r="Z250" s="69">
        <f>Z$247*'Region OP Sales Goals'!W29</f>
        <v>197.52133436772692</v>
      </c>
      <c r="AA250" s="69">
        <f>AA$247*'Region OP Sales Goals'!X29</f>
        <v>191.35693228416267</v>
      </c>
      <c r="AB250" s="69">
        <f>AB$247*'Region OP Sales Goals'!Y29</f>
        <v>191.76773820109725</v>
      </c>
      <c r="AC250" s="69">
        <f>AC$247*'Region OP Sales Goals'!Z29</f>
        <v>184.54669205386452</v>
      </c>
      <c r="AD250" s="69">
        <f>AD$247*'Region OP Sales Goals'!AA29</f>
        <v>178.58093244205446</v>
      </c>
      <c r="AE250" s="69">
        <f>AE$247*'Region OP Sales Goals'!AB29</f>
        <v>172.75623142973245</v>
      </c>
      <c r="AF250" s="69">
        <f>AF$247*'Region OP Sales Goals'!AC29</f>
        <v>153.06631257774654</v>
      </c>
      <c r="AG250" s="69">
        <f>AG$247*'Region OP Sales Goals'!AD29</f>
        <v>194.02613962384444</v>
      </c>
      <c r="AH250" s="69">
        <f>AH$247*'Region OP Sales Goals'!AE29</f>
        <v>2081.7944562438706</v>
      </c>
      <c r="AJ250" s="757"/>
      <c r="AK250" s="757"/>
      <c r="AL250" s="292" t="s">
        <v>101</v>
      </c>
      <c r="AM250" s="69">
        <v>202</v>
      </c>
      <c r="AN250" s="69">
        <v>143</v>
      </c>
      <c r="AO250" s="69">
        <v>177</v>
      </c>
      <c r="AP250" s="69">
        <v>174</v>
      </c>
      <c r="AQ250" s="69">
        <v>155</v>
      </c>
      <c r="AR250" s="69">
        <v>154</v>
      </c>
      <c r="AS250" s="69">
        <v>237</v>
      </c>
      <c r="AT250" s="69">
        <v>137</v>
      </c>
      <c r="AU250" s="69"/>
      <c r="AV250" s="69"/>
      <c r="AW250" s="69"/>
      <c r="AX250" s="69"/>
      <c r="AY250" s="69">
        <f t="shared" si="372"/>
        <v>1379</v>
      </c>
      <c r="BA250" s="757"/>
      <c r="BB250" s="757"/>
      <c r="BC250" s="292" t="s">
        <v>101</v>
      </c>
      <c r="BD250" s="465">
        <f t="shared" si="373"/>
        <v>1.4771962669843701</v>
      </c>
      <c r="BE250" s="465">
        <f t="shared" si="370"/>
        <v>0.731603230807369</v>
      </c>
      <c r="BF250" s="465">
        <f t="shared" si="363"/>
        <v>0.96733100170867159</v>
      </c>
      <c r="BG250" s="465">
        <f t="shared" si="340"/>
        <v>0.98723512892519805</v>
      </c>
      <c r="BH250" s="465">
        <f t="shared" si="341"/>
        <v>0.78472535888925987</v>
      </c>
      <c r="BI250" s="465">
        <f t="shared" si="342"/>
        <v>0.80477878779594936</v>
      </c>
      <c r="BJ250" s="465">
        <f t="shared" si="343"/>
        <v>1.2358700281038406</v>
      </c>
      <c r="BK250" s="465">
        <f t="shared" si="344"/>
        <v>0.74235955397137743</v>
      </c>
      <c r="BL250" s="465">
        <f t="shared" si="345"/>
        <v>0</v>
      </c>
      <c r="BM250" s="465">
        <f t="shared" si="346"/>
        <v>0</v>
      </c>
      <c r="BN250" s="465">
        <f t="shared" si="347"/>
        <v>0</v>
      </c>
      <c r="BO250" s="465">
        <f t="shared" si="348"/>
        <v>0</v>
      </c>
      <c r="BP250" s="465">
        <f t="shared" si="374"/>
        <v>0.66240929591487863</v>
      </c>
    </row>
    <row r="251" spans="2:68" ht="16" customHeight="1">
      <c r="B251" s="769"/>
      <c r="C251" s="769"/>
      <c r="D251" s="292" t="s">
        <v>102</v>
      </c>
      <c r="E251" s="69">
        <v>73</v>
      </c>
      <c r="F251" s="69">
        <v>65</v>
      </c>
      <c r="G251" s="69">
        <v>96</v>
      </c>
      <c r="H251" s="69">
        <v>124</v>
      </c>
      <c r="I251" s="69">
        <v>91</v>
      </c>
      <c r="J251" s="69">
        <v>111</v>
      </c>
      <c r="K251" s="69">
        <v>77</v>
      </c>
      <c r="L251" s="69">
        <v>116</v>
      </c>
      <c r="M251" s="69">
        <v>70</v>
      </c>
      <c r="N251" s="69">
        <v>94</v>
      </c>
      <c r="O251" s="69">
        <v>106</v>
      </c>
      <c r="P251" s="69">
        <v>183</v>
      </c>
      <c r="Q251" s="69">
        <f t="shared" si="371"/>
        <v>1206</v>
      </c>
      <c r="S251" s="769"/>
      <c r="T251" s="769"/>
      <c r="U251" s="292" t="s">
        <v>102</v>
      </c>
      <c r="V251" s="69">
        <v>66.853374709076803</v>
      </c>
      <c r="W251" s="69">
        <v>71.076777425674862</v>
      </c>
      <c r="X251" s="69">
        <v>102.34345826312673</v>
      </c>
      <c r="Y251" s="69">
        <f>Y$247*'Region OP Sales Goals'!V30</f>
        <v>88.124903025601228</v>
      </c>
      <c r="Z251" s="69">
        <f>Z$247*'Region OP Sales Goals'!W30</f>
        <v>97.241272304111718</v>
      </c>
      <c r="AA251" s="69">
        <f>AA$247*'Region OP Sales Goals'!X30</f>
        <v>95.678466142081334</v>
      </c>
      <c r="AB251" s="69">
        <f>AB$247*'Region OP Sales Goals'!Y30</f>
        <v>94.361902924349451</v>
      </c>
      <c r="AC251" s="69">
        <f>AC$247*'Region OP Sales Goals'!Z30</f>
        <v>90.760668223212051</v>
      </c>
      <c r="AD251" s="69">
        <f>AD$247*'Region OP Sales Goals'!AA30</f>
        <v>89.290466221027231</v>
      </c>
      <c r="AE251" s="69">
        <f>AE$247*'Region OP Sales Goals'!AB30</f>
        <v>84.962081031015956</v>
      </c>
      <c r="AF251" s="69">
        <f>AF$247*'Region OP Sales Goals'!AC30</f>
        <v>75.141644356348323</v>
      </c>
      <c r="AG251" s="69">
        <f>AG$247*'Region OP Sales Goals'!AD30</f>
        <v>95.520561045584955</v>
      </c>
      <c r="AH251" s="69">
        <f>AH$247*'Region OP Sales Goals'!AE30</f>
        <v>1042.3992443241316</v>
      </c>
      <c r="AJ251" s="757"/>
      <c r="AK251" s="757"/>
      <c r="AL251" s="292" t="s">
        <v>102</v>
      </c>
      <c r="AM251" s="69">
        <v>107</v>
      </c>
      <c r="AN251" s="69">
        <v>150</v>
      </c>
      <c r="AO251" s="69">
        <v>153</v>
      </c>
      <c r="AP251" s="69">
        <v>118</v>
      </c>
      <c r="AQ251" s="69">
        <v>147</v>
      </c>
      <c r="AR251" s="69">
        <v>113</v>
      </c>
      <c r="AS251" s="69">
        <v>209</v>
      </c>
      <c r="AT251" s="69">
        <v>111</v>
      </c>
      <c r="AU251" s="69"/>
      <c r="AV251" s="69"/>
      <c r="AW251" s="69"/>
      <c r="AX251" s="69"/>
      <c r="AY251" s="69">
        <f t="shared" si="372"/>
        <v>1108</v>
      </c>
      <c r="BA251" s="757"/>
      <c r="BB251" s="757"/>
      <c r="BC251" s="292" t="s">
        <v>102</v>
      </c>
      <c r="BD251" s="465">
        <f t="shared" si="373"/>
        <v>1.600517557499942</v>
      </c>
      <c r="BE251" s="465">
        <f t="shared" si="370"/>
        <v>2.1103939350212566</v>
      </c>
      <c r="BF251" s="465">
        <f t="shared" si="363"/>
        <v>1.4949660935497651</v>
      </c>
      <c r="BG251" s="465">
        <f t="shared" si="340"/>
        <v>1.3390085656686594</v>
      </c>
      <c r="BH251" s="465">
        <f t="shared" si="341"/>
        <v>1.5117037911667093</v>
      </c>
      <c r="BI251" s="465">
        <f t="shared" si="342"/>
        <v>1.1810390002719777</v>
      </c>
      <c r="BJ251" s="465">
        <f t="shared" si="343"/>
        <v>2.2148769103094144</v>
      </c>
      <c r="BK251" s="465">
        <f t="shared" si="344"/>
        <v>1.2229967250462765</v>
      </c>
      <c r="BL251" s="465">
        <f t="shared" si="345"/>
        <v>0</v>
      </c>
      <c r="BM251" s="465">
        <f t="shared" si="346"/>
        <v>0</v>
      </c>
      <c r="BN251" s="465">
        <f t="shared" si="347"/>
        <v>0</v>
      </c>
      <c r="BO251" s="465">
        <f t="shared" si="348"/>
        <v>0</v>
      </c>
      <c r="BP251" s="465">
        <f t="shared" si="374"/>
        <v>1.0629324666465989</v>
      </c>
    </row>
    <row r="252" spans="2:68" ht="16" customHeight="1">
      <c r="B252" s="769"/>
      <c r="C252" s="769"/>
      <c r="D252" s="292" t="s">
        <v>103</v>
      </c>
      <c r="E252" s="69">
        <v>203</v>
      </c>
      <c r="F252" s="69">
        <v>240</v>
      </c>
      <c r="G252" s="69">
        <v>356</v>
      </c>
      <c r="H252" s="69">
        <v>307</v>
      </c>
      <c r="I252" s="69">
        <v>328</v>
      </c>
      <c r="J252" s="69">
        <v>325</v>
      </c>
      <c r="K252" s="69">
        <v>249</v>
      </c>
      <c r="L252" s="69">
        <v>294</v>
      </c>
      <c r="M252" s="69">
        <v>182</v>
      </c>
      <c r="N252" s="69">
        <v>185</v>
      </c>
      <c r="O252" s="69">
        <v>212</v>
      </c>
      <c r="P252" s="69">
        <v>297</v>
      </c>
      <c r="Q252" s="69">
        <f t="shared" si="371"/>
        <v>3178</v>
      </c>
      <c r="S252" s="769"/>
      <c r="T252" s="769"/>
      <c r="U252" s="292" t="s">
        <v>103</v>
      </c>
      <c r="V252" s="69">
        <v>173.21101629169897</v>
      </c>
      <c r="W252" s="69">
        <v>287.86094857398319</v>
      </c>
      <c r="X252" s="69">
        <v>282.21983945286462</v>
      </c>
      <c r="Y252" s="69">
        <f>Y$247*'Region OP Sales Goals'!V31</f>
        <v>243.10318076027926</v>
      </c>
      <c r="Z252" s="69">
        <f>Z$247*'Region OP Sales Goals'!W31</f>
        <v>270.45228859581073</v>
      </c>
      <c r="AA252" s="69">
        <f>AA$247*'Region OP Sales Goals'!X31</f>
        <v>263.94059625401752</v>
      </c>
      <c r="AB252" s="69">
        <f>AB$247*'Region OP Sales Goals'!Y31</f>
        <v>261.77818230625979</v>
      </c>
      <c r="AC252" s="69">
        <f>AC$247*'Region OP Sales Goals'!Z31</f>
        <v>254.12987102499375</v>
      </c>
      <c r="AD252" s="69">
        <f>AD$247*'Region OP Sales Goals'!AA31</f>
        <v>247.03695654484204</v>
      </c>
      <c r="AE252" s="69">
        <f>AE$247*'Region OP Sales Goals'!AB31</f>
        <v>237.89382688684469</v>
      </c>
      <c r="AF252" s="69">
        <f>AF$247*'Region OP Sales Goals'!AC31</f>
        <v>211.50981374379523</v>
      </c>
      <c r="AG252" s="69">
        <f>AG$247*'Region OP Sales Goals'!AD31</f>
        <v>265.66656040803315</v>
      </c>
      <c r="AH252" s="69">
        <f>AH$247*'Region OP Sales Goals'!AE31</f>
        <v>2826.7944925331635</v>
      </c>
      <c r="AJ252" s="757"/>
      <c r="AK252" s="757"/>
      <c r="AL252" s="292" t="s">
        <v>103</v>
      </c>
      <c r="AM252" s="69">
        <v>258</v>
      </c>
      <c r="AN252" s="69">
        <v>226</v>
      </c>
      <c r="AO252" s="69">
        <v>228</v>
      </c>
      <c r="AP252" s="69">
        <v>215</v>
      </c>
      <c r="AQ252" s="69">
        <v>269</v>
      </c>
      <c r="AR252" s="69">
        <v>250</v>
      </c>
      <c r="AS252" s="69">
        <v>298</v>
      </c>
      <c r="AT252" s="69">
        <v>254</v>
      </c>
      <c r="AU252" s="69"/>
      <c r="AV252" s="69"/>
      <c r="AW252" s="69"/>
      <c r="AX252" s="69"/>
      <c r="AY252" s="69">
        <f t="shared" si="372"/>
        <v>1998</v>
      </c>
      <c r="BA252" s="757"/>
      <c r="BB252" s="757"/>
      <c r="BC252" s="292" t="s">
        <v>103</v>
      </c>
      <c r="BD252" s="465">
        <f t="shared" si="373"/>
        <v>1.4895126506590706</v>
      </c>
      <c r="BE252" s="465">
        <f t="shared" si="370"/>
        <v>0.78510128282272262</v>
      </c>
      <c r="BF252" s="465">
        <f t="shared" si="363"/>
        <v>0.80788083659185761</v>
      </c>
      <c r="BG252" s="465">
        <f t="shared" si="340"/>
        <v>0.88439813632882314</v>
      </c>
      <c r="BH252" s="465">
        <f t="shared" si="341"/>
        <v>0.9946301486175213</v>
      </c>
      <c r="BI252" s="465">
        <f t="shared" si="342"/>
        <v>0.94718282654555708</v>
      </c>
      <c r="BJ252" s="465">
        <f t="shared" si="343"/>
        <v>1.1383683597106025</v>
      </c>
      <c r="BK252" s="465">
        <f t="shared" si="344"/>
        <v>0.9994889580494023</v>
      </c>
      <c r="BL252" s="465">
        <f t="shared" si="345"/>
        <v>0</v>
      </c>
      <c r="BM252" s="465">
        <f t="shared" si="346"/>
        <v>0</v>
      </c>
      <c r="BN252" s="465">
        <f t="shared" si="347"/>
        <v>0</v>
      </c>
      <c r="BO252" s="465">
        <f t="shared" si="348"/>
        <v>0</v>
      </c>
      <c r="BP252" s="465">
        <f t="shared" si="374"/>
        <v>0.70680765979897631</v>
      </c>
    </row>
    <row r="253" spans="2:68" ht="16" customHeight="1">
      <c r="B253" s="769"/>
      <c r="C253" s="769"/>
      <c r="D253" s="292" t="s">
        <v>104</v>
      </c>
      <c r="E253" s="69">
        <v>277</v>
      </c>
      <c r="F253" s="69">
        <v>327</v>
      </c>
      <c r="G253" s="69">
        <v>488</v>
      </c>
      <c r="H253" s="69">
        <v>409</v>
      </c>
      <c r="I253" s="69">
        <v>430</v>
      </c>
      <c r="J253" s="69">
        <v>566</v>
      </c>
      <c r="K253" s="69">
        <v>423</v>
      </c>
      <c r="L253" s="69">
        <v>578</v>
      </c>
      <c r="M253" s="69">
        <v>242</v>
      </c>
      <c r="N253" s="69">
        <v>251</v>
      </c>
      <c r="O253" s="69">
        <v>319</v>
      </c>
      <c r="P253" s="69">
        <v>391</v>
      </c>
      <c r="Q253" s="69">
        <f t="shared" si="371"/>
        <v>4701</v>
      </c>
      <c r="S253" s="769"/>
      <c r="T253" s="769"/>
      <c r="U253" s="292" t="s">
        <v>104</v>
      </c>
      <c r="V253" s="69">
        <v>495.32273079906906</v>
      </c>
      <c r="W253" s="69">
        <v>554.39886392026392</v>
      </c>
      <c r="X253" s="69">
        <v>679.18840483711369</v>
      </c>
      <c r="Y253" s="69">
        <f>Y$247*'Region OP Sales Goals'!V32</f>
        <v>604.71916214119472</v>
      </c>
      <c r="Z253" s="69">
        <f>Z$247*'Region OP Sales Goals'!W32</f>
        <v>674.61132660977501</v>
      </c>
      <c r="AA253" s="69">
        <f>AA$247*'Region OP Sales Goals'!X32</f>
        <v>656.55223318186859</v>
      </c>
      <c r="AB253" s="69">
        <f>AB$247*'Region OP Sales Goals'!Y32</f>
        <v>657.48938811804771</v>
      </c>
      <c r="AC253" s="69">
        <f>AC$247*'Region OP Sales Goals'!Z32</f>
        <v>638.3500331699247</v>
      </c>
      <c r="AD253" s="69">
        <f>AD$247*'Region OP Sales Goals'!AA32</f>
        <v>619.08056579912216</v>
      </c>
      <c r="AE253" s="69">
        <f>AE$247*'Region OP Sales Goals'!AB32</f>
        <v>591.90249784941125</v>
      </c>
      <c r="AF253" s="69">
        <f>AF$247*'Region OP Sales Goals'!AC32</f>
        <v>525.99151049443822</v>
      </c>
      <c r="AG253" s="69">
        <f>AG$247*'Region OP Sales Goals'!AD32</f>
        <v>662.67389225374563</v>
      </c>
      <c r="AH253" s="69">
        <f>AH$247*'Region OP Sales Goals'!AE32</f>
        <v>7504.0729461719893</v>
      </c>
      <c r="AJ253" s="757"/>
      <c r="AK253" s="757"/>
      <c r="AL253" s="292" t="s">
        <v>104</v>
      </c>
      <c r="AM253" s="69">
        <v>424</v>
      </c>
      <c r="AN253" s="69">
        <v>364</v>
      </c>
      <c r="AO253" s="69">
        <v>414</v>
      </c>
      <c r="AP253" s="69">
        <v>338</v>
      </c>
      <c r="AQ253" s="156">
        <v>328</v>
      </c>
      <c r="AR253" s="156">
        <v>316</v>
      </c>
      <c r="AS253" s="156">
        <v>405</v>
      </c>
      <c r="AT253" s="156">
        <v>318</v>
      </c>
      <c r="AU253" s="69"/>
      <c r="AV253" s="69"/>
      <c r="AW253" s="69"/>
      <c r="AX253" s="69"/>
      <c r="AY253" s="69">
        <f t="shared" si="372"/>
        <v>2907</v>
      </c>
      <c r="BA253" s="757"/>
      <c r="BB253" s="757"/>
      <c r="BC253" s="292" t="s">
        <v>104</v>
      </c>
      <c r="BD253" s="465">
        <f t="shared" si="373"/>
        <v>0.85600755555068275</v>
      </c>
      <c r="BE253" s="465">
        <f t="shared" si="370"/>
        <v>0.65656700200661322</v>
      </c>
      <c r="BF253" s="465">
        <f t="shared" si="363"/>
        <v>0.6095510421725876</v>
      </c>
      <c r="BG253" s="465">
        <f t="shared" si="340"/>
        <v>0.55893714166954256</v>
      </c>
      <c r="BH253" s="465">
        <f t="shared" si="341"/>
        <v>0.48620588932051789</v>
      </c>
      <c r="BI253" s="465">
        <f t="shared" si="342"/>
        <v>0.48130214784063685</v>
      </c>
      <c r="BJ253" s="465">
        <f t="shared" si="343"/>
        <v>0.61597952350112306</v>
      </c>
      <c r="BK253" s="465">
        <f t="shared" si="344"/>
        <v>0.49815929110377349</v>
      </c>
      <c r="BL253" s="465">
        <f t="shared" si="345"/>
        <v>0</v>
      </c>
      <c r="BM253" s="465">
        <f t="shared" si="346"/>
        <v>0</v>
      </c>
      <c r="BN253" s="465">
        <f t="shared" si="347"/>
        <v>0</v>
      </c>
      <c r="BO253" s="465">
        <f t="shared" si="348"/>
        <v>0</v>
      </c>
      <c r="BP253" s="465">
        <f t="shared" si="374"/>
        <v>0.38738962438830388</v>
      </c>
    </row>
    <row r="254" spans="2:68" ht="16" customHeight="1">
      <c r="B254" s="769"/>
      <c r="C254" s="769"/>
      <c r="D254" s="292" t="s">
        <v>105</v>
      </c>
      <c r="E254" s="69">
        <v>210</v>
      </c>
      <c r="F254" s="69">
        <v>191</v>
      </c>
      <c r="G254" s="69">
        <v>298</v>
      </c>
      <c r="H254" s="69">
        <v>274</v>
      </c>
      <c r="I254" s="69">
        <v>288</v>
      </c>
      <c r="J254" s="69">
        <v>313</v>
      </c>
      <c r="K254" s="69">
        <v>249</v>
      </c>
      <c r="L254" s="69">
        <v>352</v>
      </c>
      <c r="M254" s="69">
        <v>289</v>
      </c>
      <c r="N254" s="69">
        <v>429</v>
      </c>
      <c r="O254" s="69">
        <v>254</v>
      </c>
      <c r="P254" s="69">
        <v>391</v>
      </c>
      <c r="Q254" s="69">
        <f t="shared" si="371"/>
        <v>3538</v>
      </c>
      <c r="S254" s="769"/>
      <c r="T254" s="769"/>
      <c r="U254" s="292" t="s">
        <v>105</v>
      </c>
      <c r="V254" s="69">
        <v>261.33591931730024</v>
      </c>
      <c r="W254" s="69">
        <v>358.93772599965803</v>
      </c>
      <c r="X254" s="69">
        <v>393.86724846718465</v>
      </c>
      <c r="Y254" s="69">
        <f>Y$247*'Region OP Sales Goals'!V33</f>
        <v>358.57719162141194</v>
      </c>
      <c r="Z254" s="69">
        <f>Z$247*'Region OP Sales Goals'!W33</f>
        <v>398.0814584949573</v>
      </c>
      <c r="AA254" s="69">
        <f>AA$247*'Region OP Sales Goals'!X33</f>
        <v>389.31237947467582</v>
      </c>
      <c r="AB254" s="69">
        <f>AB$247*'Region OP Sales Goals'!Y33</f>
        <v>392.66727345938966</v>
      </c>
      <c r="AC254" s="69">
        <f>AC$247*'Region OP Sales Goals'!Z33</f>
        <v>378.16945093005017</v>
      </c>
      <c r="AD254" s="69">
        <f>AD$247*'Region OP Sales Goals'!AA33</f>
        <v>366.09091150621168</v>
      </c>
      <c r="AE254" s="69">
        <f>AE$247*'Region OP Sales Goals'!AB33</f>
        <v>348.34453222716547</v>
      </c>
      <c r="AF254" s="69">
        <f>AF$247*'Region OP Sales Goals'!AC33</f>
        <v>314.48169675064293</v>
      </c>
      <c r="AG254" s="69">
        <f>AG$247*'Region OP Sales Goals'!AD33</f>
        <v>391.03729678036342</v>
      </c>
      <c r="AH254" s="69">
        <f>AH$247*'Region OP Sales Goals'!AE33</f>
        <v>4397.9034400303417</v>
      </c>
      <c r="AJ254" s="757"/>
      <c r="AK254" s="757"/>
      <c r="AL254" s="292" t="s">
        <v>105</v>
      </c>
      <c r="AM254" s="69">
        <v>264</v>
      </c>
      <c r="AN254" s="69">
        <v>243</v>
      </c>
      <c r="AO254" s="69">
        <v>270</v>
      </c>
      <c r="AP254" s="69">
        <v>246</v>
      </c>
      <c r="AQ254" s="69">
        <v>215</v>
      </c>
      <c r="AR254" s="69">
        <v>309</v>
      </c>
      <c r="AS254" s="69">
        <v>316</v>
      </c>
      <c r="AT254" s="69">
        <v>226</v>
      </c>
      <c r="AU254" s="69"/>
      <c r="AV254" s="69"/>
      <c r="AW254" s="69"/>
      <c r="AX254" s="69"/>
      <c r="AY254" s="69">
        <f t="shared" si="372"/>
        <v>2089</v>
      </c>
      <c r="BA254" s="757"/>
      <c r="BB254" s="757"/>
      <c r="BC254" s="292" t="s">
        <v>105</v>
      </c>
      <c r="BD254" s="465">
        <f t="shared" si="373"/>
        <v>1.0101940854118303</v>
      </c>
      <c r="BE254" s="465">
        <f t="shared" si="370"/>
        <v>0.67699765836325465</v>
      </c>
      <c r="BF254" s="465">
        <f t="shared" si="363"/>
        <v>0.68551015869118459</v>
      </c>
      <c r="BG254" s="465">
        <f t="shared" si="340"/>
        <v>0.6860447506090358</v>
      </c>
      <c r="BH254" s="465">
        <f t="shared" si="341"/>
        <v>0.54009046493363244</v>
      </c>
      <c r="BI254" s="465">
        <f t="shared" si="342"/>
        <v>0.79370710075275164</v>
      </c>
      <c r="BJ254" s="465">
        <f t="shared" si="343"/>
        <v>0.80475257643970999</v>
      </c>
      <c r="BK254" s="465">
        <f t="shared" si="344"/>
        <v>0.59761569699558603</v>
      </c>
      <c r="BL254" s="465">
        <f t="shared" si="345"/>
        <v>0</v>
      </c>
      <c r="BM254" s="465">
        <f t="shared" si="346"/>
        <v>0</v>
      </c>
      <c r="BN254" s="465">
        <f t="shared" si="347"/>
        <v>0</v>
      </c>
      <c r="BO254" s="465">
        <f t="shared" si="348"/>
        <v>0</v>
      </c>
      <c r="BP254" s="465">
        <f t="shared" si="374"/>
        <v>0.47499906000337011</v>
      </c>
    </row>
    <row r="255" spans="2:68">
      <c r="B255" s="769"/>
      <c r="C255" s="769"/>
      <c r="D255" s="182" t="s">
        <v>203</v>
      </c>
      <c r="E255" s="341">
        <f>SUM(E256:E262)</f>
        <v>9035</v>
      </c>
      <c r="F255" s="341">
        <f t="shared" ref="F255:Q255" si="375">SUM(F256:F262)</f>
        <v>10363</v>
      </c>
      <c r="G255" s="341">
        <f t="shared" si="375"/>
        <v>20887</v>
      </c>
      <c r="H255" s="341">
        <f t="shared" si="375"/>
        <v>20486</v>
      </c>
      <c r="I255" s="341">
        <f t="shared" si="375"/>
        <v>23140</v>
      </c>
      <c r="J255" s="341">
        <f t="shared" si="375"/>
        <v>27418</v>
      </c>
      <c r="K255" s="341">
        <f t="shared" si="375"/>
        <v>17560</v>
      </c>
      <c r="L255" s="341">
        <f t="shared" si="375"/>
        <v>18395</v>
      </c>
      <c r="M255" s="341">
        <f t="shared" si="375"/>
        <v>12130</v>
      </c>
      <c r="N255" s="341">
        <f t="shared" si="375"/>
        <v>12786</v>
      </c>
      <c r="O255" s="341">
        <f t="shared" si="375"/>
        <v>12390</v>
      </c>
      <c r="P255" s="341">
        <f t="shared" si="375"/>
        <v>15054</v>
      </c>
      <c r="Q255" s="341">
        <f t="shared" si="375"/>
        <v>199644</v>
      </c>
      <c r="S255" s="769"/>
      <c r="T255" s="769"/>
      <c r="U255" s="182" t="s">
        <v>203</v>
      </c>
      <c r="V255" s="341">
        <v>14581.505042668736</v>
      </c>
      <c r="W255" s="341">
        <v>17966.497284716836</v>
      </c>
      <c r="X255" s="341">
        <v>17180.235894166402</v>
      </c>
      <c r="Y255" s="341" cm="1">
        <f t="array" ref="Y255">INDEX('Shop Goals'!$E$128:$E$139, COLUMN()-COLUMN($V$3)+1)</f>
        <v>18226.881303335918</v>
      </c>
      <c r="Z255" s="341" cm="1">
        <f t="array" ref="Z255">INDEX('Shop Goals'!$E$128:$E$139, COLUMN()-COLUMN($V$3)+1)</f>
        <v>20309.953452288595</v>
      </c>
      <c r="AA255" s="341" cm="1">
        <f t="array" ref="AA255">INDEX('Shop Goals'!$E$128:$E$139, COLUMN()-COLUMN($V$3)+1)</f>
        <v>19789.185415050426</v>
      </c>
      <c r="AB255" s="341" cm="1">
        <f t="array" ref="AB255">INDEX('Shop Goals'!$E$128:$E$139, COLUMN()-COLUMN($V$3)+1)</f>
        <v>16643.353522473702</v>
      </c>
      <c r="AC255" s="341" cm="1">
        <f t="array" ref="AC255">INDEX('Shop Goals'!$E$128:$E$139, COLUMN()-COLUMN($V$3)+1)</f>
        <v>16106.471150781003</v>
      </c>
      <c r="AD255" s="341" cm="1">
        <f t="array" ref="AD255">INDEX('Shop Goals'!$E$128:$E$139, COLUMN()-COLUMN($V$3)+1)</f>
        <v>18617.457331264548</v>
      </c>
      <c r="AE255" s="341" cm="1">
        <f t="array" ref="AE255">INDEX('Shop Goals'!$E$128:$E$139, COLUMN()-COLUMN($V$3)+1)</f>
        <v>17836.305275407292</v>
      </c>
      <c r="AF255" s="341" cm="1">
        <f t="array" ref="AF255">INDEX('Shop Goals'!$E$128:$E$139, COLUMN()-COLUMN($V$3)+1)</f>
        <v>13314.682817978961</v>
      </c>
      <c r="AG255" s="341" cm="1">
        <f t="array" ref="AG255">INDEX('Shop Goals'!$E$128:$E$139, COLUMN()-COLUMN($V$3)+1)</f>
        <v>16750.729996812242</v>
      </c>
      <c r="AH255" s="342">
        <f t="shared" si="366"/>
        <v>207323.25848694466</v>
      </c>
      <c r="AJ255" s="757"/>
      <c r="AK255" s="757"/>
      <c r="AL255" s="182" t="s">
        <v>203</v>
      </c>
      <c r="AM255" s="341">
        <f>SUM(AM256:AM262)</f>
        <v>12793</v>
      </c>
      <c r="AN255" s="341">
        <f>SUM(AN256:AN262)</f>
        <v>14075</v>
      </c>
      <c r="AO255" s="341">
        <f t="shared" ref="AO255:AS255" si="376">SUM(AO256:AO262)</f>
        <v>17611</v>
      </c>
      <c r="AP255" s="341">
        <f t="shared" si="376"/>
        <v>14137</v>
      </c>
      <c r="AQ255" s="341">
        <f t="shared" si="376"/>
        <v>15034</v>
      </c>
      <c r="AR255" s="341">
        <f t="shared" si="376"/>
        <v>15970</v>
      </c>
      <c r="AS255" s="341">
        <f t="shared" si="376"/>
        <v>20235</v>
      </c>
      <c r="AT255" s="341">
        <f t="shared" ref="AT255:AY255" si="377">SUM(AT256:AT262)</f>
        <v>16270</v>
      </c>
      <c r="AU255" s="341">
        <f t="shared" si="377"/>
        <v>0</v>
      </c>
      <c r="AV255" s="341">
        <f t="shared" si="377"/>
        <v>0</v>
      </c>
      <c r="AW255" s="341">
        <f t="shared" si="377"/>
        <v>0</v>
      </c>
      <c r="AX255" s="341">
        <f t="shared" si="377"/>
        <v>0</v>
      </c>
      <c r="AY255" s="341">
        <f t="shared" si="377"/>
        <v>126125</v>
      </c>
      <c r="BA255" s="757"/>
      <c r="BB255" s="757"/>
      <c r="BC255" s="182" t="s">
        <v>203</v>
      </c>
      <c r="BD255" s="464">
        <f>AM255/V255</f>
        <v>0.8773442770526656</v>
      </c>
      <c r="BE255" s="464">
        <f t="shared" si="370"/>
        <v>0.78340256183228718</v>
      </c>
      <c r="BF255" s="464">
        <f t="shared" si="363"/>
        <v>1.0250732358092862</v>
      </c>
      <c r="BG255" s="464">
        <f t="shared" si="340"/>
        <v>0.7756126659700483</v>
      </c>
      <c r="BH255" s="464">
        <f t="shared" si="341"/>
        <v>0.74022818591472039</v>
      </c>
      <c r="BI255" s="464">
        <f t="shared" si="342"/>
        <v>0.80700643634650115</v>
      </c>
      <c r="BJ255" s="464">
        <f t="shared" si="343"/>
        <v>1.2158006481492121</v>
      </c>
      <c r="BK255" s="464">
        <f t="shared" si="344"/>
        <v>1.0101529905395241</v>
      </c>
      <c r="BL255" s="464">
        <f t="shared" si="345"/>
        <v>0</v>
      </c>
      <c r="BM255" s="464">
        <f t="shared" si="346"/>
        <v>0</v>
      </c>
      <c r="BN255" s="464">
        <f t="shared" si="347"/>
        <v>0</v>
      </c>
      <c r="BO255" s="464">
        <f t="shared" si="348"/>
        <v>0</v>
      </c>
      <c r="BP255" s="464">
        <f t="shared" si="374"/>
        <v>0.60834949691832196</v>
      </c>
    </row>
    <row r="256" spans="2:68" ht="16" customHeight="1">
      <c r="B256" s="769"/>
      <c r="C256" s="769"/>
      <c r="D256" s="292" t="s">
        <v>99</v>
      </c>
      <c r="E256" s="69">
        <v>1557</v>
      </c>
      <c r="F256" s="69">
        <v>1766</v>
      </c>
      <c r="G256" s="69">
        <v>3480</v>
      </c>
      <c r="H256" s="69">
        <v>3276</v>
      </c>
      <c r="I256" s="69">
        <v>3607</v>
      </c>
      <c r="J256" s="69">
        <v>4703</v>
      </c>
      <c r="K256" s="69">
        <v>3152</v>
      </c>
      <c r="L256" s="69">
        <v>3181</v>
      </c>
      <c r="M256" s="69">
        <v>2097</v>
      </c>
      <c r="N256" s="69">
        <v>2117</v>
      </c>
      <c r="O256" s="69">
        <v>1974</v>
      </c>
      <c r="P256" s="69">
        <v>2412</v>
      </c>
      <c r="Q256" s="69">
        <f>SUM(E256:P256)</f>
        <v>33322</v>
      </c>
      <c r="S256" s="769"/>
      <c r="T256" s="769"/>
      <c r="U256" s="292" t="s">
        <v>99</v>
      </c>
      <c r="V256" s="69">
        <v>1718.534522885958</v>
      </c>
      <c r="W256" s="69">
        <v>1888.0047994109216</v>
      </c>
      <c r="X256" s="69">
        <v>1829.5835627553829</v>
      </c>
      <c r="Y256" s="69">
        <f>Y$255*'Region OP Sales Goals'!V27</f>
        <v>1926.8417377812257</v>
      </c>
      <c r="Z256" s="69">
        <f>Z$255*'Region OP Sales Goals'!W27</f>
        <v>2135.1489526764935</v>
      </c>
      <c r="AA256" s="69">
        <f>AA$255*'Region OP Sales Goals'!X27</f>
        <v>2091.9996010196164</v>
      </c>
      <c r="AB256" s="69">
        <f>AB$255*'Region OP Sales Goals'!Y27</f>
        <v>1751.9319497340739</v>
      </c>
      <c r="AC256" s="69">
        <f>AC$255*'Region OP Sales Goals'!Z27</f>
        <v>1697.7091212985381</v>
      </c>
      <c r="AD256" s="69">
        <f>AD$255*'Region OP Sales Goals'!AA27</f>
        <v>1963.7591979553015</v>
      </c>
      <c r="AE256" s="69">
        <f>AE$255*'Region OP Sales Goals'!AB27</f>
        <v>1892.832396573835</v>
      </c>
      <c r="AF256" s="69">
        <f>AF$255*'Region OP Sales Goals'!AC27</f>
        <v>1401.545559787259</v>
      </c>
      <c r="AG256" s="69">
        <f>AG$255*'Region OP Sales Goals'!AD27</f>
        <v>1760.9741791520562</v>
      </c>
      <c r="AH256" s="69">
        <f>AH$255*'Region OP Sales Goals'!AE27</f>
        <v>21815.93029869561</v>
      </c>
      <c r="AJ256" s="757"/>
      <c r="AK256" s="757"/>
      <c r="AL256" s="292" t="s">
        <v>99</v>
      </c>
      <c r="AM256" s="69">
        <v>1911</v>
      </c>
      <c r="AN256" s="69">
        <v>2407</v>
      </c>
      <c r="AO256" s="69">
        <v>2979</v>
      </c>
      <c r="AP256" s="69">
        <v>2229</v>
      </c>
      <c r="AQ256" s="69">
        <v>2418</v>
      </c>
      <c r="AR256" s="69">
        <v>2720</v>
      </c>
      <c r="AS256" s="69">
        <v>3427</v>
      </c>
      <c r="AT256" s="69">
        <v>2758</v>
      </c>
      <c r="AU256" s="69"/>
      <c r="AV256" s="69"/>
      <c r="AW256" s="69"/>
      <c r="AX256" s="69"/>
      <c r="AY256" s="69">
        <f>SUM(AM256:AX256)</f>
        <v>20849</v>
      </c>
      <c r="BA256" s="757"/>
      <c r="BB256" s="757"/>
      <c r="BC256" s="292" t="s">
        <v>99</v>
      </c>
      <c r="BD256" s="465">
        <f>AM256/V256</f>
        <v>1.111993954471646</v>
      </c>
      <c r="BE256" s="465">
        <f t="shared" si="370"/>
        <v>1.2748908269465262</v>
      </c>
      <c r="BF256" s="465">
        <f t="shared" si="363"/>
        <v>1.6282393767866918</v>
      </c>
      <c r="BG256" s="465">
        <f t="shared" si="340"/>
        <v>1.1568152984721578</v>
      </c>
      <c r="BH256" s="465">
        <f t="shared" si="341"/>
        <v>1.1324736838471814</v>
      </c>
      <c r="BI256" s="465">
        <f t="shared" si="342"/>
        <v>1.3001914525577842</v>
      </c>
      <c r="BJ256" s="465">
        <f t="shared" si="343"/>
        <v>1.9561262071396011</v>
      </c>
      <c r="BK256" s="465">
        <f t="shared" si="344"/>
        <v>1.6245421346917606</v>
      </c>
      <c r="BL256" s="465">
        <f t="shared" si="345"/>
        <v>0</v>
      </c>
      <c r="BM256" s="465">
        <f t="shared" si="346"/>
        <v>0</v>
      </c>
      <c r="BN256" s="465">
        <f t="shared" si="347"/>
        <v>0</v>
      </c>
      <c r="BO256" s="465">
        <f t="shared" si="348"/>
        <v>0</v>
      </c>
      <c r="BP256" s="465">
        <f>AY256/AH256</f>
        <v>0.95567778749488286</v>
      </c>
    </row>
    <row r="257" spans="2:68" ht="16" customHeight="1">
      <c r="B257" s="769"/>
      <c r="C257" s="769"/>
      <c r="D257" s="292" t="s">
        <v>100</v>
      </c>
      <c r="E257" s="69">
        <v>2018</v>
      </c>
      <c r="F257" s="69">
        <v>2304</v>
      </c>
      <c r="G257" s="69">
        <v>4530</v>
      </c>
      <c r="H257" s="69">
        <v>4607</v>
      </c>
      <c r="I257" s="69">
        <v>4927</v>
      </c>
      <c r="J257" s="69">
        <v>5700</v>
      </c>
      <c r="K257" s="69">
        <v>3385</v>
      </c>
      <c r="L257" s="69">
        <v>4057</v>
      </c>
      <c r="M257" s="69">
        <v>2848</v>
      </c>
      <c r="N257" s="69">
        <v>2836</v>
      </c>
      <c r="O257" s="69">
        <v>2448</v>
      </c>
      <c r="P257" s="69">
        <v>3109</v>
      </c>
      <c r="Q257" s="69">
        <f t="shared" ref="Q257:Q262" si="378">SUM(E257:P257)</f>
        <v>42769</v>
      </c>
      <c r="S257" s="769"/>
      <c r="T257" s="769"/>
      <c r="U257" s="292" t="s">
        <v>100</v>
      </c>
      <c r="V257" s="69">
        <v>3150.6466252909236</v>
      </c>
      <c r="W257" s="69">
        <v>3501.9443860041292</v>
      </c>
      <c r="X257" s="69">
        <v>3547.6071521720237</v>
      </c>
      <c r="Y257" s="69">
        <f>Y$255*'Region OP Sales Goals'!V28</f>
        <v>3697.4530643910002</v>
      </c>
      <c r="Z257" s="69">
        <f>Z$255*'Region OP Sales Goals'!W28</f>
        <v>4140.1058960434448</v>
      </c>
      <c r="AA257" s="69">
        <f>AA$255*'Region OP Sales Goals'!X28</f>
        <v>4014.3776127673718</v>
      </c>
      <c r="AB257" s="69">
        <f>AB$255*'Region OP Sales Goals'!Y28</f>
        <v>3394.368152609768</v>
      </c>
      <c r="AC257" s="69">
        <f>AC$255*'Region OP Sales Goals'!Z28</f>
        <v>3286.5907348215287</v>
      </c>
      <c r="AD257" s="69">
        <f>AD$255*'Region OP Sales Goals'!AA28</f>
        <v>3800.0015648745448</v>
      </c>
      <c r="AE257" s="69">
        <f>AE$255*'Region OP Sales Goals'!AB28</f>
        <v>3640.0623011035291</v>
      </c>
      <c r="AF257" s="69">
        <f>AF$255*'Region OP Sales Goals'!AC28</f>
        <v>2702.9807224468564</v>
      </c>
      <c r="AG257" s="69">
        <f>AG$255*'Region OP Sales Goals'!AD28</f>
        <v>3414.5718839655724</v>
      </c>
      <c r="AH257" s="69">
        <f>AH$255*'Region OP Sales Goals'!AE28</f>
        <v>42816.759904912484</v>
      </c>
      <c r="AJ257" s="757"/>
      <c r="AK257" s="757"/>
      <c r="AL257" s="292" t="s">
        <v>100</v>
      </c>
      <c r="AM257" s="69">
        <v>2580</v>
      </c>
      <c r="AN257" s="69">
        <v>2604</v>
      </c>
      <c r="AO257" s="69">
        <v>3440</v>
      </c>
      <c r="AP257" s="69">
        <v>2834</v>
      </c>
      <c r="AQ257" s="69">
        <v>3002</v>
      </c>
      <c r="AR257" s="69">
        <v>3096</v>
      </c>
      <c r="AS257" s="69">
        <v>4019</v>
      </c>
      <c r="AT257" s="69">
        <v>3239</v>
      </c>
      <c r="AU257" s="69"/>
      <c r="AV257" s="69"/>
      <c r="AW257" s="69"/>
      <c r="AX257" s="69"/>
      <c r="AY257" s="69">
        <f t="shared" ref="AY257:AY262" si="379">SUM(AM257:AX257)</f>
        <v>24814</v>
      </c>
      <c r="BA257" s="757"/>
      <c r="BB257" s="757"/>
      <c r="BC257" s="292" t="s">
        <v>100</v>
      </c>
      <c r="BD257" s="465">
        <f t="shared" ref="BD257:BD258" si="380">AM257/V257</f>
        <v>0.81887952120360963</v>
      </c>
      <c r="BE257" s="465">
        <f t="shared" si="370"/>
        <v>0.74358690857774501</v>
      </c>
      <c r="BF257" s="465">
        <f t="shared" si="363"/>
        <v>0.96966768090256517</v>
      </c>
      <c r="BG257" s="465">
        <f t="shared" si="340"/>
        <v>0.76647355643087312</v>
      </c>
      <c r="BH257" s="465">
        <f t="shared" si="341"/>
        <v>0.72510222573507288</v>
      </c>
      <c r="BI257" s="465">
        <f t="shared" si="342"/>
        <v>0.77122789598901875</v>
      </c>
      <c r="BJ257" s="465">
        <f t="shared" si="343"/>
        <v>1.1840200647976213</v>
      </c>
      <c r="BK257" s="465">
        <f t="shared" si="344"/>
        <v>0.98551972586142123</v>
      </c>
      <c r="BL257" s="465">
        <f t="shared" si="345"/>
        <v>0</v>
      </c>
      <c r="BM257" s="465">
        <f t="shared" si="346"/>
        <v>0</v>
      </c>
      <c r="BN257" s="465">
        <f t="shared" si="347"/>
        <v>0</v>
      </c>
      <c r="BO257" s="465">
        <f t="shared" si="348"/>
        <v>0</v>
      </c>
      <c r="BP257" s="465">
        <f t="shared" ref="BP257:BP263" si="381">AY257/AH257</f>
        <v>0.57953941529221187</v>
      </c>
    </row>
    <row r="258" spans="2:68" ht="16" customHeight="1">
      <c r="B258" s="769"/>
      <c r="C258" s="769"/>
      <c r="D258" s="292" t="s">
        <v>101</v>
      </c>
      <c r="E258" s="69">
        <v>962</v>
      </c>
      <c r="F258" s="69">
        <v>1028</v>
      </c>
      <c r="G258" s="69">
        <v>2035</v>
      </c>
      <c r="H258" s="69">
        <v>2120</v>
      </c>
      <c r="I258" s="69">
        <v>2378</v>
      </c>
      <c r="J258" s="69">
        <v>2670</v>
      </c>
      <c r="K258" s="69">
        <v>1700</v>
      </c>
      <c r="L258" s="69">
        <v>1738</v>
      </c>
      <c r="M258" s="69">
        <v>1174</v>
      </c>
      <c r="N258" s="69">
        <v>1144</v>
      </c>
      <c r="O258" s="69">
        <v>1202</v>
      </c>
      <c r="P258" s="69">
        <v>1444</v>
      </c>
      <c r="Q258" s="69">
        <f t="shared" si="378"/>
        <v>19595</v>
      </c>
      <c r="S258" s="769"/>
      <c r="T258" s="769"/>
      <c r="U258" s="292" t="s">
        <v>101</v>
      </c>
      <c r="V258" s="69">
        <v>1171.7280837858807</v>
      </c>
      <c r="W258" s="69">
        <v>1674.8429672193661</v>
      </c>
      <c r="X258" s="69">
        <v>1316.4076853971658</v>
      </c>
      <c r="Y258" s="69">
        <f>Y$255*'Region OP Sales Goals'!V29</f>
        <v>1510.2273079906902</v>
      </c>
      <c r="Z258" s="69">
        <f>Z$255*'Region OP Sales Goals'!W29</f>
        <v>1692.4961210240494</v>
      </c>
      <c r="AA258" s="69">
        <f>AA$255*'Region OP Sales Goals'!X29</f>
        <v>1639.6753629613208</v>
      </c>
      <c r="AB258" s="69">
        <f>AB$255*'Region OP Sales Goals'!Y29</f>
        <v>1379.6464104155832</v>
      </c>
      <c r="AC258" s="69">
        <f>AC$255*'Region OP Sales Goals'!Z29</f>
        <v>1327.6955948616774</v>
      </c>
      <c r="AD258" s="69">
        <f>AD$255*'Region OP Sales Goals'!AA29</f>
        <v>1530.2019724327024</v>
      </c>
      <c r="AE258" s="69">
        <f>AE$255*'Region OP Sales Goals'!AB29</f>
        <v>1480.2920024487685</v>
      </c>
      <c r="AF258" s="69">
        <f>AF$255*'Region OP Sales Goals'!AC29</f>
        <v>1101.2143684042749</v>
      </c>
      <c r="AG258" s="69">
        <f>AG$255*'Region OP Sales Goals'!AD29</f>
        <v>1395.8941664010201</v>
      </c>
      <c r="AH258" s="69">
        <f>AH$255*'Region OP Sales Goals'!AE29</f>
        <v>16613.669996698965</v>
      </c>
      <c r="AJ258" s="757"/>
      <c r="AK258" s="757"/>
      <c r="AL258" s="292" t="s">
        <v>101</v>
      </c>
      <c r="AM258" s="69">
        <v>1155</v>
      </c>
      <c r="AN258" s="69">
        <v>1308</v>
      </c>
      <c r="AO258" s="69">
        <v>1565</v>
      </c>
      <c r="AP258" s="69">
        <v>1307</v>
      </c>
      <c r="AQ258" s="69">
        <v>1471</v>
      </c>
      <c r="AR258" s="69">
        <v>1501</v>
      </c>
      <c r="AS258" s="69">
        <v>1935</v>
      </c>
      <c r="AT258" s="69">
        <v>1352</v>
      </c>
      <c r="AU258" s="69"/>
      <c r="AV258" s="69"/>
      <c r="AW258" s="69"/>
      <c r="AX258" s="69"/>
      <c r="AY258" s="69">
        <f t="shared" si="379"/>
        <v>11594</v>
      </c>
      <c r="BA258" s="757"/>
      <c r="BB258" s="757"/>
      <c r="BC258" s="292" t="s">
        <v>101</v>
      </c>
      <c r="BD258" s="465">
        <f t="shared" si="380"/>
        <v>0.98572357868915128</v>
      </c>
      <c r="BE258" s="465">
        <f t="shared" si="370"/>
        <v>0.78096873892099161</v>
      </c>
      <c r="BF258" s="465">
        <f t="shared" si="363"/>
        <v>1.1888414336686532</v>
      </c>
      <c r="BG258" s="465">
        <f t="shared" si="340"/>
        <v>0.86543263592480146</v>
      </c>
      <c r="BH258" s="465">
        <f t="shared" si="341"/>
        <v>0.86913050005099413</v>
      </c>
      <c r="BI258" s="465">
        <f t="shared" si="342"/>
        <v>0.91542511030301299</v>
      </c>
      <c r="BJ258" s="465">
        <f t="shared" si="343"/>
        <v>1.4025332762016398</v>
      </c>
      <c r="BK258" s="465">
        <f t="shared" si="344"/>
        <v>1.0183057059407166</v>
      </c>
      <c r="BL258" s="465">
        <f t="shared" si="345"/>
        <v>0</v>
      </c>
      <c r="BM258" s="465">
        <f t="shared" si="346"/>
        <v>0</v>
      </c>
      <c r="BN258" s="465">
        <f t="shared" si="347"/>
        <v>0</v>
      </c>
      <c r="BO258" s="465">
        <f t="shared" si="348"/>
        <v>0</v>
      </c>
      <c r="BP258" s="465">
        <f t="shared" si="381"/>
        <v>0.69785905235289114</v>
      </c>
    </row>
    <row r="259" spans="2:68" ht="16" customHeight="1">
      <c r="B259" s="769"/>
      <c r="C259" s="769"/>
      <c r="D259" s="292" t="s">
        <v>102</v>
      </c>
      <c r="E259" s="69">
        <v>422</v>
      </c>
      <c r="F259" s="69">
        <v>504</v>
      </c>
      <c r="G259" s="69">
        <v>1026</v>
      </c>
      <c r="H259" s="69">
        <v>977</v>
      </c>
      <c r="I259" s="69">
        <v>952</v>
      </c>
      <c r="J259" s="69">
        <v>1153</v>
      </c>
      <c r="K259" s="69">
        <v>879</v>
      </c>
      <c r="L259" s="69">
        <v>894</v>
      </c>
      <c r="M259" s="69">
        <v>612</v>
      </c>
      <c r="N259" s="69">
        <v>757</v>
      </c>
      <c r="O259" s="69">
        <v>768</v>
      </c>
      <c r="P259" s="69">
        <v>855</v>
      </c>
      <c r="Q259" s="69">
        <f t="shared" si="378"/>
        <v>9799</v>
      </c>
      <c r="S259" s="769"/>
      <c r="T259" s="769"/>
      <c r="U259" s="292" t="s">
        <v>102</v>
      </c>
      <c r="V259" s="69">
        <v>572.84484096198605</v>
      </c>
      <c r="W259" s="69">
        <v>609.03380626158764</v>
      </c>
      <c r="X259" s="69">
        <v>736.29582403570294</v>
      </c>
      <c r="Y259" s="69">
        <f>Y$255*'Region OP Sales Goals'!V30</f>
        <v>755.11365399534509</v>
      </c>
      <c r="Z259" s="69">
        <f>Z$255*'Region OP Sales Goals'!W30</f>
        <v>833.22885958107054</v>
      </c>
      <c r="AA259" s="69">
        <f>AA$255*'Region OP Sales Goals'!X30</f>
        <v>819.83768148066042</v>
      </c>
      <c r="AB259" s="69">
        <f>AB$255*'Region OP Sales Goals'!Y30</f>
        <v>678.87363052195371</v>
      </c>
      <c r="AC259" s="69">
        <f>AC$255*'Region OP Sales Goals'!Z30</f>
        <v>652.96504665328393</v>
      </c>
      <c r="AD259" s="69">
        <f>AD$255*'Region OP Sales Goals'!AA30</f>
        <v>765.1009862163512</v>
      </c>
      <c r="AE259" s="69">
        <f>AE$255*'Region OP Sales Goals'!AB30</f>
        <v>728.01246022070575</v>
      </c>
      <c r="AF259" s="69">
        <f>AF$255*'Region OP Sales Goals'!AC30</f>
        <v>540.59614448937134</v>
      </c>
      <c r="AG259" s="69">
        <f>AG$255*'Region OP Sales Goals'!AD30</f>
        <v>687.20943576665616</v>
      </c>
      <c r="AH259" s="69">
        <f>AH$255*'Region OP Sales Goals'!AE30</f>
        <v>8318.8217732388748</v>
      </c>
      <c r="AJ259" s="757"/>
      <c r="AK259" s="757"/>
      <c r="AL259" s="292" t="s">
        <v>102</v>
      </c>
      <c r="AM259" s="69">
        <v>753</v>
      </c>
      <c r="AN259" s="69">
        <v>848</v>
      </c>
      <c r="AO259" s="69">
        <v>1025</v>
      </c>
      <c r="AP259" s="69">
        <v>842</v>
      </c>
      <c r="AQ259" s="69">
        <v>884</v>
      </c>
      <c r="AR259" s="69">
        <v>1005</v>
      </c>
      <c r="AS259" s="69">
        <v>1259</v>
      </c>
      <c r="AT259" s="69">
        <v>1019</v>
      </c>
      <c r="AU259" s="69"/>
      <c r="AV259" s="69"/>
      <c r="AW259" s="69"/>
      <c r="AX259" s="69"/>
      <c r="AY259" s="69">
        <f t="shared" si="379"/>
        <v>7635</v>
      </c>
      <c r="BA259" s="757"/>
      <c r="BB259" s="757"/>
      <c r="BC259" s="292" t="s">
        <v>102</v>
      </c>
      <c r="BD259" s="465">
        <f>AM259/V259</f>
        <v>1.3144920686297479</v>
      </c>
      <c r="BE259" s="465">
        <f t="shared" si="370"/>
        <v>1.3923693418683123</v>
      </c>
      <c r="BF259" s="465">
        <f t="shared" si="363"/>
        <v>1.3921035085896369</v>
      </c>
      <c r="BG259" s="465">
        <f t="shared" si="340"/>
        <v>1.1150639318265996</v>
      </c>
      <c r="BH259" s="465">
        <f t="shared" si="341"/>
        <v>1.060933007582642</v>
      </c>
      <c r="BI259" s="465">
        <f t="shared" si="342"/>
        <v>1.2258524128641279</v>
      </c>
      <c r="BJ259" s="465">
        <f t="shared" si="343"/>
        <v>1.8545425000997824</v>
      </c>
      <c r="BK259" s="465">
        <f t="shared" si="344"/>
        <v>1.5605735792793147</v>
      </c>
      <c r="BL259" s="465">
        <f t="shared" si="345"/>
        <v>0</v>
      </c>
      <c r="BM259" s="465">
        <f t="shared" si="346"/>
        <v>0</v>
      </c>
      <c r="BN259" s="465">
        <f t="shared" si="347"/>
        <v>0</v>
      </c>
      <c r="BO259" s="465">
        <f t="shared" si="348"/>
        <v>0</v>
      </c>
      <c r="BP259" s="465">
        <f t="shared" si="381"/>
        <v>0.91779824212141603</v>
      </c>
    </row>
    <row r="260" spans="2:68" ht="16" customHeight="1">
      <c r="B260" s="769"/>
      <c r="C260" s="769"/>
      <c r="D260" s="292" t="s">
        <v>103</v>
      </c>
      <c r="E260" s="69">
        <v>1205</v>
      </c>
      <c r="F260" s="69">
        <v>1418</v>
      </c>
      <c r="G260" s="69">
        <v>2990</v>
      </c>
      <c r="H260" s="69">
        <v>2797</v>
      </c>
      <c r="I260" s="69">
        <v>3377</v>
      </c>
      <c r="J260" s="69">
        <v>4020</v>
      </c>
      <c r="K260" s="69">
        <v>2707</v>
      </c>
      <c r="L260" s="69">
        <v>2484</v>
      </c>
      <c r="M260" s="69">
        <v>1619</v>
      </c>
      <c r="N260" s="69">
        <v>1830</v>
      </c>
      <c r="O260" s="69">
        <v>1750</v>
      </c>
      <c r="P260" s="69">
        <v>2222</v>
      </c>
      <c r="Q260" s="69">
        <f t="shared" si="378"/>
        <v>28419</v>
      </c>
      <c r="S260" s="769"/>
      <c r="T260" s="769"/>
      <c r="U260" s="292" t="s">
        <v>103</v>
      </c>
      <c r="V260" s="69">
        <v>1484.188906128782</v>
      </c>
      <c r="W260" s="69">
        <v>2466.5869153594299</v>
      </c>
      <c r="X260" s="69">
        <v>2030.3915147651203</v>
      </c>
      <c r="Y260" s="69">
        <f>Y$255*'Region OP Sales Goals'!V31</f>
        <v>2083.0721489526763</v>
      </c>
      <c r="Z260" s="69">
        <f>Z$255*'Region OP Sales Goals'!W31</f>
        <v>2317.4177657098526</v>
      </c>
      <c r="AA260" s="69">
        <f>AA$255*'Region OP Sales Goals'!X31</f>
        <v>2261.621190291477</v>
      </c>
      <c r="AB260" s="69">
        <f>AB$255*'Region OP Sales Goals'!Y31</f>
        <v>1883.3268459641295</v>
      </c>
      <c r="AC260" s="69">
        <f>AC$255*'Region OP Sales Goals'!Z31</f>
        <v>1828.3021306291951</v>
      </c>
      <c r="AD260" s="69">
        <f>AD$255*'Region OP Sales Goals'!AA31</f>
        <v>2116.7793951985718</v>
      </c>
      <c r="AE260" s="69">
        <f>AE$255*'Region OP Sales Goals'!AB31</f>
        <v>2038.4348886179762</v>
      </c>
      <c r="AF260" s="69">
        <f>AF$255*'Region OP Sales Goals'!AC31</f>
        <v>1521.6780363404525</v>
      </c>
      <c r="AG260" s="69">
        <f>AG$255*'Region OP Sales Goals'!AD31</f>
        <v>1911.3012432260123</v>
      </c>
      <c r="AH260" s="69">
        <f>AH$255*'Region OP Sales Goals'!AE31</f>
        <v>22559.11034183799</v>
      </c>
      <c r="AJ260" s="757"/>
      <c r="AK260" s="757"/>
      <c r="AL260" s="292" t="s">
        <v>103</v>
      </c>
      <c r="AM260" s="69">
        <v>1855</v>
      </c>
      <c r="AN260" s="69">
        <v>1931</v>
      </c>
      <c r="AO260" s="69">
        <v>2434</v>
      </c>
      <c r="AP260" s="69">
        <v>2149</v>
      </c>
      <c r="AQ260" s="69">
        <v>2208</v>
      </c>
      <c r="AR260" s="69">
        <v>2361</v>
      </c>
      <c r="AS260" s="69">
        <v>2943</v>
      </c>
      <c r="AT260" s="69">
        <v>2411</v>
      </c>
      <c r="AU260" s="69"/>
      <c r="AV260" s="69"/>
      <c r="AW260" s="69"/>
      <c r="AX260" s="69"/>
      <c r="AY260" s="69">
        <f t="shared" si="379"/>
        <v>18292</v>
      </c>
      <c r="BA260" s="757"/>
      <c r="BB260" s="757"/>
      <c r="BC260" s="292" t="s">
        <v>103</v>
      </c>
      <c r="BD260" s="465">
        <f t="shared" ref="BD260:BD262" si="382">AM260/V260</f>
        <v>1.2498409012087326</v>
      </c>
      <c r="BE260" s="465">
        <f t="shared" si="370"/>
        <v>0.78286314906467247</v>
      </c>
      <c r="BF260" s="465">
        <f t="shared" si="363"/>
        <v>1.1987835756305207</v>
      </c>
      <c r="BG260" s="465">
        <f t="shared" si="340"/>
        <v>1.0316493363326233</v>
      </c>
      <c r="BH260" s="465">
        <f t="shared" si="341"/>
        <v>0.95278461772025957</v>
      </c>
      <c r="BI260" s="465">
        <f t="shared" si="342"/>
        <v>1.0439414036864922</v>
      </c>
      <c r="BJ260" s="465">
        <f t="shared" si="343"/>
        <v>1.562660250028663</v>
      </c>
      <c r="BK260" s="465">
        <f t="shared" si="344"/>
        <v>1.3187098344463857</v>
      </c>
      <c r="BL260" s="465">
        <f t="shared" si="345"/>
        <v>0</v>
      </c>
      <c r="BM260" s="465">
        <f t="shared" si="346"/>
        <v>0</v>
      </c>
      <c r="BN260" s="465">
        <f t="shared" si="347"/>
        <v>0</v>
      </c>
      <c r="BO260" s="465">
        <f t="shared" si="348"/>
        <v>0</v>
      </c>
      <c r="BP260" s="465">
        <f t="shared" si="381"/>
        <v>0.81084757877511537</v>
      </c>
    </row>
    <row r="261" spans="2:68" ht="16" customHeight="1">
      <c r="B261" s="769"/>
      <c r="C261" s="769"/>
      <c r="D261" s="292" t="s">
        <v>104</v>
      </c>
      <c r="E261" s="69">
        <v>1714</v>
      </c>
      <c r="F261" s="69">
        <v>1982</v>
      </c>
      <c r="G261" s="69">
        <v>4114</v>
      </c>
      <c r="H261" s="69">
        <v>3995</v>
      </c>
      <c r="I261" s="69">
        <v>4852</v>
      </c>
      <c r="J261" s="69">
        <v>5722</v>
      </c>
      <c r="K261" s="69">
        <v>3401</v>
      </c>
      <c r="L261" s="69">
        <v>3464</v>
      </c>
      <c r="M261" s="69">
        <v>2037</v>
      </c>
      <c r="N261" s="69">
        <v>2274</v>
      </c>
      <c r="O261" s="69">
        <v>2448</v>
      </c>
      <c r="P261" s="69">
        <v>2935</v>
      </c>
      <c r="Q261" s="69">
        <f t="shared" si="378"/>
        <v>38938</v>
      </c>
      <c r="S261" s="769"/>
      <c r="T261" s="769"/>
      <c r="U261" s="292" t="s">
        <v>104</v>
      </c>
      <c r="V261" s="69">
        <v>4244.2595034910792</v>
      </c>
      <c r="W261" s="69">
        <v>4750.4636888403838</v>
      </c>
      <c r="X261" s="69">
        <v>4886.3268322369377</v>
      </c>
      <c r="Y261" s="69">
        <f>Y$255*'Region OP Sales Goals'!V32</f>
        <v>5181.6419705197832</v>
      </c>
      <c r="Z261" s="69">
        <f>Z$255*'Region OP Sales Goals'!W32</f>
        <v>5780.525213343677</v>
      </c>
      <c r="AA261" s="69">
        <f>AA$255*'Region OP Sales Goals'!X32</f>
        <v>5625.7827108500505</v>
      </c>
      <c r="AB261" s="69">
        <f>AB$255*'Region OP Sales Goals'!Y32</f>
        <v>4730.2162642819994</v>
      </c>
      <c r="AC261" s="69">
        <f>AC$255*'Region OP Sales Goals'!Z32</f>
        <v>4592.5208281280966</v>
      </c>
      <c r="AD261" s="69">
        <f>AD$255*'Region OP Sales Goals'!AA32</f>
        <v>5304.7001711000357</v>
      </c>
      <c r="AE261" s="69">
        <f>AE$255*'Region OP Sales Goals'!AB32</f>
        <v>5071.8201395375836</v>
      </c>
      <c r="AF261" s="69">
        <f>AF$255*'Region OP Sales Goals'!AC32</f>
        <v>3784.1730114255993</v>
      </c>
      <c r="AG261" s="69">
        <f>AG$255*'Region OP Sales Goals'!AD32</f>
        <v>4767.5154606311762</v>
      </c>
      <c r="AH261" s="69">
        <f>AH$255*'Region OP Sales Goals'!AE32</f>
        <v>59885.927347408382</v>
      </c>
      <c r="AJ261" s="757"/>
      <c r="AK261" s="757"/>
      <c r="AL261" s="292" t="s">
        <v>104</v>
      </c>
      <c r="AM261" s="69">
        <v>2661</v>
      </c>
      <c r="AN261" s="69">
        <v>2879</v>
      </c>
      <c r="AO261" s="69">
        <v>3677</v>
      </c>
      <c r="AP261" s="69">
        <v>2763</v>
      </c>
      <c r="AQ261" s="156">
        <v>2919</v>
      </c>
      <c r="AR261" s="156">
        <v>3010</v>
      </c>
      <c r="AS261" s="156">
        <v>3882</v>
      </c>
      <c r="AT261" s="156">
        <v>3198</v>
      </c>
      <c r="AU261" s="69"/>
      <c r="AV261" s="69"/>
      <c r="AW261" s="69"/>
      <c r="AX261" s="69"/>
      <c r="AY261" s="69">
        <f t="shared" si="379"/>
        <v>24989</v>
      </c>
      <c r="BA261" s="757"/>
      <c r="BB261" s="757"/>
      <c r="BC261" s="292" t="s">
        <v>104</v>
      </c>
      <c r="BD261" s="465">
        <f t="shared" si="382"/>
        <v>0.6269644911700657</v>
      </c>
      <c r="BE261" s="465">
        <f t="shared" si="370"/>
        <v>0.60604610172334161</v>
      </c>
      <c r="BF261" s="465">
        <f t="shared" si="363"/>
        <v>0.75250799347711383</v>
      </c>
      <c r="BG261" s="465">
        <f t="shared" si="340"/>
        <v>0.53322865912382533</v>
      </c>
      <c r="BH261" s="465">
        <f t="shared" si="341"/>
        <v>0.5049714156183982</v>
      </c>
      <c r="BI261" s="465">
        <f t="shared" si="342"/>
        <v>0.53503666151108631</v>
      </c>
      <c r="BJ261" s="465">
        <f t="shared" si="343"/>
        <v>0.82068129301256154</v>
      </c>
      <c r="BK261" s="465">
        <f t="shared" si="344"/>
        <v>0.69634959092901905</v>
      </c>
      <c r="BL261" s="465">
        <f t="shared" si="345"/>
        <v>0</v>
      </c>
      <c r="BM261" s="465">
        <f t="shared" si="346"/>
        <v>0</v>
      </c>
      <c r="BN261" s="465">
        <f t="shared" si="347"/>
        <v>0</v>
      </c>
      <c r="BO261" s="465">
        <f t="shared" si="348"/>
        <v>0</v>
      </c>
      <c r="BP261" s="465">
        <f t="shared" si="381"/>
        <v>0.41727666426595666</v>
      </c>
    </row>
    <row r="262" spans="2:68" ht="16" customHeight="1">
      <c r="B262" s="769"/>
      <c r="C262" s="769"/>
      <c r="D262" s="292" t="s">
        <v>105</v>
      </c>
      <c r="E262" s="69">
        <v>1157</v>
      </c>
      <c r="F262" s="69">
        <v>1361</v>
      </c>
      <c r="G262" s="69">
        <v>2712</v>
      </c>
      <c r="H262" s="69">
        <v>2714</v>
      </c>
      <c r="I262" s="69">
        <v>3047</v>
      </c>
      <c r="J262" s="69">
        <v>3450</v>
      </c>
      <c r="K262" s="69">
        <v>2336</v>
      </c>
      <c r="L262" s="69">
        <v>2577</v>
      </c>
      <c r="M262" s="69">
        <v>1743</v>
      </c>
      <c r="N262" s="69">
        <v>1828</v>
      </c>
      <c r="O262" s="69">
        <v>1800</v>
      </c>
      <c r="P262" s="69">
        <v>2077</v>
      </c>
      <c r="Q262" s="69">
        <f t="shared" si="378"/>
        <v>26802</v>
      </c>
      <c r="S262" s="769"/>
      <c r="T262" s="769"/>
      <c r="U262" s="292" t="s">
        <v>105</v>
      </c>
      <c r="V262" s="69">
        <v>2239.3025601241275</v>
      </c>
      <c r="W262" s="69">
        <v>3075.6207216210173</v>
      </c>
      <c r="X262" s="69">
        <v>2833.6233228040692</v>
      </c>
      <c r="Y262" s="69">
        <f>Y$255*'Region OP Sales Goals'!V33</f>
        <v>3072.5314197051975</v>
      </c>
      <c r="Z262" s="69">
        <f>Z$255*'Region OP Sales Goals'!W33</f>
        <v>3411.0306439100073</v>
      </c>
      <c r="AA262" s="69">
        <f>AA$255*'Region OP Sales Goals'!X33</f>
        <v>3335.8912556799287</v>
      </c>
      <c r="AB262" s="69">
        <f>AB$255*'Region OP Sales Goals'!Y33</f>
        <v>2824.9902689461942</v>
      </c>
      <c r="AC262" s="69">
        <f>AC$255*'Region OP Sales Goals'!Z33</f>
        <v>2720.6876943886828</v>
      </c>
      <c r="AD262" s="69">
        <f>AD$255*'Region OP Sales Goals'!AA33</f>
        <v>3136.9140434870401</v>
      </c>
      <c r="AE262" s="69">
        <f>AE$255*'Region OP Sales Goals'!AB33</f>
        <v>2984.8510869048941</v>
      </c>
      <c r="AF262" s="69">
        <f>AF$255*'Region OP Sales Goals'!AC33</f>
        <v>2262.494975085147</v>
      </c>
      <c r="AG262" s="69">
        <f>AG$255*'Region OP Sales Goals'!AD33</f>
        <v>2813.2636276697481</v>
      </c>
      <c r="AH262" s="69">
        <f>AH$255*'Region OP Sales Goals'!AE33</f>
        <v>35097.276876143267</v>
      </c>
      <c r="AJ262" s="757"/>
      <c r="AK262" s="757"/>
      <c r="AL262" s="292" t="s">
        <v>105</v>
      </c>
      <c r="AM262" s="69">
        <v>1878</v>
      </c>
      <c r="AN262" s="69">
        <v>2098</v>
      </c>
      <c r="AO262" s="69">
        <v>2491</v>
      </c>
      <c r="AP262" s="69">
        <v>2013</v>
      </c>
      <c r="AQ262" s="69">
        <v>2132</v>
      </c>
      <c r="AR262" s="69">
        <v>2277</v>
      </c>
      <c r="AS262" s="69">
        <v>2770</v>
      </c>
      <c r="AT262" s="69">
        <v>2293</v>
      </c>
      <c r="AU262" s="69"/>
      <c r="AV262" s="69"/>
      <c r="AW262" s="69"/>
      <c r="AX262" s="69"/>
      <c r="AY262" s="69">
        <f t="shared" si="379"/>
        <v>17952</v>
      </c>
      <c r="BA262" s="757"/>
      <c r="BB262" s="757"/>
      <c r="BC262" s="292" t="s">
        <v>105</v>
      </c>
      <c r="BD262" s="465">
        <f t="shared" si="382"/>
        <v>0.83865397800282071</v>
      </c>
      <c r="BE262" s="465">
        <f t="shared" si="370"/>
        <v>0.68213872577053036</v>
      </c>
      <c r="BF262" s="465">
        <f t="shared" si="363"/>
        <v>0.87908649676661355</v>
      </c>
      <c r="BG262" s="465">
        <f t="shared" si="340"/>
        <v>0.65516010254278956</v>
      </c>
      <c r="BH262" s="465">
        <f t="shared" si="341"/>
        <v>0.62503103096022739</v>
      </c>
      <c r="BI262" s="465">
        <f t="shared" si="342"/>
        <v>0.68257620692011944</v>
      </c>
      <c r="BJ262" s="465">
        <f t="shared" si="343"/>
        <v>0.98053435102036401</v>
      </c>
      <c r="BK262" s="465">
        <f t="shared" si="344"/>
        <v>0.8428016213434667</v>
      </c>
      <c r="BL262" s="465">
        <f t="shared" si="345"/>
        <v>0</v>
      </c>
      <c r="BM262" s="465">
        <f t="shared" si="346"/>
        <v>0</v>
      </c>
      <c r="BN262" s="465">
        <f t="shared" si="347"/>
        <v>0</v>
      </c>
      <c r="BO262" s="465">
        <f t="shared" si="348"/>
        <v>0</v>
      </c>
      <c r="BP262" s="465">
        <f t="shared" si="381"/>
        <v>0.51149267401433485</v>
      </c>
    </row>
    <row r="263" spans="2:68">
      <c r="B263" s="769"/>
      <c r="C263" s="769"/>
      <c r="D263" s="182" t="s">
        <v>7</v>
      </c>
      <c r="E263" s="341">
        <f>SUM(E264:E270)</f>
        <v>155512</v>
      </c>
      <c r="F263" s="341">
        <f t="shared" ref="F263:Q263" si="383">SUM(F264:F270)</f>
        <v>147378</v>
      </c>
      <c r="G263" s="341">
        <f t="shared" si="383"/>
        <v>182580</v>
      </c>
      <c r="H263" s="341">
        <f t="shared" si="383"/>
        <v>173752</v>
      </c>
      <c r="I263" s="341">
        <f t="shared" si="383"/>
        <v>169412</v>
      </c>
      <c r="J263" s="341">
        <f t="shared" si="383"/>
        <v>184083</v>
      </c>
      <c r="K263" s="341">
        <f t="shared" si="383"/>
        <v>204530</v>
      </c>
      <c r="L263" s="341">
        <f t="shared" si="383"/>
        <v>204453</v>
      </c>
      <c r="M263" s="341">
        <f t="shared" si="383"/>
        <v>178972</v>
      </c>
      <c r="N263" s="341">
        <f t="shared" si="383"/>
        <v>165038</v>
      </c>
      <c r="O263" s="341">
        <f t="shared" si="383"/>
        <v>164785</v>
      </c>
      <c r="P263" s="341">
        <f t="shared" si="383"/>
        <v>173593</v>
      </c>
      <c r="Q263" s="341">
        <f t="shared" si="383"/>
        <v>2104088</v>
      </c>
      <c r="S263" s="769"/>
      <c r="T263" s="769"/>
      <c r="U263" s="182" t="s">
        <v>7</v>
      </c>
      <c r="V263" s="341">
        <v>153682.24351483994</v>
      </c>
      <c r="W263" s="341">
        <v>189358.4786164992</v>
      </c>
      <c r="X263" s="341">
        <v>185418.8340807175</v>
      </c>
      <c r="Y263" s="341" cm="1">
        <f t="array" ref="Y263">INDEX('Shop Goals'!$G$128:$G$139, COLUMN()-COLUMN($V$3)+1)</f>
        <v>192102.80439354992</v>
      </c>
      <c r="Z263" s="341" cm="1">
        <f t="array" ref="Z263">INDEX('Shop Goals'!$G$128:$G$139, COLUMN()-COLUMN($V$3)+1)</f>
        <v>214057.41060995561</v>
      </c>
      <c r="AA263" s="341" cm="1">
        <f t="array" ref="AA263">INDEX('Shop Goals'!$G$128:$G$139, COLUMN()-COLUMN($V$3)+1)</f>
        <v>208568.75905585417</v>
      </c>
      <c r="AB263" s="341" cm="1">
        <f t="array" ref="AB263">INDEX('Shop Goals'!$G$128:$G$139, COLUMN()-COLUMN($V$3)+1)</f>
        <v>179624.49551569507</v>
      </c>
      <c r="AC263" s="341" cm="1">
        <f t="array" ref="AC263">INDEX('Shop Goals'!$G$128:$G$139, COLUMN()-COLUMN($V$3)+1)</f>
        <v>173830.15695067265</v>
      </c>
      <c r="AD263" s="341" cm="1">
        <f t="array" ref="AD263">INDEX('Shop Goals'!$G$128:$G$139, COLUMN()-COLUMN($V$3)+1)</f>
        <v>196219.29305912598</v>
      </c>
      <c r="AE263" s="341" cm="1">
        <f t="array" ref="AE263">INDEX('Shop Goals'!$G$128:$G$139, COLUMN()-COLUMN($V$3)+1)</f>
        <v>187986.31572797382</v>
      </c>
      <c r="AF263" s="341" cm="1">
        <f t="array" ref="AF263">INDEX('Shop Goals'!$G$128:$G$139, COLUMN()-COLUMN($V$3)+1)</f>
        <v>143699.59641255607</v>
      </c>
      <c r="AG263" s="341" cm="1">
        <f t="array" ref="AG263">INDEX('Shop Goals'!$G$128:$G$139, COLUMN()-COLUMN($V$3)+1)</f>
        <v>180783.36322869957</v>
      </c>
      <c r="AH263" s="342">
        <f>SUM(V263:AG263)</f>
        <v>2205331.7511661397</v>
      </c>
      <c r="AJ263" s="757"/>
      <c r="AK263" s="757"/>
      <c r="AL263" s="182" t="s">
        <v>7</v>
      </c>
      <c r="AM263" s="341">
        <f>SUM(AM264:AM270)</f>
        <v>192964</v>
      </c>
      <c r="AN263" s="341">
        <f t="shared" ref="AN263:AY263" si="384">SUM(AN264:AN270)</f>
        <v>167867</v>
      </c>
      <c r="AO263" s="341">
        <f t="shared" si="384"/>
        <v>191438</v>
      </c>
      <c r="AP263" s="341">
        <f t="shared" si="384"/>
        <v>184652</v>
      </c>
      <c r="AQ263" s="341">
        <f t="shared" si="384"/>
        <v>169003</v>
      </c>
      <c r="AR263" s="341">
        <f t="shared" si="384"/>
        <v>168535</v>
      </c>
      <c r="AS263" s="341">
        <f t="shared" si="384"/>
        <v>180596</v>
      </c>
      <c r="AT263" s="341">
        <f t="shared" si="384"/>
        <v>130029</v>
      </c>
      <c r="AU263" s="341">
        <f t="shared" si="384"/>
        <v>0</v>
      </c>
      <c r="AV263" s="341">
        <f t="shared" si="384"/>
        <v>0</v>
      </c>
      <c r="AW263" s="341">
        <f t="shared" si="384"/>
        <v>0</v>
      </c>
      <c r="AX263" s="341">
        <f t="shared" si="384"/>
        <v>0</v>
      </c>
      <c r="AY263" s="341">
        <f t="shared" si="384"/>
        <v>1385084</v>
      </c>
      <c r="BA263" s="757"/>
      <c r="BB263" s="757"/>
      <c r="BC263" s="182" t="s">
        <v>6</v>
      </c>
      <c r="BD263" s="464">
        <f>AM263/V263</f>
        <v>1.2556037417645254</v>
      </c>
      <c r="BE263" s="464">
        <f t="shared" si="370"/>
        <v>0.88650374267093102</v>
      </c>
      <c r="BF263" s="464">
        <f t="shared" si="363"/>
        <v>1.0324625378491066</v>
      </c>
      <c r="BG263" s="464">
        <f t="shared" si="340"/>
        <v>0.96121449441057671</v>
      </c>
      <c r="BH263" s="464">
        <f t="shared" si="341"/>
        <v>0.78952183677466115</v>
      </c>
      <c r="BI263" s="464">
        <f t="shared" si="342"/>
        <v>0.80805486288033557</v>
      </c>
      <c r="BJ263" s="464">
        <f t="shared" si="343"/>
        <v>1.0054085300644313</v>
      </c>
      <c r="BK263" s="464">
        <f t="shared" si="344"/>
        <v>0.74802325603892772</v>
      </c>
      <c r="BL263" s="464">
        <f t="shared" si="345"/>
        <v>0</v>
      </c>
      <c r="BM263" s="464">
        <f t="shared" si="346"/>
        <v>0</v>
      </c>
      <c r="BN263" s="464">
        <f t="shared" si="347"/>
        <v>0</v>
      </c>
      <c r="BO263" s="464">
        <f t="shared" si="348"/>
        <v>0</v>
      </c>
      <c r="BP263" s="464">
        <f t="shared" si="381"/>
        <v>0.62806151467578175</v>
      </c>
    </row>
    <row r="264" spans="2:68" ht="16" customHeight="1">
      <c r="B264" s="769"/>
      <c r="C264" s="769"/>
      <c r="D264" s="292" t="s">
        <v>99</v>
      </c>
      <c r="E264" s="69">
        <v>21212</v>
      </c>
      <c r="F264" s="69">
        <v>19063</v>
      </c>
      <c r="G264" s="69">
        <v>23853</v>
      </c>
      <c r="H264" s="69">
        <v>22492</v>
      </c>
      <c r="I264" s="69">
        <v>22014</v>
      </c>
      <c r="J264" s="69">
        <v>25079</v>
      </c>
      <c r="K264" s="69">
        <v>32216</v>
      </c>
      <c r="L264" s="69">
        <v>21924</v>
      </c>
      <c r="M264" s="69">
        <v>20959</v>
      </c>
      <c r="N264" s="69">
        <v>17547</v>
      </c>
      <c r="O264" s="69">
        <v>19158</v>
      </c>
      <c r="P264" s="69">
        <v>20328</v>
      </c>
      <c r="Q264" s="69">
        <f>SUM(E264:P264)</f>
        <v>265845</v>
      </c>
      <c r="S264" s="769"/>
      <c r="T264" s="769"/>
      <c r="U264" s="292" t="s">
        <v>99</v>
      </c>
      <c r="V264" s="69">
        <v>18112.550128534705</v>
      </c>
      <c r="W264" s="69">
        <v>19898.687583428728</v>
      </c>
      <c r="X264" s="69">
        <v>19745.901811193289</v>
      </c>
      <c r="Y264" s="69">
        <f>Y$263*'Region OP Sales Goals'!V27</f>
        <v>20308.010750175279</v>
      </c>
      <c r="Z264" s="69">
        <f>Z$263*'Region OP Sales Goals'!W27</f>
        <v>22503.471371815845</v>
      </c>
      <c r="AA264" s="69">
        <f>AA$263*'Region OP Sales Goals'!X27</f>
        <v>22048.697385904583</v>
      </c>
      <c r="AB264" s="69">
        <f>AB$263*'Region OP Sales Goals'!Y27</f>
        <v>18907.841633231059</v>
      </c>
      <c r="AC264" s="69">
        <f>AC$263*'Region OP Sales Goals'!Z27</f>
        <v>18322.638165070901</v>
      </c>
      <c r="AD264" s="69">
        <f>AD$263*'Region OP Sales Goals'!AA27</f>
        <v>20697.103514455754</v>
      </c>
      <c r="AE264" s="69">
        <f>AE$263*'Region OP Sales Goals'!AB27</f>
        <v>19949.568199703343</v>
      </c>
      <c r="AF264" s="69">
        <f>AF$263*'Region OP Sales Goals'!AC27</f>
        <v>15126.273306584848</v>
      </c>
      <c r="AG264" s="69">
        <f>AG$263*'Region OP Sales Goals'!AD27</f>
        <v>19005.430493273543</v>
      </c>
      <c r="AH264" s="69">
        <f>AH$263*'Region OP Sales Goals'!AE27</f>
        <v>232059.65466711231</v>
      </c>
      <c r="AJ264" s="757"/>
      <c r="AK264" s="757"/>
      <c r="AL264" s="292" t="s">
        <v>99</v>
      </c>
      <c r="AM264" s="69">
        <v>21384</v>
      </c>
      <c r="AN264" s="69">
        <v>19421</v>
      </c>
      <c r="AO264" s="69">
        <v>21247</v>
      </c>
      <c r="AP264" s="69">
        <v>21766</v>
      </c>
      <c r="AQ264" s="69">
        <v>20955</v>
      </c>
      <c r="AR264" s="69">
        <v>22609</v>
      </c>
      <c r="AS264" s="69">
        <v>24461</v>
      </c>
      <c r="AT264" s="69">
        <v>18211</v>
      </c>
      <c r="AU264" s="69"/>
      <c r="AV264" s="69"/>
      <c r="AW264" s="69"/>
      <c r="AX264" s="69"/>
      <c r="AY264" s="69">
        <f>SUM(AM264:AX264)</f>
        <v>170054</v>
      </c>
      <c r="BA264" s="757"/>
      <c r="BB264" s="757"/>
      <c r="BC264" s="292" t="s">
        <v>99</v>
      </c>
      <c r="BD264" s="465">
        <f>AM264/V264</f>
        <v>1.1806178505097091</v>
      </c>
      <c r="BE264" s="465">
        <f t="shared" si="370"/>
        <v>0.97599401561404797</v>
      </c>
      <c r="BF264" s="465">
        <f t="shared" si="363"/>
        <v>1.0760207461355749</v>
      </c>
      <c r="BG264" s="465">
        <f t="shared" si="340"/>
        <v>1.0717937993908211</v>
      </c>
      <c r="BH264" s="465">
        <f t="shared" si="341"/>
        <v>0.9311896664194127</v>
      </c>
      <c r="BI264" s="465">
        <f t="shared" si="342"/>
        <v>1.0254120506208957</v>
      </c>
      <c r="BJ264" s="465">
        <f t="shared" si="343"/>
        <v>1.2936960481522708</v>
      </c>
      <c r="BK264" s="465">
        <f t="shared" si="344"/>
        <v>0.9939070911041773</v>
      </c>
      <c r="BL264" s="465">
        <f t="shared" si="345"/>
        <v>0</v>
      </c>
      <c r="BM264" s="465">
        <f t="shared" si="346"/>
        <v>0</v>
      </c>
      <c r="BN264" s="465">
        <f t="shared" si="347"/>
        <v>0</v>
      </c>
      <c r="BO264" s="465">
        <f t="shared" si="348"/>
        <v>0</v>
      </c>
      <c r="BP264" s="465">
        <f>AY264/AH264</f>
        <v>0.73280295208549318</v>
      </c>
    </row>
    <row r="265" spans="2:68" ht="16" customHeight="1">
      <c r="B265" s="769"/>
      <c r="C265" s="769"/>
      <c r="D265" s="292" t="s">
        <v>100</v>
      </c>
      <c r="E265" s="69">
        <v>26015</v>
      </c>
      <c r="F265" s="69">
        <v>26179</v>
      </c>
      <c r="G265" s="69">
        <v>34223</v>
      </c>
      <c r="H265" s="69">
        <v>29558</v>
      </c>
      <c r="I265" s="69">
        <v>30163</v>
      </c>
      <c r="J265" s="69">
        <v>33221</v>
      </c>
      <c r="K265" s="69">
        <v>36541</v>
      </c>
      <c r="L265" s="69">
        <v>34039</v>
      </c>
      <c r="M265" s="69">
        <v>28723</v>
      </c>
      <c r="N265" s="69">
        <v>25844</v>
      </c>
      <c r="O265" s="69">
        <v>25257</v>
      </c>
      <c r="P265" s="69">
        <v>30424</v>
      </c>
      <c r="Q265" s="69">
        <f t="shared" ref="Q265:Q270" si="385">SUM(E265:P265)</f>
        <v>360187</v>
      </c>
      <c r="S265" s="769"/>
      <c r="T265" s="769"/>
      <c r="U265" s="292" t="s">
        <v>100</v>
      </c>
      <c r="V265" s="69">
        <v>33206.34190231363</v>
      </c>
      <c r="W265" s="69">
        <v>36908.856001521031</v>
      </c>
      <c r="X265" s="69">
        <v>38287.785219265046</v>
      </c>
      <c r="Y265" s="69">
        <f>Y$263*'Region OP Sales Goals'!V28</f>
        <v>38969.426034120122</v>
      </c>
      <c r="Z265" s="69">
        <f>Z$263*'Region OP Sales Goals'!W28</f>
        <v>43634.779855106332</v>
      </c>
      <c r="AA265" s="69">
        <f>AA$263*'Region OP Sales Goals'!X28</f>
        <v>42309.662551330417</v>
      </c>
      <c r="AB265" s="69">
        <f>AB$263*'Region OP Sales Goals'!Y28</f>
        <v>36633.943164385179</v>
      </c>
      <c r="AC265" s="69">
        <f>AC$263*'Region OP Sales Goals'!Z28</f>
        <v>35470.748242637259</v>
      </c>
      <c r="AD265" s="69">
        <f>AD$263*'Region OP Sales Goals'!AA28</f>
        <v>40050.239268232559</v>
      </c>
      <c r="AE265" s="69">
        <f>AE$263*'Region OP Sales Goals'!AB28</f>
        <v>38364.554230198737</v>
      </c>
      <c r="AF265" s="69">
        <f>AF$263*'Region OP Sales Goals'!AC28</f>
        <v>29172.098519842209</v>
      </c>
      <c r="AG265" s="69">
        <f>AG$263*'Region OP Sales Goals'!AD28</f>
        <v>36851.993273542605</v>
      </c>
      <c r="AH265" s="69">
        <f>AH$263*'Region OP Sales Goals'!AE28</f>
        <v>455448.94861039845</v>
      </c>
      <c r="AJ265" s="757"/>
      <c r="AK265" s="757"/>
      <c r="AL265" s="292" t="s">
        <v>100</v>
      </c>
      <c r="AM265" s="69">
        <v>34613</v>
      </c>
      <c r="AN265" s="69">
        <v>28372</v>
      </c>
      <c r="AO265" s="69">
        <v>35025</v>
      </c>
      <c r="AP265" s="69">
        <v>34855</v>
      </c>
      <c r="AQ265" s="69">
        <v>30846</v>
      </c>
      <c r="AR265" s="69">
        <v>30018</v>
      </c>
      <c r="AS265" s="69">
        <v>29614</v>
      </c>
      <c r="AT265" s="69">
        <v>20292</v>
      </c>
      <c r="AU265" s="69"/>
      <c r="AV265" s="69"/>
      <c r="AW265" s="69"/>
      <c r="AX265" s="69"/>
      <c r="AY265" s="69">
        <f t="shared" ref="AY265:AY270" si="386">SUM(AM265:AX265)</f>
        <v>243635</v>
      </c>
      <c r="BA265" s="757"/>
      <c r="BB265" s="757"/>
      <c r="BC265" s="292" t="s">
        <v>100</v>
      </c>
      <c r="BD265" s="465">
        <f t="shared" ref="BD265:BD266" si="387">AM265/V265</f>
        <v>1.0423611279382858</v>
      </c>
      <c r="BE265" s="465">
        <f t="shared" si="370"/>
        <v>0.76870439980125027</v>
      </c>
      <c r="BF265" s="465">
        <f t="shared" si="363"/>
        <v>0.91478260754494289</v>
      </c>
      <c r="BG265" s="465">
        <f t="shared" si="340"/>
        <v>0.89441912666310019</v>
      </c>
      <c r="BH265" s="465">
        <f t="shared" si="341"/>
        <v>0.70691315740396177</v>
      </c>
      <c r="BI265" s="465">
        <f t="shared" si="342"/>
        <v>0.70948332342717046</v>
      </c>
      <c r="BJ265" s="465">
        <f t="shared" si="343"/>
        <v>0.80837598800421151</v>
      </c>
      <c r="BK265" s="465">
        <f t="shared" si="344"/>
        <v>0.57207702135835425</v>
      </c>
      <c r="BL265" s="465">
        <f t="shared" si="345"/>
        <v>0</v>
      </c>
      <c r="BM265" s="465">
        <f t="shared" si="346"/>
        <v>0</v>
      </c>
      <c r="BN265" s="465">
        <f t="shared" si="347"/>
        <v>0</v>
      </c>
      <c r="BO265" s="465">
        <f t="shared" si="348"/>
        <v>0</v>
      </c>
      <c r="BP265" s="465">
        <f t="shared" ref="BP265:BP270" si="388">AY265/AH265</f>
        <v>0.53493371923098021</v>
      </c>
    </row>
    <row r="266" spans="2:68" ht="16" customHeight="1">
      <c r="B266" s="769"/>
      <c r="C266" s="769"/>
      <c r="D266" s="292" t="s">
        <v>101</v>
      </c>
      <c r="E266" s="69">
        <v>19934</v>
      </c>
      <c r="F266" s="69">
        <v>20937</v>
      </c>
      <c r="G266" s="69">
        <v>21782</v>
      </c>
      <c r="H266" s="69">
        <v>21163</v>
      </c>
      <c r="I266" s="69">
        <v>19469</v>
      </c>
      <c r="J266" s="69">
        <v>17296</v>
      </c>
      <c r="K266" s="69">
        <v>17846</v>
      </c>
      <c r="L266" s="69">
        <v>17028</v>
      </c>
      <c r="M266" s="69">
        <v>14839</v>
      </c>
      <c r="N266" s="69">
        <v>14752</v>
      </c>
      <c r="O266" s="69">
        <v>13662</v>
      </c>
      <c r="P266" s="69">
        <v>14445</v>
      </c>
      <c r="Q266" s="69">
        <f t="shared" si="385"/>
        <v>213153</v>
      </c>
      <c r="S266" s="769"/>
      <c r="T266" s="769"/>
      <c r="U266" s="292" t="s">
        <v>101</v>
      </c>
      <c r="V266" s="69">
        <v>12349.46599672821</v>
      </c>
      <c r="W266" s="69">
        <v>17652.061565944841</v>
      </c>
      <c r="X266" s="69">
        <v>14207.417156834197</v>
      </c>
      <c r="Y266" s="69">
        <f>Y$263*'Region OP Sales Goals'!V29</f>
        <v>15917.089506894135</v>
      </c>
      <c r="Z266" s="69">
        <f>Z$263*'Region OP Sales Goals'!W29</f>
        <v>17838.117550829633</v>
      </c>
      <c r="AA266" s="69">
        <f>AA$263*'Region OP Sales Goals'!X29</f>
        <v>17281.411464627916</v>
      </c>
      <c r="AB266" s="69">
        <f>AB$263*'Region OP Sales Goals'!Y29</f>
        <v>14889.925286169459</v>
      </c>
      <c r="AC266" s="69">
        <f>AC$263*'Region OP Sales Goals'!Z29</f>
        <v>14329.242667555449</v>
      </c>
      <c r="AD266" s="69">
        <f>AD$263*'Region OP Sales Goals'!AA29</f>
        <v>16127.613128147339</v>
      </c>
      <c r="AE266" s="69">
        <f>AE$263*'Region OP Sales Goals'!AB29</f>
        <v>15601.585386947487</v>
      </c>
      <c r="AF266" s="69">
        <f>AF$263*'Region OP Sales Goals'!AC29</f>
        <v>11884.929026602382</v>
      </c>
      <c r="AG266" s="69">
        <f>AG$263*'Region OP Sales Goals'!AD29</f>
        <v>15065.280269058298</v>
      </c>
      <c r="AH266" s="69">
        <f>AH$263*'Region OP Sales Goals'!AE29</f>
        <v>176722.35240033935</v>
      </c>
      <c r="AJ266" s="757"/>
      <c r="AK266" s="757"/>
      <c r="AL266" s="292" t="s">
        <v>101</v>
      </c>
      <c r="AM266" s="69">
        <v>18038</v>
      </c>
      <c r="AN266" s="69">
        <v>16438</v>
      </c>
      <c r="AO266" s="69">
        <v>18130</v>
      </c>
      <c r="AP266" s="69">
        <v>15762</v>
      </c>
      <c r="AQ266" s="69">
        <v>16457</v>
      </c>
      <c r="AR266" s="69">
        <v>16464</v>
      </c>
      <c r="AS266" s="69">
        <v>16082</v>
      </c>
      <c r="AT266" s="69">
        <v>12868</v>
      </c>
      <c r="AU266" s="69"/>
      <c r="AV266" s="69"/>
      <c r="AW266" s="69"/>
      <c r="AX266" s="69"/>
      <c r="AY266" s="69">
        <f t="shared" si="386"/>
        <v>130239</v>
      </c>
      <c r="BA266" s="757"/>
      <c r="BB266" s="757"/>
      <c r="BC266" s="292" t="s">
        <v>101</v>
      </c>
      <c r="BD266" s="465">
        <f t="shared" si="387"/>
        <v>1.4606299579899953</v>
      </c>
      <c r="BE266" s="465">
        <f t="shared" si="370"/>
        <v>0.93122267552663285</v>
      </c>
      <c r="BF266" s="465">
        <f t="shared" si="363"/>
        <v>1.2760940148279465</v>
      </c>
      <c r="BG266" s="465">
        <f t="shared" si="340"/>
        <v>0.99025641548180265</v>
      </c>
      <c r="BH266" s="465">
        <f t="shared" si="341"/>
        <v>0.92257492715281508</v>
      </c>
      <c r="BI266" s="465">
        <f t="shared" si="342"/>
        <v>0.95269995935800633</v>
      </c>
      <c r="BJ266" s="465">
        <f t="shared" si="343"/>
        <v>1.0800591467666936</v>
      </c>
      <c r="BK266" s="465">
        <f t="shared" si="344"/>
        <v>0.89802373360149568</v>
      </c>
      <c r="BL266" s="465">
        <f t="shared" si="345"/>
        <v>0</v>
      </c>
      <c r="BM266" s="465">
        <f t="shared" si="346"/>
        <v>0</v>
      </c>
      <c r="BN266" s="465">
        <f t="shared" si="347"/>
        <v>0</v>
      </c>
      <c r="BO266" s="465">
        <f t="shared" si="348"/>
        <v>0</v>
      </c>
      <c r="BP266" s="465">
        <f t="shared" si="388"/>
        <v>0.73696959230693171</v>
      </c>
    </row>
    <row r="267" spans="2:68" ht="16" customHeight="1">
      <c r="B267" s="769"/>
      <c r="C267" s="769"/>
      <c r="D267" s="292" t="s">
        <v>102</v>
      </c>
      <c r="E267" s="69">
        <v>6750</v>
      </c>
      <c r="F267" s="69">
        <v>6353</v>
      </c>
      <c r="G267" s="69">
        <v>8307</v>
      </c>
      <c r="H267" s="69">
        <v>7827</v>
      </c>
      <c r="I267" s="69">
        <v>7708</v>
      </c>
      <c r="J267" s="69">
        <v>9037</v>
      </c>
      <c r="K267" s="69">
        <v>8547</v>
      </c>
      <c r="L267" s="69">
        <v>7854</v>
      </c>
      <c r="M267" s="69">
        <v>6657</v>
      </c>
      <c r="N267" s="69">
        <v>7098</v>
      </c>
      <c r="O267" s="69">
        <v>7608</v>
      </c>
      <c r="P267" s="69">
        <v>7701</v>
      </c>
      <c r="Q267" s="69">
        <f t="shared" si="385"/>
        <v>91447</v>
      </c>
      <c r="S267" s="769"/>
      <c r="T267" s="769"/>
      <c r="U267" s="292" t="s">
        <v>102</v>
      </c>
      <c r="V267" s="69">
        <v>6037.5167095115685</v>
      </c>
      <c r="W267" s="69">
        <v>6418.9314785253964</v>
      </c>
      <c r="X267" s="69">
        <v>7946.5214606021782</v>
      </c>
      <c r="Y267" s="69">
        <f>Y$263*'Region OP Sales Goals'!V30</f>
        <v>7958.5447534470677</v>
      </c>
      <c r="Z267" s="69">
        <f>Z$263*'Region OP Sales Goals'!W30</f>
        <v>8781.8424865622819</v>
      </c>
      <c r="AA267" s="69">
        <f>AA$263*'Region OP Sales Goals'!X30</f>
        <v>8640.7057323139579</v>
      </c>
      <c r="AB267" s="69">
        <f>AB$263*'Region OP Sales Goals'!Y30</f>
        <v>7326.7886328770364</v>
      </c>
      <c r="AC267" s="69">
        <f>AC$263*'Region OP Sales Goals'!Z30</f>
        <v>7047.1685250272703</v>
      </c>
      <c r="AD267" s="69">
        <f>AD$263*'Region OP Sales Goals'!AA30</f>
        <v>8063.8065640736695</v>
      </c>
      <c r="AE267" s="69">
        <f>AE$263*'Region OP Sales Goals'!AB30</f>
        <v>7672.9108460397474</v>
      </c>
      <c r="AF267" s="69">
        <f>AF$263*'Region OP Sales Goals'!AC30</f>
        <v>5834.4197039684423</v>
      </c>
      <c r="AG267" s="69">
        <f>AG$263*'Region OP Sales Goals'!AD30</f>
        <v>7416.7533632287004</v>
      </c>
      <c r="AH267" s="69">
        <f>AH$263*'Region OP Sales Goals'!AE30</f>
        <v>88488.681504931839</v>
      </c>
      <c r="AJ267" s="757"/>
      <c r="AK267" s="757"/>
      <c r="AL267" s="292" t="s">
        <v>102</v>
      </c>
      <c r="AM267" s="69">
        <v>8292</v>
      </c>
      <c r="AN267" s="69">
        <v>7921</v>
      </c>
      <c r="AO267" s="69">
        <v>8019</v>
      </c>
      <c r="AP267" s="69">
        <v>7350</v>
      </c>
      <c r="AQ267" s="69">
        <v>6484</v>
      </c>
      <c r="AR267" s="69">
        <v>6766</v>
      </c>
      <c r="AS267" s="69">
        <v>8595</v>
      </c>
      <c r="AT267" s="69">
        <v>5670</v>
      </c>
      <c r="AU267" s="69"/>
      <c r="AV267" s="69"/>
      <c r="AW267" s="69"/>
      <c r="AX267" s="69"/>
      <c r="AY267" s="69">
        <f t="shared" si="386"/>
        <v>59097</v>
      </c>
      <c r="BA267" s="757"/>
      <c r="BB267" s="757"/>
      <c r="BC267" s="292" t="s">
        <v>102</v>
      </c>
      <c r="BD267" s="465">
        <f>AM267/V267</f>
        <v>1.373412347983517</v>
      </c>
      <c r="BE267" s="465">
        <f t="shared" si="370"/>
        <v>1.2340060065292471</v>
      </c>
      <c r="BF267" s="465">
        <f t="shared" si="363"/>
        <v>1.0091207882288069</v>
      </c>
      <c r="BG267" s="465">
        <f t="shared" si="340"/>
        <v>0.92353567488786314</v>
      </c>
      <c r="BH267" s="465">
        <f t="shared" si="341"/>
        <v>0.73834164185040063</v>
      </c>
      <c r="BI267" s="465">
        <f t="shared" si="342"/>
        <v>0.78303789176582494</v>
      </c>
      <c r="BJ267" s="465">
        <f t="shared" si="343"/>
        <v>1.1730923915877958</v>
      </c>
      <c r="BK267" s="465">
        <f t="shared" si="344"/>
        <v>0.8045784601097018</v>
      </c>
      <c r="BL267" s="465">
        <f t="shared" si="345"/>
        <v>0</v>
      </c>
      <c r="BM267" s="465">
        <f t="shared" si="346"/>
        <v>0</v>
      </c>
      <c r="BN267" s="465">
        <f t="shared" si="347"/>
        <v>0</v>
      </c>
      <c r="BO267" s="465">
        <f t="shared" si="348"/>
        <v>0</v>
      </c>
      <c r="BP267" s="465">
        <f t="shared" si="388"/>
        <v>0.6678481246972392</v>
      </c>
    </row>
    <row r="268" spans="2:68" ht="16" customHeight="1">
      <c r="B268" s="769"/>
      <c r="C268" s="769"/>
      <c r="D268" s="292" t="s">
        <v>103</v>
      </c>
      <c r="E268" s="69">
        <v>20905</v>
      </c>
      <c r="F268" s="69">
        <v>20812</v>
      </c>
      <c r="G268" s="69">
        <v>23948</v>
      </c>
      <c r="H268" s="69">
        <v>22691</v>
      </c>
      <c r="I268" s="69">
        <v>21916</v>
      </c>
      <c r="J268" s="69">
        <v>25101</v>
      </c>
      <c r="K268" s="69">
        <v>22470</v>
      </c>
      <c r="L268" s="69">
        <v>25690</v>
      </c>
      <c r="M268" s="69">
        <v>18737</v>
      </c>
      <c r="N268" s="69">
        <v>22681</v>
      </c>
      <c r="O268" s="69">
        <v>30961</v>
      </c>
      <c r="P268" s="69">
        <v>26278</v>
      </c>
      <c r="Q268" s="69">
        <f t="shared" si="385"/>
        <v>282190</v>
      </c>
      <c r="S268" s="769"/>
      <c r="T268" s="769"/>
      <c r="U268" s="292" t="s">
        <v>103</v>
      </c>
      <c r="V268" s="69">
        <v>15642.656929189065</v>
      </c>
      <c r="W268" s="69">
        <v>25996.672488027856</v>
      </c>
      <c r="X268" s="69">
        <v>21913.134936812068</v>
      </c>
      <c r="Y268" s="69">
        <f>Y$263*'Region OP Sales Goals'!V31</f>
        <v>21954.606216405704</v>
      </c>
      <c r="Z268" s="69">
        <f>Z$263*'Region OP Sales Goals'!W31</f>
        <v>24424.499415751343</v>
      </c>
      <c r="AA268" s="69">
        <f>AA$263*'Region OP Sales Goals'!X31</f>
        <v>23836.429606383332</v>
      </c>
      <c r="AB268" s="69">
        <f>AB$263*'Region OP Sales Goals'!Y31</f>
        <v>20325.929755723391</v>
      </c>
      <c r="AC268" s="69">
        <f>AC$263*'Region OP Sales Goals'!Z31</f>
        <v>19732.071870076357</v>
      </c>
      <c r="AD268" s="69">
        <f>AD$263*'Region OP Sales Goals'!AA31</f>
        <v>22309.864827270489</v>
      </c>
      <c r="AE268" s="69">
        <f>AE$263*'Region OP Sales Goals'!AB31</f>
        <v>21484.150368911294</v>
      </c>
      <c r="AF268" s="69">
        <f>AF$263*'Region OP Sales Goals'!AC31</f>
        <v>16422.811018577835</v>
      </c>
      <c r="AG268" s="69">
        <f>AG$263*'Region OP Sales Goals'!AD31</f>
        <v>20627.845291479822</v>
      </c>
      <c r="AH268" s="69">
        <f>AH$263*'Region OP Sales Goals'!AE31</f>
        <v>239964.98356236558</v>
      </c>
      <c r="AJ268" s="757"/>
      <c r="AK268" s="757"/>
      <c r="AL268" s="292" t="s">
        <v>103</v>
      </c>
      <c r="AM268" s="69">
        <v>28745</v>
      </c>
      <c r="AN268" s="69">
        <v>24196</v>
      </c>
      <c r="AO268" s="69">
        <v>31219</v>
      </c>
      <c r="AP268" s="69">
        <v>25107</v>
      </c>
      <c r="AQ268" s="69">
        <v>24971</v>
      </c>
      <c r="AR268" s="69">
        <v>23536</v>
      </c>
      <c r="AS268" s="69">
        <v>25632</v>
      </c>
      <c r="AT268" s="69">
        <v>18812</v>
      </c>
      <c r="AU268" s="69"/>
      <c r="AV268" s="69"/>
      <c r="AW268" s="69"/>
      <c r="AX268" s="69"/>
      <c r="AY268" s="69">
        <f t="shared" si="386"/>
        <v>202218</v>
      </c>
      <c r="BA268" s="757"/>
      <c r="BB268" s="757"/>
      <c r="BC268" s="292" t="s">
        <v>103</v>
      </c>
      <c r="BD268" s="465">
        <f t="shared" ref="BD268:BD270" si="389">AM268/V268</f>
        <v>1.8376034282489488</v>
      </c>
      <c r="BE268" s="465">
        <f t="shared" si="370"/>
        <v>0.93073450116136547</v>
      </c>
      <c r="BF268" s="465">
        <f t="shared" si="363"/>
        <v>1.4246706411484249</v>
      </c>
      <c r="BG268" s="465">
        <f t="shared" si="340"/>
        <v>1.1435868970967309</v>
      </c>
      <c r="BH268" s="465">
        <f t="shared" si="341"/>
        <v>1.0223750986640987</v>
      </c>
      <c r="BI268" s="465">
        <f t="shared" si="342"/>
        <v>0.98739619937447021</v>
      </c>
      <c r="BJ268" s="465">
        <f t="shared" si="343"/>
        <v>1.2610493250761394</v>
      </c>
      <c r="BK268" s="465">
        <f t="shared" si="344"/>
        <v>0.95337175557972476</v>
      </c>
      <c r="BL268" s="465">
        <f t="shared" si="345"/>
        <v>0</v>
      </c>
      <c r="BM268" s="465">
        <f t="shared" si="346"/>
        <v>0</v>
      </c>
      <c r="BN268" s="465">
        <f t="shared" si="347"/>
        <v>0</v>
      </c>
      <c r="BO268" s="465">
        <f t="shared" si="348"/>
        <v>0</v>
      </c>
      <c r="BP268" s="465">
        <f t="shared" si="388"/>
        <v>0.84269795116771551</v>
      </c>
    </row>
    <row r="269" spans="2:68" ht="16" customHeight="1">
      <c r="B269" s="769"/>
      <c r="C269" s="769"/>
      <c r="D269" s="292" t="s">
        <v>104</v>
      </c>
      <c r="E269" s="69">
        <v>43061</v>
      </c>
      <c r="F269" s="69">
        <v>36231</v>
      </c>
      <c r="G269" s="69">
        <v>47249</v>
      </c>
      <c r="H269" s="69">
        <v>47500</v>
      </c>
      <c r="I269" s="69">
        <v>48027</v>
      </c>
      <c r="J269" s="69">
        <v>53469</v>
      </c>
      <c r="K269" s="69">
        <v>65832</v>
      </c>
      <c r="L269" s="69">
        <v>73370</v>
      </c>
      <c r="M269" s="69">
        <v>63115</v>
      </c>
      <c r="N269" s="69">
        <v>54985</v>
      </c>
      <c r="O269" s="69">
        <v>48267</v>
      </c>
      <c r="P269" s="69">
        <v>47491</v>
      </c>
      <c r="Q269" s="69">
        <f t="shared" si="385"/>
        <v>628597</v>
      </c>
      <c r="S269" s="769"/>
      <c r="T269" s="769"/>
      <c r="U269" s="292" t="s">
        <v>104</v>
      </c>
      <c r="V269" s="69">
        <v>44732.510165926629</v>
      </c>
      <c r="W269" s="69">
        <v>50067.665532498089</v>
      </c>
      <c r="X269" s="69">
        <v>52736.006056723541</v>
      </c>
      <c r="Y269" s="69">
        <f>Y$263*'Region OP Sales Goals'!V32</f>
        <v>54612.082963309193</v>
      </c>
      <c r="Z269" s="69">
        <f>Z$263*'Region OP Sales Goals'!W32</f>
        <v>60924.032250525823</v>
      </c>
      <c r="AA269" s="69">
        <f>AA$263*'Region OP Sales Goals'!X32</f>
        <v>59293.118645878545</v>
      </c>
      <c r="AB269" s="69">
        <f>AB$263*'Region OP Sales Goals'!Y32</f>
        <v>51051.172409723862</v>
      </c>
      <c r="AC269" s="69">
        <f>AC$263*'Region OP Sales Goals'!Z32</f>
        <v>49565.085292691794</v>
      </c>
      <c r="AD269" s="69">
        <f>AD$263*'Region OP Sales Goals'!AA32</f>
        <v>55909.058844244115</v>
      </c>
      <c r="AE269" s="69">
        <f>AE$263*'Region OP Sales Goals'!AB32</f>
        <v>53454.612227410245</v>
      </c>
      <c r="AF269" s="69">
        <f>AF$263*'Region OP Sales Goals'!AC32</f>
        <v>40840.937927779094</v>
      </c>
      <c r="AG269" s="69">
        <f>AG$263*'Region OP Sales Goals'!AD32</f>
        <v>51453.726457399105</v>
      </c>
      <c r="AH269" s="69">
        <f>AH$263*'Region OP Sales Goals'!AE32</f>
        <v>637016.50259169948</v>
      </c>
      <c r="AJ269" s="757"/>
      <c r="AK269" s="757"/>
      <c r="AL269" s="292" t="s">
        <v>104</v>
      </c>
      <c r="AM269" s="69">
        <v>58696</v>
      </c>
      <c r="AN269" s="69">
        <v>48088</v>
      </c>
      <c r="AO269" s="69">
        <v>52017</v>
      </c>
      <c r="AP269" s="69">
        <v>56743</v>
      </c>
      <c r="AQ269" s="156">
        <v>46518</v>
      </c>
      <c r="AR269" s="156">
        <v>49624</v>
      </c>
      <c r="AS269" s="156">
        <v>53753</v>
      </c>
      <c r="AT269" s="156">
        <v>35130</v>
      </c>
      <c r="AU269" s="69"/>
      <c r="AV269" s="69"/>
      <c r="AW269" s="69"/>
      <c r="AX269" s="69"/>
      <c r="AY269" s="69">
        <f t="shared" si="386"/>
        <v>400569</v>
      </c>
      <c r="BA269" s="757"/>
      <c r="BB269" s="757"/>
      <c r="BC269" s="292" t="s">
        <v>104</v>
      </c>
      <c r="BD269" s="465">
        <f t="shared" si="389"/>
        <v>1.3121552933711633</v>
      </c>
      <c r="BE269" s="465">
        <f t="shared" si="370"/>
        <v>0.96046019898385071</v>
      </c>
      <c r="BF269" s="465">
        <f t="shared" si="363"/>
        <v>0.98636593647326709</v>
      </c>
      <c r="BG269" s="465">
        <f t="shared" si="340"/>
        <v>1.0390191496288916</v>
      </c>
      <c r="BH269" s="465">
        <f t="shared" si="341"/>
        <v>0.76354105730745547</v>
      </c>
      <c r="BI269" s="465">
        <f t="shared" si="342"/>
        <v>0.83692679915141144</v>
      </c>
      <c r="BJ269" s="465">
        <f t="shared" si="343"/>
        <v>1.0529239087516336</v>
      </c>
      <c r="BK269" s="465">
        <f t="shared" si="344"/>
        <v>0.7087650468580915</v>
      </c>
      <c r="BL269" s="465">
        <f t="shared" si="345"/>
        <v>0</v>
      </c>
      <c r="BM269" s="465">
        <f t="shared" si="346"/>
        <v>0</v>
      </c>
      <c r="BN269" s="465">
        <f t="shared" si="347"/>
        <v>0</v>
      </c>
      <c r="BO269" s="465">
        <f t="shared" si="348"/>
        <v>0</v>
      </c>
      <c r="BP269" s="465">
        <f t="shared" si="388"/>
        <v>0.62882044400778692</v>
      </c>
    </row>
    <row r="270" spans="2:68" ht="16" customHeight="1">
      <c r="B270" s="770"/>
      <c r="C270" s="770"/>
      <c r="D270" s="292" t="s">
        <v>105</v>
      </c>
      <c r="E270" s="69">
        <v>17635</v>
      </c>
      <c r="F270" s="69">
        <v>17803</v>
      </c>
      <c r="G270" s="69">
        <v>23218</v>
      </c>
      <c r="H270" s="69">
        <v>22521</v>
      </c>
      <c r="I270" s="69">
        <v>20115</v>
      </c>
      <c r="J270" s="69">
        <v>20880</v>
      </c>
      <c r="K270" s="69">
        <v>21078</v>
      </c>
      <c r="L270" s="69">
        <v>24548</v>
      </c>
      <c r="M270" s="69">
        <v>25942</v>
      </c>
      <c r="N270" s="69">
        <v>22131</v>
      </c>
      <c r="O270" s="69">
        <v>19872</v>
      </c>
      <c r="P270" s="69">
        <v>26926</v>
      </c>
      <c r="Q270" s="69">
        <f t="shared" si="385"/>
        <v>262669</v>
      </c>
      <c r="S270" s="770"/>
      <c r="T270" s="770"/>
      <c r="U270" s="292" t="s">
        <v>105</v>
      </c>
      <c r="V270" s="69">
        <v>23601.201682636136</v>
      </c>
      <c r="W270" s="69">
        <v>32415.603966553252</v>
      </c>
      <c r="X270" s="69">
        <v>30582.067439287173</v>
      </c>
      <c r="Y270" s="69">
        <f>Y$263*'Region OP Sales Goals'!V33</f>
        <v>32383.044169198412</v>
      </c>
      <c r="Z270" s="69">
        <f>Z$263*'Region OP Sales Goals'!W33</f>
        <v>35950.667679364335</v>
      </c>
      <c r="AA270" s="69">
        <f>AA$263*'Region OP Sales Goals'!X33</f>
        <v>35158.733669415415</v>
      </c>
      <c r="AB270" s="69">
        <f>AB$263*'Region OP Sales Goals'!Y33</f>
        <v>30488.894633585085</v>
      </c>
      <c r="AC270" s="69">
        <f>AC$263*'Region OP Sales Goals'!Z33</f>
        <v>29363.202187613624</v>
      </c>
      <c r="AD270" s="69">
        <f>AD$263*'Region OP Sales Goals'!AA33</f>
        <v>33061.606912702046</v>
      </c>
      <c r="AE270" s="69">
        <f>AE$263*'Region OP Sales Goals'!AB33</f>
        <v>31458.934468762967</v>
      </c>
      <c r="AF270" s="69">
        <f>AF$263*'Region OP Sales Goals'!AC33</f>
        <v>24418.126909201259</v>
      </c>
      <c r="AG270" s="69">
        <f>AG$263*'Region OP Sales Goals'!AD33</f>
        <v>30362.33408071749</v>
      </c>
      <c r="AH270" s="69">
        <f>AH$263*'Region OP Sales Goals'!AE33</f>
        <v>373335.5323435741</v>
      </c>
      <c r="AJ270" s="757"/>
      <c r="AK270" s="757"/>
      <c r="AL270" s="292" t="s">
        <v>105</v>
      </c>
      <c r="AM270" s="69">
        <v>23196</v>
      </c>
      <c r="AN270" s="69">
        <v>23431</v>
      </c>
      <c r="AO270" s="69">
        <v>25781</v>
      </c>
      <c r="AP270" s="69">
        <v>23069</v>
      </c>
      <c r="AQ270" s="69">
        <v>22772</v>
      </c>
      <c r="AR270" s="69">
        <v>19518</v>
      </c>
      <c r="AS270" s="69">
        <v>22459</v>
      </c>
      <c r="AT270" s="69">
        <v>19046</v>
      </c>
      <c r="AU270" s="69"/>
      <c r="AV270" s="69"/>
      <c r="AW270" s="69"/>
      <c r="AX270" s="69"/>
      <c r="AY270" s="69">
        <f t="shared" si="386"/>
        <v>179272</v>
      </c>
      <c r="BA270" s="757"/>
      <c r="BB270" s="757"/>
      <c r="BC270" s="292" t="s">
        <v>105</v>
      </c>
      <c r="BD270" s="465">
        <f t="shared" si="389"/>
        <v>0.98283131138469737</v>
      </c>
      <c r="BE270" s="465">
        <f t="shared" si="370"/>
        <v>0.72283089416369795</v>
      </c>
      <c r="BF270" s="465">
        <f t="shared" si="363"/>
        <v>0.84301037041336535</v>
      </c>
      <c r="BG270" s="465">
        <f t="shared" si="340"/>
        <v>0.71237898078595108</v>
      </c>
      <c r="BH270" s="465">
        <f t="shared" si="341"/>
        <v>0.63342356261914756</v>
      </c>
      <c r="BI270" s="465">
        <f t="shared" si="342"/>
        <v>0.55513944795397197</v>
      </c>
      <c r="BJ270" s="465">
        <f t="shared" si="343"/>
        <v>0.73662886995123322</v>
      </c>
      <c r="BK270" s="465">
        <f t="shared" si="344"/>
        <v>0.64863497783066171</v>
      </c>
      <c r="BL270" s="465">
        <f t="shared" si="345"/>
        <v>0</v>
      </c>
      <c r="BM270" s="465">
        <f t="shared" si="346"/>
        <v>0</v>
      </c>
      <c r="BN270" s="465">
        <f t="shared" si="347"/>
        <v>0</v>
      </c>
      <c r="BO270" s="465">
        <f t="shared" si="348"/>
        <v>0</v>
      </c>
      <c r="BP270" s="465">
        <f t="shared" si="388"/>
        <v>0.48019002872466782</v>
      </c>
    </row>
    <row r="272" spans="2:68" ht="50" customHeight="1">
      <c r="B272" s="771" t="s">
        <v>356</v>
      </c>
      <c r="C272" s="772"/>
      <c r="D272" s="772"/>
      <c r="E272" s="772"/>
      <c r="F272" s="772"/>
      <c r="G272" s="772"/>
      <c r="H272" s="772"/>
      <c r="I272" s="772"/>
      <c r="J272" s="772"/>
      <c r="K272" s="772"/>
      <c r="L272" s="772"/>
      <c r="M272" s="772"/>
      <c r="N272" s="772"/>
      <c r="O272" s="772"/>
      <c r="P272" s="772"/>
      <c r="Q272" s="773"/>
      <c r="S272" s="771" t="s">
        <v>357</v>
      </c>
      <c r="T272" s="772"/>
      <c r="U272" s="772"/>
      <c r="V272" s="772"/>
      <c r="W272" s="772"/>
      <c r="X272" s="772"/>
      <c r="Y272" s="772"/>
      <c r="Z272" s="772"/>
      <c r="AA272" s="772"/>
      <c r="AB272" s="772"/>
      <c r="AC272" s="772"/>
      <c r="AD272" s="772"/>
      <c r="AE272" s="772"/>
      <c r="AF272" s="772"/>
      <c r="AG272" s="772"/>
      <c r="AH272" s="773"/>
      <c r="AJ272" s="771" t="s">
        <v>358</v>
      </c>
      <c r="AK272" s="772"/>
      <c r="AL272" s="772"/>
      <c r="AM272" s="772"/>
      <c r="AN272" s="772"/>
      <c r="AO272" s="772"/>
      <c r="AP272" s="772"/>
      <c r="AQ272" s="772"/>
      <c r="AR272" s="772"/>
      <c r="AS272" s="772"/>
      <c r="AT272" s="772"/>
      <c r="AU272" s="772"/>
      <c r="AV272" s="772"/>
      <c r="AW272" s="772"/>
      <c r="AX272" s="772"/>
      <c r="AY272" s="773"/>
      <c r="BA272" s="771" t="s">
        <v>359</v>
      </c>
      <c r="BB272" s="772"/>
      <c r="BC272" s="772"/>
      <c r="BD272" s="772"/>
      <c r="BE272" s="772"/>
      <c r="BF272" s="772"/>
      <c r="BG272" s="772"/>
      <c r="BH272" s="772"/>
      <c r="BI272" s="772"/>
      <c r="BJ272" s="772"/>
      <c r="BK272" s="772"/>
      <c r="BL272" s="772"/>
      <c r="BM272" s="772"/>
      <c r="BN272" s="772"/>
      <c r="BO272" s="772"/>
      <c r="BP272" s="773"/>
    </row>
    <row r="273" spans="2:68">
      <c r="B273" s="765" t="s">
        <v>93</v>
      </c>
      <c r="C273" s="766"/>
      <c r="D273" s="767"/>
      <c r="E273" s="234" t="s">
        <v>252</v>
      </c>
      <c r="F273" s="234" t="s">
        <v>253</v>
      </c>
      <c r="G273" s="234" t="s">
        <v>230</v>
      </c>
      <c r="H273" s="234" t="s">
        <v>254</v>
      </c>
      <c r="I273" s="234" t="s">
        <v>78</v>
      </c>
      <c r="J273" s="234" t="s">
        <v>255</v>
      </c>
      <c r="K273" s="234" t="s">
        <v>256</v>
      </c>
      <c r="L273" s="234" t="s">
        <v>236</v>
      </c>
      <c r="M273" s="234" t="s">
        <v>257</v>
      </c>
      <c r="N273" s="234" t="s">
        <v>258</v>
      </c>
      <c r="O273" s="234" t="s">
        <v>259</v>
      </c>
      <c r="P273" s="234" t="s">
        <v>260</v>
      </c>
      <c r="Q273" s="234" t="s">
        <v>24</v>
      </c>
      <c r="S273" s="765" t="s">
        <v>93</v>
      </c>
      <c r="T273" s="766"/>
      <c r="U273" s="767"/>
      <c r="V273" s="234" t="s">
        <v>252</v>
      </c>
      <c r="W273" s="234" t="s">
        <v>253</v>
      </c>
      <c r="X273" s="234" t="s">
        <v>230</v>
      </c>
      <c r="Y273" s="234" t="s">
        <v>254</v>
      </c>
      <c r="Z273" s="234" t="s">
        <v>78</v>
      </c>
      <c r="AA273" s="234" t="s">
        <v>255</v>
      </c>
      <c r="AB273" s="234" t="s">
        <v>256</v>
      </c>
      <c r="AC273" s="234" t="s">
        <v>236</v>
      </c>
      <c r="AD273" s="234" t="s">
        <v>257</v>
      </c>
      <c r="AE273" s="234" t="s">
        <v>258</v>
      </c>
      <c r="AF273" s="234" t="s">
        <v>259</v>
      </c>
      <c r="AG273" s="234" t="s">
        <v>260</v>
      </c>
      <c r="AH273" s="234" t="s">
        <v>24</v>
      </c>
      <c r="AJ273" s="765" t="s">
        <v>93</v>
      </c>
      <c r="AK273" s="766"/>
      <c r="AL273" s="767"/>
      <c r="AM273" s="234" t="s">
        <v>252</v>
      </c>
      <c r="AN273" s="234" t="s">
        <v>253</v>
      </c>
      <c r="AO273" s="234" t="s">
        <v>230</v>
      </c>
      <c r="AP273" s="234" t="s">
        <v>254</v>
      </c>
      <c r="AQ273" s="234" t="s">
        <v>78</v>
      </c>
      <c r="AR273" s="234" t="s">
        <v>255</v>
      </c>
      <c r="AS273" s="234" t="s">
        <v>256</v>
      </c>
      <c r="AT273" s="234" t="s">
        <v>236</v>
      </c>
      <c r="AU273" s="234" t="s">
        <v>257</v>
      </c>
      <c r="AV273" s="234" t="s">
        <v>258</v>
      </c>
      <c r="AW273" s="234" t="s">
        <v>259</v>
      </c>
      <c r="AX273" s="234" t="s">
        <v>260</v>
      </c>
      <c r="AY273" s="234" t="s">
        <v>24</v>
      </c>
      <c r="BA273" s="765" t="s">
        <v>93</v>
      </c>
      <c r="BB273" s="766"/>
      <c r="BC273" s="767"/>
      <c r="BD273" s="234" t="s">
        <v>252</v>
      </c>
      <c r="BE273" s="234" t="s">
        <v>253</v>
      </c>
      <c r="BF273" s="234" t="s">
        <v>230</v>
      </c>
      <c r="BG273" s="234" t="s">
        <v>254</v>
      </c>
      <c r="BH273" s="234" t="s">
        <v>78</v>
      </c>
      <c r="BI273" s="234" t="s">
        <v>255</v>
      </c>
      <c r="BJ273" s="234" t="s">
        <v>256</v>
      </c>
      <c r="BK273" s="234" t="s">
        <v>236</v>
      </c>
      <c r="BL273" s="234" t="s">
        <v>257</v>
      </c>
      <c r="BM273" s="234" t="s">
        <v>258</v>
      </c>
      <c r="BN273" s="234" t="s">
        <v>259</v>
      </c>
      <c r="BO273" s="234" t="s">
        <v>260</v>
      </c>
      <c r="BP273" s="234" t="s">
        <v>24</v>
      </c>
    </row>
    <row r="274" spans="2:68">
      <c r="B274" s="768" t="s">
        <v>48</v>
      </c>
      <c r="C274" s="768" t="s">
        <v>49</v>
      </c>
      <c r="D274" s="343" t="s">
        <v>50</v>
      </c>
      <c r="E274" s="344">
        <f>E275+E283</f>
        <v>21121</v>
      </c>
      <c r="F274" s="344">
        <f t="shared" ref="F274:Q274" si="390">F275+F283</f>
        <v>20734</v>
      </c>
      <c r="G274" s="344">
        <f t="shared" si="390"/>
        <v>27614</v>
      </c>
      <c r="H274" s="344">
        <f t="shared" si="390"/>
        <v>20497</v>
      </c>
      <c r="I274" s="344">
        <f t="shared" si="390"/>
        <v>18506</v>
      </c>
      <c r="J274" s="344">
        <f t="shared" si="390"/>
        <v>17148</v>
      </c>
      <c r="K274" s="344">
        <f t="shared" si="390"/>
        <v>21294</v>
      </c>
      <c r="L274" s="344">
        <f t="shared" si="390"/>
        <v>27941</v>
      </c>
      <c r="M274" s="344">
        <f t="shared" si="390"/>
        <v>48634</v>
      </c>
      <c r="N274" s="344">
        <f t="shared" si="390"/>
        <v>20378</v>
      </c>
      <c r="O274" s="344">
        <f t="shared" si="390"/>
        <v>18691</v>
      </c>
      <c r="P274" s="344">
        <f t="shared" si="390"/>
        <v>18221</v>
      </c>
      <c r="Q274" s="344">
        <f t="shared" si="390"/>
        <v>280779</v>
      </c>
      <c r="S274" s="768" t="s">
        <v>48</v>
      </c>
      <c r="T274" s="768" t="s">
        <v>49</v>
      </c>
      <c r="U274" s="343" t="s">
        <v>50</v>
      </c>
      <c r="V274" s="344">
        <v>2282.1266968325795</v>
      </c>
      <c r="W274" s="344">
        <v>4564.2533936651589</v>
      </c>
      <c r="X274" s="344">
        <v>21304.058500914078</v>
      </c>
      <c r="Y274" s="344" cm="1">
        <f t="array" ref="Y274">INDEX('Research Goals'!$G$140:$G$151, COLUMN()-COLUMN($V$3)+1)</f>
        <v>18545.158371040725</v>
      </c>
      <c r="Z274" s="344" cm="1">
        <f t="array" ref="Z274">INDEX('Research Goals'!$G$140:$G$151, COLUMN()-COLUMN($V$3)+1)</f>
        <v>20399.674208144799</v>
      </c>
      <c r="AA274" s="344" cm="1">
        <f t="array" ref="AA274">INDEX('Research Goals'!$G$140:$G$151, COLUMN()-COLUMN($V$3)+1)</f>
        <v>19317.873303167424</v>
      </c>
      <c r="AB274" s="344" cm="1">
        <f t="array" ref="AB274">INDEX('Research Goals'!$G$140:$G$151, COLUMN()-COLUMN($V$3)+1)</f>
        <v>27385.283363802559</v>
      </c>
      <c r="AC274" s="344" cm="1">
        <f t="array" ref="AC274">INDEX('Research Goals'!$G$140:$G$151, COLUMN()-COLUMN($V$3)+1)</f>
        <v>26472.440585009143</v>
      </c>
      <c r="AD274" s="344" cm="1">
        <f t="array" ref="AD274">INDEX('Research Goals'!$G$140:$G$151, COLUMN()-COLUMN($V$3)+1)</f>
        <v>23181.447963800907</v>
      </c>
      <c r="AE274" s="344" cm="1">
        <f t="array" ref="AE274">INDEX('Research Goals'!$G$140:$G$151, COLUMN()-COLUMN($V$3)+1)</f>
        <v>19317.873303167424</v>
      </c>
      <c r="AF274" s="344" cm="1">
        <f t="array" ref="AF274">INDEX('Research Goals'!$G$140:$G$151, COLUMN()-COLUMN($V$3)+1)</f>
        <v>22455.932358318096</v>
      </c>
      <c r="AG274" s="344" cm="1">
        <f t="array" ref="AG274">INDEX('Research Goals'!$G$140:$G$151, COLUMN()-COLUMN($V$3)+1)</f>
        <v>24646.755027422303</v>
      </c>
      <c r="AH274" s="345">
        <f>SUM(V274:AG274)</f>
        <v>229872.87707528521</v>
      </c>
      <c r="AI274" s="47"/>
      <c r="AJ274" s="757" t="s">
        <v>48</v>
      </c>
      <c r="AK274" s="757" t="s">
        <v>49</v>
      </c>
      <c r="AL274" s="343" t="s">
        <v>50</v>
      </c>
      <c r="AM274" s="344">
        <f>AM275+AM283</f>
        <v>17098.142857142855</v>
      </c>
      <c r="AN274" s="344">
        <f t="shared" ref="AN274:AY274" si="391">AN275+AN283</f>
        <v>15939.142857142857</v>
      </c>
      <c r="AO274" s="344">
        <f t="shared" si="391"/>
        <v>19169</v>
      </c>
      <c r="AP274" s="344">
        <f t="shared" si="391"/>
        <v>21983.714285714286</v>
      </c>
      <c r="AQ274" s="344">
        <f t="shared" si="391"/>
        <v>23708.285714285714</v>
      </c>
      <c r="AR274" s="344">
        <f t="shared" si="391"/>
        <v>23783.142857142855</v>
      </c>
      <c r="AS274" s="344">
        <f t="shared" si="391"/>
        <v>29089</v>
      </c>
      <c r="AT274" s="344">
        <f t="shared" si="391"/>
        <v>25130.857142857141</v>
      </c>
      <c r="AU274" s="344">
        <f t="shared" si="391"/>
        <v>0</v>
      </c>
      <c r="AV274" s="344">
        <f t="shared" si="391"/>
        <v>0</v>
      </c>
      <c r="AW274" s="344">
        <f t="shared" si="391"/>
        <v>0</v>
      </c>
      <c r="AX274" s="344">
        <f t="shared" si="391"/>
        <v>0</v>
      </c>
      <c r="AY274" s="344">
        <f t="shared" si="391"/>
        <v>175901.28571428571</v>
      </c>
      <c r="BA274" s="757" t="s">
        <v>48</v>
      </c>
      <c r="BB274" s="757" t="s">
        <v>49</v>
      </c>
      <c r="BC274" s="343" t="s">
        <v>50</v>
      </c>
      <c r="BD274" s="463">
        <f>AM274/V274</f>
        <v>7.4921970287073867</v>
      </c>
      <c r="BE274" s="463">
        <f>AN274/W274</f>
        <v>3.492168703706326</v>
      </c>
      <c r="BF274" s="463">
        <f t="shared" ref="BF274:BF285" si="392">AO274/X274</f>
        <v>0.89978160730161016</v>
      </c>
      <c r="BG274" s="463">
        <f t="shared" ref="BG274:BG315" si="393">AP274/Y274</f>
        <v>1.1854152898496166</v>
      </c>
      <c r="BH274" s="463">
        <f t="shared" ref="BH274:BH315" si="394">AQ274/Z274</f>
        <v>1.1621894287321468</v>
      </c>
      <c r="BI274" s="463">
        <f t="shared" ref="BI274:BI315" si="395">AR274/AA274</f>
        <v>1.2311470566091398</v>
      </c>
      <c r="BJ274" s="463">
        <f t="shared" ref="BJ274:BJ315" si="396">AS274/AB274</f>
        <v>1.0622128540195932</v>
      </c>
      <c r="BK274" s="463">
        <f t="shared" ref="BK274:BK315" si="397">AT274/AC274</f>
        <v>0.94932150521430525</v>
      </c>
      <c r="BL274" s="463">
        <f t="shared" ref="BL274:BL315" si="398">AU274/AD274</f>
        <v>0</v>
      </c>
      <c r="BM274" s="463">
        <f t="shared" ref="BM274:BM315" si="399">AV274/AE274</f>
        <v>0</v>
      </c>
      <c r="BN274" s="463">
        <f t="shared" ref="BN274:BN315" si="400">AW274/AF274</f>
        <v>0</v>
      </c>
      <c r="BO274" s="463">
        <f t="shared" ref="BO274:BO315" si="401">AX274/AG274</f>
        <v>0</v>
      </c>
      <c r="BP274" s="463">
        <f t="shared" ref="BP274:BP275" si="402">AY274/AH274</f>
        <v>0.7652111373569167</v>
      </c>
    </row>
    <row r="275" spans="2:68">
      <c r="B275" s="769"/>
      <c r="C275" s="769"/>
      <c r="D275" s="182" t="s">
        <v>52</v>
      </c>
      <c r="E275" s="341">
        <f>SUM(E276:E282)</f>
        <v>16714</v>
      </c>
      <c r="F275" s="341">
        <f t="shared" ref="F275:Q275" si="403">SUM(F276:F282)</f>
        <v>16427</v>
      </c>
      <c r="G275" s="341">
        <f t="shared" si="403"/>
        <v>22875</v>
      </c>
      <c r="H275" s="341">
        <f t="shared" si="403"/>
        <v>16578</v>
      </c>
      <c r="I275" s="341">
        <f t="shared" si="403"/>
        <v>15101</v>
      </c>
      <c r="J275" s="341">
        <f t="shared" si="403"/>
        <v>14305</v>
      </c>
      <c r="K275" s="341">
        <f t="shared" si="403"/>
        <v>17904</v>
      </c>
      <c r="L275" s="341">
        <f t="shared" si="403"/>
        <v>24160</v>
      </c>
      <c r="M275" s="341">
        <f t="shared" si="403"/>
        <v>44097</v>
      </c>
      <c r="N275" s="341">
        <f t="shared" si="403"/>
        <v>17216</v>
      </c>
      <c r="O275" s="341">
        <f t="shared" si="403"/>
        <v>15679</v>
      </c>
      <c r="P275" s="341">
        <f t="shared" si="403"/>
        <v>15045</v>
      </c>
      <c r="Q275" s="341">
        <f t="shared" si="403"/>
        <v>236101</v>
      </c>
      <c r="S275" s="769"/>
      <c r="T275" s="769"/>
      <c r="U275" s="182" t="s">
        <v>52</v>
      </c>
      <c r="V275" s="341">
        <v>1841.9457013574663</v>
      </c>
      <c r="W275" s="341">
        <v>3683.8914027149326</v>
      </c>
      <c r="X275" s="341">
        <v>17495.429616087753</v>
      </c>
      <c r="Y275" s="341" cm="1">
        <f t="array" ref="Y275">INDEX('Research Goals'!$D$140:$D$151, COLUMN()-COLUMN($V$3)+1)</f>
        <v>14735.56561085973</v>
      </c>
      <c r="Z275" s="341" cm="1">
        <f t="array" ref="Z275">INDEX('Research Goals'!$D$140:$D$151, COLUMN()-COLUMN($V$3)+1)</f>
        <v>16209.122171945703</v>
      </c>
      <c r="AA275" s="341" cm="1">
        <f t="array" ref="AA275">INDEX('Research Goals'!$D$140:$D$151, COLUMN()-COLUMN($V$3)+1)</f>
        <v>15349.547511312219</v>
      </c>
      <c r="AB275" s="341" cm="1">
        <f t="array" ref="AB275">INDEX('Research Goals'!$D$140:$D$151, COLUMN()-COLUMN($V$3)+1)</f>
        <v>21869.287020109688</v>
      </c>
      <c r="AC275" s="341" cm="1">
        <f t="array" ref="AC275">INDEX('Research Goals'!$D$140:$D$151, COLUMN()-COLUMN($V$3)+1)</f>
        <v>21140.310786106034</v>
      </c>
      <c r="AD275" s="341" cm="1">
        <f t="array" ref="AD275">INDEX('Research Goals'!$D$140:$D$151, COLUMN()-COLUMN($V$3)+1)</f>
        <v>18419.457013574662</v>
      </c>
      <c r="AE275" s="341" cm="1">
        <f t="array" ref="AE275">INDEX('Research Goals'!$D$140:$D$151, COLUMN()-COLUMN($V$3)+1)</f>
        <v>15349.547511312219</v>
      </c>
      <c r="AF275" s="341" cm="1">
        <f t="array" ref="AF275">INDEX('Research Goals'!$D$140:$D$151, COLUMN()-COLUMN($V$3)+1)</f>
        <v>17932.815356489944</v>
      </c>
      <c r="AG275" s="341" cm="1">
        <f t="array" ref="AG275">INDEX('Research Goals'!$D$140:$D$151, COLUMN()-COLUMN($V$3)+1)</f>
        <v>19682.358318098719</v>
      </c>
      <c r="AH275" s="342">
        <f>SUM(V275:AG275)</f>
        <v>183709.27801996906</v>
      </c>
      <c r="AJ275" s="757"/>
      <c r="AK275" s="757"/>
      <c r="AL275" s="182" t="s">
        <v>52</v>
      </c>
      <c r="AM275" s="341">
        <f>SUM(AM276:AM282)</f>
        <v>14526</v>
      </c>
      <c r="AN275" s="341">
        <f t="shared" ref="AN275:AY275" si="404">SUM(AN276:AN282)</f>
        <v>13833</v>
      </c>
      <c r="AO275" s="341">
        <f t="shared" si="404"/>
        <v>16307</v>
      </c>
      <c r="AP275" s="341">
        <f t="shared" si="404"/>
        <v>17781</v>
      </c>
      <c r="AQ275" s="341">
        <f t="shared" si="404"/>
        <v>18908</v>
      </c>
      <c r="AR275" s="341">
        <f t="shared" si="404"/>
        <v>18851</v>
      </c>
      <c r="AS275" s="341">
        <f t="shared" si="404"/>
        <v>24160</v>
      </c>
      <c r="AT275" s="341">
        <f t="shared" si="404"/>
        <v>22125</v>
      </c>
      <c r="AU275" s="341">
        <f t="shared" si="404"/>
        <v>0</v>
      </c>
      <c r="AV275" s="341">
        <f t="shared" si="404"/>
        <v>0</v>
      </c>
      <c r="AW275" s="341">
        <f t="shared" si="404"/>
        <v>0</v>
      </c>
      <c r="AX275" s="341">
        <f t="shared" si="404"/>
        <v>0</v>
      </c>
      <c r="AY275" s="341">
        <f t="shared" si="404"/>
        <v>146491</v>
      </c>
      <c r="BA275" s="757"/>
      <c r="BB275" s="757"/>
      <c r="BC275" s="182" t="s">
        <v>52</v>
      </c>
      <c r="BD275" s="464">
        <f>AM275/V275</f>
        <v>7.8862259562237442</v>
      </c>
      <c r="BE275" s="464">
        <f t="shared" ref="BE275:BE290" si="405">AN275/W275</f>
        <v>3.7549966836170676</v>
      </c>
      <c r="BF275" s="464">
        <f t="shared" si="392"/>
        <v>0.93207199582027156</v>
      </c>
      <c r="BG275" s="464">
        <f t="shared" si="393"/>
        <v>1.2066723782150488</v>
      </c>
      <c r="BH275" s="464">
        <f t="shared" si="394"/>
        <v>1.1665036390882069</v>
      </c>
      <c r="BI275" s="464">
        <f t="shared" si="395"/>
        <v>1.2281143783624437</v>
      </c>
      <c r="BJ275" s="464">
        <f t="shared" si="396"/>
        <v>1.1047456635318704</v>
      </c>
      <c r="BK275" s="464">
        <f t="shared" si="397"/>
        <v>1.046578748243433</v>
      </c>
      <c r="BL275" s="464">
        <f t="shared" si="398"/>
        <v>0</v>
      </c>
      <c r="BM275" s="464">
        <f t="shared" si="399"/>
        <v>0</v>
      </c>
      <c r="BN275" s="464">
        <f t="shared" si="400"/>
        <v>0</v>
      </c>
      <c r="BO275" s="464">
        <f t="shared" si="401"/>
        <v>0</v>
      </c>
      <c r="BP275" s="464">
        <f t="shared" si="402"/>
        <v>0.79740665021870338</v>
      </c>
    </row>
    <row r="276" spans="2:68" ht="16" customHeight="1">
      <c r="B276" s="769"/>
      <c r="C276" s="769"/>
      <c r="D276" s="292" t="s">
        <v>99</v>
      </c>
      <c r="E276" s="69">
        <v>2044</v>
      </c>
      <c r="F276" s="69">
        <v>2194</v>
      </c>
      <c r="G276" s="69">
        <v>3086</v>
      </c>
      <c r="H276" s="69">
        <v>2302</v>
      </c>
      <c r="I276" s="69">
        <v>1973</v>
      </c>
      <c r="J276" s="69">
        <v>1950</v>
      </c>
      <c r="K276" s="69">
        <v>2611</v>
      </c>
      <c r="L276" s="69">
        <v>3831</v>
      </c>
      <c r="M276" s="69">
        <v>6980</v>
      </c>
      <c r="N276" s="69">
        <v>2408</v>
      </c>
      <c r="O276" s="69">
        <v>2233</v>
      </c>
      <c r="P276" s="69">
        <v>1970</v>
      </c>
      <c r="Q276" s="69">
        <f>SUM(E276:P276)</f>
        <v>33582</v>
      </c>
      <c r="S276" s="769"/>
      <c r="T276" s="769"/>
      <c r="U276" s="292" t="s">
        <v>99</v>
      </c>
      <c r="V276" s="69">
        <v>0</v>
      </c>
      <c r="W276" s="69">
        <v>204.6606334841629</v>
      </c>
      <c r="X276" s="69">
        <v>1020.5667276051189</v>
      </c>
      <c r="Y276" s="69">
        <f>Y$275*'Region OP Sales Goals'!V71</f>
        <v>859.57466063348431</v>
      </c>
      <c r="Z276" s="69">
        <f>Z$275*'Region OP Sales Goals'!W71</f>
        <v>324.18244343891405</v>
      </c>
      <c r="AA276" s="69">
        <f>AA$275*'Region OP Sales Goals'!X71</f>
        <v>328.91887524240468</v>
      </c>
      <c r="AB276" s="69">
        <f>AB$275*'Region OP Sales Goals'!Y71</f>
        <v>1093.4643510054846</v>
      </c>
      <c r="AC276" s="69">
        <f>AC$275*'Region OP Sales Goals'!Z71</f>
        <v>1057.0155393053017</v>
      </c>
      <c r="AD276" s="69">
        <f>AD$275*'Region OP Sales Goals'!AA71</f>
        <v>713.0112392351482</v>
      </c>
      <c r="AE276" s="69">
        <f>AE$275*'Region OP Sales Goals'!AB71</f>
        <v>541.7487356933724</v>
      </c>
      <c r="AF276" s="69">
        <f>AF$275*'Region OP Sales Goals'!AC71</f>
        <v>869.46983546617912</v>
      </c>
      <c r="AG276" s="69">
        <f>AG$275*'Region OP Sales Goals'!AD71</f>
        <v>937.25515800470089</v>
      </c>
      <c r="AH276" s="69">
        <f>AH$275*'Region OP Sales Goals'!AE71</f>
        <v>7254.9179405476398</v>
      </c>
      <c r="AJ276" s="757"/>
      <c r="AK276" s="757"/>
      <c r="AL276" s="292" t="s">
        <v>99</v>
      </c>
      <c r="AM276" s="69">
        <v>1937</v>
      </c>
      <c r="AN276" s="69">
        <v>1727</v>
      </c>
      <c r="AO276" s="69">
        <v>2063</v>
      </c>
      <c r="AP276" s="69">
        <v>2268</v>
      </c>
      <c r="AQ276" s="69">
        <v>2443</v>
      </c>
      <c r="AR276" s="69">
        <v>2451</v>
      </c>
      <c r="AS276" s="69">
        <v>3374</v>
      </c>
      <c r="AT276" s="69">
        <v>2906</v>
      </c>
      <c r="AU276" s="69"/>
      <c r="AV276" s="69"/>
      <c r="AW276" s="69"/>
      <c r="AX276" s="69"/>
      <c r="AY276" s="69">
        <f>SUM(AM276:AX276)</f>
        <v>19169</v>
      </c>
      <c r="BA276" s="757"/>
      <c r="BB276" s="757"/>
      <c r="BC276" s="292" t="s">
        <v>99</v>
      </c>
      <c r="BD276" s="465" t="e">
        <f>AM276/V276</f>
        <v>#DIV/0!</v>
      </c>
      <c r="BE276" s="465">
        <f t="shared" si="405"/>
        <v>8.4383594959097934</v>
      </c>
      <c r="BF276" s="465">
        <f t="shared" si="392"/>
        <v>2.021425884460367</v>
      </c>
      <c r="BG276" s="465">
        <f t="shared" si="393"/>
        <v>2.6385142604466059</v>
      </c>
      <c r="BH276" s="465">
        <f t="shared" si="394"/>
        <v>7.5358800251017799</v>
      </c>
      <c r="BI276" s="465">
        <f t="shared" si="395"/>
        <v>7.4516854595032793</v>
      </c>
      <c r="BJ276" s="465">
        <f t="shared" si="396"/>
        <v>3.0856058516196443</v>
      </c>
      <c r="BK276" s="465">
        <f t="shared" si="397"/>
        <v>2.7492500270241056</v>
      </c>
      <c r="BL276" s="465">
        <f t="shared" si="398"/>
        <v>0</v>
      </c>
      <c r="BM276" s="465">
        <f t="shared" si="399"/>
        <v>0</v>
      </c>
      <c r="BN276" s="465">
        <f t="shared" si="400"/>
        <v>0</v>
      </c>
      <c r="BO276" s="465">
        <f t="shared" si="401"/>
        <v>0</v>
      </c>
      <c r="BP276" s="465">
        <f>AY276/AH276</f>
        <v>2.6422076937445031</v>
      </c>
    </row>
    <row r="277" spans="2:68" ht="16" customHeight="1">
      <c r="B277" s="769"/>
      <c r="C277" s="769"/>
      <c r="D277" s="292" t="s">
        <v>100</v>
      </c>
      <c r="E277" s="69">
        <v>3561</v>
      </c>
      <c r="F277" s="69">
        <v>3420</v>
      </c>
      <c r="G277" s="69">
        <v>5241</v>
      </c>
      <c r="H277" s="69">
        <v>3567</v>
      </c>
      <c r="I277" s="69">
        <v>3353</v>
      </c>
      <c r="J277" s="69">
        <v>3238</v>
      </c>
      <c r="K277" s="69">
        <v>4013</v>
      </c>
      <c r="L277" s="69">
        <v>5002</v>
      </c>
      <c r="M277" s="69">
        <v>8704</v>
      </c>
      <c r="N277" s="69">
        <v>3791</v>
      </c>
      <c r="O277" s="69">
        <v>3070</v>
      </c>
      <c r="P277" s="69">
        <v>2986</v>
      </c>
      <c r="Q277" s="69">
        <f t="shared" ref="Q277:Q282" si="406">SUM(E277:P277)</f>
        <v>49946</v>
      </c>
      <c r="S277" s="769"/>
      <c r="T277" s="769"/>
      <c r="U277" s="292" t="s">
        <v>100</v>
      </c>
      <c r="V277" s="69">
        <v>122.79638009049775</v>
      </c>
      <c r="W277" s="69">
        <v>573.04977375565625</v>
      </c>
      <c r="X277" s="69">
        <v>2624.3144424131629</v>
      </c>
      <c r="Y277" s="69">
        <f>Y$275*'Region OP Sales Goals'!V72</f>
        <v>2333.1312217194572</v>
      </c>
      <c r="Z277" s="69">
        <f>Z$275*'Region OP Sales Goals'!W72</f>
        <v>2593.4595475113124</v>
      </c>
      <c r="AA277" s="69">
        <f>AA$275*'Region OP Sales Goals'!X72</f>
        <v>2192.7925016160311</v>
      </c>
      <c r="AB277" s="69">
        <f>AB$275*'Region OP Sales Goals'!Y72</f>
        <v>2655.5562810133192</v>
      </c>
      <c r="AC277" s="69">
        <f>AC$275*'Region OP Sales Goals'!Z72</f>
        <v>3567.4274451553933</v>
      </c>
      <c r="AD277" s="69">
        <f>AD$275*'Region OP Sales Goals'!AA72</f>
        <v>3089.7153700189756</v>
      </c>
      <c r="AE277" s="69">
        <f>AE$275*'Region OP Sales Goals'!AB72</f>
        <v>2889.3265903646529</v>
      </c>
      <c r="AF277" s="69">
        <f>AF$275*'Region OP Sales Goals'!AC72</f>
        <v>2934.4606946983545</v>
      </c>
      <c r="AG277" s="69">
        <f>AG$275*'Region OP Sales Goals'!AD72</f>
        <v>3124.1838600156693</v>
      </c>
      <c r="AH277" s="69">
        <f>AH$275*'Region OP Sales Goals'!AE72</f>
        <v>27544.095231909687</v>
      </c>
      <c r="AJ277" s="757"/>
      <c r="AK277" s="757"/>
      <c r="AL277" s="292" t="s">
        <v>100</v>
      </c>
      <c r="AM277" s="69">
        <v>2869</v>
      </c>
      <c r="AN277" s="69">
        <v>2725</v>
      </c>
      <c r="AO277" s="69">
        <v>3492</v>
      </c>
      <c r="AP277" s="69">
        <v>3589</v>
      </c>
      <c r="AQ277" s="69">
        <v>3638</v>
      </c>
      <c r="AR277" s="69">
        <v>3740</v>
      </c>
      <c r="AS277" s="69">
        <v>4742</v>
      </c>
      <c r="AT277" s="69">
        <v>4393</v>
      </c>
      <c r="AU277" s="69"/>
      <c r="AV277" s="69"/>
      <c r="AW277" s="69"/>
      <c r="AX277" s="69"/>
      <c r="AY277" s="69">
        <f t="shared" ref="AY277:AY282" si="407">SUM(AM277:AX277)</f>
        <v>29188</v>
      </c>
      <c r="BA277" s="757"/>
      <c r="BB277" s="757"/>
      <c r="BC277" s="292" t="s">
        <v>100</v>
      </c>
      <c r="BD277" s="465">
        <f>AM277/V277</f>
        <v>23.363880905004052</v>
      </c>
      <c r="BE277" s="465">
        <f t="shared" si="405"/>
        <v>4.7552588357916665</v>
      </c>
      <c r="BF277" s="465">
        <f t="shared" si="392"/>
        <v>1.3306332288401252</v>
      </c>
      <c r="BG277" s="465">
        <f t="shared" si="393"/>
        <v>1.5382761014851964</v>
      </c>
      <c r="BH277" s="465">
        <f t="shared" si="394"/>
        <v>1.4027594930065634</v>
      </c>
      <c r="BI277" s="465">
        <f t="shared" si="395"/>
        <v>1.7055877367528924</v>
      </c>
      <c r="BJ277" s="465">
        <f t="shared" si="396"/>
        <v>1.7856898887454669</v>
      </c>
      <c r="BK277" s="465">
        <f t="shared" si="397"/>
        <v>1.2314195782638113</v>
      </c>
      <c r="BL277" s="465">
        <f t="shared" si="398"/>
        <v>0</v>
      </c>
      <c r="BM277" s="465">
        <f t="shared" si="399"/>
        <v>0</v>
      </c>
      <c r="BN277" s="465">
        <f t="shared" si="400"/>
        <v>0</v>
      </c>
      <c r="BO277" s="465">
        <f t="shared" si="401"/>
        <v>0</v>
      </c>
      <c r="BP277" s="465">
        <f t="shared" ref="BP277:BP283" si="408">AY277/AH277</f>
        <v>1.0596826562734889</v>
      </c>
    </row>
    <row r="278" spans="2:68" ht="16" customHeight="1">
      <c r="B278" s="769"/>
      <c r="C278" s="769"/>
      <c r="D278" s="292" t="s">
        <v>101</v>
      </c>
      <c r="E278" s="69">
        <v>1702</v>
      </c>
      <c r="F278" s="69">
        <v>1632</v>
      </c>
      <c r="G278" s="69">
        <v>2045</v>
      </c>
      <c r="H278" s="69">
        <v>1517</v>
      </c>
      <c r="I278" s="69">
        <v>1490</v>
      </c>
      <c r="J278" s="69">
        <v>1312</v>
      </c>
      <c r="K278" s="69">
        <v>1684</v>
      </c>
      <c r="L278" s="69">
        <v>2320</v>
      </c>
      <c r="M278" s="69">
        <v>4104</v>
      </c>
      <c r="N278" s="69">
        <v>1530</v>
      </c>
      <c r="O278" s="69">
        <v>1474</v>
      </c>
      <c r="P278" s="69">
        <v>1355</v>
      </c>
      <c r="Q278" s="69">
        <f t="shared" si="406"/>
        <v>22165</v>
      </c>
      <c r="S278" s="769"/>
      <c r="T278" s="769"/>
      <c r="U278" s="292" t="s">
        <v>101</v>
      </c>
      <c r="V278" s="69">
        <v>0</v>
      </c>
      <c r="W278" s="69">
        <v>327.45701357466066</v>
      </c>
      <c r="X278" s="69">
        <v>1457.9524680073127</v>
      </c>
      <c r="Y278" s="69">
        <f>Y$275*'Region OP Sales Goals'!V73</f>
        <v>1227.9638009049775</v>
      </c>
      <c r="Z278" s="69">
        <f>Z$275*'Region OP Sales Goals'!W73</f>
        <v>756.42570135746621</v>
      </c>
      <c r="AA278" s="69">
        <f>AA$275*'Region OP Sales Goals'!X73</f>
        <v>438.55850032320626</v>
      </c>
      <c r="AB278" s="69">
        <f>AB$275*'Region OP Sales Goals'!Y73</f>
        <v>1249.6735440062678</v>
      </c>
      <c r="AC278" s="69">
        <f>AC$275*'Region OP Sales Goals'!Z73</f>
        <v>1585.5233089579526</v>
      </c>
      <c r="AD278" s="69">
        <f>AD$275*'Region OP Sales Goals'!AA73</f>
        <v>1188.3520653919136</v>
      </c>
      <c r="AE278" s="69">
        <f>AE$275*'Region OP Sales Goals'!AB73</f>
        <v>812.62310354005865</v>
      </c>
      <c r="AF278" s="69">
        <f>AF$275*'Region OP Sales Goals'!AC73</f>
        <v>1195.5210237659962</v>
      </c>
      <c r="AG278" s="69">
        <f>AG$275*'Region OP Sales Goals'!AD73</f>
        <v>1353.8130060067901</v>
      </c>
      <c r="AH278" s="69">
        <f>AH$275*'Region OP Sales Goals'!AE73</f>
        <v>10329.035711966131</v>
      </c>
      <c r="AJ278" s="757"/>
      <c r="AK278" s="757"/>
      <c r="AL278" s="292" t="s">
        <v>101</v>
      </c>
      <c r="AM278" s="69">
        <v>1228</v>
      </c>
      <c r="AN278" s="69">
        <v>1194</v>
      </c>
      <c r="AO278" s="69">
        <v>1492</v>
      </c>
      <c r="AP278" s="69">
        <v>1715</v>
      </c>
      <c r="AQ278" s="69">
        <v>1860</v>
      </c>
      <c r="AR278" s="69">
        <v>1718</v>
      </c>
      <c r="AS278" s="69">
        <v>2122</v>
      </c>
      <c r="AT278" s="69">
        <v>1768</v>
      </c>
      <c r="AU278" s="69"/>
      <c r="AV278" s="69"/>
      <c r="AW278" s="69"/>
      <c r="AX278" s="69"/>
      <c r="AY278" s="69">
        <f t="shared" si="407"/>
        <v>13097</v>
      </c>
      <c r="BA278" s="757"/>
      <c r="BB278" s="757"/>
      <c r="BC278" s="292" t="s">
        <v>101</v>
      </c>
      <c r="BD278" s="465" t="e">
        <f t="shared" ref="BD278:BD282" si="409">AM278/V278</f>
        <v>#DIV/0!</v>
      </c>
      <c r="BE278" s="465">
        <f t="shared" si="405"/>
        <v>3.6462801238116289</v>
      </c>
      <c r="BF278" s="465">
        <f t="shared" si="392"/>
        <v>1.0233529780564263</v>
      </c>
      <c r="BG278" s="465">
        <f t="shared" si="393"/>
        <v>1.3966209742796079</v>
      </c>
      <c r="BH278" s="465">
        <f t="shared" si="394"/>
        <v>2.4589328425278012</v>
      </c>
      <c r="BI278" s="465">
        <f t="shared" si="395"/>
        <v>3.9173793205099856</v>
      </c>
      <c r="BJ278" s="465">
        <f t="shared" si="396"/>
        <v>1.6980434691745039</v>
      </c>
      <c r="BK278" s="465">
        <f t="shared" si="397"/>
        <v>1.1150892516124382</v>
      </c>
      <c r="BL278" s="465">
        <f t="shared" si="398"/>
        <v>0</v>
      </c>
      <c r="BM278" s="465">
        <f t="shared" si="399"/>
        <v>0</v>
      </c>
      <c r="BN278" s="465">
        <f t="shared" si="400"/>
        <v>0</v>
      </c>
      <c r="BO278" s="465">
        <f t="shared" si="401"/>
        <v>0</v>
      </c>
      <c r="BP278" s="465">
        <f t="shared" si="408"/>
        <v>1.2679789638859702</v>
      </c>
    </row>
    <row r="279" spans="2:68" ht="16" customHeight="1">
      <c r="B279" s="769"/>
      <c r="C279" s="769"/>
      <c r="D279" s="292" t="s">
        <v>102</v>
      </c>
      <c r="E279" s="69">
        <v>1139</v>
      </c>
      <c r="F279" s="69">
        <v>1190</v>
      </c>
      <c r="G279" s="69">
        <v>1465</v>
      </c>
      <c r="H279" s="69">
        <v>1093</v>
      </c>
      <c r="I279" s="69">
        <v>886</v>
      </c>
      <c r="J279" s="69">
        <v>914</v>
      </c>
      <c r="K279" s="69">
        <v>1132</v>
      </c>
      <c r="L279" s="69">
        <v>1451</v>
      </c>
      <c r="M279" s="69">
        <v>2595</v>
      </c>
      <c r="N279" s="69">
        <v>1133</v>
      </c>
      <c r="O279" s="69">
        <v>1043</v>
      </c>
      <c r="P279" s="69">
        <v>1066</v>
      </c>
      <c r="Q279" s="69">
        <f t="shared" si="406"/>
        <v>15107</v>
      </c>
      <c r="S279" s="769"/>
      <c r="T279" s="769"/>
      <c r="U279" s="292" t="s">
        <v>102</v>
      </c>
      <c r="V279" s="69">
        <v>368.38914027149326</v>
      </c>
      <c r="W279" s="69">
        <v>450.2533936651584</v>
      </c>
      <c r="X279" s="69">
        <v>2041.1334552102378</v>
      </c>
      <c r="Y279" s="69">
        <f>Y$275*'Region OP Sales Goals'!V74</f>
        <v>1719.1493212669686</v>
      </c>
      <c r="Z279" s="69">
        <f>Z$275*'Region OP Sales Goals'!W74</f>
        <v>1945.0946606334842</v>
      </c>
      <c r="AA279" s="69">
        <f>AA$275*'Region OP Sales Goals'!X74</f>
        <v>1754.234001292825</v>
      </c>
      <c r="AB279" s="69">
        <f>AB$275*'Region OP Sales Goals'!Y74</f>
        <v>4373.8574040219382</v>
      </c>
      <c r="AC279" s="69">
        <f>AC$275*'Region OP Sales Goals'!Z74</f>
        <v>2774.6657906764171</v>
      </c>
      <c r="AD279" s="69">
        <f>AD$275*'Region OP Sales Goals'!AA74</f>
        <v>2852.0449569405928</v>
      </c>
      <c r="AE279" s="69">
        <f>AE$275*'Region OP Sales Goals'!AB74</f>
        <v>2076.7034868245942</v>
      </c>
      <c r="AF279" s="69">
        <f>AF$275*'Region OP Sales Goals'!AC74</f>
        <v>2391.0420475319925</v>
      </c>
      <c r="AG279" s="69">
        <f>AG$275*'Region OP Sales Goals'!AD74</f>
        <v>2499.3470880125356</v>
      </c>
      <c r="AH279" s="69">
        <f>AH$275*'Region OP Sales Goals'!AE74</f>
        <v>25699.624569058589</v>
      </c>
      <c r="AJ279" s="757"/>
      <c r="AK279" s="757"/>
      <c r="AL279" s="292" t="s">
        <v>102</v>
      </c>
      <c r="AM279" s="69">
        <v>934</v>
      </c>
      <c r="AN279" s="69">
        <v>1067</v>
      </c>
      <c r="AO279" s="69">
        <v>985</v>
      </c>
      <c r="AP279" s="69">
        <v>1240</v>
      </c>
      <c r="AQ279" s="69">
        <v>1256</v>
      </c>
      <c r="AR279" s="69">
        <v>1365</v>
      </c>
      <c r="AS279" s="69">
        <v>1740</v>
      </c>
      <c r="AT279" s="69">
        <v>1455</v>
      </c>
      <c r="AU279" s="69"/>
      <c r="AV279" s="69"/>
      <c r="AW279" s="69"/>
      <c r="AX279" s="69"/>
      <c r="AY279" s="69">
        <f t="shared" si="407"/>
        <v>10042</v>
      </c>
      <c r="BA279" s="757"/>
      <c r="BB279" s="757"/>
      <c r="BC279" s="292" t="s">
        <v>102</v>
      </c>
      <c r="BD279" s="465">
        <f t="shared" si="409"/>
        <v>2.5353624683715328</v>
      </c>
      <c r="BE279" s="465">
        <f t="shared" si="405"/>
        <v>2.3697766968826</v>
      </c>
      <c r="BF279" s="465">
        <f t="shared" si="392"/>
        <v>0.48257501119570084</v>
      </c>
      <c r="BG279" s="465">
        <f t="shared" si="393"/>
        <v>0.72128696714148832</v>
      </c>
      <c r="BH279" s="465">
        <f t="shared" si="394"/>
        <v>0.64572692806166165</v>
      </c>
      <c r="BI279" s="465">
        <f t="shared" si="395"/>
        <v>0.77811739995578144</v>
      </c>
      <c r="BJ279" s="465">
        <f t="shared" si="396"/>
        <v>0.39781818181818179</v>
      </c>
      <c r="BK279" s="465">
        <f t="shared" si="397"/>
        <v>0.52438747934586216</v>
      </c>
      <c r="BL279" s="465">
        <f t="shared" si="398"/>
        <v>0</v>
      </c>
      <c r="BM279" s="465">
        <f t="shared" si="399"/>
        <v>0</v>
      </c>
      <c r="BN279" s="465">
        <f t="shared" si="400"/>
        <v>0</v>
      </c>
      <c r="BO279" s="465">
        <f t="shared" si="401"/>
        <v>0</v>
      </c>
      <c r="BP279" s="465">
        <f t="shared" si="408"/>
        <v>0.39074500769517861</v>
      </c>
    </row>
    <row r="280" spans="2:68" ht="16" customHeight="1">
      <c r="B280" s="769"/>
      <c r="C280" s="769"/>
      <c r="D280" s="292" t="s">
        <v>103</v>
      </c>
      <c r="E280" s="69">
        <v>1545</v>
      </c>
      <c r="F280" s="69">
        <v>1470</v>
      </c>
      <c r="G280" s="69">
        <v>2020</v>
      </c>
      <c r="H280" s="69">
        <v>1668</v>
      </c>
      <c r="I280" s="69">
        <v>1497</v>
      </c>
      <c r="J280" s="69">
        <v>1395</v>
      </c>
      <c r="K280" s="69">
        <v>1749</v>
      </c>
      <c r="L280" s="69">
        <v>3075</v>
      </c>
      <c r="M280" s="69">
        <v>5802</v>
      </c>
      <c r="N280" s="69">
        <v>1844</v>
      </c>
      <c r="O280" s="69">
        <v>1710</v>
      </c>
      <c r="P280" s="69">
        <v>1581</v>
      </c>
      <c r="Q280" s="69">
        <f t="shared" si="406"/>
        <v>25356</v>
      </c>
      <c r="S280" s="769"/>
      <c r="T280" s="769"/>
      <c r="U280" s="292" t="s">
        <v>103</v>
      </c>
      <c r="V280" s="69">
        <v>0</v>
      </c>
      <c r="W280" s="69">
        <v>204.6606334841629</v>
      </c>
      <c r="X280" s="69">
        <v>1020.5667276051189</v>
      </c>
      <c r="Y280" s="69">
        <f>Y$275*'Region OP Sales Goals'!V75</f>
        <v>859.57466063348431</v>
      </c>
      <c r="Z280" s="69">
        <f>Z$275*'Region OP Sales Goals'!W75</f>
        <v>324.18244343891405</v>
      </c>
      <c r="AA280" s="69">
        <f>AA$275*'Region OP Sales Goals'!X75</f>
        <v>219.27925016160313</v>
      </c>
      <c r="AB280" s="69">
        <f>AB$275*'Region OP Sales Goals'!Y75</f>
        <v>937.25515800470089</v>
      </c>
      <c r="AC280" s="69">
        <f>AC$275*'Region OP Sales Goals'!Z75</f>
        <v>924.88859689213893</v>
      </c>
      <c r="AD280" s="69">
        <f>AD$275*'Region OP Sales Goals'!AA75</f>
        <v>713.0112392351482</v>
      </c>
      <c r="AE280" s="69">
        <f>AE$275*'Region OP Sales Goals'!AB75</f>
        <v>451.45727974447703</v>
      </c>
      <c r="AF280" s="69">
        <f>AF$275*'Region OP Sales Goals'!AC75</f>
        <v>760.78610603290679</v>
      </c>
      <c r="AG280" s="69">
        <f>AG$275*'Region OP Sales Goals'!AD75</f>
        <v>833.11569600417852</v>
      </c>
      <c r="AH280" s="69">
        <f>AH$275*'Region OP Sales Goals'!AE75</f>
        <v>6271.2002536937234</v>
      </c>
      <c r="AJ280" s="757"/>
      <c r="AK280" s="757"/>
      <c r="AL280" s="292" t="s">
        <v>103</v>
      </c>
      <c r="AM280" s="69">
        <v>1433</v>
      </c>
      <c r="AN280" s="69">
        <v>1291</v>
      </c>
      <c r="AO280" s="69">
        <v>1617</v>
      </c>
      <c r="AP280" s="69">
        <v>1706</v>
      </c>
      <c r="AQ280" s="69">
        <v>1968</v>
      </c>
      <c r="AR280" s="69">
        <v>1968</v>
      </c>
      <c r="AS280" s="69">
        <v>2461</v>
      </c>
      <c r="AT280" s="69">
        <v>2092</v>
      </c>
      <c r="AU280" s="69"/>
      <c r="AV280" s="69"/>
      <c r="AW280" s="69"/>
      <c r="AX280" s="69"/>
      <c r="AY280" s="69">
        <f t="shared" si="407"/>
        <v>14536</v>
      </c>
      <c r="BA280" s="757"/>
      <c r="BB280" s="757"/>
      <c r="BC280" s="292" t="s">
        <v>103</v>
      </c>
      <c r="BD280" s="465" t="e">
        <f t="shared" si="409"/>
        <v>#DIV/0!</v>
      </c>
      <c r="BE280" s="465">
        <f t="shared" si="405"/>
        <v>6.3080035374751269</v>
      </c>
      <c r="BF280" s="465">
        <f t="shared" si="392"/>
        <v>1.5844137931034481</v>
      </c>
      <c r="BG280" s="465">
        <f t="shared" si="393"/>
        <v>1.9847025257151276</v>
      </c>
      <c r="BH280" s="465">
        <f t="shared" si="394"/>
        <v>6.0706557058535831</v>
      </c>
      <c r="BI280" s="465">
        <f t="shared" si="395"/>
        <v>8.9748573955339364</v>
      </c>
      <c r="BJ280" s="465">
        <f t="shared" si="396"/>
        <v>2.6257524207593175</v>
      </c>
      <c r="BK280" s="465">
        <f t="shared" si="397"/>
        <v>2.2618940346217395</v>
      </c>
      <c r="BL280" s="465">
        <f t="shared" si="398"/>
        <v>0</v>
      </c>
      <c r="BM280" s="465">
        <f t="shared" si="399"/>
        <v>0</v>
      </c>
      <c r="BN280" s="465">
        <f t="shared" si="400"/>
        <v>0</v>
      </c>
      <c r="BO280" s="465">
        <f t="shared" si="401"/>
        <v>0</v>
      </c>
      <c r="BP280" s="465">
        <f t="shared" si="408"/>
        <v>2.3178975972643081</v>
      </c>
    </row>
    <row r="281" spans="2:68" ht="16" customHeight="1">
      <c r="B281" s="769"/>
      <c r="C281" s="769"/>
      <c r="D281" s="292" t="s">
        <v>104</v>
      </c>
      <c r="E281" s="69">
        <v>2416</v>
      </c>
      <c r="F281" s="69">
        <v>2226</v>
      </c>
      <c r="G281" s="69">
        <v>3158</v>
      </c>
      <c r="H281" s="69">
        <v>2277</v>
      </c>
      <c r="I281" s="69">
        <v>1991</v>
      </c>
      <c r="J281" s="69">
        <v>1914</v>
      </c>
      <c r="K281" s="69">
        <v>2442</v>
      </c>
      <c r="L281" s="69">
        <v>3420</v>
      </c>
      <c r="M281" s="69">
        <v>6747</v>
      </c>
      <c r="N281" s="69">
        <v>2350</v>
      </c>
      <c r="O281" s="69">
        <v>2509</v>
      </c>
      <c r="P281" s="69">
        <v>2316</v>
      </c>
      <c r="Q281" s="69">
        <f t="shared" si="406"/>
        <v>33766</v>
      </c>
      <c r="S281" s="769"/>
      <c r="T281" s="769"/>
      <c r="U281" s="292" t="s">
        <v>104</v>
      </c>
      <c r="V281" s="69">
        <v>0</v>
      </c>
      <c r="W281" s="69">
        <v>327.45701357466066</v>
      </c>
      <c r="X281" s="69">
        <v>1749.5429616087754</v>
      </c>
      <c r="Y281" s="69">
        <f>Y$275*'Region OP Sales Goals'!V76</f>
        <v>1964.742081447964</v>
      </c>
      <c r="Z281" s="69">
        <f>Z$275*'Region OP Sales Goals'!W76</f>
        <v>2161.2162895927604</v>
      </c>
      <c r="AA281" s="69">
        <f>AA$275*'Region OP Sales Goals'!X76</f>
        <v>2083.1528765352296</v>
      </c>
      <c r="AB281" s="69">
        <f>AB$275*'Region OP Sales Goals'!Y76</f>
        <v>2967.9746670148861</v>
      </c>
      <c r="AC281" s="69">
        <f>AC$275*'Region OP Sales Goals'!Z76</f>
        <v>2906.79273308958</v>
      </c>
      <c r="AD281" s="69">
        <f>AD$275*'Region OP Sales Goals'!AA76</f>
        <v>2733.2097504014014</v>
      </c>
      <c r="AE281" s="69">
        <f>AE$275*'Region OP Sales Goals'!AB76</f>
        <v>2347.5778546712809</v>
      </c>
      <c r="AF281" s="69">
        <f>AF$275*'Region OP Sales Goals'!AC76</f>
        <v>2717.0932358318096</v>
      </c>
      <c r="AG281" s="69">
        <f>AG$275*'Region OP Sales Goals'!AD76</f>
        <v>2499.3470880125356</v>
      </c>
      <c r="AH281" s="69">
        <f>AH$275*'Region OP Sales Goals'!AE76</f>
        <v>23978.118617064236</v>
      </c>
      <c r="AJ281" s="757"/>
      <c r="AK281" s="757"/>
      <c r="AL281" s="292" t="s">
        <v>104</v>
      </c>
      <c r="AM281" s="69">
        <v>2134</v>
      </c>
      <c r="AN281" s="69">
        <v>2071</v>
      </c>
      <c r="AO281" s="69">
        <v>2507</v>
      </c>
      <c r="AP281" s="69">
        <v>2826</v>
      </c>
      <c r="AQ281" s="156">
        <v>2791</v>
      </c>
      <c r="AR281" s="156">
        <v>2735</v>
      </c>
      <c r="AS281" s="156">
        <v>3874</v>
      </c>
      <c r="AT281" s="156">
        <v>3535</v>
      </c>
      <c r="AU281" s="69"/>
      <c r="AV281" s="69"/>
      <c r="AW281" s="69"/>
      <c r="AX281" s="69"/>
      <c r="AY281" s="69">
        <f t="shared" si="407"/>
        <v>22473</v>
      </c>
      <c r="BA281" s="757"/>
      <c r="BB281" s="757"/>
      <c r="BC281" s="292" t="s">
        <v>104</v>
      </c>
      <c r="BD281" s="465" t="e">
        <f t="shared" si="409"/>
        <v>#DIV/0!</v>
      </c>
      <c r="BE281" s="465">
        <f t="shared" si="405"/>
        <v>6.3244942516029177</v>
      </c>
      <c r="BF281" s="465">
        <f t="shared" si="392"/>
        <v>1.4329456635318703</v>
      </c>
      <c r="BG281" s="465">
        <f t="shared" si="393"/>
        <v>1.4383567322573512</v>
      </c>
      <c r="BH281" s="465">
        <f t="shared" si="394"/>
        <v>1.2914024447437005</v>
      </c>
      <c r="BI281" s="465">
        <f t="shared" si="395"/>
        <v>1.3129137236192403</v>
      </c>
      <c r="BJ281" s="465">
        <f t="shared" si="396"/>
        <v>1.3052672056316341</v>
      </c>
      <c r="BK281" s="465">
        <f t="shared" si="397"/>
        <v>1.2161169799825078</v>
      </c>
      <c r="BL281" s="465">
        <f t="shared" si="398"/>
        <v>0</v>
      </c>
      <c r="BM281" s="465">
        <f t="shared" si="399"/>
        <v>0</v>
      </c>
      <c r="BN281" s="465">
        <f t="shared" si="400"/>
        <v>0</v>
      </c>
      <c r="BO281" s="465">
        <f t="shared" si="401"/>
        <v>0</v>
      </c>
      <c r="BP281" s="465">
        <f t="shared" si="408"/>
        <v>0.93722949489485363</v>
      </c>
    </row>
    <row r="282" spans="2:68" ht="16" customHeight="1">
      <c r="B282" s="769"/>
      <c r="C282" s="769"/>
      <c r="D282" s="292" t="s">
        <v>105</v>
      </c>
      <c r="E282" s="69">
        <v>4307</v>
      </c>
      <c r="F282" s="69">
        <v>4295</v>
      </c>
      <c r="G282" s="69">
        <v>5860</v>
      </c>
      <c r="H282" s="69">
        <v>4154</v>
      </c>
      <c r="I282" s="69">
        <v>3911</v>
      </c>
      <c r="J282" s="69">
        <v>3582</v>
      </c>
      <c r="K282" s="69">
        <v>4273</v>
      </c>
      <c r="L282" s="69">
        <v>5061</v>
      </c>
      <c r="M282" s="69">
        <v>9165</v>
      </c>
      <c r="N282" s="69">
        <v>4160</v>
      </c>
      <c r="O282" s="69">
        <v>3640</v>
      </c>
      <c r="P282" s="69">
        <v>3771</v>
      </c>
      <c r="Q282" s="69">
        <f t="shared" si="406"/>
        <v>56179</v>
      </c>
      <c r="S282" s="769"/>
      <c r="T282" s="769"/>
      <c r="U282" s="292" t="s">
        <v>105</v>
      </c>
      <c r="V282" s="69">
        <v>1350.7601809954751</v>
      </c>
      <c r="W282" s="69">
        <v>1596.3529411764709</v>
      </c>
      <c r="X282" s="69">
        <v>7581.3528336380268</v>
      </c>
      <c r="Y282" s="69">
        <f>Y$275*'Region OP Sales Goals'!V77</f>
        <v>5771.429864253394</v>
      </c>
      <c r="Z282" s="69">
        <f>Z$275*'Region OP Sales Goals'!W77</f>
        <v>8104.5610859728513</v>
      </c>
      <c r="AA282" s="69">
        <f>AA$275*'Region OP Sales Goals'!X77</f>
        <v>8332.6115061409182</v>
      </c>
      <c r="AB282" s="69">
        <f>AB$275*'Region OP Sales Goals'!Y77</f>
        <v>8591.5056150430919</v>
      </c>
      <c r="AC282" s="69">
        <f>AC$275*'Region OP Sales Goals'!Z77</f>
        <v>8323.997372029251</v>
      </c>
      <c r="AD282" s="69">
        <f>AD$275*'Region OP Sales Goals'!AA77</f>
        <v>7130.1123923514815</v>
      </c>
      <c r="AE282" s="69">
        <f>AE$275*'Region OP Sales Goals'!AB77</f>
        <v>6230.110460473783</v>
      </c>
      <c r="AF282" s="69">
        <f>AF$275*'Region OP Sales Goals'!AC77</f>
        <v>7064.4424131627047</v>
      </c>
      <c r="AG282" s="69">
        <f>AG$275*'Region OP Sales Goals'!AD77</f>
        <v>8435.2964220423073</v>
      </c>
      <c r="AH282" s="69">
        <f>AH$275*'Region OP Sales Goals'!AE77</f>
        <v>82509.320984872305</v>
      </c>
      <c r="AJ282" s="757"/>
      <c r="AK282" s="757"/>
      <c r="AL282" s="292" t="s">
        <v>105</v>
      </c>
      <c r="AM282" s="69">
        <v>3991</v>
      </c>
      <c r="AN282" s="69">
        <v>3758</v>
      </c>
      <c r="AO282" s="69">
        <v>4151</v>
      </c>
      <c r="AP282" s="69">
        <v>4437</v>
      </c>
      <c r="AQ282" s="69">
        <v>4952</v>
      </c>
      <c r="AR282" s="69">
        <v>4874</v>
      </c>
      <c r="AS282" s="69">
        <v>5847</v>
      </c>
      <c r="AT282" s="69">
        <v>5976</v>
      </c>
      <c r="AU282" s="69"/>
      <c r="AV282" s="69"/>
      <c r="AW282" s="69"/>
      <c r="AX282" s="69"/>
      <c r="AY282" s="69">
        <f t="shared" si="407"/>
        <v>37986</v>
      </c>
      <c r="BA282" s="757"/>
      <c r="BB282" s="757"/>
      <c r="BC282" s="292" t="s">
        <v>105</v>
      </c>
      <c r="BD282" s="465">
        <f t="shared" si="409"/>
        <v>2.9546325514709331</v>
      </c>
      <c r="BE282" s="465">
        <f t="shared" si="405"/>
        <v>2.3541159997052099</v>
      </c>
      <c r="BF282" s="465">
        <f t="shared" si="392"/>
        <v>0.54752761032071373</v>
      </c>
      <c r="BG282" s="465">
        <f t="shared" si="393"/>
        <v>0.76878695650128648</v>
      </c>
      <c r="BH282" s="465">
        <f t="shared" si="394"/>
        <v>0.61101396454038504</v>
      </c>
      <c r="BI282" s="465">
        <f t="shared" si="395"/>
        <v>0.58493066626327039</v>
      </c>
      <c r="BJ282" s="465">
        <f t="shared" si="396"/>
        <v>0.68055591906526081</v>
      </c>
      <c r="BK282" s="465">
        <f t="shared" si="397"/>
        <v>0.71792430161990206</v>
      </c>
      <c r="BL282" s="465">
        <f t="shared" si="398"/>
        <v>0</v>
      </c>
      <c r="BM282" s="465">
        <f t="shared" si="399"/>
        <v>0</v>
      </c>
      <c r="BN282" s="465">
        <f t="shared" si="400"/>
        <v>0</v>
      </c>
      <c r="BO282" s="465">
        <f t="shared" si="401"/>
        <v>0</v>
      </c>
      <c r="BP282" s="465">
        <f t="shared" si="408"/>
        <v>0.46038434866000844</v>
      </c>
    </row>
    <row r="283" spans="2:68">
      <c r="B283" s="769"/>
      <c r="C283" s="769"/>
      <c r="D283" s="182" t="s">
        <v>14</v>
      </c>
      <c r="E283" s="341">
        <f>SUM(E284:E290)</f>
        <v>4407</v>
      </c>
      <c r="F283" s="341">
        <f t="shared" ref="F283:Q283" si="410">SUM(F284:F290)</f>
        <v>4307</v>
      </c>
      <c r="G283" s="341">
        <f t="shared" si="410"/>
        <v>4739</v>
      </c>
      <c r="H283" s="341">
        <f t="shared" si="410"/>
        <v>3919</v>
      </c>
      <c r="I283" s="341">
        <f t="shared" si="410"/>
        <v>3405</v>
      </c>
      <c r="J283" s="341">
        <f t="shared" si="410"/>
        <v>2843</v>
      </c>
      <c r="K283" s="341">
        <f t="shared" si="410"/>
        <v>3390</v>
      </c>
      <c r="L283" s="341">
        <f t="shared" si="410"/>
        <v>3781</v>
      </c>
      <c r="M283" s="341">
        <f t="shared" si="410"/>
        <v>4537</v>
      </c>
      <c r="N283" s="341">
        <f t="shared" si="410"/>
        <v>3162</v>
      </c>
      <c r="O283" s="341">
        <f t="shared" si="410"/>
        <v>3012</v>
      </c>
      <c r="P283" s="341">
        <f t="shared" si="410"/>
        <v>3176</v>
      </c>
      <c r="Q283" s="341">
        <f t="shared" si="410"/>
        <v>44678</v>
      </c>
      <c r="S283" s="769"/>
      <c r="T283" s="769"/>
      <c r="U283" s="182" t="s">
        <v>14</v>
      </c>
      <c r="V283" s="341">
        <v>440.18099547511315</v>
      </c>
      <c r="W283" s="341">
        <v>880.3619909502263</v>
      </c>
      <c r="X283" s="341">
        <v>3808.6288848263252</v>
      </c>
      <c r="Y283" s="341" cm="1">
        <f t="array" ref="Y283">INDEX('Research Goals'!$F$140:$F$151, COLUMN()-COLUMN($V$3)+1)</f>
        <v>3809.5927601809958</v>
      </c>
      <c r="Z283" s="341" cm="1">
        <f t="array" ref="Z283">INDEX('Research Goals'!$F$140:$F$151, COLUMN()-COLUMN($V$3)+1)</f>
        <v>4190.5520361990957</v>
      </c>
      <c r="AA283" s="341" cm="1">
        <f t="array" ref="AA283">INDEX('Research Goals'!$F$140:$F$151, COLUMN()-COLUMN($V$3)+1)</f>
        <v>3968.325791855204</v>
      </c>
      <c r="AB283" s="341" cm="1">
        <f t="array" ref="AB283">INDEX('Research Goals'!$F$140:$F$151, COLUMN()-COLUMN($V$3)+1)</f>
        <v>5515.9963436928701</v>
      </c>
      <c r="AC283" s="341" cm="1">
        <f t="array" ref="AC283">INDEX('Research Goals'!$F$140:$F$151, COLUMN()-COLUMN($V$3)+1)</f>
        <v>5332.1297989031082</v>
      </c>
      <c r="AD283" s="341" cm="1">
        <f t="array" ref="AD283">INDEX('Research Goals'!$F$140:$F$151, COLUMN()-COLUMN($V$3)+1)</f>
        <v>4761.9909502262444</v>
      </c>
      <c r="AE283" s="341" cm="1">
        <f t="array" ref="AE283">INDEX('Research Goals'!$F$140:$F$151, COLUMN()-COLUMN($V$3)+1)</f>
        <v>3968.325791855204</v>
      </c>
      <c r="AF283" s="341" cm="1">
        <f t="array" ref="AF283">INDEX('Research Goals'!$F$140:$F$151, COLUMN()-COLUMN($V$3)+1)</f>
        <v>4523.1170018281537</v>
      </c>
      <c r="AG283" s="341" cm="1">
        <f t="array" ref="AG283">INDEX('Research Goals'!$F$140:$F$151, COLUMN()-COLUMN($V$3)+1)</f>
        <v>4964.3967093235833</v>
      </c>
      <c r="AH283" s="342">
        <f>SUM(V283:AG283)</f>
        <v>46163.599055316125</v>
      </c>
      <c r="AJ283" s="757"/>
      <c r="AK283" s="757"/>
      <c r="AL283" s="182" t="s">
        <v>14</v>
      </c>
      <c r="AM283" s="341">
        <f>SUM(AM284:AM290)</f>
        <v>2572.1428571428569</v>
      </c>
      <c r="AN283" s="341">
        <f t="shared" ref="AN283:AY283" si="411">SUM(AN284:AN290)</f>
        <v>2106.1428571428569</v>
      </c>
      <c r="AO283" s="341">
        <f t="shared" si="411"/>
        <v>2862</v>
      </c>
      <c r="AP283" s="341">
        <f t="shared" si="411"/>
        <v>4202.7142857142853</v>
      </c>
      <c r="AQ283" s="341">
        <f t="shared" si="411"/>
        <v>4800.2857142857147</v>
      </c>
      <c r="AR283" s="341">
        <f t="shared" si="411"/>
        <v>4932.1428571428569</v>
      </c>
      <c r="AS283" s="341">
        <f t="shared" si="411"/>
        <v>4929</v>
      </c>
      <c r="AT283" s="341">
        <f t="shared" si="411"/>
        <v>3005.8571428571427</v>
      </c>
      <c r="AU283" s="341">
        <f t="shared" si="411"/>
        <v>0</v>
      </c>
      <c r="AV283" s="341">
        <f t="shared" si="411"/>
        <v>0</v>
      </c>
      <c r="AW283" s="341">
        <f t="shared" si="411"/>
        <v>0</v>
      </c>
      <c r="AX283" s="341">
        <f t="shared" si="411"/>
        <v>0</v>
      </c>
      <c r="AY283" s="341">
        <f t="shared" si="411"/>
        <v>29410.285714285714</v>
      </c>
      <c r="BA283" s="757"/>
      <c r="BB283" s="757"/>
      <c r="BC283" s="182" t="s">
        <v>14</v>
      </c>
      <c r="BD283" s="464">
        <f>AM283/V283</f>
        <v>5.8433755286654128</v>
      </c>
      <c r="BE283" s="464">
        <f t="shared" si="405"/>
        <v>2.3923600505169169</v>
      </c>
      <c r="BF283" s="464">
        <f t="shared" si="392"/>
        <v>0.75145152928978753</v>
      </c>
      <c r="BG283" s="464">
        <f t="shared" si="393"/>
        <v>1.1031925327143397</v>
      </c>
      <c r="BH283" s="464">
        <f t="shared" si="394"/>
        <v>1.1455019942049587</v>
      </c>
      <c r="BI283" s="464">
        <f t="shared" si="395"/>
        <v>1.2428775044795568</v>
      </c>
      <c r="BJ283" s="464">
        <f t="shared" si="396"/>
        <v>0.89358289833457616</v>
      </c>
      <c r="BK283" s="464">
        <f t="shared" si="397"/>
        <v>0.56372542609061926</v>
      </c>
      <c r="BL283" s="464">
        <f t="shared" si="398"/>
        <v>0</v>
      </c>
      <c r="BM283" s="464">
        <f t="shared" si="399"/>
        <v>0</v>
      </c>
      <c r="BN283" s="464">
        <f t="shared" si="400"/>
        <v>0</v>
      </c>
      <c r="BO283" s="464">
        <f t="shared" si="401"/>
        <v>0</v>
      </c>
      <c r="BP283" s="464">
        <f t="shared" si="408"/>
        <v>0.63708823220313615</v>
      </c>
    </row>
    <row r="284" spans="2:68" ht="16" customHeight="1">
      <c r="B284" s="769"/>
      <c r="C284" s="769"/>
      <c r="D284" s="292" t="s">
        <v>99</v>
      </c>
      <c r="E284" s="69">
        <v>508</v>
      </c>
      <c r="F284" s="69">
        <v>522</v>
      </c>
      <c r="G284" s="69">
        <v>649</v>
      </c>
      <c r="H284" s="69">
        <v>452</v>
      </c>
      <c r="I284" s="69">
        <v>396</v>
      </c>
      <c r="J284" s="69">
        <v>304</v>
      </c>
      <c r="K284" s="69">
        <v>411</v>
      </c>
      <c r="L284" s="69">
        <v>363</v>
      </c>
      <c r="M284" s="69">
        <v>408</v>
      </c>
      <c r="N284" s="69">
        <v>307</v>
      </c>
      <c r="O284" s="69">
        <v>270</v>
      </c>
      <c r="P284" s="69">
        <v>327</v>
      </c>
      <c r="Q284" s="69">
        <f>SUM(E284:P284)</f>
        <v>4917</v>
      </c>
      <c r="S284" s="769"/>
      <c r="T284" s="769"/>
      <c r="U284" s="292" t="s">
        <v>99</v>
      </c>
      <c r="V284" s="69">
        <v>0</v>
      </c>
      <c r="W284" s="69">
        <v>48.908999497234795</v>
      </c>
      <c r="X284" s="69">
        <v>222.17001828153565</v>
      </c>
      <c r="Y284" s="69">
        <f>Y$283*'Region OP Sales Goals'!V71</f>
        <v>222.22624434389144</v>
      </c>
      <c r="Z284" s="69">
        <f>Z$283*'Region OP Sales Goals'!W71</f>
        <v>83.811040723981918</v>
      </c>
      <c r="AA284" s="69">
        <f>AA$283*'Region OP Sales Goals'!X71</f>
        <v>85.03555268261151</v>
      </c>
      <c r="AB284" s="69">
        <f>AB$283*'Region OP Sales Goals'!Y71</f>
        <v>275.79981718464353</v>
      </c>
      <c r="AC284" s="69">
        <f>AC$283*'Region OP Sales Goals'!Z71</f>
        <v>266.60648994515543</v>
      </c>
      <c r="AD284" s="69">
        <f>AD$283*'Region OP Sales Goals'!AA71</f>
        <v>184.33513355714496</v>
      </c>
      <c r="AE284" s="69">
        <f>AE$283*'Region OP Sales Goals'!AB71</f>
        <v>140.05855735959543</v>
      </c>
      <c r="AF284" s="69">
        <f>AF$283*'Region OP Sales Goals'!AC71</f>
        <v>219.30264251288017</v>
      </c>
      <c r="AG284" s="69">
        <f>AG$283*'Region OP Sales Goals'!AD71</f>
        <v>236.39984330112301</v>
      </c>
      <c r="AH284" s="69">
        <f>AH$283*'Region OP Sales Goals'!AE71</f>
        <v>1823.0604713946796</v>
      </c>
      <c r="AJ284" s="757"/>
      <c r="AK284" s="757"/>
      <c r="AL284" s="292" t="s">
        <v>99</v>
      </c>
      <c r="AM284" s="69">
        <v>219.14285714285714</v>
      </c>
      <c r="AN284" s="69">
        <v>189.57142857142856</v>
      </c>
      <c r="AO284" s="69">
        <v>294</v>
      </c>
      <c r="AP284" s="69">
        <v>403.57142857142856</v>
      </c>
      <c r="AQ284" s="156">
        <v>405.42857142857144</v>
      </c>
      <c r="AR284" s="156">
        <v>454.14285714285717</v>
      </c>
      <c r="AS284" s="156">
        <v>404.85714285714289</v>
      </c>
      <c r="AT284" s="156">
        <v>209</v>
      </c>
      <c r="AU284" s="69"/>
      <c r="AV284" s="69"/>
      <c r="AW284" s="69"/>
      <c r="AX284" s="69"/>
      <c r="AY284" s="69">
        <f>SUM(AM284:AX284)</f>
        <v>2579.7142857142858</v>
      </c>
      <c r="BA284" s="757"/>
      <c r="BB284" s="757"/>
      <c r="BC284" s="292" t="s">
        <v>99</v>
      </c>
      <c r="BD284" s="465" t="e">
        <f>AM284/V284</f>
        <v>#DIV/0!</v>
      </c>
      <c r="BE284" s="465">
        <f t="shared" si="405"/>
        <v>3.8760029957706759</v>
      </c>
      <c r="BF284" s="465">
        <f t="shared" si="392"/>
        <v>1.3233108691895628</v>
      </c>
      <c r="BG284" s="465">
        <f t="shared" si="393"/>
        <v>1.8160385590952455</v>
      </c>
      <c r="BH284" s="465">
        <f t="shared" si="394"/>
        <v>4.8374124450236184</v>
      </c>
      <c r="BI284" s="465">
        <f t="shared" si="395"/>
        <v>5.3406233371341694</v>
      </c>
      <c r="BJ284" s="465">
        <f t="shared" si="396"/>
        <v>1.4679384018086479</v>
      </c>
      <c r="BK284" s="465">
        <f t="shared" si="397"/>
        <v>0.78392690306599111</v>
      </c>
      <c r="BL284" s="465">
        <f t="shared" si="398"/>
        <v>0</v>
      </c>
      <c r="BM284" s="465">
        <f t="shared" si="399"/>
        <v>0</v>
      </c>
      <c r="BN284" s="465">
        <f t="shared" si="400"/>
        <v>0</v>
      </c>
      <c r="BO284" s="465">
        <f t="shared" si="401"/>
        <v>0</v>
      </c>
      <c r="BP284" s="465">
        <f>AY284/AH284</f>
        <v>1.4150459220591569</v>
      </c>
    </row>
    <row r="285" spans="2:68" ht="16" customHeight="1">
      <c r="B285" s="769"/>
      <c r="C285" s="769"/>
      <c r="D285" s="292" t="s">
        <v>100</v>
      </c>
      <c r="E285" s="69">
        <v>590</v>
      </c>
      <c r="F285" s="69">
        <v>483</v>
      </c>
      <c r="G285" s="69">
        <v>573</v>
      </c>
      <c r="H285" s="69">
        <v>487</v>
      </c>
      <c r="I285" s="69">
        <v>522</v>
      </c>
      <c r="J285" s="69">
        <v>427</v>
      </c>
      <c r="K285" s="69">
        <v>480</v>
      </c>
      <c r="L285" s="69">
        <v>508</v>
      </c>
      <c r="M285" s="69">
        <v>797</v>
      </c>
      <c r="N285" s="69">
        <v>439</v>
      </c>
      <c r="O285" s="69">
        <v>514</v>
      </c>
      <c r="P285" s="69">
        <v>506</v>
      </c>
      <c r="Q285" s="69">
        <f t="shared" ref="Q285:Q290" si="412">SUM(E285:P285)</f>
        <v>6326</v>
      </c>
      <c r="S285" s="769"/>
      <c r="T285" s="769"/>
      <c r="U285" s="292" t="s">
        <v>100</v>
      </c>
      <c r="V285" s="69">
        <v>29.345399698340877</v>
      </c>
      <c r="W285" s="69">
        <v>136.94519859225741</v>
      </c>
      <c r="X285" s="69">
        <v>571.29433272394874</v>
      </c>
      <c r="Y285" s="69">
        <f>Y$283*'Region OP Sales Goals'!V72</f>
        <v>603.18552036199094</v>
      </c>
      <c r="Z285" s="69">
        <f>Z$283*'Region OP Sales Goals'!W72</f>
        <v>670.48832579185535</v>
      </c>
      <c r="AA285" s="69">
        <f>AA$283*'Region OP Sales Goals'!X72</f>
        <v>566.90368455074338</v>
      </c>
      <c r="AB285" s="69">
        <f>AB$283*'Region OP Sales Goals'!Y72</f>
        <v>669.79955601984852</v>
      </c>
      <c r="AC285" s="69">
        <f>AC$283*'Region OP Sales Goals'!Z72</f>
        <v>899.79690356489959</v>
      </c>
      <c r="AD285" s="69">
        <f>AD$283*'Region OP Sales Goals'!AA72</f>
        <v>798.78557874762816</v>
      </c>
      <c r="AE285" s="69">
        <f>AE$283*'Region OP Sales Goals'!AB72</f>
        <v>746.97897258450894</v>
      </c>
      <c r="AF285" s="69">
        <f>AF$283*'Region OP Sales Goals'!AC72</f>
        <v>740.14641848097062</v>
      </c>
      <c r="AG285" s="69">
        <f>AG$283*'Region OP Sales Goals'!AD72</f>
        <v>787.99947767040999</v>
      </c>
      <c r="AH285" s="69">
        <f>AH$283*'Region OP Sales Goals'!AE72</f>
        <v>6921.4499252950554</v>
      </c>
      <c r="AJ285" s="757"/>
      <c r="AK285" s="757"/>
      <c r="AL285" s="292" t="s">
        <v>100</v>
      </c>
      <c r="AM285" s="69">
        <v>385.14285714285711</v>
      </c>
      <c r="AN285" s="69">
        <v>289.14285714285711</v>
      </c>
      <c r="AO285" s="69">
        <v>439</v>
      </c>
      <c r="AP285" s="69">
        <v>563.42857142857144</v>
      </c>
      <c r="AQ285" s="156">
        <v>732.57142857142856</v>
      </c>
      <c r="AR285" s="156">
        <v>747.57142857142856</v>
      </c>
      <c r="AS285" s="156">
        <v>783.85714285714289</v>
      </c>
      <c r="AT285" s="156">
        <v>442.57142857142856</v>
      </c>
      <c r="AU285" s="69"/>
      <c r="AV285" s="69"/>
      <c r="AW285" s="69"/>
      <c r="AX285" s="69"/>
      <c r="AY285" s="69">
        <f t="shared" ref="AY285:AY290" si="413">SUM(AM285:AX285)</f>
        <v>4383.2857142857138</v>
      </c>
      <c r="BA285" s="757"/>
      <c r="BB285" s="757"/>
      <c r="BC285" s="292" t="s">
        <v>100</v>
      </c>
      <c r="BD285" s="465">
        <f t="shared" ref="BD285:BD286" si="414">AM285/V285</f>
        <v>13.124471334586463</v>
      </c>
      <c r="BE285" s="465">
        <f t="shared" si="405"/>
        <v>2.1113763762083777</v>
      </c>
      <c r="BF285" s="465">
        <f t="shared" si="392"/>
        <v>0.76843051795531503</v>
      </c>
      <c r="BG285" s="465">
        <f t="shared" si="393"/>
        <v>0.93408835658130507</v>
      </c>
      <c r="BH285" s="465">
        <f t="shared" si="394"/>
        <v>1.0925938609091401</v>
      </c>
      <c r="BI285" s="465">
        <f t="shared" si="395"/>
        <v>1.3186921322690992</v>
      </c>
      <c r="BJ285" s="465">
        <f t="shared" si="396"/>
        <v>1.170286148762264</v>
      </c>
      <c r="BK285" s="465">
        <f t="shared" si="397"/>
        <v>0.49185702553321492</v>
      </c>
      <c r="BL285" s="465">
        <f t="shared" si="398"/>
        <v>0</v>
      </c>
      <c r="BM285" s="465">
        <f t="shared" si="399"/>
        <v>0</v>
      </c>
      <c r="BN285" s="465">
        <f t="shared" si="400"/>
        <v>0</v>
      </c>
      <c r="BO285" s="465">
        <f t="shared" si="401"/>
        <v>0</v>
      </c>
      <c r="BP285" s="465">
        <f t="shared" ref="BP285:BP292" si="415">AY285/AH285</f>
        <v>0.63329009984838658</v>
      </c>
    </row>
    <row r="286" spans="2:68" ht="16" customHeight="1">
      <c r="B286" s="769"/>
      <c r="C286" s="769"/>
      <c r="D286" s="292" t="s">
        <v>101</v>
      </c>
      <c r="E286" s="69">
        <v>324</v>
      </c>
      <c r="F286" s="69">
        <v>338</v>
      </c>
      <c r="G286" s="69">
        <v>362</v>
      </c>
      <c r="H286" s="69">
        <v>313</v>
      </c>
      <c r="I286" s="69">
        <v>257</v>
      </c>
      <c r="J286" s="69">
        <v>253</v>
      </c>
      <c r="K286" s="69">
        <v>296</v>
      </c>
      <c r="L286" s="69">
        <v>245</v>
      </c>
      <c r="M286" s="69">
        <v>335</v>
      </c>
      <c r="N286" s="69">
        <v>233</v>
      </c>
      <c r="O286" s="69">
        <v>221</v>
      </c>
      <c r="P286" s="69">
        <v>306</v>
      </c>
      <c r="Q286" s="69">
        <f t="shared" si="412"/>
        <v>3483</v>
      </c>
      <c r="S286" s="769"/>
      <c r="T286" s="769"/>
      <c r="U286" s="292" t="s">
        <v>101</v>
      </c>
      <c r="V286" s="69">
        <v>0</v>
      </c>
      <c r="W286" s="69">
        <v>78.254399195575672</v>
      </c>
      <c r="X286" s="69">
        <v>317.38574040219373</v>
      </c>
      <c r="Y286" s="69">
        <f>Y$283*'Region OP Sales Goals'!V73</f>
        <v>317.4660633484163</v>
      </c>
      <c r="Z286" s="69">
        <f>Z$283*'Region OP Sales Goals'!W73</f>
        <v>195.55909502262446</v>
      </c>
      <c r="AA286" s="69">
        <f>AA$283*'Region OP Sales Goals'!X73</f>
        <v>113.38073691014868</v>
      </c>
      <c r="AB286" s="69">
        <f>AB$283*'Region OP Sales Goals'!Y73</f>
        <v>315.19979106816402</v>
      </c>
      <c r="AC286" s="69">
        <f>AC$283*'Region OP Sales Goals'!Z73</f>
        <v>399.90973491773309</v>
      </c>
      <c r="AD286" s="69">
        <f>AD$283*'Region OP Sales Goals'!AA73</f>
        <v>307.22522259524158</v>
      </c>
      <c r="AE286" s="69">
        <f>AE$283*'Region OP Sales Goals'!AB73</f>
        <v>210.08783603939315</v>
      </c>
      <c r="AF286" s="69">
        <f>AF$283*'Region OP Sales Goals'!AC73</f>
        <v>301.54113345521023</v>
      </c>
      <c r="AG286" s="69">
        <f>AG$283*'Region OP Sales Goals'!AD73</f>
        <v>341.46644032384432</v>
      </c>
      <c r="AH286" s="69">
        <f>AH$283*'Region OP Sales Goals'!AE73</f>
        <v>2595.5437219856453</v>
      </c>
      <c r="AJ286" s="757"/>
      <c r="AK286" s="757"/>
      <c r="AL286" s="292" t="s">
        <v>101</v>
      </c>
      <c r="AM286" s="69">
        <v>156.42857142857144</v>
      </c>
      <c r="AN286" s="69">
        <v>151.57142857142856</v>
      </c>
      <c r="AO286" s="69">
        <v>220</v>
      </c>
      <c r="AP286" s="69">
        <v>322.71428571428572</v>
      </c>
      <c r="AQ286" s="156">
        <v>371.28571428571428</v>
      </c>
      <c r="AR286" s="156">
        <v>252.57142857142856</v>
      </c>
      <c r="AS286" s="156">
        <v>431.28571428571428</v>
      </c>
      <c r="AT286" s="156">
        <v>340.14285714285717</v>
      </c>
      <c r="AU286" s="69"/>
      <c r="AV286" s="69"/>
      <c r="AW286" s="69"/>
      <c r="AX286" s="69"/>
      <c r="AY286" s="69">
        <f t="shared" si="413"/>
        <v>2246</v>
      </c>
      <c r="BA286" s="757"/>
      <c r="BB286" s="757"/>
      <c r="BC286" s="292" t="s">
        <v>101</v>
      </c>
      <c r="BD286" s="465" t="e">
        <f t="shared" si="414"/>
        <v>#DIV/0!</v>
      </c>
      <c r="BE286" s="465">
        <f t="shared" si="405"/>
        <v>1.9369061692316725</v>
      </c>
      <c r="BF286" s="465">
        <f>AO286/X286</f>
        <v>0.69316283624215203</v>
      </c>
      <c r="BG286" s="465">
        <f t="shared" si="393"/>
        <v>1.0165316012379866</v>
      </c>
      <c r="BH286" s="465">
        <f t="shared" si="394"/>
        <v>1.8985857663268477</v>
      </c>
      <c r="BI286" s="465">
        <f t="shared" si="395"/>
        <v>2.22763968072976</v>
      </c>
      <c r="BJ286" s="465">
        <f t="shared" si="396"/>
        <v>1.3682931477338636</v>
      </c>
      <c r="BK286" s="465">
        <f t="shared" si="397"/>
        <v>0.85054908006385299</v>
      </c>
      <c r="BL286" s="465">
        <f t="shared" si="398"/>
        <v>0</v>
      </c>
      <c r="BM286" s="465">
        <f t="shared" si="399"/>
        <v>0</v>
      </c>
      <c r="BN286" s="465">
        <f t="shared" si="400"/>
        <v>0</v>
      </c>
      <c r="BO286" s="465">
        <f t="shared" si="401"/>
        <v>0</v>
      </c>
      <c r="BP286" s="465">
        <f t="shared" si="415"/>
        <v>0.86532928764604389</v>
      </c>
    </row>
    <row r="287" spans="2:68" ht="16" customHeight="1">
      <c r="B287" s="769"/>
      <c r="C287" s="769"/>
      <c r="D287" s="292" t="s">
        <v>102</v>
      </c>
      <c r="E287" s="69">
        <v>409</v>
      </c>
      <c r="F287" s="69">
        <v>354</v>
      </c>
      <c r="G287" s="69">
        <v>511</v>
      </c>
      <c r="H287" s="69">
        <v>384</v>
      </c>
      <c r="I287" s="69">
        <v>279</v>
      </c>
      <c r="J287" s="69">
        <v>234</v>
      </c>
      <c r="K287" s="69">
        <v>271</v>
      </c>
      <c r="L287" s="69">
        <v>304</v>
      </c>
      <c r="M287" s="69">
        <v>295</v>
      </c>
      <c r="N287" s="69">
        <v>314</v>
      </c>
      <c r="O287" s="69">
        <v>347</v>
      </c>
      <c r="P287" s="69">
        <v>280</v>
      </c>
      <c r="Q287" s="69">
        <f t="shared" si="412"/>
        <v>3982</v>
      </c>
      <c r="S287" s="769"/>
      <c r="T287" s="769"/>
      <c r="U287" s="292" t="s">
        <v>102</v>
      </c>
      <c r="V287" s="69">
        <v>88.036199095022639</v>
      </c>
      <c r="W287" s="69">
        <v>107.59979889391654</v>
      </c>
      <c r="X287" s="69">
        <v>444.34003656307129</v>
      </c>
      <c r="Y287" s="69">
        <f>Y$283*'Region OP Sales Goals'!V74</f>
        <v>444.45248868778287</v>
      </c>
      <c r="Z287" s="69">
        <f>Z$283*'Region OP Sales Goals'!W74</f>
        <v>502.86624434389148</v>
      </c>
      <c r="AA287" s="69">
        <f>AA$283*'Region OP Sales Goals'!X74</f>
        <v>453.52294764059474</v>
      </c>
      <c r="AB287" s="69">
        <f>AB$283*'Region OP Sales Goals'!Y74</f>
        <v>1103.1992687385741</v>
      </c>
      <c r="AC287" s="69">
        <f>AC$283*'Region OP Sales Goals'!Z74</f>
        <v>699.84203610603299</v>
      </c>
      <c r="AD287" s="69">
        <f>AD$283*'Region OP Sales Goals'!AA74</f>
        <v>737.34053422857983</v>
      </c>
      <c r="AE287" s="69">
        <f>AE$283*'Region OP Sales Goals'!AB74</f>
        <v>536.89113654511584</v>
      </c>
      <c r="AF287" s="69">
        <f>AF$283*'Region OP Sales Goals'!AC74</f>
        <v>603.08226691042046</v>
      </c>
      <c r="AG287" s="69">
        <f>AG$283*'Region OP Sales Goals'!AD74</f>
        <v>630.39958213632804</v>
      </c>
      <c r="AH287" s="69">
        <f>AH$283*'Region OP Sales Goals'!AE74</f>
        <v>6457.9599749404751</v>
      </c>
      <c r="AJ287" s="757"/>
      <c r="AK287" s="757"/>
      <c r="AL287" s="292" t="s">
        <v>102</v>
      </c>
      <c r="AM287" s="69">
        <v>196.28571428571428</v>
      </c>
      <c r="AN287" s="69">
        <v>175.85714285714286</v>
      </c>
      <c r="AO287" s="69">
        <v>249</v>
      </c>
      <c r="AP287" s="69">
        <v>379</v>
      </c>
      <c r="AQ287" s="156">
        <v>485</v>
      </c>
      <c r="AR287" s="156">
        <v>481.14285714285717</v>
      </c>
      <c r="AS287" s="156">
        <v>427.28571428571428</v>
      </c>
      <c r="AT287" s="156">
        <v>234.57142857142856</v>
      </c>
      <c r="AU287" s="69"/>
      <c r="AV287" s="69"/>
      <c r="AW287" s="69"/>
      <c r="AX287" s="69"/>
      <c r="AY287" s="69">
        <f t="shared" si="413"/>
        <v>2628.1428571428569</v>
      </c>
      <c r="BA287" s="757"/>
      <c r="BB287" s="757"/>
      <c r="BC287" s="292" t="s">
        <v>102</v>
      </c>
      <c r="BD287" s="465">
        <f>AM287/V287</f>
        <v>2.2296023261278193</v>
      </c>
      <c r="BE287" s="465">
        <f t="shared" si="405"/>
        <v>1.6343631183783323</v>
      </c>
      <c r="BF287" s="465">
        <f t="shared" ref="BF287:BF315" si="416">AO287/X287</f>
        <v>0.56038164358537612</v>
      </c>
      <c r="BG287" s="465">
        <f t="shared" si="393"/>
        <v>0.85273456589021002</v>
      </c>
      <c r="BH287" s="465">
        <f t="shared" si="394"/>
        <v>0.96447117987169284</v>
      </c>
      <c r="BI287" s="465">
        <f t="shared" si="395"/>
        <v>1.0609007981755987</v>
      </c>
      <c r="BJ287" s="465">
        <f t="shared" si="396"/>
        <v>0.38731508114058444</v>
      </c>
      <c r="BK287" s="465">
        <f t="shared" si="397"/>
        <v>0.33517767791800473</v>
      </c>
      <c r="BL287" s="465">
        <f t="shared" si="398"/>
        <v>0</v>
      </c>
      <c r="BM287" s="465">
        <f t="shared" si="399"/>
        <v>0</v>
      </c>
      <c r="BN287" s="465">
        <f t="shared" si="400"/>
        <v>0</v>
      </c>
      <c r="BO287" s="465">
        <f t="shared" si="401"/>
        <v>0</v>
      </c>
      <c r="BP287" s="465">
        <f t="shared" si="415"/>
        <v>0.40696177544319345</v>
      </c>
    </row>
    <row r="288" spans="2:68" ht="16" customHeight="1">
      <c r="B288" s="769"/>
      <c r="C288" s="769"/>
      <c r="D288" s="292" t="s">
        <v>103</v>
      </c>
      <c r="E288" s="69">
        <v>645</v>
      </c>
      <c r="F288" s="69">
        <v>703</v>
      </c>
      <c r="G288" s="69">
        <v>757</v>
      </c>
      <c r="H288" s="69">
        <v>636</v>
      </c>
      <c r="I288" s="69">
        <v>520</v>
      </c>
      <c r="J288" s="69">
        <v>523</v>
      </c>
      <c r="K288" s="69">
        <v>515</v>
      </c>
      <c r="L288" s="69">
        <v>653</v>
      </c>
      <c r="M288" s="69">
        <v>832</v>
      </c>
      <c r="N288" s="69">
        <v>367</v>
      </c>
      <c r="O288" s="69">
        <v>361</v>
      </c>
      <c r="P288" s="69">
        <v>403</v>
      </c>
      <c r="Q288" s="69">
        <f t="shared" si="412"/>
        <v>6915</v>
      </c>
      <c r="S288" s="769"/>
      <c r="T288" s="769"/>
      <c r="U288" s="292" t="s">
        <v>103</v>
      </c>
      <c r="V288" s="69">
        <v>0</v>
      </c>
      <c r="W288" s="69">
        <v>48.908999497234795</v>
      </c>
      <c r="X288" s="69">
        <v>222.17001828153565</v>
      </c>
      <c r="Y288" s="69">
        <f>Y$283*'Region OP Sales Goals'!V75</f>
        <v>222.22624434389144</v>
      </c>
      <c r="Z288" s="69">
        <f>Z$283*'Region OP Sales Goals'!W75</f>
        <v>83.811040723981918</v>
      </c>
      <c r="AA288" s="69">
        <f>AA$283*'Region OP Sales Goals'!X75</f>
        <v>56.690368455074342</v>
      </c>
      <c r="AB288" s="69">
        <f>AB$283*'Region OP Sales Goals'!Y75</f>
        <v>236.39984330112301</v>
      </c>
      <c r="AC288" s="69">
        <f>AC$283*'Region OP Sales Goals'!Z75</f>
        <v>233.28067870201096</v>
      </c>
      <c r="AD288" s="69">
        <f>AD$283*'Region OP Sales Goals'!AA75</f>
        <v>184.33513355714496</v>
      </c>
      <c r="AE288" s="69">
        <f>AE$283*'Region OP Sales Goals'!AB75</f>
        <v>116.71546446632952</v>
      </c>
      <c r="AF288" s="69">
        <f>AF$283*'Region OP Sales Goals'!AC75</f>
        <v>191.88981219877016</v>
      </c>
      <c r="AG288" s="69">
        <f>AG$283*'Region OP Sales Goals'!AD75</f>
        <v>210.13319404544268</v>
      </c>
      <c r="AH288" s="69">
        <f>AH$283*'Region OP Sales Goals'!AE75</f>
        <v>1575.8658312055707</v>
      </c>
      <c r="AJ288" s="757"/>
      <c r="AK288" s="757"/>
      <c r="AL288" s="292" t="s">
        <v>103</v>
      </c>
      <c r="AM288" s="69">
        <v>389.14285714285711</v>
      </c>
      <c r="AN288" s="69">
        <v>309.42857142857144</v>
      </c>
      <c r="AO288" s="69">
        <v>376</v>
      </c>
      <c r="AP288" s="69">
        <v>547.71428571428578</v>
      </c>
      <c r="AQ288" s="156">
        <v>715.28571428571422</v>
      </c>
      <c r="AR288" s="156">
        <v>711.28571428571422</v>
      </c>
      <c r="AS288" s="156">
        <v>614.14285714285711</v>
      </c>
      <c r="AT288" s="156">
        <v>281.57142857142856</v>
      </c>
      <c r="AU288" s="69"/>
      <c r="AV288" s="69"/>
      <c r="AW288" s="69"/>
      <c r="AX288" s="69"/>
      <c r="AY288" s="69">
        <f t="shared" si="413"/>
        <v>3944.5714285714284</v>
      </c>
      <c r="BA288" s="757"/>
      <c r="BB288" s="757"/>
      <c r="BC288" s="292" t="s">
        <v>103</v>
      </c>
      <c r="BD288" s="465" t="e">
        <f t="shared" ref="BD288:BD290" si="417">AM288/V288</f>
        <v>#DIV/0!</v>
      </c>
      <c r="BE288" s="465">
        <f t="shared" si="405"/>
        <v>6.3266183035714283</v>
      </c>
      <c r="BF288" s="465">
        <f t="shared" si="416"/>
        <v>1.6923975742016177</v>
      </c>
      <c r="BG288" s="465">
        <f t="shared" si="393"/>
        <v>2.4646696763083797</v>
      </c>
      <c r="BH288" s="465">
        <f t="shared" si="394"/>
        <v>8.5345046202372288</v>
      </c>
      <c r="BI288" s="465">
        <f t="shared" si="395"/>
        <v>12.546852907639678</v>
      </c>
      <c r="BJ288" s="465">
        <f t="shared" si="396"/>
        <v>2.5978987488607173</v>
      </c>
      <c r="BK288" s="465">
        <f t="shared" si="397"/>
        <v>1.2070070703588076</v>
      </c>
      <c r="BL288" s="465">
        <f t="shared" si="398"/>
        <v>0</v>
      </c>
      <c r="BM288" s="465">
        <f t="shared" si="399"/>
        <v>0</v>
      </c>
      <c r="BN288" s="465">
        <f t="shared" si="400"/>
        <v>0</v>
      </c>
      <c r="BO288" s="465">
        <f t="shared" si="401"/>
        <v>0</v>
      </c>
      <c r="BP288" s="465">
        <f t="shared" si="415"/>
        <v>2.503113748937464</v>
      </c>
    </row>
    <row r="289" spans="2:68" ht="16" customHeight="1">
      <c r="B289" s="769"/>
      <c r="C289" s="769"/>
      <c r="D289" s="292" t="s">
        <v>104</v>
      </c>
      <c r="E289" s="69">
        <v>982</v>
      </c>
      <c r="F289" s="69">
        <v>926</v>
      </c>
      <c r="G289" s="69">
        <v>852</v>
      </c>
      <c r="H289" s="69">
        <v>637</v>
      </c>
      <c r="I289" s="69">
        <v>695</v>
      </c>
      <c r="J289" s="69">
        <v>530</v>
      </c>
      <c r="K289" s="69">
        <v>656</v>
      </c>
      <c r="L289" s="69">
        <v>809</v>
      </c>
      <c r="M289" s="69">
        <v>875</v>
      </c>
      <c r="N289" s="69">
        <v>597</v>
      </c>
      <c r="O289" s="69">
        <v>441</v>
      </c>
      <c r="P289" s="69">
        <v>459</v>
      </c>
      <c r="Q289" s="69">
        <f t="shared" si="412"/>
        <v>8459</v>
      </c>
      <c r="S289" s="769"/>
      <c r="T289" s="769"/>
      <c r="U289" s="292" t="s">
        <v>104</v>
      </c>
      <c r="V289" s="69">
        <v>0</v>
      </c>
      <c r="W289" s="69">
        <v>78.254399195575672</v>
      </c>
      <c r="X289" s="69">
        <v>380.86288848263257</v>
      </c>
      <c r="Y289" s="69">
        <f>Y$283*'Region OP Sales Goals'!V76</f>
        <v>507.94570135746608</v>
      </c>
      <c r="Z289" s="69">
        <f>Z$283*'Region OP Sales Goals'!W76</f>
        <v>558.74027149321273</v>
      </c>
      <c r="AA289" s="69">
        <f>AA$283*'Region OP Sales Goals'!X76</f>
        <v>538.5585003232062</v>
      </c>
      <c r="AB289" s="69">
        <f>AB$283*'Region OP Sales Goals'!Y76</f>
        <v>748.5995037868895</v>
      </c>
      <c r="AC289" s="69">
        <f>AC$283*'Region OP Sales Goals'!Z76</f>
        <v>733.16784734917746</v>
      </c>
      <c r="AD289" s="69">
        <f>AD$283*'Region OP Sales Goals'!AA76</f>
        <v>706.6180119690556</v>
      </c>
      <c r="AE289" s="69">
        <f>AE$283*'Region OP Sales Goals'!AB76</f>
        <v>606.92041522491365</v>
      </c>
      <c r="AF289" s="69">
        <f>AF$283*'Region OP Sales Goals'!AC76</f>
        <v>685.3207578527506</v>
      </c>
      <c r="AG289" s="69">
        <f>AG$283*'Region OP Sales Goals'!AD76</f>
        <v>630.39958213632804</v>
      </c>
      <c r="AH289" s="69">
        <f>AH$283*'Region OP Sales Goals'!AE76</f>
        <v>6025.3693546095346</v>
      </c>
      <c r="AJ289" s="757"/>
      <c r="AK289" s="757"/>
      <c r="AL289" s="292" t="s">
        <v>104</v>
      </c>
      <c r="AM289" s="69">
        <v>453.28571428571428</v>
      </c>
      <c r="AN289" s="69">
        <v>326.57142857142856</v>
      </c>
      <c r="AO289" s="69">
        <v>520</v>
      </c>
      <c r="AP289" s="69">
        <v>816.14285714285711</v>
      </c>
      <c r="AQ289" s="156">
        <v>904.85714285714289</v>
      </c>
      <c r="AR289" s="156">
        <v>1012.8571428571429</v>
      </c>
      <c r="AS289" s="156">
        <v>1047.5714285714284</v>
      </c>
      <c r="AT289" s="156">
        <v>706.57142857142856</v>
      </c>
      <c r="AU289" s="69"/>
      <c r="AV289" s="69"/>
      <c r="AW289" s="69"/>
      <c r="AX289" s="69"/>
      <c r="AY289" s="69">
        <f t="shared" si="413"/>
        <v>5787.8571428571431</v>
      </c>
      <c r="BA289" s="757"/>
      <c r="BB289" s="757"/>
      <c r="BC289" s="292" t="s">
        <v>104</v>
      </c>
      <c r="BD289" s="465" t="e">
        <f t="shared" si="417"/>
        <v>#DIV/0!</v>
      </c>
      <c r="BE289" s="465">
        <f t="shared" si="405"/>
        <v>4.1732021704652249</v>
      </c>
      <c r="BF289" s="465">
        <f t="shared" si="416"/>
        <v>1.3653207380527235</v>
      </c>
      <c r="BG289" s="465">
        <f t="shared" si="393"/>
        <v>1.606752168512787</v>
      </c>
      <c r="BH289" s="465">
        <f t="shared" si="394"/>
        <v>1.619459324882643</v>
      </c>
      <c r="BI289" s="465">
        <f t="shared" si="395"/>
        <v>1.8806817499849968</v>
      </c>
      <c r="BJ289" s="465">
        <f t="shared" si="396"/>
        <v>1.3993749972744438</v>
      </c>
      <c r="BK289" s="465">
        <f t="shared" si="397"/>
        <v>0.96372397006509458</v>
      </c>
      <c r="BL289" s="465">
        <f t="shared" si="398"/>
        <v>0</v>
      </c>
      <c r="BM289" s="465">
        <f t="shared" si="399"/>
        <v>0</v>
      </c>
      <c r="BN289" s="465">
        <f t="shared" si="400"/>
        <v>0</v>
      </c>
      <c r="BO289" s="465">
        <f t="shared" si="401"/>
        <v>0</v>
      </c>
      <c r="BP289" s="465">
        <f t="shared" si="415"/>
        <v>0.9605813025270078</v>
      </c>
    </row>
    <row r="290" spans="2:68" ht="16" customHeight="1">
      <c r="B290" s="770"/>
      <c r="C290" s="770"/>
      <c r="D290" s="292" t="s">
        <v>105</v>
      </c>
      <c r="E290" s="69">
        <v>949</v>
      </c>
      <c r="F290" s="69">
        <v>981</v>
      </c>
      <c r="G290" s="69">
        <v>1035</v>
      </c>
      <c r="H290" s="69">
        <v>1010</v>
      </c>
      <c r="I290" s="69">
        <v>736</v>
      </c>
      <c r="J290" s="69">
        <v>572</v>
      </c>
      <c r="K290" s="69">
        <v>761</v>
      </c>
      <c r="L290" s="69">
        <v>899</v>
      </c>
      <c r="M290" s="69">
        <v>995</v>
      </c>
      <c r="N290" s="69">
        <v>905</v>
      </c>
      <c r="O290" s="69">
        <v>858</v>
      </c>
      <c r="P290" s="69">
        <v>895</v>
      </c>
      <c r="Q290" s="69">
        <f t="shared" si="412"/>
        <v>10596</v>
      </c>
      <c r="S290" s="770"/>
      <c r="T290" s="770"/>
      <c r="U290" s="292" t="s">
        <v>105</v>
      </c>
      <c r="V290" s="69">
        <v>322.79939668174961</v>
      </c>
      <c r="W290" s="69">
        <v>381.49019607843138</v>
      </c>
      <c r="X290" s="69">
        <v>1650.4058500914077</v>
      </c>
      <c r="Y290" s="69">
        <f>Y$283*'Region OP Sales Goals'!V77</f>
        <v>1492.0904977375567</v>
      </c>
      <c r="Z290" s="69">
        <f>Z$283*'Region OP Sales Goals'!W77</f>
        <v>2095.2760180995479</v>
      </c>
      <c r="AA290" s="69">
        <f>AA$283*'Region OP Sales Goals'!X77</f>
        <v>2154.2340012928248</v>
      </c>
      <c r="AB290" s="69">
        <f>AB$283*'Region OP Sales Goals'!Y77</f>
        <v>2166.9985635936273</v>
      </c>
      <c r="AC290" s="69">
        <f>AC$283*'Region OP Sales Goals'!Z77</f>
        <v>2099.526108318099</v>
      </c>
      <c r="AD290" s="69">
        <f>AD$283*'Region OP Sales Goals'!AA77</f>
        <v>1843.3513355714495</v>
      </c>
      <c r="AE290" s="69">
        <f>AE$283*'Region OP Sales Goals'!AB77</f>
        <v>1610.6734096353475</v>
      </c>
      <c r="AF290" s="69">
        <f>AF$283*'Region OP Sales Goals'!AC77</f>
        <v>1781.8339704171515</v>
      </c>
      <c r="AG290" s="69">
        <f>AG$283*'Region OP Sales Goals'!AD77</f>
        <v>2127.5985897101068</v>
      </c>
      <c r="AH290" s="69">
        <f>AH$283*'Region OP Sales Goals'!AE77</f>
        <v>20733.450445861527</v>
      </c>
      <c r="AJ290" s="757"/>
      <c r="AK290" s="757"/>
      <c r="AL290" s="292" t="s">
        <v>105</v>
      </c>
      <c r="AM290" s="69">
        <v>772.71428571428578</v>
      </c>
      <c r="AN290" s="69">
        <v>664</v>
      </c>
      <c r="AO290" s="69">
        <v>764</v>
      </c>
      <c r="AP290" s="69">
        <v>1170.1428571428571</v>
      </c>
      <c r="AQ290" s="156">
        <v>1185.8571428571429</v>
      </c>
      <c r="AR290" s="156">
        <v>1272.5714285714284</v>
      </c>
      <c r="AS290" s="156">
        <v>1220</v>
      </c>
      <c r="AT290" s="156">
        <v>791.42857142857144</v>
      </c>
      <c r="AU290" s="69"/>
      <c r="AV290" s="69"/>
      <c r="AW290" s="69"/>
      <c r="AX290" s="69"/>
      <c r="AY290" s="69">
        <f t="shared" si="413"/>
        <v>7840.7142857142862</v>
      </c>
      <c r="BA290" s="757"/>
      <c r="BB290" s="757"/>
      <c r="BC290" s="292" t="s">
        <v>105</v>
      </c>
      <c r="BD290" s="465">
        <f t="shared" si="417"/>
        <v>2.3937909849196859</v>
      </c>
      <c r="BE290" s="465">
        <f t="shared" si="405"/>
        <v>1.7405427631578947</v>
      </c>
      <c r="BF290" s="465">
        <f t="shared" si="416"/>
        <v>0.46291643958829026</v>
      </c>
      <c r="BG290" s="465">
        <f t="shared" si="393"/>
        <v>0.7842304866341111</v>
      </c>
      <c r="BH290" s="465">
        <f t="shared" si="394"/>
        <v>0.56596702898014184</v>
      </c>
      <c r="BI290" s="465">
        <f t="shared" si="395"/>
        <v>0.59073036067934936</v>
      </c>
      <c r="BJ290" s="465">
        <f t="shared" si="396"/>
        <v>0.56299068236428418</v>
      </c>
      <c r="BK290" s="465">
        <f t="shared" si="397"/>
        <v>0.37695581316803622</v>
      </c>
      <c r="BL290" s="465">
        <f t="shared" si="398"/>
        <v>0</v>
      </c>
      <c r="BM290" s="465">
        <f t="shared" si="399"/>
        <v>0</v>
      </c>
      <c r="BN290" s="465">
        <f t="shared" si="400"/>
        <v>0</v>
      </c>
      <c r="BO290" s="465">
        <f t="shared" si="401"/>
        <v>0</v>
      </c>
      <c r="BP290" s="465">
        <f t="shared" si="415"/>
        <v>0.37816736322724914</v>
      </c>
    </row>
    <row r="291" spans="2:68">
      <c r="B291" s="768" t="s">
        <v>57</v>
      </c>
      <c r="C291" s="768" t="s">
        <v>49</v>
      </c>
      <c r="D291" s="343" t="s">
        <v>58</v>
      </c>
      <c r="E291" s="344">
        <f>E292+E300+E308</f>
        <v>50421</v>
      </c>
      <c r="F291" s="344">
        <f t="shared" ref="F291:P291" si="418">F292+F300+F308</f>
        <v>49654</v>
      </c>
      <c r="G291" s="344">
        <f t="shared" si="418"/>
        <v>57100</v>
      </c>
      <c r="H291" s="344">
        <f t="shared" si="418"/>
        <v>46434</v>
      </c>
      <c r="I291" s="344">
        <f t="shared" si="418"/>
        <v>40341</v>
      </c>
      <c r="J291" s="344">
        <f t="shared" si="418"/>
        <v>42601</v>
      </c>
      <c r="K291" s="344">
        <f t="shared" si="418"/>
        <v>45203</v>
      </c>
      <c r="L291" s="344">
        <f t="shared" si="418"/>
        <v>36683</v>
      </c>
      <c r="M291" s="344">
        <f t="shared" si="418"/>
        <v>39760</v>
      </c>
      <c r="N291" s="344">
        <f t="shared" si="418"/>
        <v>23465</v>
      </c>
      <c r="O291" s="344">
        <f t="shared" si="418"/>
        <v>18105</v>
      </c>
      <c r="P291" s="344">
        <f t="shared" si="418"/>
        <v>20373</v>
      </c>
      <c r="Q291" s="344">
        <f>Q292+Q300+Q308</f>
        <v>470140</v>
      </c>
      <c r="S291" s="768" t="s">
        <v>57</v>
      </c>
      <c r="T291" s="768" t="s">
        <v>49</v>
      </c>
      <c r="U291" s="343" t="s">
        <v>58</v>
      </c>
      <c r="V291" s="344">
        <v>3605.8688684837389</v>
      </c>
      <c r="W291" s="344">
        <v>7211.7377369674778</v>
      </c>
      <c r="X291" s="344">
        <v>32688.36510838339</v>
      </c>
      <c r="Y291" s="344" cm="1">
        <f t="array" ref="Y291">INDEX('Shop Goals'!$H$148:$H$159, COLUMN()-COLUMN($V$3)+1)</f>
        <v>28846.950947869911</v>
      </c>
      <c r="Z291" s="344" cm="1">
        <f t="array" ref="Z291">INDEX('Shop Goals'!$H$148:$H$159, COLUMN()-COLUMN($V$3)+1)</f>
        <v>31731.646042656903</v>
      </c>
      <c r="AA291" s="344" cm="1">
        <f t="array" ref="AA291">INDEX('Shop Goals'!$H$148:$H$159, COLUMN()-COLUMN($V$3)+1)</f>
        <v>30048.907237364496</v>
      </c>
      <c r="AB291" s="344" cm="1">
        <f t="array" ref="AB291">INDEX('Shop Goals'!$H$148:$H$159, COLUMN()-COLUMN($V$3)+1)</f>
        <v>40860.456385479236</v>
      </c>
      <c r="AC291" s="344" cm="1">
        <f t="array" ref="AC291">INDEX('Shop Goals'!$H$148:$H$159, COLUMN()-COLUMN($V$3)+1)</f>
        <v>39498.441172629929</v>
      </c>
      <c r="AD291" s="344" cm="1">
        <f t="array" ref="AD291">INDEX('Shop Goals'!$H$148:$H$159, COLUMN()-COLUMN($V$3)+1)</f>
        <v>36058.688684837391</v>
      </c>
      <c r="AE291" s="344" cm="1">
        <f t="array" ref="AE291">INDEX('Shop Goals'!$H$148:$H$159, COLUMN()-COLUMN($V$3)+1)</f>
        <v>30048.907237364496</v>
      </c>
      <c r="AF291" s="344" cm="1">
        <f t="array" ref="AF291">INDEX('Shop Goals'!$H$148:$H$159, COLUMN()-COLUMN($V$3)+1)</f>
        <v>33505.574236092973</v>
      </c>
      <c r="AG291" s="344" cm="1">
        <f t="array" ref="AG291">INDEX('Shop Goals'!$H$148:$H$159, COLUMN()-COLUMN($V$3)+1)</f>
        <v>36774.410746931317</v>
      </c>
      <c r="AH291" s="345">
        <f t="shared" ref="AH291:AH300" si="419">SUM(V291:AG291)</f>
        <v>350879.95440506126</v>
      </c>
      <c r="AI291" s="47"/>
      <c r="AJ291" s="757" t="s">
        <v>57</v>
      </c>
      <c r="AK291" s="757" t="s">
        <v>49</v>
      </c>
      <c r="AL291" s="343" t="s">
        <v>58</v>
      </c>
      <c r="AM291" s="344">
        <f>AM292+AM300+AM308</f>
        <v>14844</v>
      </c>
      <c r="AN291" s="344">
        <f t="shared" ref="AN291:AX291" si="420">AN292+AN300+AN308</f>
        <v>15651</v>
      </c>
      <c r="AO291" s="344">
        <f t="shared" si="420"/>
        <v>23724</v>
      </c>
      <c r="AP291" s="344">
        <f t="shared" si="420"/>
        <v>28594</v>
      </c>
      <c r="AQ291" s="344">
        <f t="shared" si="420"/>
        <v>35712</v>
      </c>
      <c r="AR291" s="344">
        <f t="shared" si="420"/>
        <v>33424</v>
      </c>
      <c r="AS291" s="344">
        <f t="shared" si="420"/>
        <v>29462</v>
      </c>
      <c r="AT291" s="344">
        <f t="shared" si="420"/>
        <v>21416</v>
      </c>
      <c r="AU291" s="344">
        <f t="shared" si="420"/>
        <v>0</v>
      </c>
      <c r="AV291" s="344">
        <f t="shared" si="420"/>
        <v>0</v>
      </c>
      <c r="AW291" s="344">
        <f t="shared" si="420"/>
        <v>0</v>
      </c>
      <c r="AX291" s="344">
        <f t="shared" si="420"/>
        <v>0</v>
      </c>
      <c r="AY291" s="344">
        <f>AY292+AY300+AY308</f>
        <v>202827</v>
      </c>
      <c r="BA291" s="757" t="s">
        <v>57</v>
      </c>
      <c r="BB291" s="757" t="s">
        <v>49</v>
      </c>
      <c r="BC291" s="343" t="s">
        <v>58</v>
      </c>
      <c r="BD291" s="463">
        <f>AM291/V291</f>
        <v>4.1166222459559032</v>
      </c>
      <c r="BE291" s="463">
        <f>AN291/W291</f>
        <v>2.1702120308358879</v>
      </c>
      <c r="BF291" s="463">
        <f t="shared" si="416"/>
        <v>0.72576281870749315</v>
      </c>
      <c r="BG291" s="463">
        <f t="shared" si="393"/>
        <v>0.9912312761120915</v>
      </c>
      <c r="BH291" s="463">
        <f t="shared" si="394"/>
        <v>1.1254379918391975</v>
      </c>
      <c r="BI291" s="463">
        <f t="shared" si="395"/>
        <v>1.1123199834181898</v>
      </c>
      <c r="BJ291" s="463">
        <f t="shared" si="396"/>
        <v>0.7210394255525262</v>
      </c>
      <c r="BK291" s="463">
        <f t="shared" si="397"/>
        <v>0.54219861250727064</v>
      </c>
      <c r="BL291" s="463">
        <f t="shared" si="398"/>
        <v>0</v>
      </c>
      <c r="BM291" s="463">
        <f t="shared" si="399"/>
        <v>0</v>
      </c>
      <c r="BN291" s="463">
        <f t="shared" si="400"/>
        <v>0</v>
      </c>
      <c r="BO291" s="463">
        <f t="shared" si="401"/>
        <v>0</v>
      </c>
      <c r="BP291" s="463">
        <f t="shared" si="415"/>
        <v>0.57805240069614627</v>
      </c>
    </row>
    <row r="292" spans="2:68">
      <c r="B292" s="769"/>
      <c r="C292" s="769"/>
      <c r="D292" s="182" t="s">
        <v>60</v>
      </c>
      <c r="E292" s="341">
        <f>SUM(E293:E299)</f>
        <v>610</v>
      </c>
      <c r="F292" s="341">
        <f t="shared" ref="F292:Q292" si="421">SUM(F293:F299)</f>
        <v>626</v>
      </c>
      <c r="G292" s="341">
        <f t="shared" si="421"/>
        <v>939</v>
      </c>
      <c r="H292" s="341">
        <f t="shared" si="421"/>
        <v>728</v>
      </c>
      <c r="I292" s="341">
        <f t="shared" si="421"/>
        <v>537</v>
      </c>
      <c r="J292" s="341">
        <f t="shared" si="421"/>
        <v>463</v>
      </c>
      <c r="K292" s="341">
        <f t="shared" si="421"/>
        <v>634</v>
      </c>
      <c r="L292" s="341">
        <f t="shared" si="421"/>
        <v>705</v>
      </c>
      <c r="M292" s="341">
        <f t="shared" si="421"/>
        <v>1087</v>
      </c>
      <c r="N292" s="341">
        <f t="shared" si="421"/>
        <v>465</v>
      </c>
      <c r="O292" s="341">
        <f t="shared" si="421"/>
        <v>333</v>
      </c>
      <c r="P292" s="341">
        <f t="shared" si="421"/>
        <v>314</v>
      </c>
      <c r="Q292" s="341">
        <f t="shared" si="421"/>
        <v>7441</v>
      </c>
      <c r="S292" s="769"/>
      <c r="T292" s="769"/>
      <c r="U292" s="182" t="s">
        <v>60</v>
      </c>
      <c r="V292" s="341">
        <v>59.083710407239813</v>
      </c>
      <c r="W292" s="341">
        <v>118.16742081447963</v>
      </c>
      <c r="X292" s="341">
        <v>506.10603290676414</v>
      </c>
      <c r="Y292" s="341" cm="1">
        <f t="array" ref="Y292">INDEX('Shop Goals'!$D$148:$D$159, COLUMN()-COLUMN($V$3)+1)</f>
        <v>472.66968325791851</v>
      </c>
      <c r="Z292" s="341" cm="1">
        <f t="array" ref="Z292">INDEX('Shop Goals'!$D$148:$D$159, COLUMN()-COLUMN($V$3)+1)</f>
        <v>519.93665158371039</v>
      </c>
      <c r="AA292" s="341" cm="1">
        <f t="array" ref="AA292">INDEX('Shop Goals'!$D$148:$D$159, COLUMN()-COLUMN($V$3)+1)</f>
        <v>492.36425339366514</v>
      </c>
      <c r="AB292" s="341" cm="1">
        <f t="array" ref="AB292">INDEX('Shop Goals'!$D$148:$D$159, COLUMN()-COLUMN($V$3)+1)</f>
        <v>632.63254113345522</v>
      </c>
      <c r="AC292" s="341" cm="1">
        <f t="array" ref="AC292">INDEX('Shop Goals'!$D$148:$D$159, COLUMN()-COLUMN($V$3)+1)</f>
        <v>611.54478976233997</v>
      </c>
      <c r="AD292" s="341" cm="1">
        <f t="array" ref="AD292">INDEX('Shop Goals'!$D$148:$D$159, COLUMN()-COLUMN($V$3)+1)</f>
        <v>590.83710407239812</v>
      </c>
      <c r="AE292" s="341" cm="1">
        <f t="array" ref="AE292">INDEX('Shop Goals'!$D$148:$D$159, COLUMN()-COLUMN($V$3)+1)</f>
        <v>492.36425339366514</v>
      </c>
      <c r="AF292" s="341" cm="1">
        <f t="array" ref="AF292">INDEX('Shop Goals'!$D$148:$D$159, COLUMN()-COLUMN($V$3)+1)</f>
        <v>518.7586837294333</v>
      </c>
      <c r="AG292" s="341" cm="1">
        <f t="array" ref="AG292">INDEX('Shop Goals'!$D$148:$D$159, COLUMN()-COLUMN($V$3)+1)</f>
        <v>569.36928702010971</v>
      </c>
      <c r="AH292" s="342">
        <f t="shared" si="419"/>
        <v>5583.8344114751781</v>
      </c>
      <c r="AJ292" s="757"/>
      <c r="AK292" s="757"/>
      <c r="AL292" s="182" t="s">
        <v>60</v>
      </c>
      <c r="AM292" s="341">
        <f>SUM(AM293:AM299)</f>
        <v>258</v>
      </c>
      <c r="AN292" s="341">
        <f t="shared" ref="AN292:AY292" si="422">SUM(AN293:AN299)</f>
        <v>260</v>
      </c>
      <c r="AO292" s="341">
        <f t="shared" si="422"/>
        <v>629</v>
      </c>
      <c r="AP292" s="341">
        <f t="shared" si="422"/>
        <v>635</v>
      </c>
      <c r="AQ292" s="341">
        <f t="shared" si="422"/>
        <v>800</v>
      </c>
      <c r="AR292" s="341">
        <f t="shared" si="422"/>
        <v>885</v>
      </c>
      <c r="AS292" s="341">
        <f t="shared" si="422"/>
        <v>796</v>
      </c>
      <c r="AT292" s="341">
        <f t="shared" si="422"/>
        <v>612</v>
      </c>
      <c r="AU292" s="341">
        <f t="shared" si="422"/>
        <v>0</v>
      </c>
      <c r="AV292" s="341">
        <f t="shared" si="422"/>
        <v>0</v>
      </c>
      <c r="AW292" s="341">
        <f t="shared" si="422"/>
        <v>0</v>
      </c>
      <c r="AX292" s="341">
        <f t="shared" si="422"/>
        <v>0</v>
      </c>
      <c r="AY292" s="341">
        <f t="shared" si="422"/>
        <v>4875</v>
      </c>
      <c r="BA292" s="757"/>
      <c r="BB292" s="757"/>
      <c r="BC292" s="182" t="s">
        <v>60</v>
      </c>
      <c r="BD292" s="464">
        <f>AM292/V292</f>
        <v>4.3666858127512924</v>
      </c>
      <c r="BE292" s="464">
        <f t="shared" ref="BE292:BE315" si="423">AN292/W292</f>
        <v>2.2002680451847598</v>
      </c>
      <c r="BF292" s="464">
        <f t="shared" si="416"/>
        <v>1.2428225689929202</v>
      </c>
      <c r="BG292" s="464">
        <f t="shared" si="393"/>
        <v>1.343432892973387</v>
      </c>
      <c r="BH292" s="464">
        <f t="shared" si="394"/>
        <v>1.5386489826466851</v>
      </c>
      <c r="BI292" s="464">
        <f t="shared" si="395"/>
        <v>1.7974497415278576</v>
      </c>
      <c r="BJ292" s="464">
        <f t="shared" si="396"/>
        <v>1.2582343591966478</v>
      </c>
      <c r="BK292" s="464">
        <f t="shared" si="397"/>
        <v>1.0007443612394065</v>
      </c>
      <c r="BL292" s="464">
        <f t="shared" si="398"/>
        <v>0</v>
      </c>
      <c r="BM292" s="464">
        <f t="shared" si="399"/>
        <v>0</v>
      </c>
      <c r="BN292" s="464">
        <f t="shared" si="400"/>
        <v>0</v>
      </c>
      <c r="BO292" s="464">
        <f t="shared" si="401"/>
        <v>0</v>
      </c>
      <c r="BP292" s="464">
        <f t="shared" si="415"/>
        <v>0.87305597565384951</v>
      </c>
    </row>
    <row r="293" spans="2:68" ht="16" customHeight="1">
      <c r="B293" s="769"/>
      <c r="C293" s="769"/>
      <c r="D293" s="292" t="s">
        <v>99</v>
      </c>
      <c r="E293" s="69">
        <v>81</v>
      </c>
      <c r="F293" s="69">
        <v>80</v>
      </c>
      <c r="G293" s="69">
        <v>160</v>
      </c>
      <c r="H293" s="69">
        <v>99</v>
      </c>
      <c r="I293" s="69">
        <v>85</v>
      </c>
      <c r="J293" s="69">
        <v>64</v>
      </c>
      <c r="K293" s="69">
        <v>72</v>
      </c>
      <c r="L293" s="69">
        <v>102</v>
      </c>
      <c r="M293" s="69">
        <v>120</v>
      </c>
      <c r="N293" s="69">
        <v>40</v>
      </c>
      <c r="O293" s="69">
        <v>52</v>
      </c>
      <c r="P293" s="69">
        <v>36</v>
      </c>
      <c r="Q293" s="69">
        <f>SUM(E293:P293)</f>
        <v>991</v>
      </c>
      <c r="S293" s="769"/>
      <c r="T293" s="769"/>
      <c r="U293" s="292" t="s">
        <v>99</v>
      </c>
      <c r="V293" s="69">
        <v>0</v>
      </c>
      <c r="W293" s="69">
        <v>6.5648567119155343</v>
      </c>
      <c r="X293" s="69">
        <v>29.522851919561241</v>
      </c>
      <c r="Y293" s="69">
        <f>Y$292*'Region OP Sales Goals'!V71</f>
        <v>27.572398190045245</v>
      </c>
      <c r="Z293" s="69">
        <f>Z$292*'Region OP Sales Goals'!W71</f>
        <v>10.398733031674208</v>
      </c>
      <c r="AA293" s="69">
        <f>AA$292*'Region OP Sales Goals'!X71</f>
        <v>10.550662572721397</v>
      </c>
      <c r="AB293" s="69">
        <f>AB$292*'Region OP Sales Goals'!Y71</f>
        <v>31.631627056672762</v>
      </c>
      <c r="AC293" s="69">
        <f>AC$292*'Region OP Sales Goals'!Z71</f>
        <v>30.577239488117002</v>
      </c>
      <c r="AD293" s="69">
        <f>AD$292*'Region OP Sales Goals'!AA71</f>
        <v>22.871113706028314</v>
      </c>
      <c r="AE293" s="69">
        <f>AE$292*'Region OP Sales Goals'!AB71</f>
        <v>17.377561884482297</v>
      </c>
      <c r="AF293" s="69">
        <f>AF$292*'Region OP Sales Goals'!AC71</f>
        <v>25.151936180821007</v>
      </c>
      <c r="AG293" s="69">
        <f>AG$292*'Region OP Sales Goals'!AD71</f>
        <v>27.112823191433794</v>
      </c>
      <c r="AH293" s="69">
        <f>AH$292*'Region OP Sales Goals'!AE71</f>
        <v>220.51287167137582</v>
      </c>
      <c r="AJ293" s="757"/>
      <c r="AK293" s="757"/>
      <c r="AL293" s="292" t="s">
        <v>99</v>
      </c>
      <c r="AM293" s="69">
        <v>17</v>
      </c>
      <c r="AN293" s="69">
        <v>26</v>
      </c>
      <c r="AO293" s="69">
        <v>83</v>
      </c>
      <c r="AP293" s="69">
        <v>55</v>
      </c>
      <c r="AQ293" s="69">
        <v>75</v>
      </c>
      <c r="AR293" s="69">
        <v>97</v>
      </c>
      <c r="AS293" s="69">
        <v>83</v>
      </c>
      <c r="AT293" s="69">
        <v>56</v>
      </c>
      <c r="AU293" s="69"/>
      <c r="AV293" s="69"/>
      <c r="AW293" s="69"/>
      <c r="AX293" s="69"/>
      <c r="AY293" s="69">
        <f>SUM(AM293:AX293)</f>
        <v>492</v>
      </c>
      <c r="BA293" s="757"/>
      <c r="BB293" s="757"/>
      <c r="BC293" s="292" t="s">
        <v>99</v>
      </c>
      <c r="BD293" s="465" t="e">
        <f>AM293/V293</f>
        <v>#DIV/0!</v>
      </c>
      <c r="BE293" s="465">
        <f t="shared" si="423"/>
        <v>3.9604824813325683</v>
      </c>
      <c r="BF293" s="465">
        <f t="shared" si="416"/>
        <v>2.8113815096910026</v>
      </c>
      <c r="BG293" s="465">
        <f t="shared" si="393"/>
        <v>1.994748502502667</v>
      </c>
      <c r="BH293" s="465">
        <f t="shared" si="394"/>
        <v>7.2124171061563365</v>
      </c>
      <c r="BI293" s="465">
        <f t="shared" si="395"/>
        <v>9.193735401110473</v>
      </c>
      <c r="BJ293" s="465">
        <f t="shared" si="396"/>
        <v>2.6239560757116021</v>
      </c>
      <c r="BK293" s="465">
        <f t="shared" si="397"/>
        <v>1.8314275891962992</v>
      </c>
      <c r="BL293" s="465">
        <f t="shared" si="398"/>
        <v>0</v>
      </c>
      <c r="BM293" s="465">
        <f t="shared" si="399"/>
        <v>0</v>
      </c>
      <c r="BN293" s="465">
        <f t="shared" si="400"/>
        <v>0</v>
      </c>
      <c r="BO293" s="465">
        <f t="shared" si="401"/>
        <v>0</v>
      </c>
      <c r="BP293" s="465">
        <f>AY293/AH293</f>
        <v>2.2311622730722669</v>
      </c>
    </row>
    <row r="294" spans="2:68" ht="16" customHeight="1">
      <c r="B294" s="769"/>
      <c r="C294" s="769"/>
      <c r="D294" s="292" t="s">
        <v>100</v>
      </c>
      <c r="E294" s="69">
        <v>135</v>
      </c>
      <c r="F294" s="69">
        <v>126</v>
      </c>
      <c r="G294" s="69">
        <v>153</v>
      </c>
      <c r="H294" s="69">
        <v>114</v>
      </c>
      <c r="I294" s="69">
        <v>100</v>
      </c>
      <c r="J294" s="69">
        <v>83</v>
      </c>
      <c r="K294" s="69">
        <v>154</v>
      </c>
      <c r="L294" s="69">
        <v>127</v>
      </c>
      <c r="M294" s="69">
        <v>239</v>
      </c>
      <c r="N294" s="69">
        <v>121</v>
      </c>
      <c r="O294" s="69">
        <v>58</v>
      </c>
      <c r="P294" s="69">
        <v>59</v>
      </c>
      <c r="Q294" s="69">
        <f t="shared" ref="Q294:Q299" si="424">SUM(E294:P294)</f>
        <v>1469</v>
      </c>
      <c r="S294" s="769"/>
      <c r="T294" s="769"/>
      <c r="U294" s="292" t="s">
        <v>100</v>
      </c>
      <c r="V294" s="69">
        <v>3.938914027149321</v>
      </c>
      <c r="W294" s="69">
        <v>18.381598793363498</v>
      </c>
      <c r="X294" s="69">
        <v>75.915904936014613</v>
      </c>
      <c r="Y294" s="69">
        <f>Y$292*'Region OP Sales Goals'!V72</f>
        <v>74.839366515837099</v>
      </c>
      <c r="Z294" s="69">
        <f>Z$292*'Region OP Sales Goals'!W72</f>
        <v>83.189864253393665</v>
      </c>
      <c r="AA294" s="69">
        <f>AA$292*'Region OP Sales Goals'!X72</f>
        <v>70.337750484809305</v>
      </c>
      <c r="AB294" s="69">
        <f>AB$292*'Region OP Sales Goals'!Y72</f>
        <v>76.81966570906242</v>
      </c>
      <c r="AC294" s="69">
        <f>AC$292*'Region OP Sales Goals'!Z72</f>
        <v>103.19818327239487</v>
      </c>
      <c r="AD294" s="69">
        <f>AD$292*'Region OP Sales Goals'!AA72</f>
        <v>99.108159392789375</v>
      </c>
      <c r="AE294" s="69">
        <f>AE$292*'Region OP Sales Goals'!AB72</f>
        <v>92.680330050572266</v>
      </c>
      <c r="AF294" s="69">
        <f>AF$292*'Region OP Sales Goals'!AC72</f>
        <v>84.887784610270899</v>
      </c>
      <c r="AG294" s="69">
        <f>AG$292*'Region OP Sales Goals'!AD72</f>
        <v>90.376077304779315</v>
      </c>
      <c r="AH294" s="69">
        <f>AH$292*'Region OP Sales Goals'!AE72</f>
        <v>837.20141109132521</v>
      </c>
      <c r="AJ294" s="757"/>
      <c r="AK294" s="757"/>
      <c r="AL294" s="292" t="s">
        <v>100</v>
      </c>
      <c r="AM294" s="69">
        <v>77</v>
      </c>
      <c r="AN294" s="69">
        <v>49</v>
      </c>
      <c r="AO294" s="69">
        <v>153</v>
      </c>
      <c r="AP294" s="69">
        <v>100</v>
      </c>
      <c r="AQ294" s="69">
        <v>149</v>
      </c>
      <c r="AR294" s="69">
        <v>141</v>
      </c>
      <c r="AS294" s="69">
        <v>189</v>
      </c>
      <c r="AT294" s="69">
        <v>143</v>
      </c>
      <c r="AU294" s="69"/>
      <c r="AV294" s="69"/>
      <c r="AW294" s="69"/>
      <c r="AX294" s="69"/>
      <c r="AY294" s="69">
        <f t="shared" ref="AY294:AY299" si="425">SUM(AM294:AX294)</f>
        <v>1001</v>
      </c>
      <c r="BA294" s="757"/>
      <c r="BB294" s="757"/>
      <c r="BC294" s="292" t="s">
        <v>100</v>
      </c>
      <c r="BD294" s="465">
        <f t="shared" ref="BD294:BD299" si="426">AM294/V294</f>
        <v>19.548535324526135</v>
      </c>
      <c r="BE294" s="465">
        <f t="shared" si="423"/>
        <v>2.6657093624353823</v>
      </c>
      <c r="BF294" s="465">
        <f t="shared" si="416"/>
        <v>2.015387949718249</v>
      </c>
      <c r="BG294" s="465">
        <f t="shared" si="393"/>
        <v>1.3361951691405425</v>
      </c>
      <c r="BH294" s="465">
        <f t="shared" si="394"/>
        <v>1.7910835813621568</v>
      </c>
      <c r="BI294" s="465">
        <f t="shared" si="395"/>
        <v>2.0046134405514073</v>
      </c>
      <c r="BJ294" s="465">
        <f t="shared" si="396"/>
        <v>2.4603075040159106</v>
      </c>
      <c r="BK294" s="465">
        <f t="shared" si="397"/>
        <v>1.3856833082278879</v>
      </c>
      <c r="BL294" s="465">
        <f t="shared" si="398"/>
        <v>0</v>
      </c>
      <c r="BM294" s="465">
        <f t="shared" si="399"/>
        <v>0</v>
      </c>
      <c r="BN294" s="465">
        <f t="shared" si="400"/>
        <v>0</v>
      </c>
      <c r="BO294" s="465">
        <f t="shared" si="401"/>
        <v>0</v>
      </c>
      <c r="BP294" s="465">
        <f t="shared" ref="BP294:BP300" si="427">AY294/AH294</f>
        <v>1.1956501586579469</v>
      </c>
    </row>
    <row r="295" spans="2:68" ht="16" customHeight="1">
      <c r="B295" s="769"/>
      <c r="C295" s="769"/>
      <c r="D295" s="292" t="s">
        <v>101</v>
      </c>
      <c r="E295" s="69">
        <v>57</v>
      </c>
      <c r="F295" s="69">
        <v>59</v>
      </c>
      <c r="G295" s="69">
        <v>95</v>
      </c>
      <c r="H295" s="69">
        <v>60</v>
      </c>
      <c r="I295" s="69">
        <v>53</v>
      </c>
      <c r="J295" s="69">
        <v>76</v>
      </c>
      <c r="K295" s="69">
        <v>64</v>
      </c>
      <c r="L295" s="69">
        <v>68</v>
      </c>
      <c r="M295" s="69">
        <v>81</v>
      </c>
      <c r="N295" s="69">
        <v>65</v>
      </c>
      <c r="O295" s="69">
        <v>37</v>
      </c>
      <c r="P295" s="69">
        <v>14</v>
      </c>
      <c r="Q295" s="69">
        <f t="shared" si="424"/>
        <v>729</v>
      </c>
      <c r="S295" s="769"/>
      <c r="T295" s="769"/>
      <c r="U295" s="292" t="s">
        <v>101</v>
      </c>
      <c r="V295" s="69">
        <v>0</v>
      </c>
      <c r="W295" s="69">
        <v>10.503770739064857</v>
      </c>
      <c r="X295" s="69">
        <v>42.175502742230343</v>
      </c>
      <c r="Y295" s="69">
        <f>Y$292*'Region OP Sales Goals'!V73</f>
        <v>39.389140271493204</v>
      </c>
      <c r="Z295" s="69">
        <f>Z$292*'Region OP Sales Goals'!W73</f>
        <v>24.26371040723982</v>
      </c>
      <c r="AA295" s="69">
        <f>AA$292*'Region OP Sales Goals'!X73</f>
        <v>14.067550096961861</v>
      </c>
      <c r="AB295" s="69">
        <f>AB$292*'Region OP Sales Goals'!Y73</f>
        <v>36.150430921911727</v>
      </c>
      <c r="AC295" s="69">
        <f>AC$292*'Region OP Sales Goals'!Z73</f>
        <v>45.865859232175495</v>
      </c>
      <c r="AD295" s="69">
        <f>AD$292*'Region OP Sales Goals'!AA73</f>
        <v>38.118522843380525</v>
      </c>
      <c r="AE295" s="69">
        <f>AE$292*'Region OP Sales Goals'!AB73</f>
        <v>26.066342826723449</v>
      </c>
      <c r="AF295" s="69">
        <f>AF$292*'Region OP Sales Goals'!AC73</f>
        <v>34.583912248628884</v>
      </c>
      <c r="AG295" s="69">
        <f>AG$292*'Region OP Sales Goals'!AD73</f>
        <v>39.162966832071035</v>
      </c>
      <c r="AH295" s="69">
        <f>AH$292*'Region OP Sales Goals'!AE73</f>
        <v>313.95052915924697</v>
      </c>
      <c r="AJ295" s="757"/>
      <c r="AK295" s="757"/>
      <c r="AL295" s="292" t="s">
        <v>101</v>
      </c>
      <c r="AM295" s="69">
        <v>18</v>
      </c>
      <c r="AN295" s="69">
        <v>14</v>
      </c>
      <c r="AO295" s="69">
        <v>42</v>
      </c>
      <c r="AP295" s="69">
        <v>47</v>
      </c>
      <c r="AQ295" s="69">
        <v>53</v>
      </c>
      <c r="AR295" s="69">
        <v>75</v>
      </c>
      <c r="AS295" s="69">
        <v>66</v>
      </c>
      <c r="AT295" s="69">
        <v>60</v>
      </c>
      <c r="AU295" s="69"/>
      <c r="AV295" s="69"/>
      <c r="AW295" s="69"/>
      <c r="AX295" s="69"/>
      <c r="AY295" s="69">
        <f t="shared" si="425"/>
        <v>375</v>
      </c>
      <c r="BA295" s="757"/>
      <c r="BB295" s="757"/>
      <c r="BC295" s="292" t="s">
        <v>101</v>
      </c>
      <c r="BD295" s="465" t="e">
        <f t="shared" si="426"/>
        <v>#DIV/0!</v>
      </c>
      <c r="BE295" s="465">
        <f t="shared" si="423"/>
        <v>1.3328546812176909</v>
      </c>
      <c r="BF295" s="465">
        <f t="shared" si="416"/>
        <v>0.99583875162548774</v>
      </c>
      <c r="BG295" s="465">
        <f t="shared" si="393"/>
        <v>1.1932222860425046</v>
      </c>
      <c r="BH295" s="465">
        <f t="shared" si="394"/>
        <v>2.1843320378644902</v>
      </c>
      <c r="BI295" s="465">
        <f t="shared" si="395"/>
        <v>5.3314187248707636</v>
      </c>
      <c r="BJ295" s="465">
        <f t="shared" si="396"/>
        <v>1.8257043779800606</v>
      </c>
      <c r="BK295" s="465">
        <f t="shared" si="397"/>
        <v>1.3081625637116425</v>
      </c>
      <c r="BL295" s="465">
        <f t="shared" si="398"/>
        <v>0</v>
      </c>
      <c r="BM295" s="465">
        <f t="shared" si="399"/>
        <v>0</v>
      </c>
      <c r="BN295" s="465">
        <f t="shared" si="400"/>
        <v>0</v>
      </c>
      <c r="BO295" s="465">
        <f t="shared" si="401"/>
        <v>0</v>
      </c>
      <c r="BP295" s="465">
        <f t="shared" si="427"/>
        <v>1.1944557029549918</v>
      </c>
    </row>
    <row r="296" spans="2:68" ht="16" customHeight="1">
      <c r="B296" s="769"/>
      <c r="C296" s="769"/>
      <c r="D296" s="292" t="s">
        <v>102</v>
      </c>
      <c r="E296" s="69">
        <v>40</v>
      </c>
      <c r="F296" s="69">
        <v>44</v>
      </c>
      <c r="G296" s="69">
        <v>58</v>
      </c>
      <c r="H296" s="69">
        <v>38</v>
      </c>
      <c r="I296" s="69">
        <v>30</v>
      </c>
      <c r="J296" s="69">
        <v>37</v>
      </c>
      <c r="K296" s="69">
        <v>28</v>
      </c>
      <c r="L296" s="69">
        <v>43</v>
      </c>
      <c r="M296" s="69">
        <v>47</v>
      </c>
      <c r="N296" s="69">
        <v>23</v>
      </c>
      <c r="O296" s="69">
        <v>27</v>
      </c>
      <c r="P296" s="69">
        <v>39</v>
      </c>
      <c r="Q296" s="69">
        <f t="shared" si="424"/>
        <v>454</v>
      </c>
      <c r="S296" s="769"/>
      <c r="T296" s="769"/>
      <c r="U296" s="292" t="s">
        <v>102</v>
      </c>
      <c r="V296" s="69">
        <v>11.816742081447963</v>
      </c>
      <c r="W296" s="69">
        <v>14.442684766214176</v>
      </c>
      <c r="X296" s="69">
        <v>59.045703839122481</v>
      </c>
      <c r="Y296" s="69">
        <f>Y$292*'Region OP Sales Goals'!V74</f>
        <v>55.14479638009049</v>
      </c>
      <c r="Z296" s="69">
        <f>Z$292*'Region OP Sales Goals'!W74</f>
        <v>62.392398190045242</v>
      </c>
      <c r="AA296" s="69">
        <f>AA$292*'Region OP Sales Goals'!X74</f>
        <v>56.270200387847446</v>
      </c>
      <c r="AB296" s="69">
        <f>AB$292*'Region OP Sales Goals'!Y74</f>
        <v>126.52650822669105</v>
      </c>
      <c r="AC296" s="69">
        <f>AC$292*'Region OP Sales Goals'!Z74</f>
        <v>80.265253656307124</v>
      </c>
      <c r="AD296" s="69">
        <f>AD$292*'Region OP Sales Goals'!AA74</f>
        <v>91.484454824113257</v>
      </c>
      <c r="AE296" s="69">
        <f>AE$292*'Region OP Sales Goals'!AB74</f>
        <v>66.61398722384881</v>
      </c>
      <c r="AF296" s="69">
        <f>AF$292*'Region OP Sales Goals'!AC74</f>
        <v>69.167824497257769</v>
      </c>
      <c r="AG296" s="69">
        <f>AG$292*'Region OP Sales Goals'!AD74</f>
        <v>72.300861843823455</v>
      </c>
      <c r="AH296" s="69">
        <f>AH$292*'Region OP Sales Goals'!AE74</f>
        <v>781.13881659860249</v>
      </c>
      <c r="AJ296" s="757"/>
      <c r="AK296" s="757"/>
      <c r="AL296" s="292" t="s">
        <v>102</v>
      </c>
      <c r="AM296" s="69">
        <v>13</v>
      </c>
      <c r="AN296" s="69">
        <v>9</v>
      </c>
      <c r="AO296" s="69">
        <v>15</v>
      </c>
      <c r="AP296" s="69">
        <v>50</v>
      </c>
      <c r="AQ296" s="69">
        <v>48</v>
      </c>
      <c r="AR296" s="69">
        <v>62</v>
      </c>
      <c r="AS296" s="69">
        <v>45</v>
      </c>
      <c r="AT296" s="69">
        <v>48</v>
      </c>
      <c r="AU296" s="69"/>
      <c r="AV296" s="69"/>
      <c r="AW296" s="69"/>
      <c r="AX296" s="69"/>
      <c r="AY296" s="69">
        <f t="shared" si="425"/>
        <v>290</v>
      </c>
      <c r="BA296" s="757"/>
      <c r="BB296" s="757"/>
      <c r="BC296" s="292" t="s">
        <v>102</v>
      </c>
      <c r="BD296" s="465">
        <f t="shared" si="426"/>
        <v>1.1001340225923799</v>
      </c>
      <c r="BE296" s="465">
        <f t="shared" si="423"/>
        <v>0.62315283797190757</v>
      </c>
      <c r="BF296" s="465">
        <f t="shared" si="416"/>
        <v>0.25404049786364485</v>
      </c>
      <c r="BG296" s="465">
        <f t="shared" si="393"/>
        <v>0.90670386477393961</v>
      </c>
      <c r="BH296" s="465">
        <f t="shared" si="394"/>
        <v>0.76932449132334269</v>
      </c>
      <c r="BI296" s="465">
        <f t="shared" si="395"/>
        <v>1.1018265364732913</v>
      </c>
      <c r="BJ296" s="465">
        <f t="shared" si="396"/>
        <v>0.35565669700910268</v>
      </c>
      <c r="BK296" s="465">
        <f t="shared" si="397"/>
        <v>0.59801717198246507</v>
      </c>
      <c r="BL296" s="465">
        <f t="shared" si="398"/>
        <v>0</v>
      </c>
      <c r="BM296" s="465">
        <f t="shared" si="399"/>
        <v>0</v>
      </c>
      <c r="BN296" s="465">
        <f t="shared" si="400"/>
        <v>0</v>
      </c>
      <c r="BO296" s="465">
        <f t="shared" si="401"/>
        <v>0</v>
      </c>
      <c r="BP296" s="465">
        <f t="shared" si="427"/>
        <v>0.37125283475577164</v>
      </c>
    </row>
    <row r="297" spans="2:68" ht="16" customHeight="1">
      <c r="B297" s="769"/>
      <c r="C297" s="769"/>
      <c r="D297" s="292" t="s">
        <v>103</v>
      </c>
      <c r="E297" s="69">
        <v>53</v>
      </c>
      <c r="F297" s="69">
        <v>68</v>
      </c>
      <c r="G297" s="69">
        <v>112</v>
      </c>
      <c r="H297" s="69">
        <v>140</v>
      </c>
      <c r="I297" s="69">
        <v>57</v>
      </c>
      <c r="J297" s="69">
        <v>32</v>
      </c>
      <c r="K297" s="69">
        <v>47</v>
      </c>
      <c r="L297" s="69">
        <v>105</v>
      </c>
      <c r="M297" s="69">
        <v>129</v>
      </c>
      <c r="N297" s="69">
        <v>34</v>
      </c>
      <c r="O297" s="69">
        <v>7</v>
      </c>
      <c r="P297" s="69">
        <v>3</v>
      </c>
      <c r="Q297" s="69">
        <f t="shared" si="424"/>
        <v>787</v>
      </c>
      <c r="S297" s="769"/>
      <c r="T297" s="769"/>
      <c r="U297" s="292" t="s">
        <v>103</v>
      </c>
      <c r="V297" s="69">
        <v>0</v>
      </c>
      <c r="W297" s="69">
        <v>6.5648567119155343</v>
      </c>
      <c r="X297" s="69">
        <v>29.522851919561241</v>
      </c>
      <c r="Y297" s="69">
        <f>Y$292*'Region OP Sales Goals'!V75</f>
        <v>27.572398190045245</v>
      </c>
      <c r="Z297" s="69">
        <f>Z$292*'Region OP Sales Goals'!W75</f>
        <v>10.398733031674208</v>
      </c>
      <c r="AA297" s="69">
        <f>AA$292*'Region OP Sales Goals'!X75</f>
        <v>7.0337750484809307</v>
      </c>
      <c r="AB297" s="69">
        <f>AB$292*'Region OP Sales Goals'!Y75</f>
        <v>27.112823191433794</v>
      </c>
      <c r="AC297" s="69">
        <f>AC$292*'Region OP Sales Goals'!Z75</f>
        <v>26.755084552102371</v>
      </c>
      <c r="AD297" s="69">
        <f>AD$292*'Region OP Sales Goals'!AA75</f>
        <v>22.871113706028314</v>
      </c>
      <c r="AE297" s="69">
        <f>AE$292*'Region OP Sales Goals'!AB75</f>
        <v>14.481301570401916</v>
      </c>
      <c r="AF297" s="69">
        <f>AF$292*'Region OP Sales Goals'!AC75</f>
        <v>22.007944158218383</v>
      </c>
      <c r="AG297" s="69">
        <f>AG$292*'Region OP Sales Goals'!AD75</f>
        <v>24.100287281274483</v>
      </c>
      <c r="AH297" s="69">
        <f>AH$292*'Region OP Sales Goals'!AE75</f>
        <v>190.61282127525709</v>
      </c>
      <c r="AJ297" s="757"/>
      <c r="AK297" s="757"/>
      <c r="AL297" s="292" t="s">
        <v>103</v>
      </c>
      <c r="AM297" s="69">
        <v>2</v>
      </c>
      <c r="AN297" s="69">
        <v>13</v>
      </c>
      <c r="AO297" s="69">
        <v>28</v>
      </c>
      <c r="AP297" s="69">
        <v>48</v>
      </c>
      <c r="AQ297" s="69">
        <v>75</v>
      </c>
      <c r="AR297" s="69">
        <v>91</v>
      </c>
      <c r="AS297" s="69">
        <v>68</v>
      </c>
      <c r="AT297" s="69">
        <v>20</v>
      </c>
      <c r="AU297" s="69"/>
      <c r="AV297" s="69"/>
      <c r="AW297" s="69"/>
      <c r="AX297" s="69"/>
      <c r="AY297" s="69">
        <f t="shared" si="425"/>
        <v>345</v>
      </c>
      <c r="BA297" s="757"/>
      <c r="BB297" s="757"/>
      <c r="BC297" s="292" t="s">
        <v>103</v>
      </c>
      <c r="BD297" s="465" t="e">
        <f t="shared" si="426"/>
        <v>#DIV/0!</v>
      </c>
      <c r="BE297" s="465">
        <f t="shared" si="423"/>
        <v>1.9802412406662842</v>
      </c>
      <c r="BF297" s="465">
        <f t="shared" si="416"/>
        <v>0.94841785869094064</v>
      </c>
      <c r="BG297" s="465">
        <f t="shared" si="393"/>
        <v>1.7408714203659639</v>
      </c>
      <c r="BH297" s="465">
        <f t="shared" si="394"/>
        <v>7.2124171061563365</v>
      </c>
      <c r="BI297" s="465">
        <f t="shared" si="395"/>
        <v>12.937576105686388</v>
      </c>
      <c r="BJ297" s="465">
        <f t="shared" si="396"/>
        <v>2.5080383374271542</v>
      </c>
      <c r="BK297" s="465">
        <f t="shared" si="397"/>
        <v>0.74752146497808147</v>
      </c>
      <c r="BL297" s="465">
        <f t="shared" si="398"/>
        <v>0</v>
      </c>
      <c r="BM297" s="465">
        <f t="shared" si="399"/>
        <v>0</v>
      </c>
      <c r="BN297" s="465">
        <f t="shared" si="400"/>
        <v>0</v>
      </c>
      <c r="BO297" s="465">
        <f t="shared" si="401"/>
        <v>0</v>
      </c>
      <c r="BP297" s="465">
        <f t="shared" si="427"/>
        <v>1.8099517004776817</v>
      </c>
    </row>
    <row r="298" spans="2:68" ht="16" customHeight="1">
      <c r="B298" s="769"/>
      <c r="C298" s="769"/>
      <c r="D298" s="292" t="s">
        <v>104</v>
      </c>
      <c r="E298" s="69">
        <v>71</v>
      </c>
      <c r="F298" s="69">
        <v>94</v>
      </c>
      <c r="G298" s="69">
        <v>161</v>
      </c>
      <c r="H298" s="69">
        <v>132</v>
      </c>
      <c r="I298" s="69">
        <v>79</v>
      </c>
      <c r="J298" s="69">
        <v>76</v>
      </c>
      <c r="K298" s="69">
        <v>99</v>
      </c>
      <c r="L298" s="69">
        <v>78</v>
      </c>
      <c r="M298" s="69">
        <v>160</v>
      </c>
      <c r="N298" s="69">
        <v>45</v>
      </c>
      <c r="O298" s="69">
        <v>22</v>
      </c>
      <c r="P298" s="69">
        <v>7</v>
      </c>
      <c r="Q298" s="69">
        <f t="shared" si="424"/>
        <v>1024</v>
      </c>
      <c r="S298" s="769"/>
      <c r="T298" s="769"/>
      <c r="U298" s="292" t="s">
        <v>104</v>
      </c>
      <c r="V298" s="69">
        <v>0</v>
      </c>
      <c r="W298" s="69">
        <v>10.503770739064857</v>
      </c>
      <c r="X298" s="69">
        <v>50.610603290676416</v>
      </c>
      <c r="Y298" s="69">
        <f>Y$292*'Region OP Sales Goals'!V76</f>
        <v>63.022624434389137</v>
      </c>
      <c r="Z298" s="69">
        <f>Z$292*'Region OP Sales Goals'!W76</f>
        <v>69.32488687782805</v>
      </c>
      <c r="AA298" s="69">
        <f>AA$292*'Region OP Sales Goals'!X76</f>
        <v>66.820862960568832</v>
      </c>
      <c r="AB298" s="69">
        <f>AB$292*'Region OP Sales Goals'!Y76</f>
        <v>85.85727343954035</v>
      </c>
      <c r="AC298" s="69">
        <f>AC$292*'Region OP Sales Goals'!Z76</f>
        <v>84.087408592321751</v>
      </c>
      <c r="AD298" s="69">
        <f>AD$292*'Region OP Sales Goals'!AA76</f>
        <v>87.672602539775198</v>
      </c>
      <c r="AE298" s="69">
        <f>AE$292*'Region OP Sales Goals'!AB76</f>
        <v>75.302768166089962</v>
      </c>
      <c r="AF298" s="69">
        <f>AF$292*'Region OP Sales Goals'!AC76</f>
        <v>78.599800565065649</v>
      </c>
      <c r="AG298" s="69">
        <f>AG$292*'Region OP Sales Goals'!AD76</f>
        <v>72.300861843823455</v>
      </c>
      <c r="AH298" s="69">
        <f>AH$292*'Region OP Sales Goals'!AE76</f>
        <v>728.81372840539484</v>
      </c>
      <c r="AJ298" s="757"/>
      <c r="AK298" s="757"/>
      <c r="AL298" s="292" t="s">
        <v>104</v>
      </c>
      <c r="AM298" s="69">
        <v>3</v>
      </c>
      <c r="AN298" s="69">
        <v>35</v>
      </c>
      <c r="AO298" s="69">
        <v>94</v>
      </c>
      <c r="AP298" s="69">
        <v>145</v>
      </c>
      <c r="AQ298" s="156">
        <v>113</v>
      </c>
      <c r="AR298" s="156">
        <v>134</v>
      </c>
      <c r="AS298" s="156">
        <v>163</v>
      </c>
      <c r="AT298" s="156">
        <v>126</v>
      </c>
      <c r="AU298" s="69"/>
      <c r="AV298" s="69"/>
      <c r="AW298" s="69"/>
      <c r="AX298" s="69"/>
      <c r="AY298" s="69">
        <f t="shared" si="425"/>
        <v>813</v>
      </c>
      <c r="BA298" s="757"/>
      <c r="BB298" s="757"/>
      <c r="BC298" s="292" t="s">
        <v>104</v>
      </c>
      <c r="BD298" s="465" t="e">
        <f t="shared" si="426"/>
        <v>#DIV/0!</v>
      </c>
      <c r="BE298" s="465">
        <f t="shared" si="423"/>
        <v>3.3321367030442275</v>
      </c>
      <c r="BF298" s="465">
        <f t="shared" si="416"/>
        <v>1.8573183066030921</v>
      </c>
      <c r="BG298" s="465">
        <f t="shared" si="393"/>
        <v>2.3007610568638714</v>
      </c>
      <c r="BH298" s="465">
        <f t="shared" si="394"/>
        <v>1.6300062659913321</v>
      </c>
      <c r="BI298" s="465">
        <f t="shared" si="395"/>
        <v>2.0053617098461265</v>
      </c>
      <c r="BJ298" s="465">
        <f t="shared" si="396"/>
        <v>1.8984996083620407</v>
      </c>
      <c r="BK298" s="465">
        <f t="shared" si="397"/>
        <v>1.498440754796972</v>
      </c>
      <c r="BL298" s="465">
        <f t="shared" si="398"/>
        <v>0</v>
      </c>
      <c r="BM298" s="465">
        <f t="shared" si="399"/>
        <v>0</v>
      </c>
      <c r="BN298" s="465">
        <f t="shared" si="400"/>
        <v>0</v>
      </c>
      <c r="BO298" s="465">
        <f t="shared" si="401"/>
        <v>0</v>
      </c>
      <c r="BP298" s="465">
        <f t="shared" si="427"/>
        <v>1.1155113691104588</v>
      </c>
    </row>
    <row r="299" spans="2:68" ht="16" customHeight="1">
      <c r="B299" s="769"/>
      <c r="C299" s="769"/>
      <c r="D299" s="292" t="s">
        <v>105</v>
      </c>
      <c r="E299" s="69">
        <v>173</v>
      </c>
      <c r="F299" s="69">
        <v>155</v>
      </c>
      <c r="G299" s="69">
        <v>200</v>
      </c>
      <c r="H299" s="69">
        <v>145</v>
      </c>
      <c r="I299" s="69">
        <v>133</v>
      </c>
      <c r="J299" s="69">
        <v>95</v>
      </c>
      <c r="K299" s="69">
        <v>170</v>
      </c>
      <c r="L299" s="69">
        <v>182</v>
      </c>
      <c r="M299" s="69">
        <v>311</v>
      </c>
      <c r="N299" s="69">
        <v>137</v>
      </c>
      <c r="O299" s="69">
        <v>130</v>
      </c>
      <c r="P299" s="69">
        <v>156</v>
      </c>
      <c r="Q299" s="69">
        <f t="shared" si="424"/>
        <v>1987</v>
      </c>
      <c r="S299" s="769"/>
      <c r="T299" s="769"/>
      <c r="U299" s="292" t="s">
        <v>105</v>
      </c>
      <c r="V299" s="69">
        <v>43.328054298642527</v>
      </c>
      <c r="W299" s="69">
        <v>51.205882352941174</v>
      </c>
      <c r="X299" s="69">
        <v>219.31261425959781</v>
      </c>
      <c r="Y299" s="69">
        <f>Y$292*'Region OP Sales Goals'!V77</f>
        <v>185.12895927601809</v>
      </c>
      <c r="Z299" s="69">
        <f>Z$292*'Region OP Sales Goals'!W77</f>
        <v>259.96832579185519</v>
      </c>
      <c r="AA299" s="69">
        <f>AA$292*'Region OP Sales Goals'!X77</f>
        <v>267.28345184227533</v>
      </c>
      <c r="AB299" s="69">
        <f>AB$292*'Region OP Sales Goals'!Y77</f>
        <v>248.53421258814311</v>
      </c>
      <c r="AC299" s="69">
        <f>AC$292*'Region OP Sales Goals'!Z77</f>
        <v>240.79576096892137</v>
      </c>
      <c r="AD299" s="69">
        <f>AD$292*'Region OP Sales Goals'!AA77</f>
        <v>228.71113706028314</v>
      </c>
      <c r="AE299" s="69">
        <f>AE$292*'Region OP Sales Goals'!AB77</f>
        <v>199.84196167154644</v>
      </c>
      <c r="AF299" s="69">
        <f>AF$292*'Region OP Sales Goals'!AC77</f>
        <v>204.35948146917067</v>
      </c>
      <c r="AG299" s="69">
        <f>AG$292*'Region OP Sales Goals'!AD77</f>
        <v>244.01540872290414</v>
      </c>
      <c r="AH299" s="69">
        <f>AH$292*'Region OP Sales Goals'!AE77</f>
        <v>2507.8667269744606</v>
      </c>
      <c r="AJ299" s="757"/>
      <c r="AK299" s="757"/>
      <c r="AL299" s="292" t="s">
        <v>105</v>
      </c>
      <c r="AM299" s="69">
        <v>128</v>
      </c>
      <c r="AN299" s="69">
        <v>114</v>
      </c>
      <c r="AO299" s="69">
        <v>214</v>
      </c>
      <c r="AP299" s="69">
        <v>190</v>
      </c>
      <c r="AQ299" s="69">
        <v>287</v>
      </c>
      <c r="AR299" s="69">
        <v>285</v>
      </c>
      <c r="AS299" s="69">
        <v>182</v>
      </c>
      <c r="AT299" s="69">
        <v>159</v>
      </c>
      <c r="AU299" s="69"/>
      <c r="AV299" s="69"/>
      <c r="AW299" s="69"/>
      <c r="AX299" s="69"/>
      <c r="AY299" s="69">
        <f t="shared" si="425"/>
        <v>1559</v>
      </c>
      <c r="BA299" s="757"/>
      <c r="BB299" s="757"/>
      <c r="BC299" s="292" t="s">
        <v>105</v>
      </c>
      <c r="BD299" s="465">
        <f t="shared" si="426"/>
        <v>2.954206046681636</v>
      </c>
      <c r="BE299" s="465">
        <f t="shared" si="423"/>
        <v>2.2263067202757036</v>
      </c>
      <c r="BF299" s="465">
        <f t="shared" si="416"/>
        <v>0.97577606615317924</v>
      </c>
      <c r="BG299" s="465">
        <f t="shared" si="393"/>
        <v>1.0263116086377357</v>
      </c>
      <c r="BH299" s="465">
        <f t="shared" si="394"/>
        <v>1.1039806450489966</v>
      </c>
      <c r="BI299" s="465">
        <f t="shared" si="395"/>
        <v>1.0662837449741529</v>
      </c>
      <c r="BJ299" s="465">
        <f t="shared" si="396"/>
        <v>0.73229354664985358</v>
      </c>
      <c r="BK299" s="465">
        <f t="shared" si="397"/>
        <v>0.66031062739730517</v>
      </c>
      <c r="BL299" s="465">
        <f t="shared" si="398"/>
        <v>0</v>
      </c>
      <c r="BM299" s="465">
        <f t="shared" si="399"/>
        <v>0</v>
      </c>
      <c r="BN299" s="465">
        <f t="shared" si="400"/>
        <v>0</v>
      </c>
      <c r="BO299" s="465">
        <f t="shared" si="401"/>
        <v>0</v>
      </c>
      <c r="BP299" s="465">
        <f t="shared" si="427"/>
        <v>0.62164387893164008</v>
      </c>
    </row>
    <row r="300" spans="2:68">
      <c r="B300" s="769"/>
      <c r="C300" s="769"/>
      <c r="D300" s="182" t="s">
        <v>203</v>
      </c>
      <c r="E300" s="341">
        <f>SUM(E301:E307)</f>
        <v>2962</v>
      </c>
      <c r="F300" s="341">
        <f t="shared" ref="F300:Q300" si="428">SUM(F301:F307)</f>
        <v>3360</v>
      </c>
      <c r="G300" s="341">
        <f t="shared" si="428"/>
        <v>5021</v>
      </c>
      <c r="H300" s="341">
        <f t="shared" si="428"/>
        <v>3770</v>
      </c>
      <c r="I300" s="341">
        <f t="shared" si="428"/>
        <v>2942</v>
      </c>
      <c r="J300" s="341">
        <f t="shared" si="428"/>
        <v>3086</v>
      </c>
      <c r="K300" s="341">
        <f t="shared" si="428"/>
        <v>4145</v>
      </c>
      <c r="L300" s="341">
        <f t="shared" si="428"/>
        <v>3588</v>
      </c>
      <c r="M300" s="341">
        <f t="shared" si="428"/>
        <v>5012</v>
      </c>
      <c r="N300" s="341">
        <f t="shared" si="428"/>
        <v>2446</v>
      </c>
      <c r="O300" s="341">
        <f t="shared" si="428"/>
        <v>1688</v>
      </c>
      <c r="P300" s="341">
        <f t="shared" si="428"/>
        <v>1730</v>
      </c>
      <c r="Q300" s="341">
        <f t="shared" si="428"/>
        <v>39750</v>
      </c>
      <c r="S300" s="769"/>
      <c r="T300" s="769"/>
      <c r="U300" s="182" t="s">
        <v>203</v>
      </c>
      <c r="V300" s="341">
        <v>317.33031674208144</v>
      </c>
      <c r="W300" s="341">
        <v>634.66063348416287</v>
      </c>
      <c r="X300" s="341">
        <v>2666.5447897623399</v>
      </c>
      <c r="Y300" s="341" cm="1">
        <f t="array" ref="Y300">INDEX('Shop Goals'!$E$148:$E$159, COLUMN()-COLUMN($V$3)+1)</f>
        <v>2538.6425339366515</v>
      </c>
      <c r="Z300" s="341" cm="1">
        <f t="array" ref="Z300">INDEX('Shop Goals'!$E$148:$E$159, COLUMN()-COLUMN($V$3)+1)</f>
        <v>2792.5067873303165</v>
      </c>
      <c r="AA300" s="341" cm="1">
        <f t="array" ref="AA300">INDEX('Shop Goals'!$E$148:$E$159, COLUMN()-COLUMN($V$3)+1)</f>
        <v>2644.4193061840119</v>
      </c>
      <c r="AB300" s="341" cm="1">
        <f t="array" ref="AB300">INDEX('Shop Goals'!$E$148:$E$159, COLUMN()-COLUMN($V$3)+1)</f>
        <v>3333.1809872029248</v>
      </c>
      <c r="AC300" s="341" cm="1">
        <f t="array" ref="AC300">INDEX('Shop Goals'!$E$148:$E$159, COLUMN()-COLUMN($V$3)+1)</f>
        <v>3222.0749542961607</v>
      </c>
      <c r="AD300" s="341" cm="1">
        <f t="array" ref="AD300">INDEX('Shop Goals'!$E$148:$E$159, COLUMN()-COLUMN($V$3)+1)</f>
        <v>3173.3031674208141</v>
      </c>
      <c r="AE300" s="341" cm="1">
        <f t="array" ref="AE300">INDEX('Shop Goals'!$E$148:$E$159, COLUMN()-COLUMN($V$3)+1)</f>
        <v>2644.4193061840119</v>
      </c>
      <c r="AF300" s="341" cm="1">
        <f t="array" ref="AF300">INDEX('Shop Goals'!$E$148:$E$159, COLUMN()-COLUMN($V$3)+1)</f>
        <v>2733.2084095063983</v>
      </c>
      <c r="AG300" s="341" cm="1">
        <f t="array" ref="AG300">INDEX('Shop Goals'!$E$148:$E$159, COLUMN()-COLUMN($V$3)+1)</f>
        <v>2999.8628884826326</v>
      </c>
      <c r="AH300" s="342">
        <f t="shared" si="419"/>
        <v>29700.154080532506</v>
      </c>
      <c r="AJ300" s="757"/>
      <c r="AK300" s="757"/>
      <c r="AL300" s="182" t="s">
        <v>203</v>
      </c>
      <c r="AM300" s="341">
        <f>SUM(AM301:AM307)</f>
        <v>1497</v>
      </c>
      <c r="AN300" s="341">
        <f>SUM(AN301:AN307)</f>
        <v>1719</v>
      </c>
      <c r="AO300" s="341">
        <f t="shared" ref="AO300:AS300" si="429">SUM(AO301:AO307)</f>
        <v>3318</v>
      </c>
      <c r="AP300" s="341">
        <f t="shared" si="429"/>
        <v>3135</v>
      </c>
      <c r="AQ300" s="341">
        <f t="shared" si="429"/>
        <v>3831</v>
      </c>
      <c r="AR300" s="341">
        <f t="shared" si="429"/>
        <v>4451</v>
      </c>
      <c r="AS300" s="341">
        <f t="shared" si="429"/>
        <v>5195</v>
      </c>
      <c r="AT300" s="341">
        <f t="shared" ref="AT300:AY300" si="430">SUM(AT301:AT307)</f>
        <v>4155</v>
      </c>
      <c r="AU300" s="341">
        <f t="shared" si="430"/>
        <v>0</v>
      </c>
      <c r="AV300" s="341">
        <f t="shared" si="430"/>
        <v>0</v>
      </c>
      <c r="AW300" s="341">
        <f t="shared" si="430"/>
        <v>0</v>
      </c>
      <c r="AX300" s="341">
        <f t="shared" si="430"/>
        <v>0</v>
      </c>
      <c r="AY300" s="341">
        <f t="shared" si="430"/>
        <v>27301</v>
      </c>
      <c r="BA300" s="757"/>
      <c r="BB300" s="757"/>
      <c r="BC300" s="182" t="s">
        <v>203</v>
      </c>
      <c r="BD300" s="464">
        <f>AM300/V300</f>
        <v>4.7174818194781123</v>
      </c>
      <c r="BE300" s="464">
        <f t="shared" si="423"/>
        <v>2.7085341508626839</v>
      </c>
      <c r="BF300" s="464">
        <f t="shared" si="416"/>
        <v>1.2443068696009874</v>
      </c>
      <c r="BG300" s="464">
        <f t="shared" si="393"/>
        <v>1.234911949237131</v>
      </c>
      <c r="BH300" s="464">
        <f t="shared" si="394"/>
        <v>1.3718856539154558</v>
      </c>
      <c r="BI300" s="464">
        <f t="shared" si="395"/>
        <v>1.683167260801369</v>
      </c>
      <c r="BJ300" s="464">
        <f t="shared" si="396"/>
        <v>1.5585712326888799</v>
      </c>
      <c r="BK300" s="464">
        <f t="shared" si="397"/>
        <v>1.2895416956268884</v>
      </c>
      <c r="BL300" s="464">
        <f t="shared" si="398"/>
        <v>0</v>
      </c>
      <c r="BM300" s="464">
        <f t="shared" si="399"/>
        <v>0</v>
      </c>
      <c r="BN300" s="464">
        <f t="shared" si="400"/>
        <v>0</v>
      </c>
      <c r="BO300" s="464">
        <f t="shared" si="401"/>
        <v>0</v>
      </c>
      <c r="BP300" s="464">
        <f t="shared" si="427"/>
        <v>0.91922082040291253</v>
      </c>
    </row>
    <row r="301" spans="2:68" ht="16" customHeight="1">
      <c r="B301" s="769"/>
      <c r="C301" s="769"/>
      <c r="D301" s="292" t="s">
        <v>99</v>
      </c>
      <c r="E301" s="69">
        <v>374</v>
      </c>
      <c r="F301" s="69">
        <v>465</v>
      </c>
      <c r="G301" s="69">
        <v>704</v>
      </c>
      <c r="H301" s="69">
        <v>570</v>
      </c>
      <c r="I301" s="69">
        <v>469</v>
      </c>
      <c r="J301" s="69">
        <v>476</v>
      </c>
      <c r="K301" s="69">
        <v>646</v>
      </c>
      <c r="L301" s="69">
        <v>518</v>
      </c>
      <c r="M301" s="69">
        <v>630</v>
      </c>
      <c r="N301" s="69">
        <v>298</v>
      </c>
      <c r="O301" s="69">
        <v>193</v>
      </c>
      <c r="P301" s="69">
        <v>191</v>
      </c>
      <c r="Q301" s="69">
        <f>SUM(E301:P301)</f>
        <v>5534</v>
      </c>
      <c r="S301" s="769"/>
      <c r="T301" s="769"/>
      <c r="U301" s="292" t="s">
        <v>99</v>
      </c>
      <c r="V301" s="69">
        <v>0</v>
      </c>
      <c r="W301" s="69">
        <v>35.25892408245349</v>
      </c>
      <c r="X301" s="69">
        <v>155.54844606946983</v>
      </c>
      <c r="Y301" s="69">
        <f>Y$300*'Region OP Sales Goals'!V71</f>
        <v>148.08748114630467</v>
      </c>
      <c r="Z301" s="69">
        <f>Z$300*'Region OP Sales Goals'!W71</f>
        <v>55.850135746606327</v>
      </c>
      <c r="AA301" s="69">
        <f>AA$300*'Region OP Sales Goals'!X71</f>
        <v>56.666127989657397</v>
      </c>
      <c r="AB301" s="69">
        <f>AB$300*'Region OP Sales Goals'!Y71</f>
        <v>166.65904936014624</v>
      </c>
      <c r="AC301" s="69">
        <f>AC$300*'Region OP Sales Goals'!Z71</f>
        <v>161.10374771480804</v>
      </c>
      <c r="AD301" s="69">
        <f>AD$300*'Region OP Sales Goals'!AA71</f>
        <v>122.83754196467669</v>
      </c>
      <c r="AE301" s="69">
        <f>AE$300*'Region OP Sales Goals'!AB71</f>
        <v>93.332446100612188</v>
      </c>
      <c r="AF301" s="69">
        <f>AF$300*'Region OP Sales Goals'!AC71</f>
        <v>132.51919561243145</v>
      </c>
      <c r="AG301" s="69">
        <f>AG$300*'Region OP Sales Goals'!AD71</f>
        <v>142.85061373726822</v>
      </c>
      <c r="AH301" s="69">
        <f>AH$300*'Region OP Sales Goals'!AE71</f>
        <v>1172.8976511053665</v>
      </c>
      <c r="AJ301" s="757"/>
      <c r="AK301" s="757"/>
      <c r="AL301" s="292" t="s">
        <v>99</v>
      </c>
      <c r="AM301" s="69">
        <v>155</v>
      </c>
      <c r="AN301" s="69">
        <v>164</v>
      </c>
      <c r="AO301" s="69">
        <v>369</v>
      </c>
      <c r="AP301" s="69">
        <v>334</v>
      </c>
      <c r="AQ301" s="69">
        <v>480</v>
      </c>
      <c r="AR301" s="69">
        <v>517</v>
      </c>
      <c r="AS301" s="69">
        <v>601</v>
      </c>
      <c r="AT301" s="69">
        <v>358</v>
      </c>
      <c r="AU301" s="69"/>
      <c r="AV301" s="69"/>
      <c r="AW301" s="69"/>
      <c r="AX301" s="69"/>
      <c r="AY301" s="69">
        <f>SUM(AM301:AX301)</f>
        <v>2978</v>
      </c>
      <c r="BA301" s="757"/>
      <c r="BB301" s="757"/>
      <c r="BC301" s="292" t="s">
        <v>99</v>
      </c>
      <c r="BD301" s="465" t="e">
        <f>AM301/V301</f>
        <v>#DIV/0!</v>
      </c>
      <c r="BE301" s="465">
        <f t="shared" si="423"/>
        <v>4.6513047198060748</v>
      </c>
      <c r="BF301" s="465">
        <f t="shared" si="416"/>
        <v>2.3722512781336311</v>
      </c>
      <c r="BG301" s="465">
        <f t="shared" si="393"/>
        <v>2.2554236010674056</v>
      </c>
      <c r="BH301" s="465">
        <f t="shared" si="394"/>
        <v>8.5944285288360582</v>
      </c>
      <c r="BI301" s="465">
        <f t="shared" si="395"/>
        <v>9.1236161414515902</v>
      </c>
      <c r="BJ301" s="465">
        <f t="shared" si="396"/>
        <v>3.6061648155765806</v>
      </c>
      <c r="BK301" s="465">
        <f t="shared" si="397"/>
        <v>2.2221705272415213</v>
      </c>
      <c r="BL301" s="465">
        <f t="shared" si="398"/>
        <v>0</v>
      </c>
      <c r="BM301" s="465">
        <f t="shared" si="399"/>
        <v>0</v>
      </c>
      <c r="BN301" s="465">
        <f t="shared" si="400"/>
        <v>0</v>
      </c>
      <c r="BO301" s="465">
        <f t="shared" si="401"/>
        <v>0</v>
      </c>
      <c r="BP301" s="465">
        <f>AY301/AH301</f>
        <v>2.5390109675754422</v>
      </c>
    </row>
    <row r="302" spans="2:68" ht="16" customHeight="1">
      <c r="B302" s="769"/>
      <c r="C302" s="769"/>
      <c r="D302" s="292" t="s">
        <v>100</v>
      </c>
      <c r="E302" s="69">
        <v>617</v>
      </c>
      <c r="F302" s="69">
        <v>643</v>
      </c>
      <c r="G302" s="69">
        <v>1016</v>
      </c>
      <c r="H302" s="69">
        <v>713</v>
      </c>
      <c r="I302" s="69">
        <v>534</v>
      </c>
      <c r="J302" s="69">
        <v>647</v>
      </c>
      <c r="K302" s="69">
        <v>911</v>
      </c>
      <c r="L302" s="69">
        <v>815</v>
      </c>
      <c r="M302" s="69">
        <v>1097</v>
      </c>
      <c r="N302" s="69">
        <v>544</v>
      </c>
      <c r="O302" s="69">
        <v>404</v>
      </c>
      <c r="P302" s="69">
        <v>392</v>
      </c>
      <c r="Q302" s="69">
        <f t="shared" ref="Q302:Q307" si="431">SUM(E302:P302)</f>
        <v>8333</v>
      </c>
      <c r="S302" s="769"/>
      <c r="T302" s="769"/>
      <c r="U302" s="292" t="s">
        <v>100</v>
      </c>
      <c r="V302" s="69">
        <v>21.155354449472096</v>
      </c>
      <c r="W302" s="69">
        <v>98.724987430869788</v>
      </c>
      <c r="X302" s="69">
        <v>399.98171846435099</v>
      </c>
      <c r="Y302" s="69">
        <f>Y$300*'Region OP Sales Goals'!V72</f>
        <v>401.95173453996978</v>
      </c>
      <c r="Z302" s="69">
        <f>Z$300*'Region OP Sales Goals'!W72</f>
        <v>446.80108597285061</v>
      </c>
      <c r="AA302" s="69">
        <f>AA$300*'Region OP Sales Goals'!X72</f>
        <v>377.77418659771598</v>
      </c>
      <c r="AB302" s="69">
        <f>AB$300*'Region OP Sales Goals'!Y72</f>
        <v>404.74340558892658</v>
      </c>
      <c r="AC302" s="69">
        <f>AC$300*'Region OP Sales Goals'!Z72</f>
        <v>543.72514853747714</v>
      </c>
      <c r="AD302" s="69">
        <f>AD$300*'Region OP Sales Goals'!AA72</f>
        <v>532.29601518026561</v>
      </c>
      <c r="AE302" s="69">
        <f>AE$300*'Region OP Sales Goals'!AB72</f>
        <v>497.77304586993165</v>
      </c>
      <c r="AF302" s="69">
        <f>AF$300*'Region OP Sales Goals'!AC72</f>
        <v>447.2522851919561</v>
      </c>
      <c r="AG302" s="69">
        <f>AG$300*'Region OP Sales Goals'!AD72</f>
        <v>476.16871245756067</v>
      </c>
      <c r="AH302" s="69">
        <f>AH$300*'Region OP Sales Goals'!AE72</f>
        <v>4453.035149959358</v>
      </c>
      <c r="AJ302" s="757"/>
      <c r="AK302" s="757"/>
      <c r="AL302" s="292" t="s">
        <v>100</v>
      </c>
      <c r="AM302" s="69">
        <v>367</v>
      </c>
      <c r="AN302" s="69">
        <v>341</v>
      </c>
      <c r="AO302" s="69">
        <v>634</v>
      </c>
      <c r="AP302" s="69">
        <v>536</v>
      </c>
      <c r="AQ302" s="69">
        <v>701</v>
      </c>
      <c r="AR302" s="69">
        <v>786</v>
      </c>
      <c r="AS302" s="69">
        <v>1041</v>
      </c>
      <c r="AT302" s="69">
        <v>946</v>
      </c>
      <c r="AU302" s="69"/>
      <c r="AV302" s="69"/>
      <c r="AW302" s="69"/>
      <c r="AX302" s="69"/>
      <c r="AY302" s="69">
        <f t="shared" ref="AY302:AY307" si="432">SUM(AM302:AX302)</f>
        <v>5352</v>
      </c>
      <c r="BA302" s="757"/>
      <c r="BB302" s="757"/>
      <c r="BC302" s="292" t="s">
        <v>100</v>
      </c>
      <c r="BD302" s="465">
        <f t="shared" ref="BD302:BD303" si="433">AM302/V302</f>
        <v>17.347853985455583</v>
      </c>
      <c r="BE302" s="465">
        <f t="shared" si="423"/>
        <v>3.4540394369640053</v>
      </c>
      <c r="BF302" s="465">
        <f t="shared" si="416"/>
        <v>1.5850724438959733</v>
      </c>
      <c r="BG302" s="465">
        <f t="shared" si="393"/>
        <v>1.3334934370004581</v>
      </c>
      <c r="BH302" s="465">
        <f t="shared" si="394"/>
        <v>1.5689308329984577</v>
      </c>
      <c r="BI302" s="465">
        <f t="shared" si="395"/>
        <v>2.0806080136888636</v>
      </c>
      <c r="BJ302" s="465">
        <f t="shared" si="396"/>
        <v>2.5719999032109762</v>
      </c>
      <c r="BK302" s="465">
        <f t="shared" si="397"/>
        <v>1.7398496327502413</v>
      </c>
      <c r="BL302" s="465">
        <f t="shared" si="398"/>
        <v>0</v>
      </c>
      <c r="BM302" s="465">
        <f t="shared" si="399"/>
        <v>0</v>
      </c>
      <c r="BN302" s="465">
        <f t="shared" si="400"/>
        <v>0</v>
      </c>
      <c r="BO302" s="465">
        <f t="shared" si="401"/>
        <v>0</v>
      </c>
      <c r="BP302" s="465">
        <f t="shared" ref="BP302:BP308" si="434">AY302/AH302</f>
        <v>1.2018768816699879</v>
      </c>
    </row>
    <row r="303" spans="2:68" ht="16" customHeight="1">
      <c r="B303" s="769"/>
      <c r="C303" s="769"/>
      <c r="D303" s="292" t="s">
        <v>101</v>
      </c>
      <c r="E303" s="69">
        <v>284</v>
      </c>
      <c r="F303" s="69">
        <v>330</v>
      </c>
      <c r="G303" s="69">
        <v>453</v>
      </c>
      <c r="H303" s="69">
        <v>379</v>
      </c>
      <c r="I303" s="69">
        <v>295</v>
      </c>
      <c r="J303" s="69">
        <v>312</v>
      </c>
      <c r="K303" s="69">
        <v>396</v>
      </c>
      <c r="L303" s="69">
        <v>317</v>
      </c>
      <c r="M303" s="69">
        <v>449</v>
      </c>
      <c r="N303" s="69">
        <v>259</v>
      </c>
      <c r="O303" s="69">
        <v>172</v>
      </c>
      <c r="P303" s="69">
        <v>110</v>
      </c>
      <c r="Q303" s="69">
        <f t="shared" si="431"/>
        <v>3756</v>
      </c>
      <c r="S303" s="769"/>
      <c r="T303" s="769"/>
      <c r="U303" s="292" t="s">
        <v>101</v>
      </c>
      <c r="V303" s="69">
        <v>0</v>
      </c>
      <c r="W303" s="69">
        <v>56.414278531925589</v>
      </c>
      <c r="X303" s="69">
        <v>222.21206581352831</v>
      </c>
      <c r="Y303" s="69">
        <f>Y$300*'Region OP Sales Goals'!V73</f>
        <v>211.55354449472094</v>
      </c>
      <c r="Z303" s="69">
        <f>Z$300*'Region OP Sales Goals'!W73</f>
        <v>130.31698340874811</v>
      </c>
      <c r="AA303" s="69">
        <f>AA$300*'Region OP Sales Goals'!X73</f>
        <v>75.554837319543196</v>
      </c>
      <c r="AB303" s="69">
        <f>AB$300*'Region OP Sales Goals'!Y73</f>
        <v>190.46748498302426</v>
      </c>
      <c r="AC303" s="69">
        <f>AC$300*'Region OP Sales Goals'!Z73</f>
        <v>241.65562157221206</v>
      </c>
      <c r="AD303" s="69">
        <f>AD$300*'Region OP Sales Goals'!AA73</f>
        <v>204.72923660779446</v>
      </c>
      <c r="AE303" s="69">
        <f>AE$300*'Region OP Sales Goals'!AB73</f>
        <v>139.99866915091829</v>
      </c>
      <c r="AF303" s="69">
        <f>AF$300*'Region OP Sales Goals'!AC73</f>
        <v>182.21389396709321</v>
      </c>
      <c r="AG303" s="69">
        <f>AG$300*'Region OP Sales Goals'!AD73</f>
        <v>206.33977539827632</v>
      </c>
      <c r="AH303" s="69">
        <f>AH$300*'Region OP Sales Goals'!AE73</f>
        <v>1669.8881812347593</v>
      </c>
      <c r="AJ303" s="757"/>
      <c r="AK303" s="757"/>
      <c r="AL303" s="292" t="s">
        <v>101</v>
      </c>
      <c r="AM303" s="69">
        <v>107</v>
      </c>
      <c r="AN303" s="69">
        <v>107</v>
      </c>
      <c r="AO303" s="69">
        <v>276</v>
      </c>
      <c r="AP303" s="69">
        <v>274</v>
      </c>
      <c r="AQ303" s="69">
        <v>349</v>
      </c>
      <c r="AR303" s="69">
        <v>423</v>
      </c>
      <c r="AS303" s="69">
        <v>486</v>
      </c>
      <c r="AT303" s="69">
        <v>387</v>
      </c>
      <c r="AU303" s="69"/>
      <c r="AV303" s="69"/>
      <c r="AW303" s="69"/>
      <c r="AX303" s="69"/>
      <c r="AY303" s="69">
        <f t="shared" si="432"/>
        <v>2409</v>
      </c>
      <c r="BA303" s="757"/>
      <c r="BB303" s="757"/>
      <c r="BC303" s="292" t="s">
        <v>101</v>
      </c>
      <c r="BD303" s="465" t="e">
        <f t="shared" si="433"/>
        <v>#DIV/0!</v>
      </c>
      <c r="BE303" s="465">
        <f t="shared" si="423"/>
        <v>1.8966829459575076</v>
      </c>
      <c r="BF303" s="465">
        <f t="shared" si="416"/>
        <v>1.2420567667626492</v>
      </c>
      <c r="BG303" s="465">
        <f t="shared" si="393"/>
        <v>1.295180379295594</v>
      </c>
      <c r="BH303" s="465">
        <f t="shared" si="394"/>
        <v>2.6780853183605213</v>
      </c>
      <c r="BI303" s="465">
        <f t="shared" si="395"/>
        <v>5.5985826322543852</v>
      </c>
      <c r="BJ303" s="465">
        <f t="shared" si="396"/>
        <v>2.5516166186754425</v>
      </c>
      <c r="BK303" s="465">
        <f t="shared" si="397"/>
        <v>1.6014525028723812</v>
      </c>
      <c r="BL303" s="465">
        <f t="shared" si="398"/>
        <v>0</v>
      </c>
      <c r="BM303" s="465">
        <f t="shared" si="399"/>
        <v>0</v>
      </c>
      <c r="BN303" s="465">
        <f t="shared" si="400"/>
        <v>0</v>
      </c>
      <c r="BO303" s="465">
        <f t="shared" si="401"/>
        <v>0</v>
      </c>
      <c r="BP303" s="465">
        <f t="shared" si="434"/>
        <v>1.4426115634992529</v>
      </c>
    </row>
    <row r="304" spans="2:68" ht="16" customHeight="1">
      <c r="B304" s="769"/>
      <c r="C304" s="769"/>
      <c r="D304" s="292" t="s">
        <v>102</v>
      </c>
      <c r="E304" s="69">
        <v>203</v>
      </c>
      <c r="F304" s="69">
        <v>238</v>
      </c>
      <c r="G304" s="69">
        <v>306</v>
      </c>
      <c r="H304" s="69">
        <v>212</v>
      </c>
      <c r="I304" s="69">
        <v>161</v>
      </c>
      <c r="J304" s="69">
        <v>187</v>
      </c>
      <c r="K304" s="69">
        <v>214</v>
      </c>
      <c r="L304" s="69">
        <v>225</v>
      </c>
      <c r="M304" s="69">
        <v>265</v>
      </c>
      <c r="N304" s="69">
        <v>150</v>
      </c>
      <c r="O304" s="69">
        <v>120</v>
      </c>
      <c r="P304" s="69">
        <v>155</v>
      </c>
      <c r="Q304" s="69">
        <f t="shared" si="431"/>
        <v>2436</v>
      </c>
      <c r="S304" s="769"/>
      <c r="T304" s="769"/>
      <c r="U304" s="292" t="s">
        <v>102</v>
      </c>
      <c r="V304" s="69">
        <v>63.466063348416291</v>
      </c>
      <c r="W304" s="69">
        <v>77.569632981397689</v>
      </c>
      <c r="X304" s="69">
        <v>311.09689213893967</v>
      </c>
      <c r="Y304" s="69">
        <f>Y$300*'Region OP Sales Goals'!V74</f>
        <v>296.17496229260934</v>
      </c>
      <c r="Z304" s="69">
        <f>Z$300*'Region OP Sales Goals'!W74</f>
        <v>335.10081447963796</v>
      </c>
      <c r="AA304" s="69">
        <f>AA$300*'Region OP Sales Goals'!X74</f>
        <v>302.21934927817279</v>
      </c>
      <c r="AB304" s="69">
        <f>AB$300*'Region OP Sales Goals'!Y74</f>
        <v>666.63619744058497</v>
      </c>
      <c r="AC304" s="69">
        <f>AC$300*'Region OP Sales Goals'!Z74</f>
        <v>422.89733775137114</v>
      </c>
      <c r="AD304" s="69">
        <f>AD$300*'Region OP Sales Goals'!AA74</f>
        <v>491.35016785870675</v>
      </c>
      <c r="AE304" s="69">
        <f>AE$300*'Region OP Sales Goals'!AB74</f>
        <v>357.77437671901333</v>
      </c>
      <c r="AF304" s="69">
        <f>AF$300*'Region OP Sales Goals'!AC74</f>
        <v>364.42778793418643</v>
      </c>
      <c r="AG304" s="69">
        <f>AG$300*'Region OP Sales Goals'!AD74</f>
        <v>380.93496996604858</v>
      </c>
      <c r="AH304" s="69">
        <f>AH$300*'Region OP Sales Goals'!AE74</f>
        <v>4154.8408318817228</v>
      </c>
      <c r="AJ304" s="757"/>
      <c r="AK304" s="757"/>
      <c r="AL304" s="292" t="s">
        <v>102</v>
      </c>
      <c r="AM304" s="69">
        <v>102</v>
      </c>
      <c r="AN304" s="69">
        <v>100</v>
      </c>
      <c r="AO304" s="69">
        <v>188</v>
      </c>
      <c r="AP304" s="69">
        <v>256</v>
      </c>
      <c r="AQ304" s="69">
        <v>228</v>
      </c>
      <c r="AR304" s="69">
        <v>348</v>
      </c>
      <c r="AS304" s="69">
        <v>343</v>
      </c>
      <c r="AT304" s="69">
        <v>305</v>
      </c>
      <c r="AU304" s="69"/>
      <c r="AV304" s="69"/>
      <c r="AW304" s="69"/>
      <c r="AX304" s="69"/>
      <c r="AY304" s="69">
        <f t="shared" si="432"/>
        <v>1870</v>
      </c>
      <c r="BA304" s="757"/>
      <c r="BB304" s="757"/>
      <c r="BC304" s="292" t="s">
        <v>102</v>
      </c>
      <c r="BD304" s="465">
        <f>AM304/V304</f>
        <v>1.6071581348923427</v>
      </c>
      <c r="BE304" s="465">
        <f t="shared" si="423"/>
        <v>1.2891642793254086</v>
      </c>
      <c r="BF304" s="465">
        <f t="shared" si="416"/>
        <v>0.60431333372509843</v>
      </c>
      <c r="BG304" s="465">
        <f t="shared" si="393"/>
        <v>0.8643539549000836</v>
      </c>
      <c r="BH304" s="465">
        <f t="shared" si="394"/>
        <v>0.68039225853285468</v>
      </c>
      <c r="BI304" s="465">
        <f t="shared" si="395"/>
        <v>1.151481534293455</v>
      </c>
      <c r="BJ304" s="465">
        <f t="shared" si="396"/>
        <v>0.51452351569998633</v>
      </c>
      <c r="BK304" s="465">
        <f t="shared" si="397"/>
        <v>0.72121522831461971</v>
      </c>
      <c r="BL304" s="465">
        <f t="shared" si="398"/>
        <v>0</v>
      </c>
      <c r="BM304" s="465">
        <f t="shared" si="399"/>
        <v>0</v>
      </c>
      <c r="BN304" s="465">
        <f t="shared" si="400"/>
        <v>0</v>
      </c>
      <c r="BO304" s="465">
        <f t="shared" si="401"/>
        <v>0</v>
      </c>
      <c r="BP304" s="465">
        <f t="shared" si="434"/>
        <v>0.45007740986146971</v>
      </c>
    </row>
    <row r="305" spans="2:68" ht="16" customHeight="1">
      <c r="B305" s="769"/>
      <c r="C305" s="769"/>
      <c r="D305" s="292" t="s">
        <v>103</v>
      </c>
      <c r="E305" s="69">
        <v>286</v>
      </c>
      <c r="F305" s="69">
        <v>348</v>
      </c>
      <c r="G305" s="69">
        <v>586</v>
      </c>
      <c r="H305" s="69">
        <v>495</v>
      </c>
      <c r="I305" s="69">
        <v>371</v>
      </c>
      <c r="J305" s="69">
        <v>303</v>
      </c>
      <c r="K305" s="69">
        <v>384</v>
      </c>
      <c r="L305" s="69">
        <v>364</v>
      </c>
      <c r="M305" s="69">
        <v>508</v>
      </c>
      <c r="N305" s="69">
        <v>208</v>
      </c>
      <c r="O305" s="69">
        <v>49</v>
      </c>
      <c r="P305" s="69">
        <v>39</v>
      </c>
      <c r="Q305" s="69">
        <f t="shared" si="431"/>
        <v>3941</v>
      </c>
      <c r="S305" s="769"/>
      <c r="T305" s="769"/>
      <c r="U305" s="292" t="s">
        <v>103</v>
      </c>
      <c r="V305" s="69">
        <v>0</v>
      </c>
      <c r="W305" s="69">
        <v>35.25892408245349</v>
      </c>
      <c r="X305" s="69">
        <v>155.54844606946983</v>
      </c>
      <c r="Y305" s="69">
        <f>Y$300*'Region OP Sales Goals'!V75</f>
        <v>148.08748114630467</v>
      </c>
      <c r="Z305" s="69">
        <f>Z$300*'Region OP Sales Goals'!W75</f>
        <v>55.850135746606327</v>
      </c>
      <c r="AA305" s="69">
        <f>AA$300*'Region OP Sales Goals'!X75</f>
        <v>37.777418659771598</v>
      </c>
      <c r="AB305" s="69">
        <f>AB$300*'Region OP Sales Goals'!Y75</f>
        <v>142.85061373726822</v>
      </c>
      <c r="AC305" s="69">
        <f>AC$300*'Region OP Sales Goals'!Z75</f>
        <v>140.96577925045702</v>
      </c>
      <c r="AD305" s="69">
        <f>AD$300*'Region OP Sales Goals'!AA75</f>
        <v>122.83754196467669</v>
      </c>
      <c r="AE305" s="69">
        <f>AE$300*'Region OP Sales Goals'!AB75</f>
        <v>77.777038417176826</v>
      </c>
      <c r="AF305" s="69">
        <f>AF$300*'Region OP Sales Goals'!AC75</f>
        <v>115.9542961608775</v>
      </c>
      <c r="AG305" s="69">
        <f>AG$300*'Region OP Sales Goals'!AD75</f>
        <v>126.97832332201618</v>
      </c>
      <c r="AH305" s="69">
        <f>AH$300*'Region OP Sales Goals'!AE75</f>
        <v>1013.8606814639611</v>
      </c>
      <c r="AJ305" s="757"/>
      <c r="AK305" s="757"/>
      <c r="AL305" s="292" t="s">
        <v>103</v>
      </c>
      <c r="AM305" s="69">
        <v>28</v>
      </c>
      <c r="AN305" s="69">
        <v>88</v>
      </c>
      <c r="AO305" s="69">
        <v>271</v>
      </c>
      <c r="AP305" s="69">
        <v>287</v>
      </c>
      <c r="AQ305" s="69">
        <v>389</v>
      </c>
      <c r="AR305" s="69">
        <v>412</v>
      </c>
      <c r="AS305" s="69">
        <v>488</v>
      </c>
      <c r="AT305" s="69">
        <v>203</v>
      </c>
      <c r="AU305" s="69"/>
      <c r="AV305" s="69"/>
      <c r="AW305" s="69"/>
      <c r="AX305" s="69"/>
      <c r="AY305" s="69">
        <f t="shared" si="432"/>
        <v>2166</v>
      </c>
      <c r="BA305" s="757"/>
      <c r="BB305" s="757"/>
      <c r="BC305" s="292" t="s">
        <v>103</v>
      </c>
      <c r="BD305" s="465" t="e">
        <f t="shared" ref="BD305:BD307" si="435">AM305/V305</f>
        <v>#DIV/0!</v>
      </c>
      <c r="BE305" s="465">
        <f t="shared" si="423"/>
        <v>2.4958220447739916</v>
      </c>
      <c r="BF305" s="465">
        <f t="shared" si="416"/>
        <v>1.7422224833989539</v>
      </c>
      <c r="BG305" s="465">
        <f t="shared" si="393"/>
        <v>1.938043633252531</v>
      </c>
      <c r="BH305" s="465">
        <f t="shared" si="394"/>
        <v>6.9650681202442231</v>
      </c>
      <c r="BI305" s="465">
        <f t="shared" si="395"/>
        <v>10.905986025951805</v>
      </c>
      <c r="BJ305" s="465">
        <f t="shared" si="396"/>
        <v>3.4161561314502489</v>
      </c>
      <c r="BK305" s="465">
        <f t="shared" si="397"/>
        <v>1.4400658165364051</v>
      </c>
      <c r="BL305" s="465">
        <f t="shared" si="398"/>
        <v>0</v>
      </c>
      <c r="BM305" s="465">
        <f t="shared" si="399"/>
        <v>0</v>
      </c>
      <c r="BN305" s="465">
        <f t="shared" si="400"/>
        <v>0</v>
      </c>
      <c r="BO305" s="465">
        <f t="shared" si="401"/>
        <v>0</v>
      </c>
      <c r="BP305" s="465">
        <f t="shared" si="434"/>
        <v>2.1363882036261734</v>
      </c>
    </row>
    <row r="306" spans="2:68" ht="16" customHeight="1">
      <c r="B306" s="769"/>
      <c r="C306" s="769"/>
      <c r="D306" s="292" t="s">
        <v>104</v>
      </c>
      <c r="E306" s="69">
        <v>421</v>
      </c>
      <c r="F306" s="69">
        <v>504</v>
      </c>
      <c r="G306" s="69">
        <v>730</v>
      </c>
      <c r="H306" s="69">
        <v>541</v>
      </c>
      <c r="I306" s="69">
        <v>360</v>
      </c>
      <c r="J306" s="69">
        <v>441</v>
      </c>
      <c r="K306" s="69">
        <v>582</v>
      </c>
      <c r="L306" s="69">
        <v>508</v>
      </c>
      <c r="M306" s="69">
        <v>702</v>
      </c>
      <c r="N306" s="69">
        <v>279</v>
      </c>
      <c r="O306" s="69">
        <v>123</v>
      </c>
      <c r="P306" s="69">
        <v>76</v>
      </c>
      <c r="Q306" s="69">
        <f t="shared" si="431"/>
        <v>5267</v>
      </c>
      <c r="S306" s="769"/>
      <c r="T306" s="769"/>
      <c r="U306" s="292" t="s">
        <v>104</v>
      </c>
      <c r="V306" s="69">
        <v>0</v>
      </c>
      <c r="W306" s="69">
        <v>56.414278531925589</v>
      </c>
      <c r="X306" s="69">
        <v>266.65447897623397</v>
      </c>
      <c r="Y306" s="69">
        <f>Y$300*'Region OP Sales Goals'!V76</f>
        <v>338.48567119155354</v>
      </c>
      <c r="Z306" s="69">
        <f>Z$300*'Region OP Sales Goals'!W76</f>
        <v>372.33423831070888</v>
      </c>
      <c r="AA306" s="69">
        <f>AA$300*'Region OP Sales Goals'!X76</f>
        <v>358.88547726783014</v>
      </c>
      <c r="AB306" s="69">
        <f>AB$300*'Region OP Sales Goals'!Y76</f>
        <v>452.36027683468262</v>
      </c>
      <c r="AC306" s="69">
        <f>AC$300*'Region OP Sales Goals'!Z76</f>
        <v>443.03530621572213</v>
      </c>
      <c r="AD306" s="69">
        <f>AD$300*'Region OP Sales Goals'!AA76</f>
        <v>470.87724419792721</v>
      </c>
      <c r="AE306" s="69">
        <f>AE$300*'Region OP Sales Goals'!AB76</f>
        <v>404.44059976931948</v>
      </c>
      <c r="AF306" s="69">
        <f>AF$300*'Region OP Sales Goals'!AC76</f>
        <v>414.12248628884822</v>
      </c>
      <c r="AG306" s="69">
        <f>AG$300*'Region OP Sales Goals'!AD76</f>
        <v>380.93496996604858</v>
      </c>
      <c r="AH306" s="69">
        <f>AH$300*'Region OP Sales Goals'!AE76</f>
        <v>3876.5261350092633</v>
      </c>
      <c r="AJ306" s="757"/>
      <c r="AK306" s="757"/>
      <c r="AL306" s="292" t="s">
        <v>104</v>
      </c>
      <c r="AM306" s="69">
        <v>70</v>
      </c>
      <c r="AN306" s="69">
        <v>156</v>
      </c>
      <c r="AO306" s="69">
        <v>494</v>
      </c>
      <c r="AP306" s="69">
        <v>561</v>
      </c>
      <c r="AQ306" s="156">
        <v>605</v>
      </c>
      <c r="AR306" s="156">
        <v>666</v>
      </c>
      <c r="AS306" s="156">
        <v>897</v>
      </c>
      <c r="AT306" s="156">
        <v>682</v>
      </c>
      <c r="AU306" s="69"/>
      <c r="AV306" s="69"/>
      <c r="AW306" s="69"/>
      <c r="AX306" s="69"/>
      <c r="AY306" s="69">
        <f t="shared" si="432"/>
        <v>4131</v>
      </c>
      <c r="BA306" s="757"/>
      <c r="BB306" s="757"/>
      <c r="BC306" s="292" t="s">
        <v>104</v>
      </c>
      <c r="BD306" s="465" t="e">
        <f t="shared" si="435"/>
        <v>#DIV/0!</v>
      </c>
      <c r="BE306" s="465">
        <f t="shared" si="423"/>
        <v>2.7652573791530015</v>
      </c>
      <c r="BF306" s="465">
        <f t="shared" si="416"/>
        <v>1.8525846702317292</v>
      </c>
      <c r="BG306" s="465">
        <f t="shared" si="393"/>
        <v>1.6573818266077285</v>
      </c>
      <c r="BH306" s="465">
        <f t="shared" si="394"/>
        <v>1.6248841437330672</v>
      </c>
      <c r="BI306" s="465">
        <f t="shared" si="395"/>
        <v>1.8557451950137718</v>
      </c>
      <c r="BJ306" s="465">
        <f t="shared" si="396"/>
        <v>1.9829327329017734</v>
      </c>
      <c r="BK306" s="465">
        <f t="shared" si="397"/>
        <v>1.5393807004354672</v>
      </c>
      <c r="BL306" s="465">
        <f t="shared" si="398"/>
        <v>0</v>
      </c>
      <c r="BM306" s="465">
        <f t="shared" si="399"/>
        <v>0</v>
      </c>
      <c r="BN306" s="465">
        <f t="shared" si="400"/>
        <v>0</v>
      </c>
      <c r="BO306" s="465">
        <f t="shared" si="401"/>
        <v>0</v>
      </c>
      <c r="BP306" s="465">
        <f t="shared" si="434"/>
        <v>1.0656448211950797</v>
      </c>
    </row>
    <row r="307" spans="2:68" ht="16" customHeight="1">
      <c r="B307" s="769"/>
      <c r="C307" s="769"/>
      <c r="D307" s="292" t="s">
        <v>105</v>
      </c>
      <c r="E307" s="69">
        <v>777</v>
      </c>
      <c r="F307" s="69">
        <v>832</v>
      </c>
      <c r="G307" s="69">
        <v>1226</v>
      </c>
      <c r="H307" s="69">
        <v>860</v>
      </c>
      <c r="I307" s="69">
        <v>752</v>
      </c>
      <c r="J307" s="69">
        <v>720</v>
      </c>
      <c r="K307" s="69">
        <v>1012</v>
      </c>
      <c r="L307" s="69">
        <v>841</v>
      </c>
      <c r="M307" s="69">
        <v>1361</v>
      </c>
      <c r="N307" s="69">
        <v>708</v>
      </c>
      <c r="O307" s="69">
        <v>627</v>
      </c>
      <c r="P307" s="69">
        <v>767</v>
      </c>
      <c r="Q307" s="69">
        <f t="shared" si="431"/>
        <v>10483</v>
      </c>
      <c r="S307" s="769"/>
      <c r="T307" s="769"/>
      <c r="U307" s="292" t="s">
        <v>105</v>
      </c>
      <c r="V307" s="69">
        <v>232.70889894419304</v>
      </c>
      <c r="W307" s="69">
        <v>275.01960784313724</v>
      </c>
      <c r="X307" s="69">
        <v>1155.5027422303474</v>
      </c>
      <c r="Y307" s="69">
        <f>Y$300*'Region OP Sales Goals'!V77</f>
        <v>994.30165912518851</v>
      </c>
      <c r="Z307" s="69">
        <f>Z$300*'Region OP Sales Goals'!W77</f>
        <v>1396.2533936651582</v>
      </c>
      <c r="AA307" s="69">
        <f>AA$300*'Region OP Sales Goals'!X77</f>
        <v>1435.5419090713206</v>
      </c>
      <c r="AB307" s="69">
        <f>AB$300*'Region OP Sales Goals'!Y77</f>
        <v>1309.4639592582919</v>
      </c>
      <c r="AC307" s="69">
        <f>AC$300*'Region OP Sales Goals'!Z77</f>
        <v>1268.6920132541134</v>
      </c>
      <c r="AD307" s="69">
        <f>AD$300*'Region OP Sales Goals'!AA77</f>
        <v>1228.3754196467667</v>
      </c>
      <c r="AE307" s="69">
        <f>AE$300*'Region OP Sales Goals'!AB77</f>
        <v>1073.3231301570402</v>
      </c>
      <c r="AF307" s="69">
        <f>AF$300*'Region OP Sales Goals'!AC77</f>
        <v>1076.7184643510054</v>
      </c>
      <c r="AG307" s="69">
        <f>AG$300*'Region OP Sales Goals'!AD77</f>
        <v>1285.6555236354138</v>
      </c>
      <c r="AH307" s="69">
        <f>AH$300*'Region OP Sales Goals'!AE77</f>
        <v>13339.225828672899</v>
      </c>
      <c r="AJ307" s="757"/>
      <c r="AK307" s="757"/>
      <c r="AL307" s="292" t="s">
        <v>105</v>
      </c>
      <c r="AM307" s="69">
        <v>668</v>
      </c>
      <c r="AN307" s="69">
        <v>763</v>
      </c>
      <c r="AO307" s="69">
        <v>1086</v>
      </c>
      <c r="AP307" s="69">
        <v>887</v>
      </c>
      <c r="AQ307" s="69">
        <v>1079</v>
      </c>
      <c r="AR307" s="69">
        <v>1299</v>
      </c>
      <c r="AS307" s="69">
        <v>1339</v>
      </c>
      <c r="AT307" s="69">
        <v>1274</v>
      </c>
      <c r="AU307" s="69"/>
      <c r="AV307" s="69"/>
      <c r="AW307" s="69"/>
      <c r="AX307" s="69"/>
      <c r="AY307" s="69">
        <f t="shared" si="432"/>
        <v>8395</v>
      </c>
      <c r="BA307" s="757"/>
      <c r="BB307" s="757"/>
      <c r="BC307" s="292" t="s">
        <v>105</v>
      </c>
      <c r="BD307" s="465">
        <f t="shared" si="435"/>
        <v>2.8705391286312434</v>
      </c>
      <c r="BE307" s="465">
        <f t="shared" si="423"/>
        <v>2.7743476400969631</v>
      </c>
      <c r="BF307" s="465">
        <f t="shared" si="416"/>
        <v>0.93985064709046606</v>
      </c>
      <c r="BG307" s="465">
        <f t="shared" si="393"/>
        <v>0.89208339527503633</v>
      </c>
      <c r="BH307" s="465">
        <f t="shared" si="394"/>
        <v>0.77278236521784227</v>
      </c>
      <c r="BI307" s="465">
        <f t="shared" si="395"/>
        <v>0.90488476288396757</v>
      </c>
      <c r="BJ307" s="465">
        <f t="shared" si="396"/>
        <v>1.0225558256360396</v>
      </c>
      <c r="BK307" s="465">
        <f t="shared" si="397"/>
        <v>1.0041838260905198</v>
      </c>
      <c r="BL307" s="465">
        <f t="shared" si="398"/>
        <v>0</v>
      </c>
      <c r="BM307" s="465">
        <f t="shared" si="399"/>
        <v>0</v>
      </c>
      <c r="BN307" s="465">
        <f t="shared" si="400"/>
        <v>0</v>
      </c>
      <c r="BO307" s="465">
        <f t="shared" si="401"/>
        <v>0</v>
      </c>
      <c r="BP307" s="465">
        <f t="shared" si="434"/>
        <v>0.62934686823839514</v>
      </c>
    </row>
    <row r="308" spans="2:68">
      <c r="B308" s="769"/>
      <c r="C308" s="769"/>
      <c r="D308" s="182" t="s">
        <v>7</v>
      </c>
      <c r="E308" s="341">
        <f>SUM(E309:E315)</f>
        <v>46849</v>
      </c>
      <c r="F308" s="341">
        <f t="shared" ref="F308:Q308" si="436">SUM(F309:F315)</f>
        <v>45668</v>
      </c>
      <c r="G308" s="341">
        <f t="shared" si="436"/>
        <v>51140</v>
      </c>
      <c r="H308" s="341">
        <f t="shared" si="436"/>
        <v>41936</v>
      </c>
      <c r="I308" s="341">
        <f t="shared" si="436"/>
        <v>36862</v>
      </c>
      <c r="J308" s="341">
        <f t="shared" si="436"/>
        <v>39052</v>
      </c>
      <c r="K308" s="341">
        <f t="shared" si="436"/>
        <v>40424</v>
      </c>
      <c r="L308" s="341">
        <f t="shared" si="436"/>
        <v>32390</v>
      </c>
      <c r="M308" s="341">
        <f t="shared" si="436"/>
        <v>33661</v>
      </c>
      <c r="N308" s="341">
        <f t="shared" si="436"/>
        <v>20554</v>
      </c>
      <c r="O308" s="341">
        <f t="shared" si="436"/>
        <v>16084</v>
      </c>
      <c r="P308" s="341">
        <f t="shared" si="436"/>
        <v>18329</v>
      </c>
      <c r="Q308" s="341">
        <f t="shared" si="436"/>
        <v>422949</v>
      </c>
      <c r="S308" s="769"/>
      <c r="T308" s="769"/>
      <c r="U308" s="182" t="s">
        <v>7</v>
      </c>
      <c r="V308" s="341">
        <v>3229.4548413344178</v>
      </c>
      <c r="W308" s="341">
        <v>6458.9096826688356</v>
      </c>
      <c r="X308" s="341">
        <v>29515.714285714286</v>
      </c>
      <c r="Y308" s="341" cm="1">
        <f t="array" ref="Y308">INDEX('Shop Goals'!$G$148:$G$159, COLUMN()-COLUMN($V$3)+1)</f>
        <v>25835.638730675342</v>
      </c>
      <c r="Z308" s="341" cm="1">
        <f t="array" ref="Z308">INDEX('Shop Goals'!$G$148:$G$159, COLUMN()-COLUMN($V$3)+1)</f>
        <v>28419.202603742877</v>
      </c>
      <c r="AA308" s="341" cm="1">
        <f t="array" ref="AA308">INDEX('Shop Goals'!$G$148:$G$159, COLUMN()-COLUMN($V$3)+1)</f>
        <v>26912.123677786818</v>
      </c>
      <c r="AB308" s="341" cm="1">
        <f t="array" ref="AB308">INDEX('Shop Goals'!$G$148:$G$159, COLUMN()-COLUMN($V$3)+1)</f>
        <v>36894.642857142855</v>
      </c>
      <c r="AC308" s="341" cm="1">
        <f t="array" ref="AC308">INDEX('Shop Goals'!$G$148:$G$159, COLUMN()-COLUMN($V$3)+1)</f>
        <v>35664.821428571428</v>
      </c>
      <c r="AD308" s="341" cm="1">
        <f t="array" ref="AD308">INDEX('Shop Goals'!$G$148:$G$159, COLUMN()-COLUMN($V$3)+1)</f>
        <v>32294.548413344179</v>
      </c>
      <c r="AE308" s="341" cm="1">
        <f t="array" ref="AE308">INDEX('Shop Goals'!$G$148:$G$159, COLUMN()-COLUMN($V$3)+1)</f>
        <v>26912.123677786818</v>
      </c>
      <c r="AF308" s="341" cm="1">
        <f t="array" ref="AF308">INDEX('Shop Goals'!$G$148:$G$159, COLUMN()-COLUMN($V$3)+1)</f>
        <v>30253.607142857141</v>
      </c>
      <c r="AG308" s="341" cm="1">
        <f t="array" ref="AG308">INDEX('Shop Goals'!$G$148:$G$159, COLUMN()-COLUMN($V$3)+1)</f>
        <v>33205.178571428572</v>
      </c>
      <c r="AH308" s="342">
        <f>SUM(V308:AG308)</f>
        <v>315595.96591305354</v>
      </c>
      <c r="AJ308" s="757"/>
      <c r="AK308" s="757"/>
      <c r="AL308" s="182" t="s">
        <v>7</v>
      </c>
      <c r="AM308" s="341">
        <f>SUM(AM309:AM315)</f>
        <v>13089</v>
      </c>
      <c r="AN308" s="341">
        <f t="shared" ref="AN308:AY308" si="437">SUM(AN309:AN315)</f>
        <v>13672</v>
      </c>
      <c r="AO308" s="341">
        <f t="shared" si="437"/>
        <v>19777</v>
      </c>
      <c r="AP308" s="341">
        <f t="shared" si="437"/>
        <v>24824</v>
      </c>
      <c r="AQ308" s="341">
        <f t="shared" si="437"/>
        <v>31081</v>
      </c>
      <c r="AR308" s="341">
        <f t="shared" si="437"/>
        <v>28088</v>
      </c>
      <c r="AS308" s="341">
        <f t="shared" si="437"/>
        <v>23471</v>
      </c>
      <c r="AT308" s="341">
        <f t="shared" si="437"/>
        <v>16649</v>
      </c>
      <c r="AU308" s="341">
        <f t="shared" si="437"/>
        <v>0</v>
      </c>
      <c r="AV308" s="341">
        <f t="shared" si="437"/>
        <v>0</v>
      </c>
      <c r="AW308" s="341">
        <f t="shared" si="437"/>
        <v>0</v>
      </c>
      <c r="AX308" s="341">
        <f t="shared" si="437"/>
        <v>0</v>
      </c>
      <c r="AY308" s="341">
        <f t="shared" si="437"/>
        <v>170651</v>
      </c>
      <c r="BA308" s="757"/>
      <c r="BB308" s="757"/>
      <c r="BC308" s="182" t="s">
        <v>6</v>
      </c>
      <c r="BD308" s="464">
        <f>AM308/V308</f>
        <v>4.0530060468631905</v>
      </c>
      <c r="BE308" s="464">
        <f t="shared" si="423"/>
        <v>2.1167659360040316</v>
      </c>
      <c r="BF308" s="464">
        <f t="shared" si="416"/>
        <v>0.67004985237887804</v>
      </c>
      <c r="BG308" s="464">
        <f t="shared" si="393"/>
        <v>0.96084328546233322</v>
      </c>
      <c r="BH308" s="464">
        <f t="shared" si="394"/>
        <v>1.0936619311024074</v>
      </c>
      <c r="BI308" s="464">
        <f t="shared" si="395"/>
        <v>1.0436931821617537</v>
      </c>
      <c r="BJ308" s="464">
        <f t="shared" si="396"/>
        <v>0.63616281883742321</v>
      </c>
      <c r="BK308" s="464">
        <f t="shared" si="397"/>
        <v>0.46681854368300096</v>
      </c>
      <c r="BL308" s="464">
        <f t="shared" si="398"/>
        <v>0</v>
      </c>
      <c r="BM308" s="464">
        <f t="shared" si="399"/>
        <v>0</v>
      </c>
      <c r="BN308" s="464">
        <f t="shared" si="400"/>
        <v>0</v>
      </c>
      <c r="BO308" s="464">
        <f t="shared" si="401"/>
        <v>0</v>
      </c>
      <c r="BP308" s="464">
        <f t="shared" si="434"/>
        <v>0.54072617660459643</v>
      </c>
    </row>
    <row r="309" spans="2:68" ht="16" customHeight="1">
      <c r="B309" s="769"/>
      <c r="C309" s="769"/>
      <c r="D309" s="292" t="s">
        <v>99</v>
      </c>
      <c r="E309" s="69">
        <v>3287</v>
      </c>
      <c r="F309" s="69">
        <v>3570</v>
      </c>
      <c r="G309" s="69">
        <v>3589</v>
      </c>
      <c r="H309" s="69">
        <v>2401</v>
      </c>
      <c r="I309" s="69">
        <v>1500</v>
      </c>
      <c r="J309" s="69">
        <v>1247</v>
      </c>
      <c r="K309" s="69">
        <v>1860</v>
      </c>
      <c r="L309" s="69">
        <v>1438</v>
      </c>
      <c r="M309" s="69">
        <v>1082</v>
      </c>
      <c r="N309" s="69">
        <v>288</v>
      </c>
      <c r="O309" s="69">
        <v>373</v>
      </c>
      <c r="P309" s="69">
        <v>636</v>
      </c>
      <c r="Q309" s="69">
        <f>SUM(E309:P309)</f>
        <v>21271</v>
      </c>
      <c r="S309" s="769"/>
      <c r="T309" s="769"/>
      <c r="U309" s="292" t="s">
        <v>99</v>
      </c>
      <c r="V309" s="69">
        <v>0</v>
      </c>
      <c r="W309" s="69">
        <v>358.82831570382416</v>
      </c>
      <c r="X309" s="69">
        <v>1721.75</v>
      </c>
      <c r="Y309" s="69">
        <f>Y$308*'Region OP Sales Goals'!V71</f>
        <v>1507.0789259560618</v>
      </c>
      <c r="Z309" s="69">
        <f>Z$308*'Region OP Sales Goals'!W71</f>
        <v>568.38405207485755</v>
      </c>
      <c r="AA309" s="69">
        <f>AA$308*'Region OP Sales Goals'!X71</f>
        <v>576.6883645240033</v>
      </c>
      <c r="AB309" s="69">
        <f>AB$308*'Region OP Sales Goals'!Y71</f>
        <v>1844.7321428571429</v>
      </c>
      <c r="AC309" s="69">
        <f>AC$308*'Region OP Sales Goals'!Z71</f>
        <v>1783.2410714285716</v>
      </c>
      <c r="AD309" s="69">
        <f>AD$308*'Region OP Sales Goals'!AA71</f>
        <v>1250.1115514842909</v>
      </c>
      <c r="AE309" s="69">
        <f>AE$308*'Region OP Sales Goals'!AB71</f>
        <v>949.83965921600532</v>
      </c>
      <c r="AF309" s="69">
        <f>AF$308*'Region OP Sales Goals'!AC71</f>
        <v>1466.8415584415584</v>
      </c>
      <c r="AG309" s="69">
        <f>AG$308*'Region OP Sales Goals'!AD71</f>
        <v>1581.1989795918366</v>
      </c>
      <c r="AH309" s="69">
        <f>AH$308*'Region OP Sales Goals'!AE71</f>
        <v>12463.294503929155</v>
      </c>
      <c r="AJ309" s="757"/>
      <c r="AK309" s="757"/>
      <c r="AL309" s="292" t="s">
        <v>99</v>
      </c>
      <c r="AM309" s="69">
        <v>281</v>
      </c>
      <c r="AN309" s="69">
        <v>273</v>
      </c>
      <c r="AO309" s="69">
        <v>446</v>
      </c>
      <c r="AP309" s="69">
        <v>918</v>
      </c>
      <c r="AQ309" s="69">
        <v>1577</v>
      </c>
      <c r="AR309" s="69">
        <v>1477</v>
      </c>
      <c r="AS309" s="69">
        <v>718</v>
      </c>
      <c r="AT309" s="69">
        <v>116</v>
      </c>
      <c r="AU309" s="69"/>
      <c r="AV309" s="69"/>
      <c r="AW309" s="69"/>
      <c r="AX309" s="69"/>
      <c r="AY309" s="69">
        <f>SUM(AM309:AX309)</f>
        <v>5806</v>
      </c>
      <c r="BA309" s="757"/>
      <c r="BB309" s="757"/>
      <c r="BC309" s="292" t="s">
        <v>99</v>
      </c>
      <c r="BD309" s="465" t="e">
        <f>AM309/V309</f>
        <v>#DIV/0!</v>
      </c>
      <c r="BE309" s="465">
        <f t="shared" si="423"/>
        <v>0.76080952380952405</v>
      </c>
      <c r="BF309" s="465">
        <f t="shared" si="416"/>
        <v>0.2590387686946421</v>
      </c>
      <c r="BG309" s="465">
        <f t="shared" si="393"/>
        <v>0.6091253644314869</v>
      </c>
      <c r="BH309" s="465">
        <f t="shared" si="394"/>
        <v>2.7745324560800753</v>
      </c>
      <c r="BI309" s="465">
        <f t="shared" si="395"/>
        <v>2.5611753086419751</v>
      </c>
      <c r="BJ309" s="465">
        <f t="shared" si="396"/>
        <v>0.38921639804462516</v>
      </c>
      <c r="BK309" s="465">
        <f t="shared" si="397"/>
        <v>6.5050094380717294E-2</v>
      </c>
      <c r="BL309" s="465">
        <f t="shared" si="398"/>
        <v>0</v>
      </c>
      <c r="BM309" s="465">
        <f t="shared" si="399"/>
        <v>0</v>
      </c>
      <c r="BN309" s="465">
        <f t="shared" si="400"/>
        <v>0</v>
      </c>
      <c r="BO309" s="465">
        <f t="shared" si="401"/>
        <v>0</v>
      </c>
      <c r="BP309" s="465">
        <f>AY309/AH309</f>
        <v>0.46584793436194666</v>
      </c>
    </row>
    <row r="310" spans="2:68" ht="16" customHeight="1">
      <c r="B310" s="769"/>
      <c r="C310" s="769"/>
      <c r="D310" s="292" t="s">
        <v>100</v>
      </c>
      <c r="E310" s="69">
        <v>14036</v>
      </c>
      <c r="F310" s="69">
        <v>13450</v>
      </c>
      <c r="G310" s="69">
        <v>14846</v>
      </c>
      <c r="H310" s="69">
        <v>11222</v>
      </c>
      <c r="I310" s="69">
        <v>10805</v>
      </c>
      <c r="J310" s="69">
        <v>10611</v>
      </c>
      <c r="K310" s="69">
        <v>10206</v>
      </c>
      <c r="L310" s="69">
        <v>10004</v>
      </c>
      <c r="M310" s="69">
        <v>11565</v>
      </c>
      <c r="N310" s="69">
        <v>6608</v>
      </c>
      <c r="O310" s="69">
        <v>4020</v>
      </c>
      <c r="P310" s="69">
        <v>3413</v>
      </c>
      <c r="Q310" s="69">
        <f t="shared" ref="Q310:Q315" si="438">SUM(E310:P310)</f>
        <v>120786</v>
      </c>
      <c r="S310" s="769"/>
      <c r="T310" s="769"/>
      <c r="U310" s="292" t="s">
        <v>100</v>
      </c>
      <c r="V310" s="69">
        <v>215.2969894222945</v>
      </c>
      <c r="W310" s="69">
        <v>1004.7192839707078</v>
      </c>
      <c r="X310" s="69">
        <v>4427.3571428571431</v>
      </c>
      <c r="Y310" s="69">
        <f>Y$308*'Region OP Sales Goals'!V72</f>
        <v>4090.6427990235957</v>
      </c>
      <c r="Z310" s="69">
        <f>Z$308*'Region OP Sales Goals'!W72</f>
        <v>4547.0724165988604</v>
      </c>
      <c r="AA310" s="69">
        <f>AA$308*'Region OP Sales Goals'!X72</f>
        <v>3844.5890968266881</v>
      </c>
      <c r="AB310" s="69">
        <f>AB$308*'Region OP Sales Goals'!Y72</f>
        <v>4480.0637755102034</v>
      </c>
      <c r="AC310" s="69">
        <f>AC$308*'Region OP Sales Goals'!Z72</f>
        <v>6018.4386160714284</v>
      </c>
      <c r="AD310" s="69">
        <f>AD$308*'Region OP Sales Goals'!AA72</f>
        <v>5417.1500564319267</v>
      </c>
      <c r="AE310" s="69">
        <f>AE$308*'Region OP Sales Goals'!AB72</f>
        <v>5065.8115158186947</v>
      </c>
      <c r="AF310" s="69">
        <f>AF$308*'Region OP Sales Goals'!AC72</f>
        <v>4950.5902597402592</v>
      </c>
      <c r="AG310" s="69">
        <f>AG$308*'Region OP Sales Goals'!AD72</f>
        <v>5270.6632653061224</v>
      </c>
      <c r="AH310" s="69">
        <f>AH$308*'Region OP Sales Goals'!AE72</f>
        <v>47318.270658985275</v>
      </c>
      <c r="AJ310" s="757"/>
      <c r="AK310" s="757"/>
      <c r="AL310" s="292" t="s">
        <v>100</v>
      </c>
      <c r="AM310" s="69">
        <v>3154</v>
      </c>
      <c r="AN310" s="69">
        <v>2670</v>
      </c>
      <c r="AO310" s="69">
        <v>4644</v>
      </c>
      <c r="AP310" s="69">
        <v>5503</v>
      </c>
      <c r="AQ310" s="69">
        <v>6375</v>
      </c>
      <c r="AR310" s="69">
        <v>5067</v>
      </c>
      <c r="AS310" s="69">
        <v>5478</v>
      </c>
      <c r="AT310" s="69">
        <v>3727</v>
      </c>
      <c r="AU310" s="69"/>
      <c r="AV310" s="69"/>
      <c r="AW310" s="69"/>
      <c r="AX310" s="69"/>
      <c r="AY310" s="69">
        <f t="shared" ref="AY310:AY315" si="439">SUM(AM310:AX310)</f>
        <v>36618</v>
      </c>
      <c r="BA310" s="757"/>
      <c r="BB310" s="757"/>
      <c r="BC310" s="292" t="s">
        <v>100</v>
      </c>
      <c r="BD310" s="465">
        <f t="shared" ref="BD310:BD311" si="440">AM310/V310</f>
        <v>14.649531368102799</v>
      </c>
      <c r="BE310" s="465">
        <f t="shared" si="423"/>
        <v>2.6574586977648202</v>
      </c>
      <c r="BF310" s="465">
        <f t="shared" si="416"/>
        <v>1.0489327718890662</v>
      </c>
      <c r="BG310" s="465">
        <f t="shared" si="393"/>
        <v>1.3452653459044439</v>
      </c>
      <c r="BH310" s="465">
        <f t="shared" si="394"/>
        <v>1.402000983474198</v>
      </c>
      <c r="BI310" s="465">
        <f t="shared" si="395"/>
        <v>1.3179561904761905</v>
      </c>
      <c r="BJ310" s="465">
        <f t="shared" si="396"/>
        <v>1.2227504505504831</v>
      </c>
      <c r="BK310" s="465">
        <f t="shared" si="397"/>
        <v>0.61926360602026398</v>
      </c>
      <c r="BL310" s="465">
        <f t="shared" si="398"/>
        <v>0</v>
      </c>
      <c r="BM310" s="465">
        <f t="shared" si="399"/>
        <v>0</v>
      </c>
      <c r="BN310" s="465">
        <f t="shared" si="400"/>
        <v>0</v>
      </c>
      <c r="BO310" s="465">
        <f t="shared" si="401"/>
        <v>0</v>
      </c>
      <c r="BP310" s="465">
        <f t="shared" ref="BP310:BP315" si="441">AY310/AH310</f>
        <v>0.77386598221012126</v>
      </c>
    </row>
    <row r="311" spans="2:68" ht="16" customHeight="1">
      <c r="B311" s="769"/>
      <c r="C311" s="769"/>
      <c r="D311" s="292" t="s">
        <v>101</v>
      </c>
      <c r="E311" s="69">
        <v>2680</v>
      </c>
      <c r="F311" s="69">
        <v>3351</v>
      </c>
      <c r="G311" s="69">
        <v>3695</v>
      </c>
      <c r="H311" s="69">
        <v>3938</v>
      </c>
      <c r="I311" s="69">
        <v>4898</v>
      </c>
      <c r="J311" s="69">
        <v>6103</v>
      </c>
      <c r="K311" s="69">
        <v>8162</v>
      </c>
      <c r="L311" s="69">
        <v>2571</v>
      </c>
      <c r="M311" s="69">
        <v>2660</v>
      </c>
      <c r="N311" s="69">
        <v>1963</v>
      </c>
      <c r="O311" s="69">
        <v>3586</v>
      </c>
      <c r="P311" s="69">
        <v>3510</v>
      </c>
      <c r="Q311" s="69">
        <f t="shared" si="438"/>
        <v>47117</v>
      </c>
      <c r="S311" s="769"/>
      <c r="T311" s="769"/>
      <c r="U311" s="292" t="s">
        <v>101</v>
      </c>
      <c r="V311" s="69">
        <v>0</v>
      </c>
      <c r="W311" s="69">
        <v>574.12530512611875</v>
      </c>
      <c r="X311" s="69">
        <v>2459.6428571428569</v>
      </c>
      <c r="Y311" s="69">
        <f>Y$308*'Region OP Sales Goals'!V73</f>
        <v>2152.9698942229452</v>
      </c>
      <c r="Z311" s="69">
        <f>Z$308*'Region OP Sales Goals'!W73</f>
        <v>1326.2294548413342</v>
      </c>
      <c r="AA311" s="69">
        <f>AA$308*'Region OP Sales Goals'!X73</f>
        <v>768.91781936533766</v>
      </c>
      <c r="AB311" s="69">
        <f>AB$308*'Region OP Sales Goals'!Y73</f>
        <v>2108.2653061224487</v>
      </c>
      <c r="AC311" s="69">
        <f>AC$308*'Region OP Sales Goals'!Z73</f>
        <v>2674.8616071428569</v>
      </c>
      <c r="AD311" s="69">
        <f>AD$308*'Region OP Sales Goals'!AA73</f>
        <v>2083.5192524738181</v>
      </c>
      <c r="AE311" s="69">
        <f>AE$308*'Region OP Sales Goals'!AB73</f>
        <v>1424.759488824008</v>
      </c>
      <c r="AF311" s="69">
        <f>AF$308*'Region OP Sales Goals'!AC73</f>
        <v>2016.9071428571426</v>
      </c>
      <c r="AG311" s="69">
        <f>AG$308*'Region OP Sales Goals'!AD73</f>
        <v>2283.954081632653</v>
      </c>
      <c r="AH311" s="69">
        <f>AH$308*'Region OP Sales Goals'!AE73</f>
        <v>17744.351497119475</v>
      </c>
      <c r="AJ311" s="757"/>
      <c r="AK311" s="757"/>
      <c r="AL311" s="292" t="s">
        <v>101</v>
      </c>
      <c r="AM311" s="69">
        <v>1031</v>
      </c>
      <c r="AN311" s="69">
        <v>410</v>
      </c>
      <c r="AO311" s="69">
        <v>1490</v>
      </c>
      <c r="AP311" s="69">
        <v>1785</v>
      </c>
      <c r="AQ311" s="69">
        <v>2519</v>
      </c>
      <c r="AR311" s="69">
        <v>3127</v>
      </c>
      <c r="AS311" s="69">
        <v>3454</v>
      </c>
      <c r="AT311" s="69">
        <v>1801</v>
      </c>
      <c r="AU311" s="69"/>
      <c r="AV311" s="69"/>
      <c r="AW311" s="69"/>
      <c r="AX311" s="69"/>
      <c r="AY311" s="69">
        <f t="shared" si="439"/>
        <v>15617</v>
      </c>
      <c r="BA311" s="757"/>
      <c r="BB311" s="757"/>
      <c r="BC311" s="292" t="s">
        <v>101</v>
      </c>
      <c r="BD311" s="465" t="e">
        <f t="shared" si="440"/>
        <v>#DIV/0!</v>
      </c>
      <c r="BE311" s="465">
        <f t="shared" si="423"/>
        <v>0.7141298185941044</v>
      </c>
      <c r="BF311" s="465">
        <f t="shared" si="416"/>
        <v>0.60577900392042983</v>
      </c>
      <c r="BG311" s="465">
        <f t="shared" si="393"/>
        <v>0.82908730158730171</v>
      </c>
      <c r="BH311" s="465">
        <f t="shared" si="394"/>
        <v>1.8993696685023218</v>
      </c>
      <c r="BI311" s="465">
        <f t="shared" si="395"/>
        <v>4.0667544973544976</v>
      </c>
      <c r="BJ311" s="465">
        <f t="shared" si="396"/>
        <v>1.6383137311843572</v>
      </c>
      <c r="BK311" s="465">
        <f t="shared" si="397"/>
        <v>0.67330586195213715</v>
      </c>
      <c r="BL311" s="465">
        <f t="shared" si="398"/>
        <v>0</v>
      </c>
      <c r="BM311" s="465">
        <f t="shared" si="399"/>
        <v>0</v>
      </c>
      <c r="BN311" s="465">
        <f t="shared" si="400"/>
        <v>0</v>
      </c>
      <c r="BO311" s="465">
        <f t="shared" si="401"/>
        <v>0</v>
      </c>
      <c r="BP311" s="465">
        <f t="shared" si="441"/>
        <v>0.88011105971019465</v>
      </c>
    </row>
    <row r="312" spans="2:68" ht="16" customHeight="1">
      <c r="B312" s="769"/>
      <c r="C312" s="769"/>
      <c r="D312" s="292" t="s">
        <v>102</v>
      </c>
      <c r="E312" s="69">
        <v>4383</v>
      </c>
      <c r="F312" s="69">
        <v>3708</v>
      </c>
      <c r="G312" s="69">
        <v>5221</v>
      </c>
      <c r="H312" s="69">
        <v>4220</v>
      </c>
      <c r="I312" s="69">
        <v>2929</v>
      </c>
      <c r="J312" s="69">
        <v>2364</v>
      </c>
      <c r="K312" s="69">
        <v>3244</v>
      </c>
      <c r="L312" s="69">
        <v>2706</v>
      </c>
      <c r="M312" s="69">
        <v>2704</v>
      </c>
      <c r="N312" s="69">
        <v>1715</v>
      </c>
      <c r="O312" s="69">
        <v>1282</v>
      </c>
      <c r="P312" s="69">
        <v>980</v>
      </c>
      <c r="Q312" s="69">
        <f t="shared" si="438"/>
        <v>35456</v>
      </c>
      <c r="S312" s="769"/>
      <c r="T312" s="769"/>
      <c r="U312" s="292" t="s">
        <v>102</v>
      </c>
      <c r="V312" s="69">
        <v>645.89096826688365</v>
      </c>
      <c r="W312" s="69">
        <v>789.42229454841322</v>
      </c>
      <c r="X312" s="69">
        <v>3443.5</v>
      </c>
      <c r="Y312" s="69">
        <f>Y$308*'Region OP Sales Goals'!V74</f>
        <v>3014.1578519121235</v>
      </c>
      <c r="Z312" s="69">
        <f>Z$308*'Region OP Sales Goals'!W74</f>
        <v>3410.3043124491451</v>
      </c>
      <c r="AA312" s="69">
        <f>AA$308*'Region OP Sales Goals'!X74</f>
        <v>3075.6712774613507</v>
      </c>
      <c r="AB312" s="69">
        <f>AB$308*'Region OP Sales Goals'!Y74</f>
        <v>7378.9285714285716</v>
      </c>
      <c r="AC312" s="69">
        <f>AC$308*'Region OP Sales Goals'!Z74</f>
        <v>4681.0078125</v>
      </c>
      <c r="AD312" s="69">
        <f>AD$308*'Region OP Sales Goals'!AA74</f>
        <v>5000.4462059371635</v>
      </c>
      <c r="AE312" s="69">
        <f>AE$308*'Region OP Sales Goals'!AB74</f>
        <v>3641.0520269946869</v>
      </c>
      <c r="AF312" s="69">
        <f>AF$308*'Region OP Sales Goals'!AC74</f>
        <v>4033.8142857142852</v>
      </c>
      <c r="AG312" s="69">
        <f>AG$308*'Region OP Sales Goals'!AD74</f>
        <v>4216.5306122448983</v>
      </c>
      <c r="AH312" s="69">
        <f>AH$308*'Region OP Sales Goals'!AE74</f>
        <v>44149.636463071074</v>
      </c>
      <c r="AJ312" s="757"/>
      <c r="AK312" s="757"/>
      <c r="AL312" s="292" t="s">
        <v>102</v>
      </c>
      <c r="AM312" s="69">
        <v>1007</v>
      </c>
      <c r="AN312" s="69">
        <v>1175</v>
      </c>
      <c r="AO312" s="69">
        <v>2097</v>
      </c>
      <c r="AP312" s="69">
        <v>2940</v>
      </c>
      <c r="AQ312" s="69">
        <v>3639</v>
      </c>
      <c r="AR312" s="69">
        <v>3354</v>
      </c>
      <c r="AS312" s="69">
        <v>2129</v>
      </c>
      <c r="AT312" s="69">
        <v>1420</v>
      </c>
      <c r="AU312" s="69"/>
      <c r="AV312" s="69"/>
      <c r="AW312" s="69"/>
      <c r="AX312" s="69"/>
      <c r="AY312" s="69">
        <f t="shared" si="439"/>
        <v>17761</v>
      </c>
      <c r="BA312" s="757"/>
      <c r="BB312" s="757"/>
      <c r="BC312" s="292" t="s">
        <v>102</v>
      </c>
      <c r="BD312" s="465">
        <f>AM312/V312</f>
        <v>1.5590866717057192</v>
      </c>
      <c r="BE312" s="465">
        <f t="shared" si="423"/>
        <v>1.4884302205730779</v>
      </c>
      <c r="BF312" s="465">
        <f t="shared" si="416"/>
        <v>0.60897342819805433</v>
      </c>
      <c r="BG312" s="465">
        <f t="shared" si="393"/>
        <v>0.97539682539682548</v>
      </c>
      <c r="BH312" s="465">
        <f t="shared" si="394"/>
        <v>1.0670601995006759</v>
      </c>
      <c r="BI312" s="465">
        <f t="shared" si="395"/>
        <v>1.0904936507936509</v>
      </c>
      <c r="BJ312" s="465">
        <f t="shared" si="396"/>
        <v>0.28852427278447318</v>
      </c>
      <c r="BK312" s="465">
        <f t="shared" si="397"/>
        <v>0.30335347790022515</v>
      </c>
      <c r="BL312" s="465">
        <f t="shared" si="398"/>
        <v>0</v>
      </c>
      <c r="BM312" s="465">
        <f t="shared" si="399"/>
        <v>0</v>
      </c>
      <c r="BN312" s="465">
        <f t="shared" si="400"/>
        <v>0</v>
      </c>
      <c r="BO312" s="465">
        <f t="shared" si="401"/>
        <v>0</v>
      </c>
      <c r="BP312" s="465">
        <f t="shared" si="441"/>
        <v>0.4022909682360844</v>
      </c>
    </row>
    <row r="313" spans="2:68" ht="16" customHeight="1">
      <c r="B313" s="769"/>
      <c r="C313" s="769"/>
      <c r="D313" s="292" t="s">
        <v>103</v>
      </c>
      <c r="E313" s="69">
        <v>3881</v>
      </c>
      <c r="F313" s="69">
        <v>3980</v>
      </c>
      <c r="G313" s="69">
        <v>4283</v>
      </c>
      <c r="H313" s="69">
        <v>2903</v>
      </c>
      <c r="I313" s="69">
        <v>3632</v>
      </c>
      <c r="J313" s="69">
        <v>3756</v>
      </c>
      <c r="K313" s="69">
        <v>3244</v>
      </c>
      <c r="L313" s="69">
        <v>4301</v>
      </c>
      <c r="M313" s="69">
        <v>3034</v>
      </c>
      <c r="N313" s="69">
        <v>1100</v>
      </c>
      <c r="O313" s="69">
        <v>684</v>
      </c>
      <c r="P313" s="69">
        <v>669</v>
      </c>
      <c r="Q313" s="69">
        <f t="shared" si="438"/>
        <v>35467</v>
      </c>
      <c r="S313" s="769"/>
      <c r="T313" s="769"/>
      <c r="U313" s="292" t="s">
        <v>103</v>
      </c>
      <c r="V313" s="69">
        <v>0</v>
      </c>
      <c r="W313" s="69">
        <v>358.82831570382416</v>
      </c>
      <c r="X313" s="69">
        <v>1721.75</v>
      </c>
      <c r="Y313" s="69">
        <f>Y$308*'Region OP Sales Goals'!V75</f>
        <v>1507.0789259560618</v>
      </c>
      <c r="Z313" s="69">
        <f>Z$308*'Region OP Sales Goals'!W75</f>
        <v>568.38405207485755</v>
      </c>
      <c r="AA313" s="69">
        <f>AA$308*'Region OP Sales Goals'!X75</f>
        <v>384.45890968266883</v>
      </c>
      <c r="AB313" s="69">
        <f>AB$308*'Region OP Sales Goals'!Y75</f>
        <v>1581.1989795918366</v>
      </c>
      <c r="AC313" s="69">
        <f>AC$308*'Region OP Sales Goals'!Z75</f>
        <v>1560.3359374999998</v>
      </c>
      <c r="AD313" s="69">
        <f>AD$308*'Region OP Sales Goals'!AA75</f>
        <v>1250.1115514842909</v>
      </c>
      <c r="AE313" s="69">
        <f>AE$308*'Region OP Sales Goals'!AB75</f>
        <v>791.53304934667108</v>
      </c>
      <c r="AF313" s="69">
        <f>AF$308*'Region OP Sales Goals'!AC75</f>
        <v>1283.4863636363636</v>
      </c>
      <c r="AG313" s="69">
        <f>AG$308*'Region OP Sales Goals'!AD75</f>
        <v>1405.5102040816325</v>
      </c>
      <c r="AH313" s="69">
        <f>AH$308*'Region OP Sales Goals'!AE75</f>
        <v>10773.356266108254</v>
      </c>
      <c r="AJ313" s="757"/>
      <c r="AK313" s="757"/>
      <c r="AL313" s="292" t="s">
        <v>103</v>
      </c>
      <c r="AM313" s="69">
        <v>1155</v>
      </c>
      <c r="AN313" s="69">
        <v>1149</v>
      </c>
      <c r="AO313" s="69">
        <v>1368</v>
      </c>
      <c r="AP313" s="69">
        <v>1294</v>
      </c>
      <c r="AQ313" s="69">
        <v>2086</v>
      </c>
      <c r="AR313" s="69">
        <v>1914</v>
      </c>
      <c r="AS313" s="69">
        <v>928</v>
      </c>
      <c r="AT313" s="69">
        <v>529</v>
      </c>
      <c r="AU313" s="69"/>
      <c r="AV313" s="69"/>
      <c r="AW313" s="69"/>
      <c r="AX313" s="69"/>
      <c r="AY313" s="69">
        <f t="shared" si="439"/>
        <v>10423</v>
      </c>
      <c r="BA313" s="757"/>
      <c r="BB313" s="757"/>
      <c r="BC313" s="292" t="s">
        <v>103</v>
      </c>
      <c r="BD313" s="465" t="e">
        <f t="shared" ref="BD313:BD315" si="442">AM313/V313</f>
        <v>#DIV/0!</v>
      </c>
      <c r="BE313" s="465">
        <f t="shared" si="423"/>
        <v>3.2020884353741503</v>
      </c>
      <c r="BF313" s="465">
        <f t="shared" si="416"/>
        <v>0.79454043850733269</v>
      </c>
      <c r="BG313" s="465">
        <f t="shared" si="393"/>
        <v>0.85861462045135517</v>
      </c>
      <c r="BH313" s="465">
        <f t="shared" si="394"/>
        <v>3.6700537117203789</v>
      </c>
      <c r="BI313" s="465">
        <f t="shared" si="395"/>
        <v>4.9784253968253971</v>
      </c>
      <c r="BJ313" s="465">
        <f t="shared" si="396"/>
        <v>0.58689640707936053</v>
      </c>
      <c r="BK313" s="465">
        <f t="shared" si="397"/>
        <v>0.33902955593496997</v>
      </c>
      <c r="BL313" s="465">
        <f t="shared" si="398"/>
        <v>0</v>
      </c>
      <c r="BM313" s="465">
        <f t="shared" si="399"/>
        <v>0</v>
      </c>
      <c r="BN313" s="465">
        <f t="shared" si="400"/>
        <v>0</v>
      </c>
      <c r="BO313" s="465">
        <f t="shared" si="401"/>
        <v>0</v>
      </c>
      <c r="BP313" s="465">
        <f t="shared" si="441"/>
        <v>0.96747937620791069</v>
      </c>
    </row>
    <row r="314" spans="2:68" ht="16" customHeight="1">
      <c r="B314" s="769"/>
      <c r="C314" s="769"/>
      <c r="D314" s="292" t="s">
        <v>104</v>
      </c>
      <c r="E314" s="69">
        <v>6395</v>
      </c>
      <c r="F314" s="69">
        <v>6544</v>
      </c>
      <c r="G314" s="69">
        <v>7355</v>
      </c>
      <c r="H314" s="69">
        <v>5884</v>
      </c>
      <c r="I314" s="69">
        <v>5807</v>
      </c>
      <c r="J314" s="69">
        <v>6149</v>
      </c>
      <c r="K314" s="69">
        <v>6858</v>
      </c>
      <c r="L314" s="69">
        <v>5691</v>
      </c>
      <c r="M314" s="69">
        <v>4392</v>
      </c>
      <c r="N314" s="69">
        <v>1695</v>
      </c>
      <c r="O314" s="69">
        <v>1171</v>
      </c>
      <c r="P314" s="69">
        <v>1079</v>
      </c>
      <c r="Q314" s="69">
        <f t="shared" si="438"/>
        <v>59020</v>
      </c>
      <c r="S314" s="769"/>
      <c r="T314" s="769"/>
      <c r="U314" s="292" t="s">
        <v>104</v>
      </c>
      <c r="V314" s="69">
        <v>0</v>
      </c>
      <c r="W314" s="69">
        <v>574.12530512611875</v>
      </c>
      <c r="X314" s="69">
        <v>2951.5714285714289</v>
      </c>
      <c r="Y314" s="69">
        <f>Y$308*'Region OP Sales Goals'!V76</f>
        <v>3444.751830756712</v>
      </c>
      <c r="Z314" s="69">
        <f>Z$308*'Region OP Sales Goals'!W76</f>
        <v>3789.2270138323834</v>
      </c>
      <c r="AA314" s="69">
        <f>AA$308*'Region OP Sales Goals'!X76</f>
        <v>3652.3596419853534</v>
      </c>
      <c r="AB314" s="69">
        <f>AB$308*'Region OP Sales Goals'!Y76</f>
        <v>5007.1301020408155</v>
      </c>
      <c r="AC314" s="69">
        <f>AC$308*'Region OP Sales Goals'!Z76</f>
        <v>4903.9129464285716</v>
      </c>
      <c r="AD314" s="69">
        <f>AD$308*'Region OP Sales Goals'!AA76</f>
        <v>4792.094280689781</v>
      </c>
      <c r="AE314" s="69">
        <f>AE$308*'Region OP Sales Goals'!AB76</f>
        <v>4115.9718566026904</v>
      </c>
      <c r="AF314" s="69">
        <f>AF$308*'Region OP Sales Goals'!AC76</f>
        <v>4583.8798701298701</v>
      </c>
      <c r="AG314" s="69">
        <f>AG$308*'Region OP Sales Goals'!AD76</f>
        <v>4216.5306122448983</v>
      </c>
      <c r="AH314" s="69">
        <f>AH$308*'Region OP Sales Goals'!AE76</f>
        <v>41192.244546884504</v>
      </c>
      <c r="AJ314" s="757"/>
      <c r="AK314" s="757"/>
      <c r="AL314" s="292" t="s">
        <v>104</v>
      </c>
      <c r="AM314" s="69">
        <v>1656</v>
      </c>
      <c r="AN314" s="69">
        <v>1923</v>
      </c>
      <c r="AO314" s="69">
        <v>3273</v>
      </c>
      <c r="AP314" s="69">
        <v>5552</v>
      </c>
      <c r="AQ314" s="156">
        <v>6317</v>
      </c>
      <c r="AR314" s="156">
        <v>5983</v>
      </c>
      <c r="AS314" s="156">
        <v>4548</v>
      </c>
      <c r="AT314" s="156">
        <v>3510</v>
      </c>
      <c r="AU314" s="69"/>
      <c r="AV314" s="69"/>
      <c r="AW314" s="69"/>
      <c r="AX314" s="69"/>
      <c r="AY314" s="69">
        <f t="shared" si="439"/>
        <v>32762</v>
      </c>
      <c r="BA314" s="757"/>
      <c r="BB314" s="757"/>
      <c r="BC314" s="292" t="s">
        <v>104</v>
      </c>
      <c r="BD314" s="465" t="e">
        <f t="shared" si="442"/>
        <v>#DIV/0!</v>
      </c>
      <c r="BE314" s="465">
        <f t="shared" si="423"/>
        <v>3.3494430272108846</v>
      </c>
      <c r="BF314" s="465">
        <f t="shared" si="416"/>
        <v>1.1089008276462899</v>
      </c>
      <c r="BG314" s="465">
        <f t="shared" si="393"/>
        <v>1.6117271352985643</v>
      </c>
      <c r="BH314" s="465">
        <f t="shared" si="394"/>
        <v>1.6670946282553429</v>
      </c>
      <c r="BI314" s="465">
        <f t="shared" si="395"/>
        <v>1.6381190754664441</v>
      </c>
      <c r="BJ314" s="465">
        <f t="shared" si="396"/>
        <v>0.90830473890548957</v>
      </c>
      <c r="BK314" s="465">
        <f t="shared" si="397"/>
        <v>0.71575495697905234</v>
      </c>
      <c r="BL314" s="465">
        <f t="shared" si="398"/>
        <v>0</v>
      </c>
      <c r="BM314" s="465">
        <f t="shared" si="399"/>
        <v>0</v>
      </c>
      <c r="BN314" s="465">
        <f t="shared" si="400"/>
        <v>0</v>
      </c>
      <c r="BO314" s="465">
        <f t="shared" si="401"/>
        <v>0</v>
      </c>
      <c r="BP314" s="465">
        <f t="shared" si="441"/>
        <v>0.79534388961763658</v>
      </c>
    </row>
    <row r="315" spans="2:68" ht="16" customHeight="1">
      <c r="B315" s="770"/>
      <c r="C315" s="770"/>
      <c r="D315" s="292" t="s">
        <v>105</v>
      </c>
      <c r="E315" s="69">
        <v>12187</v>
      </c>
      <c r="F315" s="69">
        <v>11065</v>
      </c>
      <c r="G315" s="69">
        <v>12151</v>
      </c>
      <c r="H315" s="69">
        <v>11368</v>
      </c>
      <c r="I315" s="69">
        <v>7291</v>
      </c>
      <c r="J315" s="69">
        <v>8822</v>
      </c>
      <c r="K315" s="69">
        <v>6850</v>
      </c>
      <c r="L315" s="69">
        <v>5679</v>
      </c>
      <c r="M315" s="69">
        <v>8224</v>
      </c>
      <c r="N315" s="69">
        <v>7185</v>
      </c>
      <c r="O315" s="69">
        <v>4968</v>
      </c>
      <c r="P315" s="69">
        <v>8042</v>
      </c>
      <c r="Q315" s="69">
        <f t="shared" si="438"/>
        <v>103832</v>
      </c>
      <c r="S315" s="770"/>
      <c r="T315" s="770"/>
      <c r="U315" s="292" t="s">
        <v>105</v>
      </c>
      <c r="V315" s="69">
        <v>2368.2668836452394</v>
      </c>
      <c r="W315" s="69">
        <v>2798.8608624898288</v>
      </c>
      <c r="X315" s="69">
        <v>12790.142857142859</v>
      </c>
      <c r="Y315" s="69">
        <f>Y$308*'Region OP Sales Goals'!V77</f>
        <v>10118.958502847841</v>
      </c>
      <c r="Z315" s="69">
        <f>Z$308*'Region OP Sales Goals'!W77</f>
        <v>14209.601301871438</v>
      </c>
      <c r="AA315" s="69">
        <f>AA$308*'Region OP Sales Goals'!X77</f>
        <v>14609.438567941414</v>
      </c>
      <c r="AB315" s="69">
        <f>AB$308*'Region OP Sales Goals'!Y77</f>
        <v>14494.323979591836</v>
      </c>
      <c r="AC315" s="69">
        <f>AC$308*'Region OP Sales Goals'!Z77</f>
        <v>14043.0234375</v>
      </c>
      <c r="AD315" s="69">
        <f>AD$308*'Region OP Sales Goals'!AA77</f>
        <v>12501.115514842908</v>
      </c>
      <c r="AE315" s="69">
        <f>AE$308*'Region OP Sales Goals'!AB77</f>
        <v>10923.156080984061</v>
      </c>
      <c r="AF315" s="69">
        <f>AF$308*'Region OP Sales Goals'!AC77</f>
        <v>11918.087662337661</v>
      </c>
      <c r="AG315" s="69">
        <f>AG$308*'Region OP Sales Goals'!AD77</f>
        <v>14230.790816326531</v>
      </c>
      <c r="AH315" s="69">
        <f>AH$308*'Region OP Sales Goals'!AE77</f>
        <v>141743.5696972282</v>
      </c>
      <c r="AJ315" s="757"/>
      <c r="AK315" s="757"/>
      <c r="AL315" s="292" t="s">
        <v>105</v>
      </c>
      <c r="AM315" s="69">
        <v>4805</v>
      </c>
      <c r="AN315" s="69">
        <v>6072</v>
      </c>
      <c r="AO315" s="69">
        <v>6459</v>
      </c>
      <c r="AP315" s="69">
        <v>6832</v>
      </c>
      <c r="AQ315" s="69">
        <v>8568</v>
      </c>
      <c r="AR315" s="69">
        <v>7166</v>
      </c>
      <c r="AS315" s="69">
        <v>6216</v>
      </c>
      <c r="AT315" s="69">
        <v>5546</v>
      </c>
      <c r="AU315" s="69"/>
      <c r="AV315" s="69"/>
      <c r="AW315" s="69"/>
      <c r="AX315" s="69"/>
      <c r="AY315" s="69">
        <f t="shared" si="439"/>
        <v>51664</v>
      </c>
      <c r="BA315" s="757"/>
      <c r="BB315" s="757"/>
      <c r="BC315" s="292" t="s">
        <v>105</v>
      </c>
      <c r="BD315" s="465">
        <f t="shared" si="442"/>
        <v>2.0289098467669899</v>
      </c>
      <c r="BE315" s="465">
        <f t="shared" si="423"/>
        <v>2.1694540380254668</v>
      </c>
      <c r="BF315" s="465">
        <f t="shared" si="416"/>
        <v>0.50499826875607323</v>
      </c>
      <c r="BG315" s="465">
        <f t="shared" si="393"/>
        <v>0.67516829899808639</v>
      </c>
      <c r="BH315" s="465">
        <f t="shared" si="394"/>
        <v>0.60297258297258305</v>
      </c>
      <c r="BI315" s="465">
        <f t="shared" si="395"/>
        <v>0.4905048175995545</v>
      </c>
      <c r="BJ315" s="465">
        <f t="shared" si="396"/>
        <v>0.42885753131723803</v>
      </c>
      <c r="BK315" s="465">
        <f t="shared" si="397"/>
        <v>0.39492919916306307</v>
      </c>
      <c r="BL315" s="465">
        <f t="shared" si="398"/>
        <v>0</v>
      </c>
      <c r="BM315" s="465">
        <f t="shared" si="399"/>
        <v>0</v>
      </c>
      <c r="BN315" s="465">
        <f t="shared" si="400"/>
        <v>0</v>
      </c>
      <c r="BO315" s="465">
        <f t="shared" si="401"/>
        <v>0</v>
      </c>
      <c r="BP315" s="465">
        <f t="shared" si="441"/>
        <v>0.36448919771356858</v>
      </c>
    </row>
    <row r="317" spans="2:68" ht="50" customHeight="1">
      <c r="B317" s="771" t="s">
        <v>360</v>
      </c>
      <c r="C317" s="772"/>
      <c r="D317" s="772"/>
      <c r="E317" s="772"/>
      <c r="F317" s="772"/>
      <c r="G317" s="772"/>
      <c r="H317" s="772"/>
      <c r="I317" s="772"/>
      <c r="J317" s="772"/>
      <c r="K317" s="772"/>
      <c r="L317" s="772"/>
      <c r="M317" s="772"/>
      <c r="N317" s="772"/>
      <c r="O317" s="772"/>
      <c r="P317" s="772"/>
      <c r="Q317" s="773"/>
      <c r="S317" s="771" t="s">
        <v>361</v>
      </c>
      <c r="T317" s="772"/>
      <c r="U317" s="772"/>
      <c r="V317" s="772"/>
      <c r="W317" s="772"/>
      <c r="X317" s="772"/>
      <c r="Y317" s="772"/>
      <c r="Z317" s="772"/>
      <c r="AA317" s="772"/>
      <c r="AB317" s="772"/>
      <c r="AC317" s="772"/>
      <c r="AD317" s="772"/>
      <c r="AE317" s="772"/>
      <c r="AF317" s="772"/>
      <c r="AG317" s="772"/>
      <c r="AH317" s="773"/>
      <c r="AJ317" s="771" t="s">
        <v>362</v>
      </c>
      <c r="AK317" s="772"/>
      <c r="AL317" s="772"/>
      <c r="AM317" s="772"/>
      <c r="AN317" s="772"/>
      <c r="AO317" s="772"/>
      <c r="AP317" s="772"/>
      <c r="AQ317" s="772"/>
      <c r="AR317" s="772"/>
      <c r="AS317" s="772"/>
      <c r="AT317" s="772"/>
      <c r="AU317" s="772"/>
      <c r="AV317" s="772"/>
      <c r="AW317" s="772"/>
      <c r="AX317" s="772"/>
      <c r="AY317" s="773"/>
      <c r="BA317" s="771" t="s">
        <v>363</v>
      </c>
      <c r="BB317" s="772"/>
      <c r="BC317" s="772"/>
      <c r="BD317" s="772"/>
      <c r="BE317" s="772"/>
      <c r="BF317" s="772"/>
      <c r="BG317" s="772"/>
      <c r="BH317" s="772"/>
      <c r="BI317" s="772"/>
      <c r="BJ317" s="772"/>
      <c r="BK317" s="772"/>
      <c r="BL317" s="772"/>
      <c r="BM317" s="772"/>
      <c r="BN317" s="772"/>
      <c r="BO317" s="772"/>
      <c r="BP317" s="773"/>
    </row>
    <row r="318" spans="2:68">
      <c r="B318" s="765" t="s">
        <v>89</v>
      </c>
      <c r="C318" s="766"/>
      <c r="D318" s="767"/>
      <c r="E318" s="234" t="s">
        <v>252</v>
      </c>
      <c r="F318" s="234" t="s">
        <v>253</v>
      </c>
      <c r="G318" s="234" t="s">
        <v>230</v>
      </c>
      <c r="H318" s="234" t="s">
        <v>254</v>
      </c>
      <c r="I318" s="234" t="s">
        <v>78</v>
      </c>
      <c r="J318" s="234" t="s">
        <v>255</v>
      </c>
      <c r="K318" s="234" t="s">
        <v>256</v>
      </c>
      <c r="L318" s="234" t="s">
        <v>236</v>
      </c>
      <c r="M318" s="234" t="s">
        <v>257</v>
      </c>
      <c r="N318" s="234" t="s">
        <v>258</v>
      </c>
      <c r="O318" s="234" t="s">
        <v>259</v>
      </c>
      <c r="P318" s="234" t="s">
        <v>260</v>
      </c>
      <c r="Q318" s="234" t="s">
        <v>24</v>
      </c>
      <c r="S318" s="765" t="s">
        <v>89</v>
      </c>
      <c r="T318" s="766"/>
      <c r="U318" s="767"/>
      <c r="V318" s="234" t="s">
        <v>252</v>
      </c>
      <c r="W318" s="234" t="s">
        <v>253</v>
      </c>
      <c r="X318" s="234" t="s">
        <v>230</v>
      </c>
      <c r="Y318" s="234" t="s">
        <v>254</v>
      </c>
      <c r="Z318" s="234" t="s">
        <v>78</v>
      </c>
      <c r="AA318" s="234" t="s">
        <v>255</v>
      </c>
      <c r="AB318" s="234" t="s">
        <v>256</v>
      </c>
      <c r="AC318" s="234" t="s">
        <v>236</v>
      </c>
      <c r="AD318" s="234" t="s">
        <v>257</v>
      </c>
      <c r="AE318" s="234" t="s">
        <v>258</v>
      </c>
      <c r="AF318" s="234" t="s">
        <v>259</v>
      </c>
      <c r="AG318" s="234" t="s">
        <v>260</v>
      </c>
      <c r="AH318" s="234" t="s">
        <v>24</v>
      </c>
      <c r="AJ318" s="765" t="s">
        <v>89</v>
      </c>
      <c r="AK318" s="766"/>
      <c r="AL318" s="767"/>
      <c r="AM318" s="234" t="s">
        <v>252</v>
      </c>
      <c r="AN318" s="234" t="s">
        <v>253</v>
      </c>
      <c r="AO318" s="234" t="s">
        <v>230</v>
      </c>
      <c r="AP318" s="234" t="s">
        <v>254</v>
      </c>
      <c r="AQ318" s="234" t="s">
        <v>78</v>
      </c>
      <c r="AR318" s="234" t="s">
        <v>255</v>
      </c>
      <c r="AS318" s="234" t="s">
        <v>256</v>
      </c>
      <c r="AT318" s="234" t="s">
        <v>236</v>
      </c>
      <c r="AU318" s="234" t="s">
        <v>257</v>
      </c>
      <c r="AV318" s="234" t="s">
        <v>258</v>
      </c>
      <c r="AW318" s="234" t="s">
        <v>259</v>
      </c>
      <c r="AX318" s="234" t="s">
        <v>260</v>
      </c>
      <c r="AY318" s="234" t="s">
        <v>24</v>
      </c>
      <c r="BA318" s="765" t="s">
        <v>89</v>
      </c>
      <c r="BB318" s="766"/>
      <c r="BC318" s="767"/>
      <c r="BD318" s="234" t="s">
        <v>252</v>
      </c>
      <c r="BE318" s="234" t="s">
        <v>253</v>
      </c>
      <c r="BF318" s="234" t="s">
        <v>230</v>
      </c>
      <c r="BG318" s="234" t="s">
        <v>254</v>
      </c>
      <c r="BH318" s="234" t="s">
        <v>78</v>
      </c>
      <c r="BI318" s="234" t="s">
        <v>255</v>
      </c>
      <c r="BJ318" s="234" t="s">
        <v>256</v>
      </c>
      <c r="BK318" s="234" t="s">
        <v>236</v>
      </c>
      <c r="BL318" s="234" t="s">
        <v>257</v>
      </c>
      <c r="BM318" s="234" t="s">
        <v>258</v>
      </c>
      <c r="BN318" s="234" t="s">
        <v>259</v>
      </c>
      <c r="BO318" s="234" t="s">
        <v>260</v>
      </c>
      <c r="BP318" s="234" t="s">
        <v>24</v>
      </c>
    </row>
    <row r="319" spans="2:68">
      <c r="B319" s="768" t="s">
        <v>48</v>
      </c>
      <c r="C319" s="768" t="s">
        <v>49</v>
      </c>
      <c r="D319" s="343" t="s">
        <v>50</v>
      </c>
      <c r="E319" s="344">
        <f>E320+E328</f>
        <v>31719</v>
      </c>
      <c r="F319" s="344">
        <f t="shared" ref="F319:Q319" si="443">F320+F328</f>
        <v>28611</v>
      </c>
      <c r="G319" s="344">
        <f t="shared" si="443"/>
        <v>34299</v>
      </c>
      <c r="H319" s="344">
        <f t="shared" si="443"/>
        <v>32323</v>
      </c>
      <c r="I319" s="344">
        <f t="shared" si="443"/>
        <v>30980</v>
      </c>
      <c r="J319" s="344">
        <f t="shared" si="443"/>
        <v>29988</v>
      </c>
      <c r="K319" s="344">
        <f t="shared" si="443"/>
        <v>32723</v>
      </c>
      <c r="L319" s="344">
        <f t="shared" si="443"/>
        <v>35170</v>
      </c>
      <c r="M319" s="344">
        <f t="shared" si="443"/>
        <v>32737</v>
      </c>
      <c r="N319" s="344">
        <f t="shared" si="443"/>
        <v>30871</v>
      </c>
      <c r="O319" s="344">
        <f t="shared" si="443"/>
        <v>30003</v>
      </c>
      <c r="P319" s="344">
        <f t="shared" si="443"/>
        <v>33588</v>
      </c>
      <c r="Q319" s="344">
        <f t="shared" si="443"/>
        <v>383012</v>
      </c>
      <c r="S319" s="768" t="s">
        <v>48</v>
      </c>
      <c r="T319" s="768" t="s">
        <v>49</v>
      </c>
      <c r="U319" s="343" t="s">
        <v>50</v>
      </c>
      <c r="V319" s="344">
        <v>25212.100984167733</v>
      </c>
      <c r="W319" s="344">
        <v>25212.100984167733</v>
      </c>
      <c r="X319" s="344">
        <v>34743.449848024313</v>
      </c>
      <c r="Y319" s="344" cm="1">
        <f t="array" ref="Y319">INDEX('Research Goals'!$G$159:$G$170, COLUMN()-COLUMN($V$3)+1)</f>
        <v>37756.442019683353</v>
      </c>
      <c r="Z319" s="344" cm="1">
        <f t="array" ref="Z319">INDEX('Research Goals'!$G$159:$G$170, COLUMN()-COLUMN($V$3)+1)</f>
        <v>39613.316217372696</v>
      </c>
      <c r="AA319" s="344" cm="1">
        <f t="array" ref="AA319">INDEX('Research Goals'!$G$159:$G$170, COLUMN()-COLUMN($V$3)+1)</f>
        <v>37137.483953786905</v>
      </c>
      <c r="AB319" s="344" cm="1">
        <f t="array" ref="AB319">INDEX('Research Goals'!$G$159:$G$170, COLUMN()-COLUMN($V$3)+1)</f>
        <v>31434.893617021276</v>
      </c>
      <c r="AC319" s="344" cm="1">
        <f t="array" ref="AC319">INDEX('Research Goals'!$G$159:$G$170, COLUMN()-COLUMN($V$3)+1)</f>
        <v>34927.659574468082</v>
      </c>
      <c r="AD319" s="344" cm="1">
        <f t="array" ref="AD319">INDEX('Research Goals'!$G$159:$G$170, COLUMN()-COLUMN($V$3)+1)</f>
        <v>42708.106546854935</v>
      </c>
      <c r="AE319" s="344" cm="1">
        <f t="array" ref="AE319">INDEX('Research Goals'!$G$159:$G$170, COLUMN()-COLUMN($V$3)+1)</f>
        <v>45802.896876337181</v>
      </c>
      <c r="AF319" s="344" cm="1">
        <f t="array" ref="AF319">INDEX('Research Goals'!$G$159:$G$170, COLUMN()-COLUMN($V$3)+1)</f>
        <v>39584.680851063829</v>
      </c>
      <c r="AG319" s="344" cm="1">
        <f t="array" ref="AG319">INDEX('Research Goals'!$G$159:$G$170, COLUMN()-COLUMN($V$3)+1)</f>
        <v>50062.978723404252</v>
      </c>
      <c r="AH319" s="345">
        <f>SUM(V319:AG319)</f>
        <v>444196.11019635224</v>
      </c>
      <c r="AI319" s="47"/>
      <c r="AJ319" s="757" t="s">
        <v>48</v>
      </c>
      <c r="AK319" s="757" t="s">
        <v>49</v>
      </c>
      <c r="AL319" s="343" t="s">
        <v>50</v>
      </c>
      <c r="AM319" s="344">
        <f>AM320+AM328</f>
        <v>32178.285714285714</v>
      </c>
      <c r="AN319" s="344">
        <f t="shared" ref="AN319:AY319" si="444">AN320+AN328</f>
        <v>30132.571428571428</v>
      </c>
      <c r="AO319" s="344">
        <f t="shared" si="444"/>
        <v>30765</v>
      </c>
      <c r="AP319" s="344">
        <f t="shared" si="444"/>
        <v>31178.142857142855</v>
      </c>
      <c r="AQ319" s="344">
        <f t="shared" si="444"/>
        <v>31823.857142857141</v>
      </c>
      <c r="AR319" s="344">
        <f t="shared" si="444"/>
        <v>30956.571428571428</v>
      </c>
      <c r="AS319" s="344">
        <f t="shared" si="444"/>
        <v>38270.71428571429</v>
      </c>
      <c r="AT319" s="344">
        <f t="shared" si="444"/>
        <v>30551.714285714286</v>
      </c>
      <c r="AU319" s="344">
        <f t="shared" si="444"/>
        <v>0</v>
      </c>
      <c r="AV319" s="344">
        <f t="shared" si="444"/>
        <v>0</v>
      </c>
      <c r="AW319" s="344">
        <f t="shared" si="444"/>
        <v>0</v>
      </c>
      <c r="AX319" s="344">
        <f t="shared" si="444"/>
        <v>0</v>
      </c>
      <c r="AY319" s="344">
        <f t="shared" si="444"/>
        <v>255856.85714285716</v>
      </c>
      <c r="BA319" s="757" t="s">
        <v>48</v>
      </c>
      <c r="BB319" s="757" t="s">
        <v>49</v>
      </c>
      <c r="BC319" s="343" t="s">
        <v>50</v>
      </c>
      <c r="BD319" s="463">
        <f>AM319/V319</f>
        <v>1.2763032217938715</v>
      </c>
      <c r="BE319" s="463">
        <f>AN319/W319</f>
        <v>1.1951630468041345</v>
      </c>
      <c r="BF319" s="463">
        <f t="shared" ref="BF319:BF330" si="445">AO319/X319</f>
        <v>0.88549065031172924</v>
      </c>
      <c r="BG319" s="463">
        <f t="shared" ref="BG319:BG360" si="446">AP319/Y319</f>
        <v>0.82577015177672008</v>
      </c>
      <c r="BH319" s="463">
        <f t="shared" ref="BH319:BH360" si="447">AQ319/Z319</f>
        <v>0.80336261090154748</v>
      </c>
      <c r="BI319" s="463">
        <f t="shared" ref="BI319:BI360" si="448">AR319/AA319</f>
        <v>0.83356673993028518</v>
      </c>
      <c r="BJ319" s="463">
        <f t="shared" ref="BJ319:BJ360" si="449">AS319/AB319</f>
        <v>1.2174596406138805</v>
      </c>
      <c r="BK319" s="463">
        <f t="shared" ref="BK319:BK360" si="450">AT319/AC319</f>
        <v>0.87471404204956849</v>
      </c>
      <c r="BL319" s="463">
        <f t="shared" ref="BL319:BL360" si="451">AU319/AD319</f>
        <v>0</v>
      </c>
      <c r="BM319" s="463">
        <f t="shared" ref="BM319:BM360" si="452">AV319/AE319</f>
        <v>0</v>
      </c>
      <c r="BN319" s="463">
        <f t="shared" ref="BN319:BN360" si="453">AW319/AF319</f>
        <v>0</v>
      </c>
      <c r="BO319" s="463">
        <f t="shared" ref="BO319:BO360" si="454">AX319/AG319</f>
        <v>0</v>
      </c>
      <c r="BP319" s="463">
        <f t="shared" ref="BP319:BP320" si="455">AY319/AH319</f>
        <v>0.5759997696282354</v>
      </c>
    </row>
    <row r="320" spans="2:68">
      <c r="B320" s="769"/>
      <c r="C320" s="769"/>
      <c r="D320" s="182" t="s">
        <v>52</v>
      </c>
      <c r="E320" s="341">
        <f>SUM(E321:E327)</f>
        <v>19605</v>
      </c>
      <c r="F320" s="341">
        <f t="shared" ref="F320:Q320" si="456">SUM(F321:F327)</f>
        <v>16825</v>
      </c>
      <c r="G320" s="341">
        <f t="shared" si="456"/>
        <v>20471</v>
      </c>
      <c r="H320" s="341">
        <f t="shared" si="456"/>
        <v>20351</v>
      </c>
      <c r="I320" s="341">
        <f t="shared" si="456"/>
        <v>19004</v>
      </c>
      <c r="J320" s="341">
        <f t="shared" si="456"/>
        <v>18675</v>
      </c>
      <c r="K320" s="341">
        <f t="shared" si="456"/>
        <v>20714</v>
      </c>
      <c r="L320" s="341">
        <f t="shared" si="456"/>
        <v>23744</v>
      </c>
      <c r="M320" s="341">
        <f t="shared" si="456"/>
        <v>22266</v>
      </c>
      <c r="N320" s="341">
        <f t="shared" si="456"/>
        <v>19659</v>
      </c>
      <c r="O320" s="341">
        <f t="shared" si="456"/>
        <v>18757</v>
      </c>
      <c r="P320" s="341">
        <f t="shared" si="456"/>
        <v>22232</v>
      </c>
      <c r="Q320" s="341">
        <f t="shared" si="456"/>
        <v>242303</v>
      </c>
      <c r="S320" s="769"/>
      <c r="T320" s="769"/>
      <c r="U320" s="182" t="s">
        <v>52</v>
      </c>
      <c r="V320" s="341">
        <v>18606.743688489514</v>
      </c>
      <c r="W320" s="341">
        <v>18606.743688489514</v>
      </c>
      <c r="X320" s="341">
        <v>25307.044072948327</v>
      </c>
      <c r="Y320" s="341" cm="1">
        <f t="array" ref="Y320">INDEX('Research Goals'!$D$159:$D$170, COLUMN()-COLUMN($V$3)+1)</f>
        <v>21827.14163457424</v>
      </c>
      <c r="Z320" s="341" cm="1">
        <f t="array" ref="Z320">INDEX('Research Goals'!$D$159:$D$170, COLUMN()-COLUMN($V$3)+1)</f>
        <v>22900.60761660248</v>
      </c>
      <c r="AA320" s="341" cm="1">
        <f t="array" ref="AA320">INDEX('Research Goals'!$D$159:$D$170, COLUMN()-COLUMN($V$3)+1)</f>
        <v>21469.319640564827</v>
      </c>
      <c r="AB320" s="341" cm="1">
        <f t="array" ref="AB320">INDEX('Research Goals'!$D$159:$D$170, COLUMN()-COLUMN($V$3)+1)</f>
        <v>18467.30243161094</v>
      </c>
      <c r="AC320" s="341" cm="1">
        <f t="array" ref="AC320">INDEX('Research Goals'!$D$159:$D$170, COLUMN()-COLUMN($V$3)+1)</f>
        <v>20519.224924012156</v>
      </c>
      <c r="AD320" s="341" cm="1">
        <f t="array" ref="AD320">INDEX('Research Goals'!$D$159:$D$170, COLUMN()-COLUMN($V$3)+1)</f>
        <v>24689.717586649549</v>
      </c>
      <c r="AE320" s="341" cm="1">
        <f t="array" ref="AE320">INDEX('Research Goals'!$D$159:$D$170, COLUMN()-COLUMN($V$3)+1)</f>
        <v>26478.827556696619</v>
      </c>
      <c r="AF320" s="341" cm="1">
        <f t="array" ref="AF320">INDEX('Research Goals'!$D$159:$D$170, COLUMN()-COLUMN($V$3)+1)</f>
        <v>23255.121580547111</v>
      </c>
      <c r="AG320" s="341" cm="1">
        <f t="array" ref="AG320">INDEX('Research Goals'!$D$159:$D$170, COLUMN()-COLUMN($V$3)+1)</f>
        <v>29410.889057750759</v>
      </c>
      <c r="AH320" s="342">
        <f>SUM(V320:AG320)</f>
        <v>271538.68347893603</v>
      </c>
      <c r="AJ320" s="757"/>
      <c r="AK320" s="757"/>
      <c r="AL320" s="182" t="s">
        <v>52</v>
      </c>
      <c r="AM320" s="341">
        <f>SUM(AM321:AM327)</f>
        <v>21694</v>
      </c>
      <c r="AN320" s="341">
        <f t="shared" ref="AN320:AY320" si="457">SUM(AN321:AN327)</f>
        <v>19960</v>
      </c>
      <c r="AO320" s="341">
        <f t="shared" si="457"/>
        <v>21076</v>
      </c>
      <c r="AP320" s="341">
        <f t="shared" si="457"/>
        <v>21885</v>
      </c>
      <c r="AQ320" s="341">
        <f t="shared" si="457"/>
        <v>21873</v>
      </c>
      <c r="AR320" s="341">
        <f t="shared" si="457"/>
        <v>22181</v>
      </c>
      <c r="AS320" s="341">
        <f t="shared" si="457"/>
        <v>28285</v>
      </c>
      <c r="AT320" s="341">
        <f t="shared" si="457"/>
        <v>22652</v>
      </c>
      <c r="AU320" s="341">
        <f t="shared" si="457"/>
        <v>0</v>
      </c>
      <c r="AV320" s="341">
        <f t="shared" si="457"/>
        <v>0</v>
      </c>
      <c r="AW320" s="341">
        <f t="shared" si="457"/>
        <v>0</v>
      </c>
      <c r="AX320" s="341">
        <f t="shared" si="457"/>
        <v>0</v>
      </c>
      <c r="AY320" s="341">
        <f t="shared" si="457"/>
        <v>179606</v>
      </c>
      <c r="BA320" s="757"/>
      <c r="BB320" s="757"/>
      <c r="BC320" s="182" t="s">
        <v>52</v>
      </c>
      <c r="BD320" s="464">
        <f>AM320/V320</f>
        <v>1.1659213650274722</v>
      </c>
      <c r="BE320" s="464">
        <f t="shared" ref="BE320:BE335" si="458">AN320/W320</f>
        <v>1.072729346637243</v>
      </c>
      <c r="BF320" s="464">
        <f t="shared" si="445"/>
        <v>0.83281160530830023</v>
      </c>
      <c r="BG320" s="464">
        <f t="shared" si="446"/>
        <v>1.0026507531950088</v>
      </c>
      <c r="BH320" s="464">
        <f t="shared" si="447"/>
        <v>0.95512749557538013</v>
      </c>
      <c r="BI320" s="464">
        <f t="shared" si="448"/>
        <v>1.0331487150664291</v>
      </c>
      <c r="BJ320" s="464">
        <f t="shared" si="449"/>
        <v>1.531625969994614</v>
      </c>
      <c r="BK320" s="464">
        <f t="shared" si="450"/>
        <v>1.1039403332185327</v>
      </c>
      <c r="BL320" s="464">
        <f t="shared" si="451"/>
        <v>0</v>
      </c>
      <c r="BM320" s="464">
        <f t="shared" si="452"/>
        <v>0</v>
      </c>
      <c r="BN320" s="464">
        <f t="shared" si="453"/>
        <v>0</v>
      </c>
      <c r="BO320" s="464">
        <f t="shared" si="454"/>
        <v>0</v>
      </c>
      <c r="BP320" s="464">
        <f t="shared" si="455"/>
        <v>0.66143798628946548</v>
      </c>
    </row>
    <row r="321" spans="2:68" ht="16" customHeight="1">
      <c r="B321" s="769"/>
      <c r="C321" s="769"/>
      <c r="D321" s="292" t="s">
        <v>99</v>
      </c>
      <c r="E321" s="69">
        <v>2998</v>
      </c>
      <c r="F321" s="69">
        <v>2695</v>
      </c>
      <c r="G321" s="69">
        <v>3450</v>
      </c>
      <c r="H321" s="69">
        <v>3347</v>
      </c>
      <c r="I321" s="69">
        <v>3006</v>
      </c>
      <c r="J321" s="69">
        <v>3204</v>
      </c>
      <c r="K321" s="69">
        <v>3680</v>
      </c>
      <c r="L321" s="69">
        <v>3928</v>
      </c>
      <c r="M321" s="69">
        <v>3606</v>
      </c>
      <c r="N321" s="69">
        <v>3144</v>
      </c>
      <c r="O321" s="69">
        <v>2848</v>
      </c>
      <c r="P321" s="69">
        <v>3475</v>
      </c>
      <c r="Q321" s="69">
        <f>SUM(E321:P321)</f>
        <v>39381</v>
      </c>
      <c r="S321" s="769"/>
      <c r="T321" s="769"/>
      <c r="U321" s="292" t="s">
        <v>99</v>
      </c>
      <c r="V321" s="69">
        <v>2504.7539580658959</v>
      </c>
      <c r="W321" s="69">
        <v>2325.8429610611893</v>
      </c>
      <c r="X321" s="69">
        <v>3181.456969170647</v>
      </c>
      <c r="Y321" s="69">
        <f>Y$320*'Region OP Sales Goals'!V38</f>
        <v>2719.4471544715448</v>
      </c>
      <c r="Z321" s="69">
        <f>Z$320*'Region OP Sales Goals'!W38</f>
        <v>2862.5759520753099</v>
      </c>
      <c r="AA321" s="69">
        <f>AA$320*'Region OP Sales Goals'!X38</f>
        <v>2719.4471544715448</v>
      </c>
      <c r="AB321" s="69">
        <f>AB$320*'Region OP Sales Goals'!Y38</f>
        <v>2325.5121580547107</v>
      </c>
      <c r="AC321" s="69">
        <f>AC$320*'Region OP Sales Goals'!Z38</f>
        <v>2589.8050874966798</v>
      </c>
      <c r="AD321" s="69">
        <f>AD$320*'Region OP Sales Goals'!AA38</f>
        <v>3129.6825109837455</v>
      </c>
      <c r="AE321" s="69">
        <f>AE$320*'Region OP Sales Goals'!AB38</f>
        <v>3363.5267436884897</v>
      </c>
      <c r="AF321" s="69">
        <f>AF$320*'Region OP Sales Goals'!AC38</f>
        <v>2941.0889057750755</v>
      </c>
      <c r="AG321" s="69">
        <f>AG$320*'Region OP Sales Goals'!AD38</f>
        <v>3693.4604863221889</v>
      </c>
      <c r="AH321" s="69">
        <f>AH$320*'Region OP Sales Goals'!AE38</f>
        <v>34073.79296947144</v>
      </c>
      <c r="AJ321" s="757"/>
      <c r="AK321" s="757"/>
      <c r="AL321" s="292" t="s">
        <v>99</v>
      </c>
      <c r="AM321" s="69">
        <v>3367</v>
      </c>
      <c r="AN321" s="69">
        <v>3155</v>
      </c>
      <c r="AO321" s="69">
        <v>3353</v>
      </c>
      <c r="AP321" s="69">
        <v>3492</v>
      </c>
      <c r="AQ321" s="69">
        <v>3416</v>
      </c>
      <c r="AR321" s="69">
        <v>3493</v>
      </c>
      <c r="AS321" s="69">
        <v>4573</v>
      </c>
      <c r="AT321" s="69">
        <v>3666</v>
      </c>
      <c r="AU321" s="69"/>
      <c r="AV321" s="69"/>
      <c r="AW321" s="69"/>
      <c r="AX321" s="69"/>
      <c r="AY321" s="69">
        <f>SUM(AM321:AX321)</f>
        <v>28515</v>
      </c>
      <c r="BA321" s="757"/>
      <c r="BB321" s="757"/>
      <c r="BC321" s="292" t="s">
        <v>99</v>
      </c>
      <c r="BD321" s="465">
        <f>AM321/V321</f>
        <v>1.3442438085215793</v>
      </c>
      <c r="BE321" s="465">
        <f t="shared" si="458"/>
        <v>1.3564974303168342</v>
      </c>
      <c r="BF321" s="465">
        <f t="shared" si="445"/>
        <v>1.053919645147384</v>
      </c>
      <c r="BG321" s="465">
        <f t="shared" si="446"/>
        <v>1.2840845222008299</v>
      </c>
      <c r="BH321" s="465">
        <f t="shared" si="447"/>
        <v>1.1933307822010693</v>
      </c>
      <c r="BI321" s="465">
        <f t="shared" si="448"/>
        <v>1.2844522439998565</v>
      </c>
      <c r="BJ321" s="465">
        <f t="shared" si="449"/>
        <v>1.9664485451778122</v>
      </c>
      <c r="BK321" s="465">
        <f t="shared" si="450"/>
        <v>1.4155505438224218</v>
      </c>
      <c r="BL321" s="465">
        <f t="shared" si="451"/>
        <v>0</v>
      </c>
      <c r="BM321" s="465">
        <f t="shared" si="452"/>
        <v>0</v>
      </c>
      <c r="BN321" s="465">
        <f t="shared" si="453"/>
        <v>0</v>
      </c>
      <c r="BO321" s="465">
        <f t="shared" si="454"/>
        <v>0</v>
      </c>
      <c r="BP321" s="465">
        <f>AY321/AH321</f>
        <v>0.8368601648060765</v>
      </c>
    </row>
    <row r="322" spans="2:68" ht="16" customHeight="1">
      <c r="B322" s="769"/>
      <c r="C322" s="769"/>
      <c r="D322" s="292" t="s">
        <v>100</v>
      </c>
      <c r="E322" s="69">
        <v>4875</v>
      </c>
      <c r="F322" s="69">
        <v>3929</v>
      </c>
      <c r="G322" s="69">
        <v>4901</v>
      </c>
      <c r="H322" s="69">
        <v>5092</v>
      </c>
      <c r="I322" s="69">
        <v>4873</v>
      </c>
      <c r="J322" s="69">
        <v>4602</v>
      </c>
      <c r="K322" s="69">
        <v>5213</v>
      </c>
      <c r="L322" s="69">
        <v>5831</v>
      </c>
      <c r="M322" s="69">
        <v>5278</v>
      </c>
      <c r="N322" s="69">
        <v>4561</v>
      </c>
      <c r="O322" s="69">
        <v>3968</v>
      </c>
      <c r="P322" s="69">
        <v>4787</v>
      </c>
      <c r="Q322" s="69">
        <f t="shared" ref="Q322:Q327" si="459">SUM(E322:P322)</f>
        <v>57910</v>
      </c>
      <c r="S322" s="769"/>
      <c r="T322" s="769"/>
      <c r="U322" s="292" t="s">
        <v>100</v>
      </c>
      <c r="V322" s="69">
        <v>3578.2199400941377</v>
      </c>
      <c r="W322" s="69">
        <v>3588.4434256372638</v>
      </c>
      <c r="X322" s="69">
        <v>5061.4088145896658</v>
      </c>
      <c r="Y322" s="69">
        <f>Y$320*'Region OP Sales Goals'!V39</f>
        <v>4150.7351305091997</v>
      </c>
      <c r="Z322" s="69">
        <f>Z$320*'Region OP Sales Goals'!W39</f>
        <v>4365.4283269148473</v>
      </c>
      <c r="AA322" s="69">
        <f>AA$320*'Region OP Sales Goals'!X39</f>
        <v>4079.1707317073174</v>
      </c>
      <c r="AB322" s="69">
        <f>AB$320*'Region OP Sales Goals'!Y39</f>
        <v>3488.2682370820662</v>
      </c>
      <c r="AC322" s="69">
        <f>AC$320*'Region OP Sales Goals'!Z39</f>
        <v>3917.9102605719004</v>
      </c>
      <c r="AD322" s="69">
        <f>AD$320*'Region OP Sales Goals'!AA39</f>
        <v>4729.2980165976596</v>
      </c>
      <c r="AE322" s="69">
        <f>AE$320*'Region OP Sales Goals'!AB39</f>
        <v>5009.5079161317926</v>
      </c>
      <c r="AF322" s="69">
        <f>AF$320*'Region OP Sales Goals'!AC39</f>
        <v>4445.8320668693004</v>
      </c>
      <c r="AG322" s="69">
        <f>AG$320*'Region OP Sales Goals'!AD39</f>
        <v>5608.5881458966569</v>
      </c>
      <c r="AH322" s="69">
        <f>AH$320*'Region OP Sales Goals'!AE39</f>
        <v>49638.365066637416</v>
      </c>
      <c r="AJ322" s="757"/>
      <c r="AK322" s="757"/>
      <c r="AL322" s="292" t="s">
        <v>100</v>
      </c>
      <c r="AM322" s="69">
        <v>4480</v>
      </c>
      <c r="AN322" s="69">
        <v>3964</v>
      </c>
      <c r="AO322" s="69">
        <v>4443</v>
      </c>
      <c r="AP322" s="69">
        <v>4574</v>
      </c>
      <c r="AQ322" s="69">
        <v>4655</v>
      </c>
      <c r="AR322" s="69">
        <v>4585</v>
      </c>
      <c r="AS322" s="69">
        <v>5953</v>
      </c>
      <c r="AT322" s="69">
        <v>4901</v>
      </c>
      <c r="AU322" s="69"/>
      <c r="AV322" s="69"/>
      <c r="AW322" s="69"/>
      <c r="AX322" s="69"/>
      <c r="AY322" s="69">
        <f t="shared" ref="AY322:AY327" si="460">SUM(AM322:AX322)</f>
        <v>37555</v>
      </c>
      <c r="BA322" s="757"/>
      <c r="BB322" s="757"/>
      <c r="BC322" s="292" t="s">
        <v>100</v>
      </c>
      <c r="BD322" s="465">
        <f>AM322/V322</f>
        <v>1.2520191813257118</v>
      </c>
      <c r="BE322" s="465">
        <f t="shared" si="458"/>
        <v>1.1046572370849186</v>
      </c>
      <c r="BF322" s="465">
        <f t="shared" si="445"/>
        <v>0.87781883715714026</v>
      </c>
      <c r="BG322" s="465">
        <f t="shared" si="446"/>
        <v>1.1019734712484233</v>
      </c>
      <c r="BH322" s="465">
        <f t="shared" si="447"/>
        <v>1.0663329349149571</v>
      </c>
      <c r="BI322" s="465">
        <f t="shared" si="448"/>
        <v>1.1240029656912571</v>
      </c>
      <c r="BJ322" s="465">
        <f t="shared" si="449"/>
        <v>1.7065774749534972</v>
      </c>
      <c r="BK322" s="465">
        <f t="shared" si="450"/>
        <v>1.2509219645282528</v>
      </c>
      <c r="BL322" s="465">
        <f t="shared" si="451"/>
        <v>0</v>
      </c>
      <c r="BM322" s="465">
        <f t="shared" si="452"/>
        <v>0</v>
      </c>
      <c r="BN322" s="465">
        <f t="shared" si="453"/>
        <v>0</v>
      </c>
      <c r="BO322" s="465">
        <f t="shared" si="454"/>
        <v>0</v>
      </c>
      <c r="BP322" s="465">
        <f t="shared" ref="BP322:BP328" si="461">AY322/AH322</f>
        <v>0.75657205771350433</v>
      </c>
    </row>
    <row r="323" spans="2:68" ht="16" customHeight="1">
      <c r="B323" s="769"/>
      <c r="C323" s="769"/>
      <c r="D323" s="292" t="s">
        <v>101</v>
      </c>
      <c r="E323" s="69">
        <v>1962</v>
      </c>
      <c r="F323" s="69">
        <v>1713</v>
      </c>
      <c r="G323" s="69">
        <v>2008</v>
      </c>
      <c r="H323" s="69">
        <v>1913</v>
      </c>
      <c r="I323" s="69">
        <v>1864</v>
      </c>
      <c r="J323" s="69">
        <v>1666</v>
      </c>
      <c r="K323" s="69">
        <v>1991</v>
      </c>
      <c r="L323" s="69">
        <v>2291</v>
      </c>
      <c r="M323" s="69">
        <v>2189</v>
      </c>
      <c r="N323" s="69">
        <v>1866</v>
      </c>
      <c r="O323" s="69">
        <v>1932</v>
      </c>
      <c r="P323" s="69">
        <v>2043</v>
      </c>
      <c r="Q323" s="69">
        <f t="shared" si="459"/>
        <v>23438</v>
      </c>
      <c r="S323" s="769"/>
      <c r="T323" s="769"/>
      <c r="U323" s="292" t="s">
        <v>101</v>
      </c>
      <c r="V323" s="69">
        <v>1860.6743688489514</v>
      </c>
      <c r="W323" s="69">
        <v>1661.3164007579924</v>
      </c>
      <c r="X323" s="69">
        <v>2386.0927268779851</v>
      </c>
      <c r="Y323" s="69">
        <f>Y$320*'Region OP Sales Goals'!V40</f>
        <v>1932.2387676508342</v>
      </c>
      <c r="Z323" s="69">
        <f>Z$320*'Region OP Sales Goals'!W40</f>
        <v>2075.3675652545999</v>
      </c>
      <c r="AA323" s="69">
        <f>AA$320*'Region OP Sales Goals'!X40</f>
        <v>1932.2387676508342</v>
      </c>
      <c r="AB323" s="69">
        <f>AB$320*'Region OP Sales Goals'!Y40</f>
        <v>1641.5379939209724</v>
      </c>
      <c r="AC323" s="69">
        <f>AC$320*'Region OP Sales Goals'!Z40</f>
        <v>1859.3472423053088</v>
      </c>
      <c r="AD323" s="69">
        <f>AD$320*'Region OP Sales Goals'!AA40</f>
        <v>2225.5520078106638</v>
      </c>
      <c r="AE323" s="69">
        <f>AE$320*'Region OP Sales Goals'!AB40</f>
        <v>2361.6251604621311</v>
      </c>
      <c r="AF323" s="69">
        <f>AF$320*'Region OP Sales Goals'!AC40</f>
        <v>2051.922492401216</v>
      </c>
      <c r="AG323" s="69">
        <f>AG$320*'Region OP Sales Goals'!AD40</f>
        <v>2667.4992401215804</v>
      </c>
      <c r="AH323" s="69">
        <f>AH$320*'Region OP Sales Goals'!AE40</f>
        <v>24047.964996972649</v>
      </c>
      <c r="AJ323" s="757"/>
      <c r="AK323" s="757"/>
      <c r="AL323" s="292" t="s">
        <v>101</v>
      </c>
      <c r="AM323" s="69">
        <v>1988</v>
      </c>
      <c r="AN323" s="69">
        <v>1912</v>
      </c>
      <c r="AO323" s="69">
        <v>1944</v>
      </c>
      <c r="AP323" s="69">
        <v>2010</v>
      </c>
      <c r="AQ323" s="69">
        <v>2231</v>
      </c>
      <c r="AR323" s="69">
        <v>2074</v>
      </c>
      <c r="AS323" s="69">
        <v>2656</v>
      </c>
      <c r="AT323" s="69">
        <v>2017</v>
      </c>
      <c r="AU323" s="69"/>
      <c r="AV323" s="69"/>
      <c r="AW323" s="69"/>
      <c r="AX323" s="69"/>
      <c r="AY323" s="69">
        <f t="shared" si="460"/>
        <v>16832</v>
      </c>
      <c r="BA323" s="757"/>
      <c r="BB323" s="757"/>
      <c r="BC323" s="292" t="s">
        <v>101</v>
      </c>
      <c r="BD323" s="465">
        <f t="shared" ref="BD323:BD327" si="462">AM323/V323</f>
        <v>1.0684298302178552</v>
      </c>
      <c r="BE323" s="465">
        <f t="shared" si="458"/>
        <v>1.1508945551417122</v>
      </c>
      <c r="BF323" s="465">
        <f t="shared" si="445"/>
        <v>0.81472106180197412</v>
      </c>
      <c r="BG323" s="465">
        <f t="shared" si="446"/>
        <v>1.0402441114685355</v>
      </c>
      <c r="BH323" s="465">
        <f t="shared" si="447"/>
        <v>1.0749902992370932</v>
      </c>
      <c r="BI323" s="465">
        <f t="shared" si="448"/>
        <v>1.0733663120327077</v>
      </c>
      <c r="BJ323" s="465">
        <f t="shared" si="449"/>
        <v>1.6179948376679889</v>
      </c>
      <c r="BK323" s="465">
        <f t="shared" si="450"/>
        <v>1.0847893035295686</v>
      </c>
      <c r="BL323" s="465">
        <f t="shared" si="451"/>
        <v>0</v>
      </c>
      <c r="BM323" s="465">
        <f t="shared" si="452"/>
        <v>0</v>
      </c>
      <c r="BN323" s="465">
        <f t="shared" si="453"/>
        <v>0</v>
      </c>
      <c r="BO323" s="465">
        <f t="shared" si="454"/>
        <v>0</v>
      </c>
      <c r="BP323" s="465">
        <f t="shared" si="461"/>
        <v>0.69993448518903567</v>
      </c>
    </row>
    <row r="324" spans="2:68" ht="16" customHeight="1">
      <c r="B324" s="769"/>
      <c r="C324" s="769"/>
      <c r="D324" s="292" t="s">
        <v>102</v>
      </c>
      <c r="E324" s="69">
        <v>987</v>
      </c>
      <c r="F324" s="69">
        <v>957</v>
      </c>
      <c r="G324" s="69">
        <v>1113</v>
      </c>
      <c r="H324" s="69">
        <v>1109</v>
      </c>
      <c r="I324" s="69">
        <v>886</v>
      </c>
      <c r="J324" s="69">
        <v>1065</v>
      </c>
      <c r="K324" s="69">
        <v>1145</v>
      </c>
      <c r="L324" s="69">
        <v>1327</v>
      </c>
      <c r="M324" s="69">
        <v>1121</v>
      </c>
      <c r="N324" s="69">
        <v>1208</v>
      </c>
      <c r="O324" s="69">
        <v>1042</v>
      </c>
      <c r="P324" s="69">
        <v>1210</v>
      </c>
      <c r="Q324" s="69">
        <f t="shared" si="459"/>
        <v>13170</v>
      </c>
      <c r="S324" s="769"/>
      <c r="T324" s="769"/>
      <c r="U324" s="292" t="s">
        <v>102</v>
      </c>
      <c r="V324" s="69">
        <v>644.07958921694478</v>
      </c>
      <c r="W324" s="69">
        <v>863.88452839415606</v>
      </c>
      <c r="X324" s="69">
        <v>1012.2817629179331</v>
      </c>
      <c r="Y324" s="69">
        <f>Y$320*'Region OP Sales Goals'!V41</f>
        <v>930.33718442447571</v>
      </c>
      <c r="Z324" s="69">
        <f>Z$320*'Region OP Sales Goals'!W41</f>
        <v>1001.9015832263584</v>
      </c>
      <c r="AA324" s="69">
        <f>AA$320*'Region OP Sales Goals'!X41</f>
        <v>930.33718442447582</v>
      </c>
      <c r="AB324" s="69">
        <f>AB$320*'Region OP Sales Goals'!Y41</f>
        <v>820.76899696048622</v>
      </c>
      <c r="AC324" s="69">
        <f>AC$320*'Region OP Sales Goals'!Z41</f>
        <v>863.26836249889334</v>
      </c>
      <c r="AD324" s="69">
        <f>AD$320*'Region OP Sales Goals'!AA41</f>
        <v>1043.2275036612484</v>
      </c>
      <c r="AE324" s="69">
        <f>AE$320*'Region OP Sales Goals'!AB41</f>
        <v>1145.0303808301242</v>
      </c>
      <c r="AF324" s="69">
        <f>AF$320*'Region OP Sales Goals'!AC41</f>
        <v>1025.961246200608</v>
      </c>
      <c r="AG324" s="69">
        <f>AG$320*'Region OP Sales Goals'!AD41</f>
        <v>1299.5509118541033</v>
      </c>
      <c r="AH324" s="69">
        <f>AH$320*'Region OP Sales Goals'!AE41</f>
        <v>11708.484415435662</v>
      </c>
      <c r="AJ324" s="757"/>
      <c r="AK324" s="757"/>
      <c r="AL324" s="292" t="s">
        <v>102</v>
      </c>
      <c r="AM324" s="69">
        <v>1307</v>
      </c>
      <c r="AN324" s="69">
        <v>1257</v>
      </c>
      <c r="AO324" s="69">
        <v>1183</v>
      </c>
      <c r="AP324" s="69">
        <v>1309</v>
      </c>
      <c r="AQ324" s="69">
        <v>1198</v>
      </c>
      <c r="AR324" s="69">
        <v>1369</v>
      </c>
      <c r="AS324" s="69">
        <v>1650</v>
      </c>
      <c r="AT324" s="69">
        <v>1318</v>
      </c>
      <c r="AU324" s="69"/>
      <c r="AV324" s="69"/>
      <c r="AW324" s="69"/>
      <c r="AX324" s="69"/>
      <c r="AY324" s="69">
        <f t="shared" si="460"/>
        <v>10591</v>
      </c>
      <c r="BA324" s="757"/>
      <c r="BB324" s="757"/>
      <c r="BC324" s="292" t="s">
        <v>102</v>
      </c>
      <c r="BD324" s="465">
        <f t="shared" si="462"/>
        <v>2.029252318939367</v>
      </c>
      <c r="BE324" s="465">
        <f t="shared" si="458"/>
        <v>1.4550555759304917</v>
      </c>
      <c r="BF324" s="465">
        <f t="shared" si="445"/>
        <v>1.1686469551619367</v>
      </c>
      <c r="BG324" s="465">
        <f t="shared" si="446"/>
        <v>1.4070167482446403</v>
      </c>
      <c r="BH324" s="465">
        <f t="shared" si="447"/>
        <v>1.1957262270632996</v>
      </c>
      <c r="BI324" s="465">
        <f t="shared" si="448"/>
        <v>1.4715094945354563</v>
      </c>
      <c r="BJ324" s="465">
        <f t="shared" si="449"/>
        <v>2.0103098510182091</v>
      </c>
      <c r="BK324" s="465">
        <f t="shared" si="450"/>
        <v>1.5267558238608445</v>
      </c>
      <c r="BL324" s="465">
        <f t="shared" si="451"/>
        <v>0</v>
      </c>
      <c r="BM324" s="465">
        <f t="shared" si="452"/>
        <v>0</v>
      </c>
      <c r="BN324" s="465">
        <f t="shared" si="453"/>
        <v>0</v>
      </c>
      <c r="BO324" s="465">
        <f t="shared" si="454"/>
        <v>0</v>
      </c>
      <c r="BP324" s="465">
        <f t="shared" si="461"/>
        <v>0.90455772277730095</v>
      </c>
    </row>
    <row r="325" spans="2:68" ht="16" customHeight="1">
      <c r="B325" s="769"/>
      <c r="C325" s="769"/>
      <c r="D325" s="292" t="s">
        <v>103</v>
      </c>
      <c r="E325" s="69">
        <v>2541</v>
      </c>
      <c r="F325" s="69">
        <v>2060</v>
      </c>
      <c r="G325" s="69">
        <v>2684</v>
      </c>
      <c r="H325" s="69">
        <v>2641</v>
      </c>
      <c r="I325" s="69">
        <v>2643</v>
      </c>
      <c r="J325" s="69">
        <v>2629</v>
      </c>
      <c r="K325" s="69">
        <v>2538</v>
      </c>
      <c r="L325" s="69">
        <v>2945</v>
      </c>
      <c r="M325" s="69">
        <v>2923</v>
      </c>
      <c r="N325" s="69">
        <v>2625</v>
      </c>
      <c r="O325" s="69">
        <v>2597</v>
      </c>
      <c r="P325" s="69">
        <v>3223</v>
      </c>
      <c r="Q325" s="69">
        <f t="shared" si="459"/>
        <v>32049</v>
      </c>
      <c r="S325" s="769"/>
      <c r="T325" s="769"/>
      <c r="U325" s="292" t="s">
        <v>103</v>
      </c>
      <c r="V325" s="69">
        <v>2003.8031664527171</v>
      </c>
      <c r="W325" s="69">
        <v>2259.3903050308695</v>
      </c>
      <c r="X325" s="69">
        <v>3036.8452887537992</v>
      </c>
      <c r="Y325" s="69">
        <f>Y$320*'Region OP Sales Goals'!V42</f>
        <v>2719.4471544715448</v>
      </c>
      <c r="Z325" s="69">
        <f>Z$320*'Region OP Sales Goals'!W42</f>
        <v>2862.5759520753099</v>
      </c>
      <c r="AA325" s="69">
        <f>AA$320*'Region OP Sales Goals'!X42</f>
        <v>2647.8827556696619</v>
      </c>
      <c r="AB325" s="69">
        <f>AB$320*'Region OP Sales Goals'!Y42</f>
        <v>2257.1147416413369</v>
      </c>
      <c r="AC325" s="69">
        <f>AC$320*'Region OP Sales Goals'!Z42</f>
        <v>2523.3998288429189</v>
      </c>
      <c r="AD325" s="69">
        <f>AD$320*'Region OP Sales Goals'!AA42</f>
        <v>3060.1340107396622</v>
      </c>
      <c r="AE325" s="69">
        <f>AE$320*'Region OP Sales Goals'!AB42</f>
        <v>3291.9623448866068</v>
      </c>
      <c r="AF325" s="69">
        <f>AF$320*'Region OP Sales Goals'!AC42</f>
        <v>2872.6914893617022</v>
      </c>
      <c r="AG325" s="69">
        <f>AG$320*'Region OP Sales Goals'!AD42</f>
        <v>3625.0630699088147</v>
      </c>
      <c r="AH325" s="69">
        <f>AH$320*'Region OP Sales Goals'!AE42</f>
        <v>32321.025841412215</v>
      </c>
      <c r="AJ325" s="757"/>
      <c r="AK325" s="757"/>
      <c r="AL325" s="292" t="s">
        <v>103</v>
      </c>
      <c r="AM325" s="69">
        <v>2974</v>
      </c>
      <c r="AN325" s="69">
        <v>2682</v>
      </c>
      <c r="AO325" s="69">
        <v>2842</v>
      </c>
      <c r="AP325" s="69">
        <v>2991</v>
      </c>
      <c r="AQ325" s="69">
        <v>3105</v>
      </c>
      <c r="AR325" s="69">
        <v>3071</v>
      </c>
      <c r="AS325" s="69">
        <v>4109</v>
      </c>
      <c r="AT325" s="69">
        <v>3064</v>
      </c>
      <c r="AU325" s="69"/>
      <c r="AV325" s="69"/>
      <c r="AW325" s="69"/>
      <c r="AX325" s="69"/>
      <c r="AY325" s="69">
        <f t="shared" si="460"/>
        <v>24838</v>
      </c>
      <c r="BA325" s="757"/>
      <c r="BB325" s="757"/>
      <c r="BC325" s="292" t="s">
        <v>103</v>
      </c>
      <c r="BD325" s="465">
        <f t="shared" si="462"/>
        <v>1.4841777125568667</v>
      </c>
      <c r="BE325" s="465">
        <f t="shared" si="458"/>
        <v>1.1870459008468466</v>
      </c>
      <c r="BF325" s="465">
        <f t="shared" si="445"/>
        <v>0.93583957356162983</v>
      </c>
      <c r="BG325" s="465">
        <f t="shared" si="446"/>
        <v>1.0998559008885116</v>
      </c>
      <c r="BH325" s="465">
        <f t="shared" si="447"/>
        <v>1.0846873766786651</v>
      </c>
      <c r="BI325" s="465">
        <f t="shared" si="448"/>
        <v>1.1597945541298447</v>
      </c>
      <c r="BJ325" s="465">
        <f t="shared" si="449"/>
        <v>1.8204657141231564</v>
      </c>
      <c r="BK325" s="465">
        <f t="shared" si="450"/>
        <v>1.2142348449809353</v>
      </c>
      <c r="BL325" s="465">
        <f t="shared" si="451"/>
        <v>0</v>
      </c>
      <c r="BM325" s="465">
        <f t="shared" si="452"/>
        <v>0</v>
      </c>
      <c r="BN325" s="465">
        <f t="shared" si="453"/>
        <v>0</v>
      </c>
      <c r="BO325" s="465">
        <f t="shared" si="454"/>
        <v>0</v>
      </c>
      <c r="BP325" s="465">
        <f t="shared" si="461"/>
        <v>0.76847808364348447</v>
      </c>
    </row>
    <row r="326" spans="2:68" ht="16" customHeight="1">
      <c r="B326" s="769"/>
      <c r="C326" s="769"/>
      <c r="D326" s="292" t="s">
        <v>104</v>
      </c>
      <c r="E326" s="69">
        <v>3489</v>
      </c>
      <c r="F326" s="69">
        <v>3038</v>
      </c>
      <c r="G326" s="69">
        <v>3532</v>
      </c>
      <c r="H326" s="69">
        <v>3326</v>
      </c>
      <c r="I326" s="69">
        <v>3048</v>
      </c>
      <c r="J326" s="69">
        <v>2911</v>
      </c>
      <c r="K326" s="69">
        <v>3252</v>
      </c>
      <c r="L326" s="69">
        <v>4081</v>
      </c>
      <c r="M326" s="69">
        <v>3831</v>
      </c>
      <c r="N326" s="69">
        <v>3419</v>
      </c>
      <c r="O326" s="69">
        <v>3594</v>
      </c>
      <c r="P326" s="69">
        <v>4229</v>
      </c>
      <c r="Q326" s="69">
        <f t="shared" si="459"/>
        <v>41750</v>
      </c>
      <c r="S326" s="769"/>
      <c r="T326" s="769"/>
      <c r="U326" s="292" t="s">
        <v>104</v>
      </c>
      <c r="V326" s="69">
        <v>5152.6367137355583</v>
      </c>
      <c r="W326" s="69">
        <v>5183.3071703649366</v>
      </c>
      <c r="X326" s="69">
        <v>6941.3606600086841</v>
      </c>
      <c r="Y326" s="69">
        <f>Y$320*'Region OP Sales Goals'!V43</f>
        <v>6154.5382969619168</v>
      </c>
      <c r="Z326" s="69">
        <f>Z$320*'Region OP Sales Goals'!W43</f>
        <v>6369.2314933675652</v>
      </c>
      <c r="AA326" s="69">
        <f>AA$320*'Region OP Sales Goals'!X43</f>
        <v>6011.4094993581521</v>
      </c>
      <c r="AB326" s="69">
        <f>AB$320*'Region OP Sales Goals'!Y43</f>
        <v>5198.2036474164133</v>
      </c>
      <c r="AC326" s="69">
        <f>AC$320*'Region OP Sales Goals'!Z43</f>
        <v>5777.2575028772089</v>
      </c>
      <c r="AD326" s="69">
        <f>AD$320*'Region OP Sales Goals'!AA43</f>
        <v>6954.8500244083243</v>
      </c>
      <c r="AE326" s="69">
        <f>AE$320*'Region OP Sales Goals'!AB43</f>
        <v>7442.6974753958066</v>
      </c>
      <c r="AF326" s="69">
        <f>AF$320*'Region OP Sales Goals'!AC43</f>
        <v>6497.7545592705164</v>
      </c>
      <c r="AG326" s="69">
        <f>AG$320*'Region OP Sales Goals'!AD43</f>
        <v>8276.0873860182364</v>
      </c>
      <c r="AH326" s="69">
        <f>AH$320*'Region OP Sales Goals'!AE43</f>
        <v>78243.524596564064</v>
      </c>
      <c r="AJ326" s="757"/>
      <c r="AK326" s="757"/>
      <c r="AL326" s="292" t="s">
        <v>104</v>
      </c>
      <c r="AM326" s="69">
        <v>4251</v>
      </c>
      <c r="AN326" s="69">
        <v>3856</v>
      </c>
      <c r="AO326" s="69">
        <v>4058</v>
      </c>
      <c r="AP326" s="69">
        <v>4265</v>
      </c>
      <c r="AQ326" s="156">
        <v>4131</v>
      </c>
      <c r="AR326" s="156">
        <v>4172</v>
      </c>
      <c r="AS326" s="156">
        <v>5378</v>
      </c>
      <c r="AT326" s="156">
        <v>4511</v>
      </c>
      <c r="AU326" s="69"/>
      <c r="AV326" s="69"/>
      <c r="AW326" s="69"/>
      <c r="AX326" s="69"/>
      <c r="AY326" s="69">
        <f t="shared" si="460"/>
        <v>34622</v>
      </c>
      <c r="BA326" s="757"/>
      <c r="BB326" s="757"/>
      <c r="BC326" s="292" t="s">
        <v>104</v>
      </c>
      <c r="BD326" s="465">
        <f t="shared" si="462"/>
        <v>0.82501449959939255</v>
      </c>
      <c r="BE326" s="465">
        <f t="shared" si="458"/>
        <v>0.74392658456483374</v>
      </c>
      <c r="BF326" s="465">
        <f t="shared" si="445"/>
        <v>0.58461160552849345</v>
      </c>
      <c r="BG326" s="465">
        <f t="shared" si="446"/>
        <v>0.69298455777021406</v>
      </c>
      <c r="BH326" s="465">
        <f t="shared" si="447"/>
        <v>0.64858688278196674</v>
      </c>
      <c r="BI326" s="465">
        <f t="shared" si="448"/>
        <v>0.69401360869617201</v>
      </c>
      <c r="BJ326" s="465">
        <f t="shared" si="449"/>
        <v>1.0345881702177921</v>
      </c>
      <c r="BK326" s="465">
        <f t="shared" si="450"/>
        <v>0.78082031097859439</v>
      </c>
      <c r="BL326" s="465">
        <f t="shared" si="451"/>
        <v>0</v>
      </c>
      <c r="BM326" s="465">
        <f t="shared" si="452"/>
        <v>0</v>
      </c>
      <c r="BN326" s="465">
        <f t="shared" si="453"/>
        <v>0</v>
      </c>
      <c r="BO326" s="465">
        <f t="shared" si="454"/>
        <v>0</v>
      </c>
      <c r="BP326" s="465">
        <f t="shared" si="461"/>
        <v>0.44249029141410084</v>
      </c>
    </row>
    <row r="327" spans="2:68" ht="16" customHeight="1">
      <c r="B327" s="769"/>
      <c r="C327" s="769"/>
      <c r="D327" s="292" t="s">
        <v>105</v>
      </c>
      <c r="E327" s="69">
        <v>2753</v>
      </c>
      <c r="F327" s="69">
        <v>2433</v>
      </c>
      <c r="G327" s="69">
        <v>2783</v>
      </c>
      <c r="H327" s="69">
        <v>2923</v>
      </c>
      <c r="I327" s="69">
        <v>2684</v>
      </c>
      <c r="J327" s="69">
        <v>2598</v>
      </c>
      <c r="K327" s="69">
        <v>2895</v>
      </c>
      <c r="L327" s="69">
        <v>3341</v>
      </c>
      <c r="M327" s="69">
        <v>3318</v>
      </c>
      <c r="N327" s="69">
        <v>2836</v>
      </c>
      <c r="O327" s="69">
        <v>2776</v>
      </c>
      <c r="P327" s="69">
        <v>3265</v>
      </c>
      <c r="Q327" s="69">
        <f t="shared" si="459"/>
        <v>34605</v>
      </c>
      <c r="S327" s="769"/>
      <c r="T327" s="769"/>
      <c r="U327" s="292" t="s">
        <v>105</v>
      </c>
      <c r="V327" s="69">
        <v>2862.5759520753099</v>
      </c>
      <c r="W327" s="69">
        <v>2724.5588972431074</v>
      </c>
      <c r="X327" s="69">
        <v>3687.5978506296133</v>
      </c>
      <c r="Y327" s="69">
        <f>Y$320*'Region OP Sales Goals'!V44</f>
        <v>3220.397946084724</v>
      </c>
      <c r="Z327" s="69">
        <f>Z$320*'Region OP Sales Goals'!W44</f>
        <v>3363.5267436884892</v>
      </c>
      <c r="AA327" s="69">
        <f>AA$320*'Region OP Sales Goals'!X44</f>
        <v>3148.8335472828412</v>
      </c>
      <c r="AB327" s="69">
        <f>AB$320*'Region OP Sales Goals'!Y44</f>
        <v>2735.8966565349538</v>
      </c>
      <c r="AC327" s="69">
        <f>AC$320*'Region OP Sales Goals'!Z44</f>
        <v>2988.2366394192459</v>
      </c>
      <c r="AD327" s="69">
        <f>AD$320*'Region OP Sales Goals'!AA44</f>
        <v>3546.9735124482449</v>
      </c>
      <c r="AE327" s="69">
        <f>AE$320*'Region OP Sales Goals'!AB44</f>
        <v>3864.4775353016689</v>
      </c>
      <c r="AF327" s="69">
        <f>AF$320*'Region OP Sales Goals'!AC44</f>
        <v>3419.8708206686929</v>
      </c>
      <c r="AG327" s="69">
        <f>AG$320*'Region OP Sales Goals'!AD44</f>
        <v>4240.6398176291796</v>
      </c>
      <c r="AH327" s="69">
        <f>AH$320*'Region OP Sales Goals'!AE44</f>
        <v>40664.197370974151</v>
      </c>
      <c r="AJ327" s="757"/>
      <c r="AK327" s="757"/>
      <c r="AL327" s="292" t="s">
        <v>105</v>
      </c>
      <c r="AM327" s="69">
        <v>3327</v>
      </c>
      <c r="AN327" s="69">
        <v>3134</v>
      </c>
      <c r="AO327" s="69">
        <v>3253</v>
      </c>
      <c r="AP327" s="69">
        <v>3244</v>
      </c>
      <c r="AQ327" s="69">
        <v>3137</v>
      </c>
      <c r="AR327" s="69">
        <v>3417</v>
      </c>
      <c r="AS327" s="69">
        <v>3966</v>
      </c>
      <c r="AT327" s="69">
        <v>3175</v>
      </c>
      <c r="AU327" s="69"/>
      <c r="AV327" s="69"/>
      <c r="AW327" s="69"/>
      <c r="AX327" s="69"/>
      <c r="AY327" s="69">
        <f t="shared" si="460"/>
        <v>26653</v>
      </c>
      <c r="BA327" s="757"/>
      <c r="BB327" s="757"/>
      <c r="BC327" s="292" t="s">
        <v>105</v>
      </c>
      <c r="BD327" s="465">
        <f t="shared" si="462"/>
        <v>1.1622399040933715</v>
      </c>
      <c r="BE327" s="465">
        <f t="shared" si="458"/>
        <v>1.1502779415674196</v>
      </c>
      <c r="BF327" s="465">
        <f t="shared" si="445"/>
        <v>0.88214608310518161</v>
      </c>
      <c r="BG327" s="465">
        <f t="shared" si="446"/>
        <v>1.0073289246578891</v>
      </c>
      <c r="BH327" s="465">
        <f t="shared" si="447"/>
        <v>0.93265201648431761</v>
      </c>
      <c r="BI327" s="465">
        <f t="shared" si="448"/>
        <v>1.0851637435546766</v>
      </c>
      <c r="BJ327" s="465">
        <f t="shared" si="449"/>
        <v>1.4496161580251306</v>
      </c>
      <c r="BK327" s="465">
        <f t="shared" si="450"/>
        <v>1.0624995216634019</v>
      </c>
      <c r="BL327" s="465">
        <f t="shared" si="451"/>
        <v>0</v>
      </c>
      <c r="BM327" s="465">
        <f t="shared" si="452"/>
        <v>0</v>
      </c>
      <c r="BN327" s="465">
        <f t="shared" si="453"/>
        <v>0</v>
      </c>
      <c r="BO327" s="465">
        <f t="shared" si="454"/>
        <v>0</v>
      </c>
      <c r="BP327" s="465">
        <f t="shared" si="461"/>
        <v>0.6554414380013005</v>
      </c>
    </row>
    <row r="328" spans="2:68">
      <c r="B328" s="769"/>
      <c r="C328" s="769"/>
      <c r="D328" s="182" t="s">
        <v>14</v>
      </c>
      <c r="E328" s="341">
        <f>SUM(E329:E335)</f>
        <v>12114</v>
      </c>
      <c r="F328" s="341">
        <f t="shared" ref="F328:Q328" si="463">SUM(F329:F335)</f>
        <v>11786</v>
      </c>
      <c r="G328" s="341">
        <f t="shared" si="463"/>
        <v>13828</v>
      </c>
      <c r="H328" s="341">
        <f t="shared" si="463"/>
        <v>11972</v>
      </c>
      <c r="I328" s="341">
        <f t="shared" si="463"/>
        <v>11976</v>
      </c>
      <c r="J328" s="341">
        <f t="shared" si="463"/>
        <v>11313</v>
      </c>
      <c r="K328" s="341">
        <f t="shared" si="463"/>
        <v>12009</v>
      </c>
      <c r="L328" s="341">
        <f t="shared" si="463"/>
        <v>11426</v>
      </c>
      <c r="M328" s="341">
        <f t="shared" si="463"/>
        <v>10471</v>
      </c>
      <c r="N328" s="341">
        <f t="shared" si="463"/>
        <v>11212</v>
      </c>
      <c r="O328" s="341">
        <f t="shared" si="463"/>
        <v>11246</v>
      </c>
      <c r="P328" s="341">
        <f t="shared" si="463"/>
        <v>11356</v>
      </c>
      <c r="Q328" s="341">
        <f t="shared" si="463"/>
        <v>140709</v>
      </c>
      <c r="S328" s="769"/>
      <c r="T328" s="769"/>
      <c r="U328" s="182" t="s">
        <v>14</v>
      </c>
      <c r="V328" s="341">
        <v>6605.35729567822</v>
      </c>
      <c r="W328" s="341">
        <v>6605.35729567822</v>
      </c>
      <c r="X328" s="341">
        <v>9436.4057750759875</v>
      </c>
      <c r="Y328" s="341" cm="1">
        <f t="array" ref="Y328">INDEX('Research Goals'!$F$159:$F$170, COLUMN()-COLUMN($V$3)+1)</f>
        <v>15929.300385109113</v>
      </c>
      <c r="Z328" s="341" cm="1">
        <f t="array" ref="Z328">INDEX('Research Goals'!$F$159:$F$170, COLUMN()-COLUMN($V$3)+1)</f>
        <v>16712.708600770216</v>
      </c>
      <c r="AA328" s="341" cm="1">
        <f t="array" ref="AA328">INDEX('Research Goals'!$F$159:$F$170, COLUMN()-COLUMN($V$3)+1)</f>
        <v>15668.164313222078</v>
      </c>
      <c r="AB328" s="341" cm="1">
        <f t="array" ref="AB328">INDEX('Research Goals'!$F$159:$F$170, COLUMN()-COLUMN($V$3)+1)</f>
        <v>12967.591185410334</v>
      </c>
      <c r="AC328" s="341" cm="1">
        <f t="array" ref="AC328">INDEX('Research Goals'!$F$159:$F$170, COLUMN()-COLUMN($V$3)+1)</f>
        <v>14408.434650455927</v>
      </c>
      <c r="AD328" s="341" cm="1">
        <f t="array" ref="AD328">INDEX('Research Goals'!$F$159:$F$170, COLUMN()-COLUMN($V$3)+1)</f>
        <v>18018.38896020539</v>
      </c>
      <c r="AE328" s="341" cm="1">
        <f t="array" ref="AE328">INDEX('Research Goals'!$F$159:$F$170, COLUMN()-COLUMN($V$3)+1)</f>
        <v>19324.069319640563</v>
      </c>
      <c r="AF328" s="341" cm="1">
        <f t="array" ref="AF328">INDEX('Research Goals'!$F$159:$F$170, COLUMN()-COLUMN($V$3)+1)</f>
        <v>16329.559270516716</v>
      </c>
      <c r="AG328" s="341" cm="1">
        <f t="array" ref="AG328">INDEX('Research Goals'!$F$159:$F$170, COLUMN()-COLUMN($V$3)+1)</f>
        <v>20652.089665653493</v>
      </c>
      <c r="AH328" s="342">
        <f>SUM(V328:AG328)</f>
        <v>172657.42671741627</v>
      </c>
      <c r="AJ328" s="757"/>
      <c r="AK328" s="757"/>
      <c r="AL328" s="182" t="s">
        <v>14</v>
      </c>
      <c r="AM328" s="341">
        <f>SUM(AM329:AM335)</f>
        <v>10484.285714285714</v>
      </c>
      <c r="AN328" s="341">
        <f t="shared" ref="AN328:AY328" si="464">SUM(AN329:AN335)</f>
        <v>10172.571428571428</v>
      </c>
      <c r="AO328" s="341">
        <f t="shared" si="464"/>
        <v>9689</v>
      </c>
      <c r="AP328" s="341">
        <f t="shared" si="464"/>
        <v>9293.1428571428569</v>
      </c>
      <c r="AQ328" s="341">
        <f t="shared" si="464"/>
        <v>9950.8571428571413</v>
      </c>
      <c r="AR328" s="341">
        <f t="shared" si="464"/>
        <v>8775.5714285714275</v>
      </c>
      <c r="AS328" s="341">
        <f t="shared" si="464"/>
        <v>9985.7142857142862</v>
      </c>
      <c r="AT328" s="341">
        <f t="shared" si="464"/>
        <v>7899.7142857142853</v>
      </c>
      <c r="AU328" s="341">
        <f t="shared" si="464"/>
        <v>0</v>
      </c>
      <c r="AV328" s="341">
        <f t="shared" si="464"/>
        <v>0</v>
      </c>
      <c r="AW328" s="341">
        <f t="shared" si="464"/>
        <v>0</v>
      </c>
      <c r="AX328" s="341">
        <f t="shared" si="464"/>
        <v>0</v>
      </c>
      <c r="AY328" s="341">
        <f t="shared" si="464"/>
        <v>76250.857142857145</v>
      </c>
      <c r="BA328" s="757"/>
      <c r="BB328" s="757"/>
      <c r="BC328" s="182" t="s">
        <v>14</v>
      </c>
      <c r="BD328" s="464">
        <f>AM328/V328</f>
        <v>1.5872397578167974</v>
      </c>
      <c r="BE328" s="464">
        <f t="shared" si="458"/>
        <v>1.5400486261700301</v>
      </c>
      <c r="BF328" s="464">
        <f t="shared" si="445"/>
        <v>1.026768054590359</v>
      </c>
      <c r="BG328" s="464">
        <f t="shared" si="446"/>
        <v>0.5833993102314895</v>
      </c>
      <c r="BH328" s="464">
        <f t="shared" si="447"/>
        <v>0.59540660826208325</v>
      </c>
      <c r="BI328" s="464">
        <f t="shared" si="448"/>
        <v>0.56008931570661935</v>
      </c>
      <c r="BJ328" s="464">
        <f t="shared" si="449"/>
        <v>0.77005159577740867</v>
      </c>
      <c r="BK328" s="464">
        <f t="shared" si="450"/>
        <v>0.54827012630857264</v>
      </c>
      <c r="BL328" s="464">
        <f t="shared" si="451"/>
        <v>0</v>
      </c>
      <c r="BM328" s="464">
        <f t="shared" si="452"/>
        <v>0</v>
      </c>
      <c r="BN328" s="464">
        <f t="shared" si="453"/>
        <v>0</v>
      </c>
      <c r="BO328" s="464">
        <f t="shared" si="454"/>
        <v>0</v>
      </c>
      <c r="BP328" s="464">
        <f t="shared" si="461"/>
        <v>0.44163091384221115</v>
      </c>
    </row>
    <row r="329" spans="2:68" ht="16" customHeight="1">
      <c r="B329" s="769"/>
      <c r="C329" s="769"/>
      <c r="D329" s="292" t="s">
        <v>99</v>
      </c>
      <c r="E329" s="69">
        <v>1480</v>
      </c>
      <c r="F329" s="69">
        <v>1845</v>
      </c>
      <c r="G329" s="69">
        <v>2056</v>
      </c>
      <c r="H329" s="69">
        <v>1615</v>
      </c>
      <c r="I329" s="69">
        <v>1356</v>
      </c>
      <c r="J329" s="69">
        <v>1274</v>
      </c>
      <c r="K329" s="69">
        <v>1385</v>
      </c>
      <c r="L329" s="69">
        <v>1395</v>
      </c>
      <c r="M329" s="69">
        <v>1415</v>
      </c>
      <c r="N329" s="69">
        <v>1466</v>
      </c>
      <c r="O329" s="69">
        <v>1540</v>
      </c>
      <c r="P329" s="69">
        <v>1509</v>
      </c>
      <c r="Q329" s="69">
        <f>SUM(E329:P329)</f>
        <v>18336</v>
      </c>
      <c r="S329" s="769"/>
      <c r="T329" s="769"/>
      <c r="U329" s="292" t="s">
        <v>99</v>
      </c>
      <c r="V329" s="69">
        <v>889.18271287976029</v>
      </c>
      <c r="W329" s="69">
        <v>825.6696619597775</v>
      </c>
      <c r="X329" s="69">
        <v>1186.2910117238384</v>
      </c>
      <c r="Y329" s="69">
        <f>Y$328*'Region OP Sales Goals'!V38</f>
        <v>1984.6341463414633</v>
      </c>
      <c r="Z329" s="69">
        <f>Z$328*'Region OP Sales Goals'!W38</f>
        <v>2089.0885750962771</v>
      </c>
      <c r="AA329" s="69">
        <f>AA$328*'Region OP Sales Goals'!X38</f>
        <v>1984.6341463414633</v>
      </c>
      <c r="AB329" s="69">
        <f>AB$328*'Region OP Sales Goals'!Y38</f>
        <v>1632.9559270516716</v>
      </c>
      <c r="AC329" s="69">
        <f>AC$328*'Region OP Sales Goals'!Z38</f>
        <v>1818.5402956886121</v>
      </c>
      <c r="AD329" s="69">
        <f>AD$328*'Region OP Sales Goals'!AA38</f>
        <v>2284.0211358006832</v>
      </c>
      <c r="AE329" s="69">
        <f>AE$328*'Region OP Sales Goals'!AB38</f>
        <v>2454.6790757381254</v>
      </c>
      <c r="AF329" s="69">
        <f>AF$328*'Region OP Sales Goals'!AC38</f>
        <v>2065.2089665653493</v>
      </c>
      <c r="AG329" s="69">
        <f>AG$328*'Region OP Sales Goals'!AD38</f>
        <v>2593.5182370820667</v>
      </c>
      <c r="AH329" s="69">
        <f>AH$328*'Region OP Sales Goals'!AE38</f>
        <v>21665.765397537903</v>
      </c>
      <c r="AJ329" s="757"/>
      <c r="AK329" s="757"/>
      <c r="AL329" s="292" t="s">
        <v>99</v>
      </c>
      <c r="AM329" s="69">
        <v>1300.4285714285716</v>
      </c>
      <c r="AN329" s="69">
        <v>1179.5714285714284</v>
      </c>
      <c r="AO329" s="69">
        <v>1135</v>
      </c>
      <c r="AP329" s="69">
        <v>1110.7142857142858</v>
      </c>
      <c r="AQ329" s="156">
        <v>1298.2857142857142</v>
      </c>
      <c r="AR329" s="156">
        <v>1285.5714285714284</v>
      </c>
      <c r="AS329" s="156">
        <v>1394.5714285714284</v>
      </c>
      <c r="AT329" s="156">
        <v>920.85714285714289</v>
      </c>
      <c r="AU329" s="69"/>
      <c r="AV329" s="69"/>
      <c r="AW329" s="69"/>
      <c r="AX329" s="69"/>
      <c r="AY329" s="69">
        <f>SUM(AM329:AX329)</f>
        <v>9625</v>
      </c>
      <c r="BA329" s="757"/>
      <c r="BB329" s="757"/>
      <c r="BC329" s="292" t="s">
        <v>99</v>
      </c>
      <c r="BD329" s="465">
        <f>AM329/V329</f>
        <v>1.4624987109982446</v>
      </c>
      <c r="BE329" s="465">
        <f t="shared" si="458"/>
        <v>1.4286239193670305</v>
      </c>
      <c r="BF329" s="465">
        <f t="shared" si="445"/>
        <v>0.9567635502444668</v>
      </c>
      <c r="BG329" s="465">
        <f t="shared" si="446"/>
        <v>0.55965694622447737</v>
      </c>
      <c r="BH329" s="465">
        <f t="shared" si="447"/>
        <v>0.62146034867185174</v>
      </c>
      <c r="BI329" s="465">
        <f t="shared" si="448"/>
        <v>0.64776242560438202</v>
      </c>
      <c r="BJ329" s="465">
        <f t="shared" si="449"/>
        <v>0.85401657538262521</v>
      </c>
      <c r="BK329" s="465">
        <f t="shared" si="450"/>
        <v>0.50637159101742601</v>
      </c>
      <c r="BL329" s="465">
        <f t="shared" si="451"/>
        <v>0</v>
      </c>
      <c r="BM329" s="465">
        <f t="shared" si="452"/>
        <v>0</v>
      </c>
      <c r="BN329" s="465">
        <f t="shared" si="453"/>
        <v>0</v>
      </c>
      <c r="BO329" s="465">
        <f t="shared" si="454"/>
        <v>0</v>
      </c>
      <c r="BP329" s="465">
        <f>AY329/AH329</f>
        <v>0.44424924868307603</v>
      </c>
    </row>
    <row r="330" spans="2:68" ht="16" customHeight="1">
      <c r="B330" s="769"/>
      <c r="C330" s="769"/>
      <c r="D330" s="292" t="s">
        <v>100</v>
      </c>
      <c r="E330" s="69">
        <v>1537</v>
      </c>
      <c r="F330" s="69">
        <v>1377</v>
      </c>
      <c r="G330" s="69">
        <v>1841</v>
      </c>
      <c r="H330" s="69">
        <v>1628</v>
      </c>
      <c r="I330" s="69">
        <v>1704</v>
      </c>
      <c r="J330" s="69">
        <v>1638</v>
      </c>
      <c r="K330" s="69">
        <v>1842</v>
      </c>
      <c r="L330" s="69">
        <v>1365</v>
      </c>
      <c r="M330" s="69">
        <v>1289</v>
      </c>
      <c r="N330" s="69">
        <v>1439</v>
      </c>
      <c r="O330" s="69">
        <v>1428</v>
      </c>
      <c r="P330" s="69">
        <v>1440</v>
      </c>
      <c r="Q330" s="69">
        <f t="shared" ref="Q330:Q335" si="465">SUM(E330:P330)</f>
        <v>18528</v>
      </c>
      <c r="S330" s="769"/>
      <c r="T330" s="769"/>
      <c r="U330" s="292" t="s">
        <v>100</v>
      </c>
      <c r="V330" s="69">
        <v>1270.2610183996578</v>
      </c>
      <c r="W330" s="69">
        <v>1273.8903355950854</v>
      </c>
      <c r="X330" s="69">
        <v>1887.2811550151976</v>
      </c>
      <c r="Y330" s="69">
        <f>Y$328*'Region OP Sales Goals'!V39</f>
        <v>3029.1784338896018</v>
      </c>
      <c r="Z330" s="69">
        <f>Z$328*'Region OP Sales Goals'!W39</f>
        <v>3185.8600770218222</v>
      </c>
      <c r="AA330" s="69">
        <f>AA$328*'Region OP Sales Goals'!X39</f>
        <v>2976.9512195121947</v>
      </c>
      <c r="AB330" s="69">
        <f>AB$328*'Region OP Sales Goals'!Y39</f>
        <v>2449.4338905775076</v>
      </c>
      <c r="AC330" s="69">
        <f>AC$328*'Region OP Sales Goals'!Z39</f>
        <v>2751.1250627084132</v>
      </c>
      <c r="AD330" s="69">
        <f>AD$328*'Region OP Sales Goals'!AA39</f>
        <v>3451.4097163210322</v>
      </c>
      <c r="AE330" s="69">
        <f>AE$328*'Region OP Sales Goals'!AB39</f>
        <v>3655.9050064184848</v>
      </c>
      <c r="AF330" s="69">
        <f>AF$328*'Region OP Sales Goals'!AC39</f>
        <v>3121.827507598784</v>
      </c>
      <c r="AG330" s="69">
        <f>AG$328*'Region OP Sales Goals'!AD39</f>
        <v>3938.30547112462</v>
      </c>
      <c r="AH330" s="69">
        <f>AH$328*'Region OP Sales Goals'!AE39</f>
        <v>31562.473048265096</v>
      </c>
      <c r="AJ330" s="757"/>
      <c r="AK330" s="757"/>
      <c r="AL330" s="292" t="s">
        <v>100</v>
      </c>
      <c r="AM330" s="69">
        <v>1258</v>
      </c>
      <c r="AN330" s="69">
        <v>1041.7142857142858</v>
      </c>
      <c r="AO330" s="69">
        <v>1192</v>
      </c>
      <c r="AP330" s="69">
        <v>1550.2857142857142</v>
      </c>
      <c r="AQ330" s="156">
        <v>1436.7142857142858</v>
      </c>
      <c r="AR330" s="156">
        <v>1153.1428571428571</v>
      </c>
      <c r="AS330" s="156">
        <v>1688.1428571428571</v>
      </c>
      <c r="AT330" s="156">
        <v>1261.7142857142858</v>
      </c>
      <c r="AU330" s="69"/>
      <c r="AV330" s="69"/>
      <c r="AW330" s="69"/>
      <c r="AX330" s="69"/>
      <c r="AY330" s="69">
        <f t="shared" ref="AY330:AY335" si="466">SUM(AM330:AX330)</f>
        <v>10581.714285714286</v>
      </c>
      <c r="BA330" s="757"/>
      <c r="BB330" s="757"/>
      <c r="BC330" s="292" t="s">
        <v>100</v>
      </c>
      <c r="BD330" s="465">
        <f t="shared" ref="BD330:BD331" si="467">AM330/V330</f>
        <v>0.99034763861753006</v>
      </c>
      <c r="BE330" s="465">
        <f>AN330/W330</f>
        <v>0.81774251409769838</v>
      </c>
      <c r="BF330" s="465">
        <f t="shared" si="445"/>
        <v>0.63159640885112389</v>
      </c>
      <c r="BG330" s="465">
        <f t="shared" si="446"/>
        <v>0.51178421744376323</v>
      </c>
      <c r="BH330" s="465">
        <f t="shared" si="447"/>
        <v>0.45096590904185047</v>
      </c>
      <c r="BI330" s="465">
        <f t="shared" si="448"/>
        <v>0.38735698777483224</v>
      </c>
      <c r="BJ330" s="465">
        <f t="shared" si="449"/>
        <v>0.68919715026268402</v>
      </c>
      <c r="BK330" s="465">
        <f t="shared" si="450"/>
        <v>0.45861756806946463</v>
      </c>
      <c r="BL330" s="465">
        <f t="shared" si="451"/>
        <v>0</v>
      </c>
      <c r="BM330" s="465">
        <f t="shared" si="452"/>
        <v>0</v>
      </c>
      <c r="BN330" s="465">
        <f t="shared" si="453"/>
        <v>0</v>
      </c>
      <c r="BO330" s="465">
        <f t="shared" si="454"/>
        <v>0</v>
      </c>
      <c r="BP330" s="465">
        <f t="shared" ref="BP330:BP337" si="468">AY330/AH330</f>
        <v>0.33526252108105753</v>
      </c>
    </row>
    <row r="331" spans="2:68" ht="16" customHeight="1">
      <c r="B331" s="769"/>
      <c r="C331" s="769"/>
      <c r="D331" s="292" t="s">
        <v>101</v>
      </c>
      <c r="E331" s="69">
        <v>1118</v>
      </c>
      <c r="F331" s="69">
        <v>1038</v>
      </c>
      <c r="G331" s="69">
        <v>1100</v>
      </c>
      <c r="H331" s="69">
        <v>977</v>
      </c>
      <c r="I331" s="69">
        <v>981</v>
      </c>
      <c r="J331" s="69">
        <v>1160</v>
      </c>
      <c r="K331" s="69">
        <v>1062</v>
      </c>
      <c r="L331" s="69">
        <v>1068</v>
      </c>
      <c r="M331" s="69">
        <v>900</v>
      </c>
      <c r="N331" s="69">
        <v>1167</v>
      </c>
      <c r="O331" s="69">
        <v>1028</v>
      </c>
      <c r="P331" s="69">
        <v>966</v>
      </c>
      <c r="Q331" s="69">
        <f t="shared" si="465"/>
        <v>12565</v>
      </c>
      <c r="S331" s="769"/>
      <c r="T331" s="769"/>
      <c r="U331" s="292" t="s">
        <v>101</v>
      </c>
      <c r="V331" s="69">
        <v>660.53572956782205</v>
      </c>
      <c r="W331" s="69">
        <v>589.76404425698399</v>
      </c>
      <c r="X331" s="69">
        <v>889.71825879287894</v>
      </c>
      <c r="Y331" s="69">
        <f>Y$328*'Region OP Sales Goals'!V40</f>
        <v>1410.1347881899869</v>
      </c>
      <c r="Z331" s="69">
        <f>Z$328*'Region OP Sales Goals'!W40</f>
        <v>1514.5892169448009</v>
      </c>
      <c r="AA331" s="69">
        <f>AA$328*'Region OP Sales Goals'!X40</f>
        <v>1410.1347881899869</v>
      </c>
      <c r="AB331" s="69">
        <f>AB$328*'Region OP Sales Goals'!Y40</f>
        <v>1152.6747720364742</v>
      </c>
      <c r="AC331" s="69">
        <f>AC$328*'Region OP Sales Goals'!Z40</f>
        <v>1305.6186738277218</v>
      </c>
      <c r="AD331" s="69">
        <f>AD$328*'Region OP Sales Goals'!AA40</f>
        <v>1624.1928076804859</v>
      </c>
      <c r="AE331" s="69">
        <f>AE$328*'Region OP Sales Goals'!AB40</f>
        <v>1723.4980744544287</v>
      </c>
      <c r="AF331" s="69">
        <f>AF$328*'Region OP Sales Goals'!AC40</f>
        <v>1440.8434650455927</v>
      </c>
      <c r="AG331" s="69">
        <f>AG$328*'Region OP Sales Goals'!AD40</f>
        <v>1873.0965045592704</v>
      </c>
      <c r="AH331" s="69">
        <f>AH$328*'Region OP Sales Goals'!AE40</f>
        <v>15290.859118015436</v>
      </c>
      <c r="AJ331" s="757"/>
      <c r="AK331" s="757"/>
      <c r="AL331" s="292" t="s">
        <v>101</v>
      </c>
      <c r="AM331" s="69">
        <v>745.42857142857144</v>
      </c>
      <c r="AN331" s="69">
        <v>749.71428571428578</v>
      </c>
      <c r="AO331" s="69">
        <v>704</v>
      </c>
      <c r="AP331" s="69">
        <v>661.85714285714289</v>
      </c>
      <c r="AQ331" s="156">
        <v>1147.1428571428571</v>
      </c>
      <c r="AR331" s="156">
        <v>825.57142857142856</v>
      </c>
      <c r="AS331" s="156">
        <v>851.71428571428567</v>
      </c>
      <c r="AT331" s="156">
        <v>669.71428571428578</v>
      </c>
      <c r="AU331" s="69"/>
      <c r="AV331" s="69"/>
      <c r="AW331" s="69"/>
      <c r="AX331" s="69"/>
      <c r="AY331" s="69">
        <f t="shared" si="466"/>
        <v>6355.1428571428569</v>
      </c>
      <c r="BA331" s="757"/>
      <c r="BB331" s="757"/>
      <c r="BC331" s="292" t="s">
        <v>101</v>
      </c>
      <c r="BD331" s="465">
        <f t="shared" si="467"/>
        <v>1.1285211958424921</v>
      </c>
      <c r="BE331" s="465">
        <f t="shared" si="458"/>
        <v>1.2712105680481345</v>
      </c>
      <c r="BF331" s="465">
        <f>AO331/X331</f>
        <v>0.79126172026091568</v>
      </c>
      <c r="BG331" s="465">
        <f t="shared" si="446"/>
        <v>0.46935736101276238</v>
      </c>
      <c r="BH331" s="465">
        <f t="shared" si="447"/>
        <v>0.75739536787199024</v>
      </c>
      <c r="BI331" s="465">
        <f t="shared" si="448"/>
        <v>0.5854556851484467</v>
      </c>
      <c r="BJ331" s="465">
        <f t="shared" si="449"/>
        <v>0.73890251298684173</v>
      </c>
      <c r="BK331" s="465">
        <f t="shared" si="450"/>
        <v>0.51294784544622374</v>
      </c>
      <c r="BL331" s="465">
        <f t="shared" si="451"/>
        <v>0</v>
      </c>
      <c r="BM331" s="465">
        <f t="shared" si="452"/>
        <v>0</v>
      </c>
      <c r="BN331" s="465">
        <f t="shared" si="453"/>
        <v>0</v>
      </c>
      <c r="BO331" s="465">
        <f t="shared" si="454"/>
        <v>0</v>
      </c>
      <c r="BP331" s="465">
        <f t="shared" si="468"/>
        <v>0.41561712184342431</v>
      </c>
    </row>
    <row r="332" spans="2:68" ht="16" customHeight="1">
      <c r="B332" s="769"/>
      <c r="C332" s="769"/>
      <c r="D332" s="292" t="s">
        <v>102</v>
      </c>
      <c r="E332" s="69">
        <v>582</v>
      </c>
      <c r="F332" s="69">
        <v>578</v>
      </c>
      <c r="G332" s="69">
        <v>652</v>
      </c>
      <c r="H332" s="69">
        <v>533</v>
      </c>
      <c r="I332" s="69">
        <v>449</v>
      </c>
      <c r="J332" s="69">
        <v>563</v>
      </c>
      <c r="K332" s="69">
        <v>504</v>
      </c>
      <c r="L332" s="69">
        <v>537</v>
      </c>
      <c r="M332" s="69">
        <v>454</v>
      </c>
      <c r="N332" s="69">
        <v>578</v>
      </c>
      <c r="O332" s="69">
        <v>698</v>
      </c>
      <c r="P332" s="69">
        <v>611</v>
      </c>
      <c r="Q332" s="69">
        <f t="shared" si="465"/>
        <v>6739</v>
      </c>
      <c r="S332" s="769"/>
      <c r="T332" s="769"/>
      <c r="U332" s="292" t="s">
        <v>102</v>
      </c>
      <c r="V332" s="69">
        <v>228.64698331193838</v>
      </c>
      <c r="W332" s="69">
        <v>306.67730301363167</v>
      </c>
      <c r="X332" s="69">
        <v>377.45623100303953</v>
      </c>
      <c r="Y332" s="69">
        <f>Y$328*'Region OP Sales Goals'!V41</f>
        <v>678.95378690629002</v>
      </c>
      <c r="Z332" s="69">
        <f>Z$328*'Region OP Sales Goals'!W41</f>
        <v>731.1810012836969</v>
      </c>
      <c r="AA332" s="69">
        <f>AA$328*'Region OP Sales Goals'!X41</f>
        <v>678.95378690629002</v>
      </c>
      <c r="AB332" s="69">
        <f>AB$328*'Region OP Sales Goals'!Y41</f>
        <v>576.33738601823711</v>
      </c>
      <c r="AC332" s="69">
        <f>AC$328*'Region OP Sales Goals'!Z41</f>
        <v>606.18009856287074</v>
      </c>
      <c r="AD332" s="69">
        <f>AD$328*'Region OP Sales Goals'!AA41</f>
        <v>761.34037860022772</v>
      </c>
      <c r="AE332" s="69">
        <f>AE$328*'Region OP Sales Goals'!AB41</f>
        <v>835.63543003851089</v>
      </c>
      <c r="AF332" s="69">
        <f>AF$328*'Region OP Sales Goals'!AC41</f>
        <v>720.42173252279633</v>
      </c>
      <c r="AG332" s="69">
        <f>AG$328*'Region OP Sales Goals'!AD41</f>
        <v>912.53419452887522</v>
      </c>
      <c r="AH332" s="69">
        <f>AH$328*'Region OP Sales Goals'!AE41</f>
        <v>7444.820620141626</v>
      </c>
      <c r="AJ332" s="757"/>
      <c r="AK332" s="757"/>
      <c r="AL332" s="292" t="s">
        <v>102</v>
      </c>
      <c r="AM332" s="69">
        <v>626.14285714285711</v>
      </c>
      <c r="AN332" s="69">
        <v>800.28571428571422</v>
      </c>
      <c r="AO332" s="69">
        <v>674</v>
      </c>
      <c r="AP332" s="69">
        <v>480.42857142857144</v>
      </c>
      <c r="AQ332" s="156">
        <v>524.57142857142856</v>
      </c>
      <c r="AR332" s="156">
        <v>539</v>
      </c>
      <c r="AS332" s="156">
        <v>479.57142857142856</v>
      </c>
      <c r="AT332" s="156">
        <v>394.42857142857144</v>
      </c>
      <c r="AU332" s="69"/>
      <c r="AV332" s="69"/>
      <c r="AW332" s="69"/>
      <c r="AX332" s="69"/>
      <c r="AY332" s="69">
        <f t="shared" si="466"/>
        <v>4518.4285714285716</v>
      </c>
      <c r="BA332" s="757"/>
      <c r="BB332" s="757"/>
      <c r="BC332" s="292" t="s">
        <v>102</v>
      </c>
      <c r="BD332" s="465">
        <f>AM332/V332</f>
        <v>2.7384697933609878</v>
      </c>
      <c r="BE332" s="465">
        <f t="shared" si="458"/>
        <v>2.6095368206956673</v>
      </c>
      <c r="BF332" s="465">
        <f t="shared" ref="BF332:BF360" si="469">AO332/X332</f>
        <v>1.7856374981780934</v>
      </c>
      <c r="BG332" s="465">
        <f t="shared" si="446"/>
        <v>0.70760128405452249</v>
      </c>
      <c r="BH332" s="465">
        <f t="shared" si="447"/>
        <v>0.71743033209351104</v>
      </c>
      <c r="BI332" s="465">
        <f t="shared" si="448"/>
        <v>0.79386846409090495</v>
      </c>
      <c r="BJ332" s="465">
        <f t="shared" si="449"/>
        <v>0.83210189067320617</v>
      </c>
      <c r="BK332" s="465">
        <f t="shared" si="450"/>
        <v>0.65067885330396213</v>
      </c>
      <c r="BL332" s="465">
        <f t="shared" si="451"/>
        <v>0</v>
      </c>
      <c r="BM332" s="465">
        <f t="shared" si="452"/>
        <v>0</v>
      </c>
      <c r="BN332" s="465">
        <f t="shared" si="453"/>
        <v>0</v>
      </c>
      <c r="BO332" s="465">
        <f t="shared" si="454"/>
        <v>0</v>
      </c>
      <c r="BP332" s="465">
        <f t="shared" si="468"/>
        <v>0.60692242324874379</v>
      </c>
    </row>
    <row r="333" spans="2:68" ht="16" customHeight="1">
      <c r="B333" s="769"/>
      <c r="C333" s="769"/>
      <c r="D333" s="292" t="s">
        <v>103</v>
      </c>
      <c r="E333" s="69">
        <v>2025</v>
      </c>
      <c r="F333" s="69">
        <v>1838</v>
      </c>
      <c r="G333" s="69">
        <v>2321</v>
      </c>
      <c r="H333" s="69">
        <v>1960</v>
      </c>
      <c r="I333" s="69">
        <v>1915</v>
      </c>
      <c r="J333" s="69">
        <v>1980</v>
      </c>
      <c r="K333" s="69">
        <v>1899</v>
      </c>
      <c r="L333" s="69">
        <v>1978</v>
      </c>
      <c r="M333" s="69">
        <v>1832</v>
      </c>
      <c r="N333" s="69">
        <v>1790</v>
      </c>
      <c r="O333" s="69">
        <v>1975</v>
      </c>
      <c r="P333" s="69">
        <v>1834</v>
      </c>
      <c r="Q333" s="69">
        <f t="shared" si="465"/>
        <v>23347</v>
      </c>
      <c r="S333" s="769"/>
      <c r="T333" s="769"/>
      <c r="U333" s="292" t="s">
        <v>103</v>
      </c>
      <c r="V333" s="69">
        <v>711.34617030380832</v>
      </c>
      <c r="W333" s="69">
        <v>802.07910018949815</v>
      </c>
      <c r="X333" s="69">
        <v>1132.3686930091185</v>
      </c>
      <c r="Y333" s="69">
        <f>Y$328*'Region OP Sales Goals'!V42</f>
        <v>1984.6341463414633</v>
      </c>
      <c r="Z333" s="69">
        <f>Z$328*'Region OP Sales Goals'!W42</f>
        <v>2089.0885750962771</v>
      </c>
      <c r="AA333" s="69">
        <f>AA$328*'Region OP Sales Goals'!X42</f>
        <v>1932.4069319640564</v>
      </c>
      <c r="AB333" s="69">
        <f>AB$328*'Region OP Sales Goals'!Y42</f>
        <v>1584.927811550152</v>
      </c>
      <c r="AC333" s="69">
        <f>AC$328*'Region OP Sales Goals'!Z42</f>
        <v>1771.911057337622</v>
      </c>
      <c r="AD333" s="69">
        <f>AD$328*'Region OP Sales Goals'!AA42</f>
        <v>2233.2651105606678</v>
      </c>
      <c r="AE333" s="69">
        <f>AE$328*'Region OP Sales Goals'!AB42</f>
        <v>2402.4518613607188</v>
      </c>
      <c r="AF333" s="69">
        <f>AF$328*'Region OP Sales Goals'!AC42</f>
        <v>2017.1808510638298</v>
      </c>
      <c r="AG333" s="69">
        <f>AG$328*'Region OP Sales Goals'!AD42</f>
        <v>2545.4901215805471</v>
      </c>
      <c r="AH333" s="69">
        <f>AH$328*'Region OP Sales Goals'!AE42</f>
        <v>20551.271292726284</v>
      </c>
      <c r="AJ333" s="757"/>
      <c r="AK333" s="757"/>
      <c r="AL333" s="292" t="s">
        <v>103</v>
      </c>
      <c r="AM333" s="69">
        <v>1829.2857142857142</v>
      </c>
      <c r="AN333" s="69">
        <v>1695.1428571428571</v>
      </c>
      <c r="AO333" s="69">
        <v>1764</v>
      </c>
      <c r="AP333" s="69">
        <v>1795.1428571428571</v>
      </c>
      <c r="AQ333" s="156">
        <v>1781.8571428571429</v>
      </c>
      <c r="AR333" s="156">
        <v>1533.5714285714287</v>
      </c>
      <c r="AS333" s="156">
        <v>1931.1428571428571</v>
      </c>
      <c r="AT333" s="156">
        <v>1659.2857142857142</v>
      </c>
      <c r="AU333" s="69"/>
      <c r="AV333" s="69"/>
      <c r="AW333" s="69"/>
      <c r="AX333" s="69"/>
      <c r="AY333" s="69">
        <f t="shared" si="466"/>
        <v>13989.428571428571</v>
      </c>
      <c r="BA333" s="757"/>
      <c r="BB333" s="757"/>
      <c r="BC333" s="292" t="s">
        <v>103</v>
      </c>
      <c r="BD333" s="465">
        <f t="shared" ref="BD333:BD335" si="470">AM333/V333</f>
        <v>2.571582993838915</v>
      </c>
      <c r="BE333" s="465">
        <f t="shared" si="458"/>
        <v>2.1134360149047207</v>
      </c>
      <c r="BF333" s="465">
        <f t="shared" si="469"/>
        <v>1.5577965117636781</v>
      </c>
      <c r="BG333" s="465">
        <f t="shared" si="446"/>
        <v>0.90452079566003618</v>
      </c>
      <c r="BH333" s="465">
        <f t="shared" si="447"/>
        <v>0.85293518144630354</v>
      </c>
      <c r="BI333" s="465">
        <f t="shared" si="448"/>
        <v>0.79360687606970026</v>
      </c>
      <c r="BJ333" s="465">
        <f t="shared" si="449"/>
        <v>1.2184421543174806</v>
      </c>
      <c r="BK333" s="465">
        <f t="shared" si="450"/>
        <v>0.9364384896264869</v>
      </c>
      <c r="BL333" s="465">
        <f t="shared" si="451"/>
        <v>0</v>
      </c>
      <c r="BM333" s="465">
        <f t="shared" si="452"/>
        <v>0</v>
      </c>
      <c r="BN333" s="465">
        <f t="shared" si="453"/>
        <v>0</v>
      </c>
      <c r="BO333" s="465">
        <f t="shared" si="454"/>
        <v>0</v>
      </c>
      <c r="BP333" s="465">
        <f t="shared" si="468"/>
        <v>0.68070867111660638</v>
      </c>
    </row>
    <row r="334" spans="2:68" ht="16" customHeight="1">
      <c r="B334" s="769"/>
      <c r="C334" s="769"/>
      <c r="D334" s="292" t="s">
        <v>104</v>
      </c>
      <c r="E334" s="69">
        <v>3255</v>
      </c>
      <c r="F334" s="69">
        <v>3069</v>
      </c>
      <c r="G334" s="69">
        <v>3452</v>
      </c>
      <c r="H334" s="69">
        <v>2952</v>
      </c>
      <c r="I334" s="69">
        <v>2912</v>
      </c>
      <c r="J334" s="69">
        <v>2610</v>
      </c>
      <c r="K334" s="69">
        <v>3020</v>
      </c>
      <c r="L334" s="69">
        <v>2866</v>
      </c>
      <c r="M334" s="69">
        <v>2453</v>
      </c>
      <c r="N334" s="69">
        <v>2833</v>
      </c>
      <c r="O334" s="69">
        <v>2824</v>
      </c>
      <c r="P334" s="69">
        <v>2940</v>
      </c>
      <c r="Q334" s="69">
        <f t="shared" si="465"/>
        <v>35186</v>
      </c>
      <c r="S334" s="769"/>
      <c r="T334" s="769"/>
      <c r="U334" s="292" t="s">
        <v>104</v>
      </c>
      <c r="V334" s="69">
        <v>1829.1758664955071</v>
      </c>
      <c r="W334" s="69">
        <v>1840.06381808179</v>
      </c>
      <c r="X334" s="69">
        <v>2588.2712983065567</v>
      </c>
      <c r="Y334" s="69">
        <f>Y$328*'Region OP Sales Goals'!V43</f>
        <v>4491.5404364569958</v>
      </c>
      <c r="Z334" s="69">
        <f>Z$328*'Region OP Sales Goals'!W43</f>
        <v>4648.2220795892163</v>
      </c>
      <c r="AA334" s="69">
        <f>AA$328*'Region OP Sales Goals'!X43</f>
        <v>4387.0860077021825</v>
      </c>
      <c r="AB334" s="69">
        <f>AB$328*'Region OP Sales Goals'!Y43</f>
        <v>3650.1367781155018</v>
      </c>
      <c r="AC334" s="69">
        <f>AC$328*'Region OP Sales Goals'!Z43</f>
        <v>4056.7437365361347</v>
      </c>
      <c r="AD334" s="69">
        <f>AD$328*'Region OP Sales Goals'!AA43</f>
        <v>5075.6025240015188</v>
      </c>
      <c r="AE334" s="69">
        <f>AE$328*'Region OP Sales Goals'!AB43</f>
        <v>5431.6302952503211</v>
      </c>
      <c r="AF334" s="69">
        <f>AF$328*'Region OP Sales Goals'!AC43</f>
        <v>4562.6709726443769</v>
      </c>
      <c r="AG334" s="69">
        <f>AG$328*'Region OP Sales Goals'!AD43</f>
        <v>5811.4019756838898</v>
      </c>
      <c r="AH334" s="69">
        <f>AH$328*'Region OP Sales Goals'!AE43</f>
        <v>49751.016838790747</v>
      </c>
      <c r="AJ334" s="757"/>
      <c r="AK334" s="757"/>
      <c r="AL334" s="292" t="s">
        <v>104</v>
      </c>
      <c r="AM334" s="69">
        <v>2939.8571428571431</v>
      </c>
      <c r="AN334" s="69">
        <v>2967.1428571428569</v>
      </c>
      <c r="AO334" s="69">
        <v>2349</v>
      </c>
      <c r="AP334" s="69">
        <v>1973.2857142857142</v>
      </c>
      <c r="AQ334" s="156">
        <v>2191.7142857142858</v>
      </c>
      <c r="AR334" s="156">
        <v>1950.7142857142858</v>
      </c>
      <c r="AS334" s="156">
        <v>2057</v>
      </c>
      <c r="AT334" s="156">
        <v>1575.2857142857142</v>
      </c>
      <c r="AU334" s="69"/>
      <c r="AV334" s="69"/>
      <c r="AW334" s="69"/>
      <c r="AX334" s="69"/>
      <c r="AY334" s="69">
        <f t="shared" si="466"/>
        <v>18004</v>
      </c>
      <c r="BA334" s="757"/>
      <c r="BB334" s="757"/>
      <c r="BC334" s="292" t="s">
        <v>104</v>
      </c>
      <c r="BD334" s="465">
        <f t="shared" si="470"/>
        <v>1.6072031108138196</v>
      </c>
      <c r="BE334" s="465">
        <f t="shared" si="458"/>
        <v>1.6125217114676011</v>
      </c>
      <c r="BF334" s="465">
        <f t="shared" si="469"/>
        <v>0.90755555707660707</v>
      </c>
      <c r="BG334" s="465">
        <f t="shared" si="446"/>
        <v>0.43933384151880772</v>
      </c>
      <c r="BH334" s="465">
        <f t="shared" si="447"/>
        <v>0.4715166892172194</v>
      </c>
      <c r="BI334" s="465">
        <f t="shared" si="448"/>
        <v>0.44464920046917622</v>
      </c>
      <c r="BJ334" s="465">
        <f t="shared" si="449"/>
        <v>0.56354052602434013</v>
      </c>
      <c r="BK334" s="465">
        <f t="shared" si="450"/>
        <v>0.38831284808509436</v>
      </c>
      <c r="BL334" s="465">
        <f t="shared" si="451"/>
        <v>0</v>
      </c>
      <c r="BM334" s="465">
        <f t="shared" si="452"/>
        <v>0</v>
      </c>
      <c r="BN334" s="465">
        <f t="shared" si="453"/>
        <v>0</v>
      </c>
      <c r="BO334" s="465">
        <f t="shared" si="454"/>
        <v>0</v>
      </c>
      <c r="BP334" s="465">
        <f t="shared" si="468"/>
        <v>0.36188205073956048</v>
      </c>
    </row>
    <row r="335" spans="2:68" ht="16" customHeight="1">
      <c r="B335" s="770"/>
      <c r="C335" s="770"/>
      <c r="D335" s="292" t="s">
        <v>105</v>
      </c>
      <c r="E335" s="69">
        <v>2117</v>
      </c>
      <c r="F335" s="69">
        <v>2041</v>
      </c>
      <c r="G335" s="69">
        <v>2406</v>
      </c>
      <c r="H335" s="69">
        <v>2307</v>
      </c>
      <c r="I335" s="69">
        <v>2659</v>
      </c>
      <c r="J335" s="69">
        <v>2088</v>
      </c>
      <c r="K335" s="69">
        <v>2297</v>
      </c>
      <c r="L335" s="69">
        <v>2217</v>
      </c>
      <c r="M335" s="69">
        <v>2128</v>
      </c>
      <c r="N335" s="69">
        <v>1939</v>
      </c>
      <c r="O335" s="69">
        <v>1753</v>
      </c>
      <c r="P335" s="69">
        <v>2056</v>
      </c>
      <c r="Q335" s="69">
        <f t="shared" si="465"/>
        <v>26008</v>
      </c>
      <c r="S335" s="770"/>
      <c r="T335" s="770"/>
      <c r="U335" s="292" t="s">
        <v>105</v>
      </c>
      <c r="V335" s="69">
        <v>1016.2088147197262</v>
      </c>
      <c r="W335" s="69">
        <v>967.21303258145372</v>
      </c>
      <c r="X335" s="69">
        <v>1375.0191272253583</v>
      </c>
      <c r="Y335" s="69">
        <f>Y$328*'Region OP Sales Goals'!V44</f>
        <v>2350.2246469833117</v>
      </c>
      <c r="Z335" s="69">
        <f>Z$328*'Region OP Sales Goals'!W44</f>
        <v>2454.6790757381254</v>
      </c>
      <c r="AA335" s="69">
        <f>AA$328*'Region OP Sales Goals'!X44</f>
        <v>2297.9974326059046</v>
      </c>
      <c r="AB335" s="69">
        <f>AB$328*'Region OP Sales Goals'!Y44</f>
        <v>1921.1246200607902</v>
      </c>
      <c r="AC335" s="69">
        <f>AC$328*'Region OP Sales Goals'!Z44</f>
        <v>2098.3157257945522</v>
      </c>
      <c r="AD335" s="69">
        <f>AD$328*'Region OP Sales Goals'!AA44</f>
        <v>2588.5572872407743</v>
      </c>
      <c r="AE335" s="69">
        <f>AE$328*'Region OP Sales Goals'!AB44</f>
        <v>2820.2695763799743</v>
      </c>
      <c r="AF335" s="69">
        <f>AF$328*'Region OP Sales Goals'!AC44</f>
        <v>2401.405775075988</v>
      </c>
      <c r="AG335" s="69">
        <f>AG$328*'Region OP Sales Goals'!AD44</f>
        <v>2977.7431610942249</v>
      </c>
      <c r="AH335" s="69">
        <f>AH$328*'Region OP Sales Goals'!AE44</f>
        <v>25856.263231629597</v>
      </c>
      <c r="AJ335" s="757"/>
      <c r="AK335" s="757"/>
      <c r="AL335" s="292" t="s">
        <v>105</v>
      </c>
      <c r="AM335" s="69">
        <v>1785.1428571428571</v>
      </c>
      <c r="AN335" s="69">
        <v>1739</v>
      </c>
      <c r="AO335" s="69">
        <v>1871</v>
      </c>
      <c r="AP335" s="69">
        <v>1721.4285714285713</v>
      </c>
      <c r="AQ335" s="156">
        <v>1570.5714285714284</v>
      </c>
      <c r="AR335" s="156">
        <v>1488</v>
      </c>
      <c r="AS335" s="156">
        <v>1583.5714285714287</v>
      </c>
      <c r="AT335" s="156">
        <v>1418.4285714285713</v>
      </c>
      <c r="AU335" s="69"/>
      <c r="AV335" s="69"/>
      <c r="AW335" s="69"/>
      <c r="AX335" s="69"/>
      <c r="AY335" s="69">
        <f t="shared" si="466"/>
        <v>13177.142857142857</v>
      </c>
      <c r="BA335" s="757"/>
      <c r="BB335" s="757"/>
      <c r="BC335" s="292" t="s">
        <v>105</v>
      </c>
      <c r="BD335" s="465">
        <f t="shared" si="470"/>
        <v>1.7566693294578493</v>
      </c>
      <c r="BE335" s="465">
        <f t="shared" si="458"/>
        <v>1.7979493052928341</v>
      </c>
      <c r="BF335" s="465">
        <f t="shared" si="469"/>
        <v>1.3607083443089829</v>
      </c>
      <c r="BG335" s="465">
        <f t="shared" si="446"/>
        <v>0.73245277792408192</v>
      </c>
      <c r="BH335" s="465">
        <f t="shared" si="447"/>
        <v>0.63982760275868467</v>
      </c>
      <c r="BI335" s="465">
        <f t="shared" si="448"/>
        <v>0.64752030567441665</v>
      </c>
      <c r="BJ335" s="465">
        <f t="shared" si="449"/>
        <v>0.8242939640851199</v>
      </c>
      <c r="BK335" s="465">
        <f t="shared" si="450"/>
        <v>0.67598434019812081</v>
      </c>
      <c r="BL335" s="465">
        <f t="shared" si="451"/>
        <v>0</v>
      </c>
      <c r="BM335" s="465">
        <f t="shared" si="452"/>
        <v>0</v>
      </c>
      <c r="BN335" s="465">
        <f t="shared" si="453"/>
        <v>0</v>
      </c>
      <c r="BO335" s="465">
        <f t="shared" si="454"/>
        <v>0</v>
      </c>
      <c r="BP335" s="465">
        <f t="shared" si="468"/>
        <v>0.50963059662168997</v>
      </c>
    </row>
    <row r="336" spans="2:68">
      <c r="B336" s="768" t="s">
        <v>57</v>
      </c>
      <c r="C336" s="768" t="s">
        <v>49</v>
      </c>
      <c r="D336" s="343" t="s">
        <v>58</v>
      </c>
      <c r="E336" s="344">
        <f>E337+E345+E353</f>
        <v>72338</v>
      </c>
      <c r="F336" s="344">
        <f t="shared" ref="F336:P336" si="471">F337+F345+F353</f>
        <v>63983</v>
      </c>
      <c r="G336" s="344">
        <f t="shared" si="471"/>
        <v>77797</v>
      </c>
      <c r="H336" s="344">
        <f t="shared" si="471"/>
        <v>77566</v>
      </c>
      <c r="I336" s="344">
        <f t="shared" si="471"/>
        <v>75502</v>
      </c>
      <c r="J336" s="344">
        <f t="shared" si="471"/>
        <v>74802</v>
      </c>
      <c r="K336" s="344">
        <f t="shared" si="471"/>
        <v>78362</v>
      </c>
      <c r="L336" s="344">
        <f t="shared" si="471"/>
        <v>82439</v>
      </c>
      <c r="M336" s="344">
        <f t="shared" si="471"/>
        <v>77967</v>
      </c>
      <c r="N336" s="344">
        <f t="shared" si="471"/>
        <v>80533</v>
      </c>
      <c r="O336" s="344">
        <f t="shared" si="471"/>
        <v>78885</v>
      </c>
      <c r="P336" s="344">
        <f t="shared" si="471"/>
        <v>81523</v>
      </c>
      <c r="Q336" s="344">
        <f>Q337+Q345+Q353</f>
        <v>921697</v>
      </c>
      <c r="S336" s="768" t="s">
        <v>57</v>
      </c>
      <c r="T336" s="768" t="s">
        <v>49</v>
      </c>
      <c r="U336" s="343" t="s">
        <v>58</v>
      </c>
      <c r="V336" s="344">
        <v>65877.002864831098</v>
      </c>
      <c r="W336" s="344">
        <v>65877.002864831098</v>
      </c>
      <c r="X336" s="344">
        <v>92800.344248685375</v>
      </c>
      <c r="Y336" s="344" cm="1">
        <f t="array" ref="Y336">INDEX('Shop Goals'!$H$168:$H$179, COLUMN()-COLUMN($V$3)+1)</f>
        <v>77278.791822205705</v>
      </c>
      <c r="Z336" s="344" cm="1">
        <f t="array" ref="Z336">INDEX('Shop Goals'!$H$168:$H$179, COLUMN()-COLUMN($V$3)+1)</f>
        <v>81079.388141330579</v>
      </c>
      <c r="AA336" s="344" cm="1">
        <f t="array" ref="AA336">INDEX('Shop Goals'!$H$168:$H$179, COLUMN()-COLUMN($V$3)+1)</f>
        <v>76011.926382497419</v>
      </c>
      <c r="AB336" s="344" cm="1">
        <f t="array" ref="AB336">INDEX('Shop Goals'!$H$168:$H$179, COLUMN()-COLUMN($V$3)+1)</f>
        <v>67719.170127419056</v>
      </c>
      <c r="AC336" s="344" cm="1">
        <f t="array" ref="AC336">INDEX('Shop Goals'!$H$168:$H$179, COLUMN()-COLUMN($V$3)+1)</f>
        <v>75243.52236379894</v>
      </c>
      <c r="AD336" s="344" cm="1">
        <f t="array" ref="AD336">INDEX('Shop Goals'!$H$168:$H$179, COLUMN()-COLUMN($V$3)+1)</f>
        <v>87413.715339872026</v>
      </c>
      <c r="AE336" s="344" cm="1">
        <f t="array" ref="AE336">INDEX('Shop Goals'!$H$168:$H$179, COLUMN()-COLUMN($V$3)+1)</f>
        <v>93748.042538413487</v>
      </c>
      <c r="AF336" s="344" cm="1">
        <f t="array" ref="AF336">INDEX('Shop Goals'!$H$168:$H$179, COLUMN()-COLUMN($V$3)+1)</f>
        <v>85275.992012305476</v>
      </c>
      <c r="AG336" s="344" cm="1">
        <f t="array" ref="AG336">INDEX('Shop Goals'!$H$168:$H$179, COLUMN()-COLUMN($V$3)+1)</f>
        <v>107849.04872144517</v>
      </c>
      <c r="AH336" s="345">
        <f t="shared" ref="AH336:AH345" si="472">SUM(V336:AG336)</f>
        <v>976173.94742763543</v>
      </c>
      <c r="AI336" s="47"/>
      <c r="AJ336" s="757" t="s">
        <v>57</v>
      </c>
      <c r="AK336" s="757" t="s">
        <v>49</v>
      </c>
      <c r="AL336" s="343" t="s">
        <v>58</v>
      </c>
      <c r="AM336" s="344">
        <f>AM337+AM345+AM353</f>
        <v>93621</v>
      </c>
      <c r="AN336" s="344">
        <f t="shared" ref="AN336:AX336" si="473">AN337+AN345+AN353</f>
        <v>83626</v>
      </c>
      <c r="AO336" s="344">
        <f t="shared" si="473"/>
        <v>87935</v>
      </c>
      <c r="AP336" s="344">
        <f t="shared" si="473"/>
        <v>84509</v>
      </c>
      <c r="AQ336" s="344">
        <f t="shared" si="473"/>
        <v>82645</v>
      </c>
      <c r="AR336" s="344">
        <f t="shared" si="473"/>
        <v>73646</v>
      </c>
      <c r="AS336" s="344">
        <f t="shared" si="473"/>
        <v>75271</v>
      </c>
      <c r="AT336" s="344">
        <f t="shared" si="473"/>
        <v>62112</v>
      </c>
      <c r="AU336" s="344">
        <f t="shared" si="473"/>
        <v>0</v>
      </c>
      <c r="AV336" s="344">
        <f t="shared" si="473"/>
        <v>0</v>
      </c>
      <c r="AW336" s="344">
        <f t="shared" si="473"/>
        <v>0</v>
      </c>
      <c r="AX336" s="344">
        <f t="shared" si="473"/>
        <v>0</v>
      </c>
      <c r="AY336" s="344">
        <f>AY337+AY345+AY353</f>
        <v>643365</v>
      </c>
      <c r="BA336" s="757" t="s">
        <v>57</v>
      </c>
      <c r="BB336" s="757" t="s">
        <v>49</v>
      </c>
      <c r="BC336" s="343" t="s">
        <v>58</v>
      </c>
      <c r="BD336" s="463">
        <f>AM336/V336</f>
        <v>1.4211484422279361</v>
      </c>
      <c r="BE336" s="463">
        <f>AN336/W336</f>
        <v>1.2694262999727988</v>
      </c>
      <c r="BF336" s="463">
        <f t="shared" si="469"/>
        <v>0.9475719159441125</v>
      </c>
      <c r="BG336" s="463">
        <f t="shared" si="446"/>
        <v>1.0935600571296293</v>
      </c>
      <c r="BH336" s="463">
        <f t="shared" si="447"/>
        <v>1.0193096161004618</v>
      </c>
      <c r="BI336" s="463">
        <f t="shared" si="448"/>
        <v>0.96887427414229832</v>
      </c>
      <c r="BJ336" s="463">
        <f t="shared" si="449"/>
        <v>1.1115168697190407</v>
      </c>
      <c r="BK336" s="463">
        <f t="shared" si="450"/>
        <v>0.8254796964407296</v>
      </c>
      <c r="BL336" s="463">
        <f t="shared" si="451"/>
        <v>0</v>
      </c>
      <c r="BM336" s="463">
        <f t="shared" si="452"/>
        <v>0</v>
      </c>
      <c r="BN336" s="463">
        <f t="shared" si="453"/>
        <v>0</v>
      </c>
      <c r="BO336" s="463">
        <f t="shared" si="454"/>
        <v>0</v>
      </c>
      <c r="BP336" s="463">
        <f t="shared" si="468"/>
        <v>0.65906798854380733</v>
      </c>
    </row>
    <row r="337" spans="2:68">
      <c r="B337" s="769"/>
      <c r="C337" s="769"/>
      <c r="D337" s="182" t="s">
        <v>60</v>
      </c>
      <c r="E337" s="341">
        <f>SUM(E338:E344)</f>
        <v>901</v>
      </c>
      <c r="F337" s="341">
        <f t="shared" ref="F337:Q337" si="474">SUM(F338:F344)</f>
        <v>721</v>
      </c>
      <c r="G337" s="341">
        <f t="shared" si="474"/>
        <v>855</v>
      </c>
      <c r="H337" s="341">
        <f t="shared" si="474"/>
        <v>730</v>
      </c>
      <c r="I337" s="341">
        <f t="shared" si="474"/>
        <v>604</v>
      </c>
      <c r="J337" s="341">
        <f t="shared" si="474"/>
        <v>651</v>
      </c>
      <c r="K337" s="341">
        <f t="shared" si="474"/>
        <v>876</v>
      </c>
      <c r="L337" s="341">
        <f t="shared" si="474"/>
        <v>715</v>
      </c>
      <c r="M337" s="341">
        <f t="shared" si="474"/>
        <v>626</v>
      </c>
      <c r="N337" s="341">
        <f t="shared" si="474"/>
        <v>635</v>
      </c>
      <c r="O337" s="341">
        <f t="shared" si="474"/>
        <v>589</v>
      </c>
      <c r="P337" s="341">
        <f t="shared" si="474"/>
        <v>614</v>
      </c>
      <c r="Q337" s="341">
        <f t="shared" si="474"/>
        <v>8517</v>
      </c>
      <c r="S337" s="769"/>
      <c r="T337" s="769"/>
      <c r="U337" s="182" t="s">
        <v>60</v>
      </c>
      <c r="V337" s="341">
        <v>649.72186563970911</v>
      </c>
      <c r="W337" s="341">
        <v>649.72186563970911</v>
      </c>
      <c r="X337" s="341">
        <v>790.32674772036478</v>
      </c>
      <c r="Y337" s="341" cm="1">
        <f t="array" ref="Y337">INDEX('Shop Goals'!$D$168:$D$179, COLUMN()-COLUMN($V$3)+1)</f>
        <v>762.1737270004279</v>
      </c>
      <c r="Z337" s="341" cm="1">
        <f t="array" ref="Z337">INDEX('Shop Goals'!$D$168:$D$179, COLUMN()-COLUMN($V$3)+1)</f>
        <v>799.65768078733424</v>
      </c>
      <c r="AA337" s="341" cm="1">
        <f t="array" ref="AA337">INDEX('Shop Goals'!$D$168:$D$179, COLUMN()-COLUMN($V$3)+1)</f>
        <v>749.6790757381259</v>
      </c>
      <c r="AB337" s="341" cm="1">
        <f t="array" ref="AB337">INDEX('Shop Goals'!$D$168:$D$179, COLUMN()-COLUMN($V$3)+1)</f>
        <v>576.72492401215811</v>
      </c>
      <c r="AC337" s="341" cm="1">
        <f t="array" ref="AC337">INDEX('Shop Goals'!$D$168:$D$179, COLUMN()-COLUMN($V$3)+1)</f>
        <v>640.80547112462011</v>
      </c>
      <c r="AD337" s="341" cm="1">
        <f t="array" ref="AD337">INDEX('Shop Goals'!$D$168:$D$179, COLUMN()-COLUMN($V$3)+1)</f>
        <v>862.1309370988447</v>
      </c>
      <c r="AE337" s="341" cm="1">
        <f t="array" ref="AE337">INDEX('Shop Goals'!$D$168:$D$179, COLUMN()-COLUMN($V$3)+1)</f>
        <v>924.60419341035526</v>
      </c>
      <c r="AF337" s="341" cm="1">
        <f t="array" ref="AF337">INDEX('Shop Goals'!$D$168:$D$179, COLUMN()-COLUMN($V$3)+1)</f>
        <v>726.24620060790278</v>
      </c>
      <c r="AG337" s="341" cm="1">
        <f t="array" ref="AG337">INDEX('Shop Goals'!$D$168:$D$179, COLUMN()-COLUMN($V$3)+1)</f>
        <v>918.48784194528878</v>
      </c>
      <c r="AH337" s="342">
        <f t="shared" si="472"/>
        <v>9050.28053072484</v>
      </c>
      <c r="AJ337" s="757"/>
      <c r="AK337" s="757"/>
      <c r="AL337" s="182" t="s">
        <v>60</v>
      </c>
      <c r="AM337" s="341">
        <f>SUM(AM338:AM344)</f>
        <v>539</v>
      </c>
      <c r="AN337" s="341">
        <f t="shared" ref="AN337:AY337" si="475">SUM(AN338:AN344)</f>
        <v>593</v>
      </c>
      <c r="AO337" s="341">
        <f t="shared" si="475"/>
        <v>606</v>
      </c>
      <c r="AP337" s="341">
        <f t="shared" si="475"/>
        <v>594</v>
      </c>
      <c r="AQ337" s="341">
        <f t="shared" si="475"/>
        <v>485</v>
      </c>
      <c r="AR337" s="341">
        <f t="shared" si="475"/>
        <v>464</v>
      </c>
      <c r="AS337" s="341">
        <f t="shared" si="475"/>
        <v>607</v>
      </c>
      <c r="AT337" s="341">
        <f t="shared" si="475"/>
        <v>525</v>
      </c>
      <c r="AU337" s="341">
        <f t="shared" si="475"/>
        <v>0</v>
      </c>
      <c r="AV337" s="341">
        <f t="shared" si="475"/>
        <v>0</v>
      </c>
      <c r="AW337" s="341">
        <f t="shared" si="475"/>
        <v>0</v>
      </c>
      <c r="AX337" s="341">
        <f t="shared" si="475"/>
        <v>0</v>
      </c>
      <c r="AY337" s="341">
        <f t="shared" si="475"/>
        <v>4413</v>
      </c>
      <c r="BA337" s="757"/>
      <c r="BB337" s="757"/>
      <c r="BC337" s="182" t="s">
        <v>60</v>
      </c>
      <c r="BD337" s="464">
        <f>AM337/V337</f>
        <v>0.82958574815595354</v>
      </c>
      <c r="BE337" s="464">
        <f t="shared" ref="BE337:BE360" si="476">AN337/W337</f>
        <v>0.91269823498419378</v>
      </c>
      <c r="BF337" s="464">
        <f t="shared" si="469"/>
        <v>0.76677146730508516</v>
      </c>
      <c r="BG337" s="464">
        <f t="shared" si="446"/>
        <v>0.77934987648776111</v>
      </c>
      <c r="BH337" s="464">
        <f t="shared" si="447"/>
        <v>0.60650952482876708</v>
      </c>
      <c r="BI337" s="464">
        <f t="shared" si="448"/>
        <v>0.61893150684931497</v>
      </c>
      <c r="BJ337" s="464">
        <f t="shared" si="449"/>
        <v>1.0524948285175961</v>
      </c>
      <c r="BK337" s="464">
        <f t="shared" si="450"/>
        <v>0.81928139452152249</v>
      </c>
      <c r="BL337" s="464">
        <f t="shared" si="451"/>
        <v>0</v>
      </c>
      <c r="BM337" s="464">
        <f t="shared" si="452"/>
        <v>0</v>
      </c>
      <c r="BN337" s="464">
        <f t="shared" si="453"/>
        <v>0</v>
      </c>
      <c r="BO337" s="464">
        <f t="shared" si="454"/>
        <v>0</v>
      </c>
      <c r="BP337" s="464">
        <f t="shared" si="468"/>
        <v>0.48760919454576968</v>
      </c>
    </row>
    <row r="338" spans="2:68" ht="16" customHeight="1">
      <c r="B338" s="769"/>
      <c r="C338" s="769"/>
      <c r="D338" s="292" t="s">
        <v>99</v>
      </c>
      <c r="E338" s="69">
        <v>120</v>
      </c>
      <c r="F338" s="69">
        <v>173</v>
      </c>
      <c r="G338" s="69">
        <v>157</v>
      </c>
      <c r="H338" s="69">
        <v>120</v>
      </c>
      <c r="I338" s="69">
        <v>78</v>
      </c>
      <c r="J338" s="69">
        <v>132</v>
      </c>
      <c r="K338" s="69">
        <v>150</v>
      </c>
      <c r="L338" s="69">
        <v>129</v>
      </c>
      <c r="M338" s="69">
        <v>103</v>
      </c>
      <c r="N338" s="69">
        <v>150</v>
      </c>
      <c r="O338" s="69">
        <v>79</v>
      </c>
      <c r="P338" s="69">
        <v>100</v>
      </c>
      <c r="Q338" s="69">
        <f>SUM(E338:P338)</f>
        <v>1491</v>
      </c>
      <c r="S338" s="769"/>
      <c r="T338" s="769"/>
      <c r="U338" s="292" t="s">
        <v>99</v>
      </c>
      <c r="V338" s="69">
        <v>87.462558836114681</v>
      </c>
      <c r="W338" s="69">
        <v>81.215233204963639</v>
      </c>
      <c r="X338" s="69">
        <v>99.355362570560146</v>
      </c>
      <c r="Y338" s="69">
        <f>Y$337*'Region OP Sales Goals'!V38</f>
        <v>94.959349593495944</v>
      </c>
      <c r="Z338" s="69">
        <f>Z$337*'Region OP Sales Goals'!W38</f>
        <v>99.95721009841678</v>
      </c>
      <c r="AA338" s="69">
        <f>AA$337*'Region OP Sales Goals'!X38</f>
        <v>94.959349593495958</v>
      </c>
      <c r="AB338" s="69">
        <f>AB$337*'Region OP Sales Goals'!Y38</f>
        <v>72.624620060790278</v>
      </c>
      <c r="AC338" s="69">
        <f>AC$337*'Region OP Sales Goals'!Z38</f>
        <v>80.878360433204477</v>
      </c>
      <c r="AD338" s="69">
        <f>AD$337*'Region OP Sales Goals'!AA38</f>
        <v>109.28420329421975</v>
      </c>
      <c r="AE338" s="69">
        <f>AE$337*'Region OP Sales Goals'!AB38</f>
        <v>117.44972186563973</v>
      </c>
      <c r="AF338" s="69">
        <f>AF$337*'Region OP Sales Goals'!AC38</f>
        <v>91.848784194528875</v>
      </c>
      <c r="AG338" s="69">
        <f>AG$337*'Region OP Sales Goals'!AD38</f>
        <v>115.34498480243163</v>
      </c>
      <c r="AH338" s="69">
        <f>AH$337*'Region OP Sales Goals'!AE38</f>
        <v>1135.6664957222495</v>
      </c>
      <c r="AJ338" s="757"/>
      <c r="AK338" s="757"/>
      <c r="AL338" s="292" t="s">
        <v>99</v>
      </c>
      <c r="AM338" s="69">
        <v>83</v>
      </c>
      <c r="AN338" s="69">
        <v>103</v>
      </c>
      <c r="AO338" s="69">
        <v>129</v>
      </c>
      <c r="AP338" s="69">
        <v>122</v>
      </c>
      <c r="AQ338" s="69">
        <v>81</v>
      </c>
      <c r="AR338" s="69">
        <v>80</v>
      </c>
      <c r="AS338" s="69">
        <v>109</v>
      </c>
      <c r="AT338" s="69">
        <v>83</v>
      </c>
      <c r="AU338" s="69"/>
      <c r="AV338" s="69"/>
      <c r="AW338" s="69"/>
      <c r="AX338" s="69"/>
      <c r="AY338" s="69">
        <f>SUM(AM338:AX338)</f>
        <v>790</v>
      </c>
      <c r="BA338" s="757"/>
      <c r="BB338" s="757"/>
      <c r="BC338" s="292" t="s">
        <v>99</v>
      </c>
      <c r="BD338" s="465">
        <f>AM338/V338</f>
        <v>0.94897749510763207</v>
      </c>
      <c r="BE338" s="465">
        <f t="shared" si="476"/>
        <v>1.2682349841938882</v>
      </c>
      <c r="BF338" s="465">
        <f t="shared" si="469"/>
        <v>1.2983697775586782</v>
      </c>
      <c r="BG338" s="465">
        <f t="shared" si="446"/>
        <v>1.2847602739726027</v>
      </c>
      <c r="BH338" s="465">
        <f t="shared" si="447"/>
        <v>0.81034674657534245</v>
      </c>
      <c r="BI338" s="465">
        <f t="shared" si="448"/>
        <v>0.84246575342465735</v>
      </c>
      <c r="BJ338" s="465">
        <f t="shared" si="449"/>
        <v>1.5008684370226211</v>
      </c>
      <c r="BK338" s="465">
        <f t="shared" si="450"/>
        <v>1.026232474983809</v>
      </c>
      <c r="BL338" s="465">
        <f t="shared" si="451"/>
        <v>0</v>
      </c>
      <c r="BM338" s="465">
        <f t="shared" si="452"/>
        <v>0</v>
      </c>
      <c r="BN338" s="465">
        <f t="shared" si="453"/>
        <v>0</v>
      </c>
      <c r="BO338" s="465">
        <f t="shared" si="454"/>
        <v>0</v>
      </c>
      <c r="BP338" s="465">
        <f>AY338/AH338</f>
        <v>0.69562675572073118</v>
      </c>
    </row>
    <row r="339" spans="2:68" ht="16" customHeight="1">
      <c r="B339" s="769"/>
      <c r="C339" s="769"/>
      <c r="D339" s="292" t="s">
        <v>100</v>
      </c>
      <c r="E339" s="69">
        <v>199</v>
      </c>
      <c r="F339" s="69">
        <v>150</v>
      </c>
      <c r="G339" s="69">
        <v>228</v>
      </c>
      <c r="H339" s="69">
        <v>197</v>
      </c>
      <c r="I339" s="69">
        <v>157</v>
      </c>
      <c r="J339" s="69">
        <v>139</v>
      </c>
      <c r="K339" s="69">
        <v>187</v>
      </c>
      <c r="L339" s="69">
        <v>163</v>
      </c>
      <c r="M339" s="69">
        <v>128</v>
      </c>
      <c r="N339" s="69">
        <v>99</v>
      </c>
      <c r="O339" s="69">
        <v>101</v>
      </c>
      <c r="P339" s="69">
        <v>125</v>
      </c>
      <c r="Q339" s="69">
        <f t="shared" ref="Q339:Q344" si="477">SUM(E339:P339)</f>
        <v>1873</v>
      </c>
      <c r="S339" s="769"/>
      <c r="T339" s="769"/>
      <c r="U339" s="292" t="s">
        <v>100</v>
      </c>
      <c r="V339" s="69">
        <v>124.94651262302099</v>
      </c>
      <c r="W339" s="69">
        <v>125.30350265908676</v>
      </c>
      <c r="X339" s="69">
        <v>158.06534954407297</v>
      </c>
      <c r="Y339" s="69">
        <f>Y$337*'Region OP Sales Goals'!V39</f>
        <v>144.93795464270431</v>
      </c>
      <c r="Z339" s="69">
        <f>Z$337*'Region OP Sales Goals'!W39</f>
        <v>152.43474540008557</v>
      </c>
      <c r="AA339" s="69">
        <f>AA$337*'Region OP Sales Goals'!X39</f>
        <v>142.43902439024393</v>
      </c>
      <c r="AB339" s="69">
        <f>AB$337*'Region OP Sales Goals'!Y39</f>
        <v>108.93693009118542</v>
      </c>
      <c r="AC339" s="69">
        <f>AC$337*'Region OP Sales Goals'!Z39</f>
        <v>122.35444270664269</v>
      </c>
      <c r="AD339" s="69">
        <f>AD$337*'Region OP Sales Goals'!AA39</f>
        <v>165.14057386682094</v>
      </c>
      <c r="AE339" s="69">
        <f>AE$337*'Region OP Sales Goals'!AB39</f>
        <v>174.92511767222939</v>
      </c>
      <c r="AF339" s="69">
        <f>AF$337*'Region OP Sales Goals'!AC39</f>
        <v>138.84118541033433</v>
      </c>
      <c r="AG339" s="69">
        <f>AG$337*'Region OP Sales Goals'!AD39</f>
        <v>175.1534954407295</v>
      </c>
      <c r="AH339" s="69">
        <f>AH$337*'Region OP Sales Goals'!AE39</f>
        <v>1654.4277345089561</v>
      </c>
      <c r="AJ339" s="757"/>
      <c r="AK339" s="757"/>
      <c r="AL339" s="292" t="s">
        <v>100</v>
      </c>
      <c r="AM339" s="69">
        <v>77</v>
      </c>
      <c r="AN339" s="69">
        <v>101</v>
      </c>
      <c r="AO339" s="69">
        <v>90</v>
      </c>
      <c r="AP339" s="69">
        <v>83</v>
      </c>
      <c r="AQ339" s="69">
        <v>89</v>
      </c>
      <c r="AR339" s="69">
        <v>73</v>
      </c>
      <c r="AS339" s="69">
        <v>102</v>
      </c>
      <c r="AT339" s="69">
        <v>122</v>
      </c>
      <c r="AU339" s="69"/>
      <c r="AV339" s="69"/>
      <c r="AW339" s="69"/>
      <c r="AX339" s="69"/>
      <c r="AY339" s="69">
        <f t="shared" ref="AY339:AY344" si="478">SUM(AM339:AX339)</f>
        <v>737</v>
      </c>
      <c r="BA339" s="757"/>
      <c r="BB339" s="757"/>
      <c r="BC339" s="292" t="s">
        <v>100</v>
      </c>
      <c r="BD339" s="465">
        <f t="shared" ref="BD339:BD344" si="479">AM339/V339</f>
        <v>0.61626369863013686</v>
      </c>
      <c r="BE339" s="465">
        <f>AN339/W339</f>
        <v>0.80604291066619826</v>
      </c>
      <c r="BF339" s="465">
        <f t="shared" si="469"/>
        <v>0.56938475294932067</v>
      </c>
      <c r="BG339" s="465">
        <f t="shared" si="446"/>
        <v>0.57265883325460565</v>
      </c>
      <c r="BH339" s="465">
        <f t="shared" si="447"/>
        <v>0.58385638895126879</v>
      </c>
      <c r="BI339" s="465">
        <f t="shared" si="448"/>
        <v>0.51249999999999996</v>
      </c>
      <c r="BJ339" s="465">
        <f t="shared" si="449"/>
        <v>0.93632159373888291</v>
      </c>
      <c r="BK339" s="465">
        <f t="shared" si="450"/>
        <v>0.99710314804430522</v>
      </c>
      <c r="BL339" s="465">
        <f t="shared" si="451"/>
        <v>0</v>
      </c>
      <c r="BM339" s="465">
        <f t="shared" si="452"/>
        <v>0</v>
      </c>
      <c r="BN339" s="465">
        <f t="shared" si="453"/>
        <v>0</v>
      </c>
      <c r="BO339" s="465">
        <f t="shared" si="454"/>
        <v>0</v>
      </c>
      <c r="BP339" s="465">
        <f t="shared" ref="BP339:BP345" si="480">AY339/AH339</f>
        <v>0.4454712554844506</v>
      </c>
    </row>
    <row r="340" spans="2:68" ht="16" customHeight="1">
      <c r="B340" s="769"/>
      <c r="C340" s="769"/>
      <c r="D340" s="292" t="s">
        <v>101</v>
      </c>
      <c r="E340" s="69">
        <v>127</v>
      </c>
      <c r="F340" s="69">
        <v>98</v>
      </c>
      <c r="G340" s="69">
        <v>83</v>
      </c>
      <c r="H340" s="69">
        <v>92</v>
      </c>
      <c r="I340" s="69">
        <v>89</v>
      </c>
      <c r="J340" s="69">
        <v>63</v>
      </c>
      <c r="K340" s="69">
        <v>93</v>
      </c>
      <c r="L340" s="69">
        <v>84</v>
      </c>
      <c r="M340" s="69">
        <v>76</v>
      </c>
      <c r="N340" s="69">
        <v>74</v>
      </c>
      <c r="O340" s="69">
        <v>74</v>
      </c>
      <c r="P340" s="69">
        <v>54</v>
      </c>
      <c r="Q340" s="69">
        <f t="shared" si="477"/>
        <v>1007</v>
      </c>
      <c r="S340" s="769"/>
      <c r="T340" s="769"/>
      <c r="U340" s="292" t="s">
        <v>101</v>
      </c>
      <c r="V340" s="69">
        <v>64.972186563970908</v>
      </c>
      <c r="W340" s="69">
        <v>58.010880860688317</v>
      </c>
      <c r="X340" s="69">
        <v>74.51652192792011</v>
      </c>
      <c r="Y340" s="69">
        <f>Y$337*'Region OP Sales Goals'!V40</f>
        <v>67.471116816431319</v>
      </c>
      <c r="Z340" s="69">
        <f>Z$337*'Region OP Sales Goals'!W40</f>
        <v>72.46897732135217</v>
      </c>
      <c r="AA340" s="69">
        <f>AA$337*'Region OP Sales Goals'!X40</f>
        <v>67.471116816431334</v>
      </c>
      <c r="AB340" s="69">
        <f>AB$337*'Region OP Sales Goals'!Y40</f>
        <v>51.264437689969611</v>
      </c>
      <c r="AC340" s="69">
        <f>AC$337*'Region OP Sales Goals'!Z40</f>
        <v>58.066515182813475</v>
      </c>
      <c r="AD340" s="69">
        <f>AD$337*'Region OP Sales Goals'!AA40</f>
        <v>77.713211231445158</v>
      </c>
      <c r="AE340" s="69">
        <f>AE$337*'Region OP Sales Goals'!AB40</f>
        <v>82.464698331193858</v>
      </c>
      <c r="AF340" s="69">
        <f>AF$337*'Region OP Sales Goals'!AC40</f>
        <v>64.080547112462014</v>
      </c>
      <c r="AG340" s="69">
        <f>AG$337*'Region OP Sales Goals'!AD40</f>
        <v>83.304711246200611</v>
      </c>
      <c r="AH340" s="69">
        <f>AH$337*'Region OP Sales Goals'!AE40</f>
        <v>801.50948154883042</v>
      </c>
      <c r="AJ340" s="757"/>
      <c r="AK340" s="757"/>
      <c r="AL340" s="292" t="s">
        <v>101</v>
      </c>
      <c r="AM340" s="69">
        <v>40</v>
      </c>
      <c r="AN340" s="69">
        <v>46</v>
      </c>
      <c r="AO340" s="69">
        <v>63</v>
      </c>
      <c r="AP340" s="69">
        <v>70</v>
      </c>
      <c r="AQ340" s="69">
        <v>66</v>
      </c>
      <c r="AR340" s="69">
        <v>32</v>
      </c>
      <c r="AS340" s="69">
        <v>53</v>
      </c>
      <c r="AT340" s="69">
        <v>47</v>
      </c>
      <c r="AU340" s="69"/>
      <c r="AV340" s="69"/>
      <c r="AW340" s="69"/>
      <c r="AX340" s="69"/>
      <c r="AY340" s="69">
        <f t="shared" si="478"/>
        <v>417</v>
      </c>
      <c r="BA340" s="757"/>
      <c r="BB340" s="757"/>
      <c r="BC340" s="292" t="s">
        <v>101</v>
      </c>
      <c r="BD340" s="465">
        <f t="shared" si="479"/>
        <v>0.6156480505795574</v>
      </c>
      <c r="BE340" s="465">
        <f t="shared" si="476"/>
        <v>0.79295468914646983</v>
      </c>
      <c r="BF340" s="465">
        <f t="shared" si="469"/>
        <v>0.84545008771262764</v>
      </c>
      <c r="BG340" s="465">
        <f t="shared" si="446"/>
        <v>1.0374809741248099</v>
      </c>
      <c r="BH340" s="465">
        <f t="shared" si="447"/>
        <v>0.91073452999527627</v>
      </c>
      <c r="BI340" s="465">
        <f t="shared" si="448"/>
        <v>0.47427701674277006</v>
      </c>
      <c r="BJ340" s="465">
        <f t="shared" si="449"/>
        <v>1.0338550930866832</v>
      </c>
      <c r="BK340" s="465">
        <f t="shared" si="450"/>
        <v>0.80941657773034492</v>
      </c>
      <c r="BL340" s="465">
        <f t="shared" si="451"/>
        <v>0</v>
      </c>
      <c r="BM340" s="465">
        <f t="shared" si="452"/>
        <v>0</v>
      </c>
      <c r="BN340" s="465">
        <f t="shared" si="453"/>
        <v>0</v>
      </c>
      <c r="BO340" s="465">
        <f t="shared" si="454"/>
        <v>0</v>
      </c>
      <c r="BP340" s="465">
        <f t="shared" si="480"/>
        <v>0.52026833069297274</v>
      </c>
    </row>
    <row r="341" spans="2:68" ht="16" customHeight="1">
      <c r="B341" s="769"/>
      <c r="C341" s="769"/>
      <c r="D341" s="292" t="s">
        <v>102</v>
      </c>
      <c r="E341" s="69">
        <v>34</v>
      </c>
      <c r="F341" s="69">
        <v>29</v>
      </c>
      <c r="G341" s="69">
        <v>25</v>
      </c>
      <c r="H341" s="69">
        <v>27</v>
      </c>
      <c r="I341" s="69">
        <v>25</v>
      </c>
      <c r="J341" s="69">
        <v>21</v>
      </c>
      <c r="K341" s="69">
        <v>44</v>
      </c>
      <c r="L341" s="69">
        <v>34</v>
      </c>
      <c r="M341" s="69">
        <v>16</v>
      </c>
      <c r="N341" s="69">
        <v>28</v>
      </c>
      <c r="O341" s="69">
        <v>28</v>
      </c>
      <c r="P341" s="69">
        <v>25</v>
      </c>
      <c r="Q341" s="69">
        <f t="shared" si="477"/>
        <v>336</v>
      </c>
      <c r="S341" s="769"/>
      <c r="T341" s="769"/>
      <c r="U341" s="292" t="s">
        <v>102</v>
      </c>
      <c r="V341" s="69">
        <v>22.490372272143777</v>
      </c>
      <c r="W341" s="69">
        <v>30.165658047557923</v>
      </c>
      <c r="X341" s="69">
        <v>31.613069908814591</v>
      </c>
      <c r="Y341" s="69">
        <f>Y$337*'Region OP Sales Goals'!V41</f>
        <v>32.486093281985447</v>
      </c>
      <c r="Z341" s="69">
        <f>Z$337*'Region OP Sales Goals'!W41</f>
        <v>34.985023534445872</v>
      </c>
      <c r="AA341" s="69">
        <f>AA$337*'Region OP Sales Goals'!X41</f>
        <v>32.486093281985454</v>
      </c>
      <c r="AB341" s="69">
        <f>AB$337*'Region OP Sales Goals'!Y41</f>
        <v>25.632218844984806</v>
      </c>
      <c r="AC341" s="69">
        <f>AC$337*'Region OP Sales Goals'!Z41</f>
        <v>26.959453477734826</v>
      </c>
      <c r="AD341" s="69">
        <f>AD$337*'Region OP Sales Goals'!AA41</f>
        <v>36.428067764739914</v>
      </c>
      <c r="AE341" s="69">
        <f>AE$337*'Region OP Sales Goals'!AB41</f>
        <v>39.982884039366716</v>
      </c>
      <c r="AF341" s="69">
        <f>AF$337*'Region OP Sales Goals'!AC41</f>
        <v>32.040273556231007</v>
      </c>
      <c r="AG341" s="69">
        <f>AG$337*'Region OP Sales Goals'!AD41</f>
        <v>40.584346504559271</v>
      </c>
      <c r="AH341" s="69">
        <f>AH$337*'Region OP Sales Goals'!AE41</f>
        <v>390.23931025846844</v>
      </c>
      <c r="AJ341" s="757"/>
      <c r="AK341" s="757"/>
      <c r="AL341" s="292" t="s">
        <v>102</v>
      </c>
      <c r="AM341" s="69">
        <v>39</v>
      </c>
      <c r="AN341" s="69">
        <v>33</v>
      </c>
      <c r="AO341" s="69">
        <v>26</v>
      </c>
      <c r="AP341" s="69">
        <v>30</v>
      </c>
      <c r="AQ341" s="69">
        <v>34</v>
      </c>
      <c r="AR341" s="69">
        <v>26</v>
      </c>
      <c r="AS341" s="69">
        <v>46</v>
      </c>
      <c r="AT341" s="69">
        <v>27</v>
      </c>
      <c r="AU341" s="69"/>
      <c r="AV341" s="69"/>
      <c r="AW341" s="69"/>
      <c r="AX341" s="69"/>
      <c r="AY341" s="69">
        <f t="shared" si="478"/>
        <v>261</v>
      </c>
      <c r="BA341" s="757"/>
      <c r="BB341" s="757"/>
      <c r="BC341" s="292" t="s">
        <v>102</v>
      </c>
      <c r="BD341" s="465">
        <f t="shared" si="479"/>
        <v>1.7340753424657531</v>
      </c>
      <c r="BE341" s="465">
        <f t="shared" si="476"/>
        <v>1.0939592283375212</v>
      </c>
      <c r="BF341" s="465">
        <f t="shared" si="469"/>
        <v>0.82244464314901877</v>
      </c>
      <c r="BG341" s="465">
        <f t="shared" si="446"/>
        <v>0.92347207586933622</v>
      </c>
      <c r="BH341" s="465">
        <f t="shared" si="447"/>
        <v>0.97184442270058702</v>
      </c>
      <c r="BI341" s="465">
        <f t="shared" si="448"/>
        <v>0.8003424657534246</v>
      </c>
      <c r="BJ341" s="465">
        <f t="shared" si="449"/>
        <v>1.7946163879995254</v>
      </c>
      <c r="BK341" s="465">
        <f t="shared" si="450"/>
        <v>1.0015039816107052</v>
      </c>
      <c r="BL341" s="465">
        <f t="shared" si="451"/>
        <v>0</v>
      </c>
      <c r="BM341" s="465">
        <f t="shared" si="452"/>
        <v>0</v>
      </c>
      <c r="BN341" s="465">
        <f t="shared" si="453"/>
        <v>0</v>
      </c>
      <c r="BO341" s="465">
        <f t="shared" si="454"/>
        <v>0</v>
      </c>
      <c r="BP341" s="465">
        <f t="shared" si="480"/>
        <v>0.66882037031874375</v>
      </c>
    </row>
    <row r="342" spans="2:68" ht="16" customHeight="1">
      <c r="B342" s="769"/>
      <c r="C342" s="769"/>
      <c r="D342" s="292" t="s">
        <v>103</v>
      </c>
      <c r="E342" s="69">
        <v>114</v>
      </c>
      <c r="F342" s="69">
        <v>74</v>
      </c>
      <c r="G342" s="69">
        <v>110</v>
      </c>
      <c r="H342" s="69">
        <v>102</v>
      </c>
      <c r="I342" s="69">
        <v>83</v>
      </c>
      <c r="J342" s="69">
        <v>99</v>
      </c>
      <c r="K342" s="69">
        <v>133</v>
      </c>
      <c r="L342" s="69">
        <v>89</v>
      </c>
      <c r="M342" s="69">
        <v>70</v>
      </c>
      <c r="N342" s="69">
        <v>72</v>
      </c>
      <c r="O342" s="69">
        <v>102</v>
      </c>
      <c r="P342" s="69">
        <v>81</v>
      </c>
      <c r="Q342" s="69">
        <f t="shared" si="477"/>
        <v>1129</v>
      </c>
      <c r="S342" s="769"/>
      <c r="T342" s="769"/>
      <c r="U342" s="292" t="s">
        <v>103</v>
      </c>
      <c r="V342" s="69">
        <v>69.970047068891759</v>
      </c>
      <c r="W342" s="69">
        <v>78.894797970536104</v>
      </c>
      <c r="X342" s="69">
        <v>94.839209726443769</v>
      </c>
      <c r="Y342" s="69">
        <f>Y$337*'Region OP Sales Goals'!V42</f>
        <v>94.959349593495944</v>
      </c>
      <c r="Z342" s="69">
        <f>Z$337*'Region OP Sales Goals'!W42</f>
        <v>99.95721009841678</v>
      </c>
      <c r="AA342" s="69">
        <f>AA$337*'Region OP Sales Goals'!X42</f>
        <v>92.460419341035532</v>
      </c>
      <c r="AB342" s="69">
        <f>AB$337*'Region OP Sales Goals'!Y42</f>
        <v>70.488601823708208</v>
      </c>
      <c r="AC342" s="69">
        <f>AC$337*'Region OP Sales Goals'!Z42</f>
        <v>78.804556319532566</v>
      </c>
      <c r="AD342" s="69">
        <f>AD$337*'Region OP Sales Goals'!AA42</f>
        <v>106.85566544323709</v>
      </c>
      <c r="AE342" s="69">
        <f>AE$337*'Region OP Sales Goals'!AB42</f>
        <v>114.95079161317931</v>
      </c>
      <c r="AF342" s="69">
        <f>AF$337*'Region OP Sales Goals'!AC42</f>
        <v>89.71276595744682</v>
      </c>
      <c r="AG342" s="69">
        <f>AG$337*'Region OP Sales Goals'!AD42</f>
        <v>113.20896656534956</v>
      </c>
      <c r="AH342" s="69">
        <f>AH$337*'Region OP Sales Goals'!AE42</f>
        <v>1077.2474373003231</v>
      </c>
      <c r="AJ342" s="757"/>
      <c r="AK342" s="757"/>
      <c r="AL342" s="292" t="s">
        <v>103</v>
      </c>
      <c r="AM342" s="69">
        <v>104</v>
      </c>
      <c r="AN342" s="69">
        <v>82</v>
      </c>
      <c r="AO342" s="69">
        <v>79</v>
      </c>
      <c r="AP342" s="69">
        <v>87</v>
      </c>
      <c r="AQ342" s="69">
        <v>67</v>
      </c>
      <c r="AR342" s="69">
        <v>63</v>
      </c>
      <c r="AS342" s="69">
        <v>92</v>
      </c>
      <c r="AT342" s="69">
        <v>83</v>
      </c>
      <c r="AU342" s="69"/>
      <c r="AV342" s="69"/>
      <c r="AW342" s="69"/>
      <c r="AX342" s="69"/>
      <c r="AY342" s="69">
        <f t="shared" si="478"/>
        <v>657</v>
      </c>
      <c r="BA342" s="757"/>
      <c r="BB342" s="757"/>
      <c r="BC342" s="292" t="s">
        <v>103</v>
      </c>
      <c r="BD342" s="465">
        <f t="shared" si="479"/>
        <v>1.486350293542074</v>
      </c>
      <c r="BE342" s="465">
        <f t="shared" si="476"/>
        <v>1.0393587677431351</v>
      </c>
      <c r="BF342" s="465">
        <f t="shared" si="469"/>
        <v>0.83298880524067287</v>
      </c>
      <c r="BG342" s="465">
        <f t="shared" si="446"/>
        <v>0.91618150684931499</v>
      </c>
      <c r="BH342" s="465">
        <f t="shared" si="447"/>
        <v>0.67028681506849308</v>
      </c>
      <c r="BI342" s="465">
        <f t="shared" si="448"/>
        <v>0.68137263976305062</v>
      </c>
      <c r="BJ342" s="465">
        <f t="shared" si="449"/>
        <v>1.3051755549087458</v>
      </c>
      <c r="BK342" s="465">
        <f t="shared" si="450"/>
        <v>1.0532385927465409</v>
      </c>
      <c r="BL342" s="465">
        <f t="shared" si="451"/>
        <v>0</v>
      </c>
      <c r="BM342" s="465">
        <f t="shared" si="452"/>
        <v>0</v>
      </c>
      <c r="BN342" s="465">
        <f t="shared" si="453"/>
        <v>0</v>
      </c>
      <c r="BO342" s="465">
        <f t="shared" si="454"/>
        <v>0</v>
      </c>
      <c r="BP342" s="465">
        <f t="shared" si="480"/>
        <v>0.6098877353994917</v>
      </c>
    </row>
    <row r="343" spans="2:68" ht="16" customHeight="1">
      <c r="B343" s="769"/>
      <c r="C343" s="769"/>
      <c r="D343" s="292" t="s">
        <v>104</v>
      </c>
      <c r="E343" s="69">
        <v>199</v>
      </c>
      <c r="F343" s="69">
        <v>128</v>
      </c>
      <c r="G343" s="69">
        <v>168</v>
      </c>
      <c r="H343" s="69">
        <v>117</v>
      </c>
      <c r="I343" s="69">
        <v>96</v>
      </c>
      <c r="J343" s="69">
        <v>115</v>
      </c>
      <c r="K343" s="69">
        <v>169</v>
      </c>
      <c r="L343" s="69">
        <v>157</v>
      </c>
      <c r="M343" s="69">
        <v>155</v>
      </c>
      <c r="N343" s="69">
        <v>115</v>
      </c>
      <c r="O343" s="69">
        <v>135</v>
      </c>
      <c r="P343" s="69">
        <v>153</v>
      </c>
      <c r="Q343" s="69">
        <f t="shared" si="477"/>
        <v>1707</v>
      </c>
      <c r="S343" s="769"/>
      <c r="T343" s="769"/>
      <c r="U343" s="292" t="s">
        <v>104</v>
      </c>
      <c r="V343" s="69">
        <v>179.92297817715021</v>
      </c>
      <c r="W343" s="69">
        <v>180.99394828534756</v>
      </c>
      <c r="X343" s="69">
        <v>216.77533651758577</v>
      </c>
      <c r="Y343" s="69">
        <f>Y$337*'Region OP Sales Goals'!V43</f>
        <v>214.90800171159606</v>
      </c>
      <c r="Z343" s="69">
        <f>Z$337*'Region OP Sales Goals'!W43</f>
        <v>222.40479246897735</v>
      </c>
      <c r="AA343" s="69">
        <f>AA$337*'Region OP Sales Goals'!X43</f>
        <v>209.91014120667526</v>
      </c>
      <c r="AB343" s="69">
        <f>AB$337*'Region OP Sales Goals'!Y43</f>
        <v>162.33738601823711</v>
      </c>
      <c r="AC343" s="69">
        <f>AC$337*'Region OP Sales Goals'!Z43</f>
        <v>180.42095788945613</v>
      </c>
      <c r="AD343" s="69">
        <f>AD$337*'Region OP Sales Goals'!AA43</f>
        <v>242.85378509826612</v>
      </c>
      <c r="AE343" s="69">
        <f>AE$337*'Region OP Sales Goals'!AB43</f>
        <v>259.88874625588363</v>
      </c>
      <c r="AF343" s="69">
        <f>AF$337*'Region OP Sales Goals'!AC43</f>
        <v>202.92173252279636</v>
      </c>
      <c r="AG343" s="69">
        <f>AG$337*'Region OP Sales Goals'!AD43</f>
        <v>258.45820668693011</v>
      </c>
      <c r="AH343" s="69">
        <f>AH$337*'Region OP Sales Goals'!AE43</f>
        <v>2607.8267679547953</v>
      </c>
      <c r="AJ343" s="757"/>
      <c r="AK343" s="757"/>
      <c r="AL343" s="292" t="s">
        <v>104</v>
      </c>
      <c r="AM343" s="69">
        <v>127</v>
      </c>
      <c r="AN343" s="69">
        <v>137</v>
      </c>
      <c r="AO343" s="69">
        <v>159</v>
      </c>
      <c r="AP343" s="69">
        <v>132</v>
      </c>
      <c r="AQ343" s="156">
        <v>110</v>
      </c>
      <c r="AR343" s="156">
        <v>129</v>
      </c>
      <c r="AS343" s="156">
        <v>120</v>
      </c>
      <c r="AT343" s="156">
        <v>111</v>
      </c>
      <c r="AU343" s="69"/>
      <c r="AV343" s="69"/>
      <c r="AW343" s="69"/>
      <c r="AX343" s="69"/>
      <c r="AY343" s="69">
        <f t="shared" si="478"/>
        <v>1025</v>
      </c>
      <c r="BA343" s="757"/>
      <c r="BB343" s="757"/>
      <c r="BC343" s="292" t="s">
        <v>104</v>
      </c>
      <c r="BD343" s="465">
        <f t="shared" si="479"/>
        <v>0.70585759132420078</v>
      </c>
      <c r="BE343" s="465">
        <f t="shared" si="476"/>
        <v>0.7569313852638403</v>
      </c>
      <c r="BF343" s="465">
        <f t="shared" si="469"/>
        <v>0.73347827550068745</v>
      </c>
      <c r="BG343" s="465">
        <f t="shared" si="446"/>
        <v>0.61421631092704687</v>
      </c>
      <c r="BH343" s="465">
        <f t="shared" si="447"/>
        <v>0.49459365861166688</v>
      </c>
      <c r="BI343" s="465">
        <f t="shared" si="448"/>
        <v>0.61454867906066524</v>
      </c>
      <c r="BJ343" s="465">
        <f t="shared" si="449"/>
        <v>0.73920125821490745</v>
      </c>
      <c r="BK343" s="465">
        <f t="shared" si="450"/>
        <v>0.61522786098946258</v>
      </c>
      <c r="BL343" s="465">
        <f t="shared" si="451"/>
        <v>0</v>
      </c>
      <c r="BM343" s="465">
        <f t="shared" si="452"/>
        <v>0</v>
      </c>
      <c r="BN343" s="465">
        <f t="shared" si="453"/>
        <v>0</v>
      </c>
      <c r="BO343" s="465">
        <f t="shared" si="454"/>
        <v>0</v>
      </c>
      <c r="BP343" s="465">
        <f t="shared" si="480"/>
        <v>0.39304757992182998</v>
      </c>
    </row>
    <row r="344" spans="2:68" ht="16" customHeight="1">
      <c r="B344" s="769"/>
      <c r="C344" s="769"/>
      <c r="D344" s="292" t="s">
        <v>105</v>
      </c>
      <c r="E344" s="69">
        <v>108</v>
      </c>
      <c r="F344" s="69">
        <v>69</v>
      </c>
      <c r="G344" s="69">
        <v>84</v>
      </c>
      <c r="H344" s="69">
        <v>75</v>
      </c>
      <c r="I344" s="69">
        <v>76</v>
      </c>
      <c r="J344" s="69">
        <v>82</v>
      </c>
      <c r="K344" s="69">
        <v>100</v>
      </c>
      <c r="L344" s="69">
        <v>59</v>
      </c>
      <c r="M344" s="69">
        <v>78</v>
      </c>
      <c r="N344" s="69">
        <v>97</v>
      </c>
      <c r="O344" s="69">
        <v>70</v>
      </c>
      <c r="P344" s="69">
        <v>76</v>
      </c>
      <c r="Q344" s="69">
        <f t="shared" si="477"/>
        <v>974</v>
      </c>
      <c r="S344" s="769"/>
      <c r="T344" s="769"/>
      <c r="U344" s="292" t="s">
        <v>105</v>
      </c>
      <c r="V344" s="69">
        <v>99.957210098416795</v>
      </c>
      <c r="W344" s="69">
        <v>95.137844611528834</v>
      </c>
      <c r="X344" s="69">
        <v>115.16189752496744</v>
      </c>
      <c r="Y344" s="69">
        <f>Y$337*'Region OP Sales Goals'!V44</f>
        <v>112.45186136071887</v>
      </c>
      <c r="Z344" s="69">
        <f>Z$337*'Region OP Sales Goals'!W44</f>
        <v>117.44972186563972</v>
      </c>
      <c r="AA344" s="69">
        <f>AA$337*'Region OP Sales Goals'!X44</f>
        <v>109.95293110825847</v>
      </c>
      <c r="AB344" s="69">
        <f>AB$337*'Region OP Sales Goals'!Y44</f>
        <v>85.440729483282681</v>
      </c>
      <c r="AC344" s="69">
        <f>AC$337*'Region OP Sales Goals'!Z44</f>
        <v>93.321185115235934</v>
      </c>
      <c r="AD344" s="69">
        <f>AD$337*'Region OP Sales Goals'!AA44</f>
        <v>123.85543040011572</v>
      </c>
      <c r="AE344" s="69">
        <f>AE$337*'Region OP Sales Goals'!AB44</f>
        <v>134.94223363286267</v>
      </c>
      <c r="AF344" s="69">
        <f>AF$337*'Region OP Sales Goals'!AC44</f>
        <v>106.80091185410335</v>
      </c>
      <c r="AG344" s="69">
        <f>AG$337*'Region OP Sales Goals'!AD44</f>
        <v>132.43313069908817</v>
      </c>
      <c r="AH344" s="69">
        <f>AH$337*'Region OP Sales Goals'!AE44</f>
        <v>1355.3221553886929</v>
      </c>
      <c r="AJ344" s="757"/>
      <c r="AK344" s="757"/>
      <c r="AL344" s="292" t="s">
        <v>105</v>
      </c>
      <c r="AM344" s="69">
        <v>69</v>
      </c>
      <c r="AN344" s="69">
        <v>91</v>
      </c>
      <c r="AO344" s="69">
        <v>60</v>
      </c>
      <c r="AP344" s="69">
        <v>70</v>
      </c>
      <c r="AQ344" s="69">
        <v>38</v>
      </c>
      <c r="AR344" s="69">
        <v>61</v>
      </c>
      <c r="AS344" s="69">
        <v>85</v>
      </c>
      <c r="AT344" s="69">
        <v>52</v>
      </c>
      <c r="AU344" s="69"/>
      <c r="AV344" s="69"/>
      <c r="AW344" s="69"/>
      <c r="AX344" s="69"/>
      <c r="AY344" s="69">
        <f t="shared" si="478"/>
        <v>526</v>
      </c>
      <c r="BA344" s="757"/>
      <c r="BB344" s="757"/>
      <c r="BC344" s="292" t="s">
        <v>105</v>
      </c>
      <c r="BD344" s="465">
        <f t="shared" si="479"/>
        <v>0.69029537671232866</v>
      </c>
      <c r="BE344" s="465">
        <f t="shared" si="476"/>
        <v>0.95650684931506835</v>
      </c>
      <c r="BF344" s="465">
        <f t="shared" si="469"/>
        <v>0.52100565629349604</v>
      </c>
      <c r="BG344" s="465">
        <f t="shared" si="446"/>
        <v>0.62248858447488586</v>
      </c>
      <c r="BH344" s="465">
        <f t="shared" si="447"/>
        <v>0.3235426989215972</v>
      </c>
      <c r="BI344" s="465">
        <f t="shared" si="448"/>
        <v>0.55478284557907842</v>
      </c>
      <c r="BJ344" s="465">
        <f t="shared" si="449"/>
        <v>0.99484169334756312</v>
      </c>
      <c r="BK344" s="465">
        <f t="shared" si="450"/>
        <v>0.557215384007273</v>
      </c>
      <c r="BL344" s="465">
        <f t="shared" si="451"/>
        <v>0</v>
      </c>
      <c r="BM344" s="465">
        <f t="shared" si="452"/>
        <v>0</v>
      </c>
      <c r="BN344" s="465">
        <f t="shared" si="453"/>
        <v>0</v>
      </c>
      <c r="BO344" s="465">
        <f t="shared" si="454"/>
        <v>0</v>
      </c>
      <c r="BP344" s="465">
        <f t="shared" si="480"/>
        <v>0.38809961005112359</v>
      </c>
    </row>
    <row r="345" spans="2:68">
      <c r="B345" s="769"/>
      <c r="C345" s="769"/>
      <c r="D345" s="182" t="s">
        <v>203</v>
      </c>
      <c r="E345" s="341">
        <f>SUM(E346:E352)</f>
        <v>5424</v>
      </c>
      <c r="F345" s="341">
        <f t="shared" ref="F345:Q345" si="481">SUM(F346:F352)</f>
        <v>3975</v>
      </c>
      <c r="G345" s="341">
        <f t="shared" si="481"/>
        <v>6100</v>
      </c>
      <c r="H345" s="341">
        <f t="shared" si="481"/>
        <v>4946</v>
      </c>
      <c r="I345" s="341">
        <f t="shared" si="481"/>
        <v>4526</v>
      </c>
      <c r="J345" s="341">
        <f t="shared" si="481"/>
        <v>4584</v>
      </c>
      <c r="K345" s="341">
        <f t="shared" si="481"/>
        <v>9392</v>
      </c>
      <c r="L345" s="341">
        <f t="shared" si="481"/>
        <v>4676</v>
      </c>
      <c r="M345" s="341">
        <f t="shared" si="481"/>
        <v>3635</v>
      </c>
      <c r="N345" s="341">
        <f t="shared" si="481"/>
        <v>3682</v>
      </c>
      <c r="O345" s="341">
        <f t="shared" si="481"/>
        <v>3288</v>
      </c>
      <c r="P345" s="341">
        <f t="shared" si="481"/>
        <v>3834</v>
      </c>
      <c r="Q345" s="341">
        <f t="shared" si="481"/>
        <v>58062</v>
      </c>
      <c r="S345" s="769"/>
      <c r="T345" s="769"/>
      <c r="U345" s="182" t="s">
        <v>203</v>
      </c>
      <c r="V345" s="341">
        <v>4514.7881899871627</v>
      </c>
      <c r="W345" s="341">
        <v>4514.7881899871627</v>
      </c>
      <c r="X345" s="341">
        <v>5075.1291793313067</v>
      </c>
      <c r="Y345" s="341" cm="1">
        <f t="array" ref="Y345">INDEX('Shop Goals'!$E$168:$E$179, COLUMN()-COLUMN($V$3)+1)</f>
        <v>5296.1938382541721</v>
      </c>
      <c r="Z345" s="341" cm="1">
        <f t="array" ref="Z345">INDEX('Shop Goals'!$E$168:$E$179, COLUMN()-COLUMN($V$3)+1)</f>
        <v>5556.6623876765079</v>
      </c>
      <c r="AA345" s="341" cm="1">
        <f t="array" ref="AA345">INDEX('Shop Goals'!$E$168:$E$179, COLUMN()-COLUMN($V$3)+1)</f>
        <v>5209.3709884467262</v>
      </c>
      <c r="AB345" s="341" cm="1">
        <f t="array" ref="AB345">INDEX('Shop Goals'!$E$168:$E$179, COLUMN()-COLUMN($V$3)+1)</f>
        <v>3703.4726443768996</v>
      </c>
      <c r="AC345" s="341" cm="1">
        <f t="array" ref="AC345">INDEX('Shop Goals'!$E$168:$E$179, COLUMN()-COLUMN($V$3)+1)</f>
        <v>4114.9696048632213</v>
      </c>
      <c r="AD345" s="341" cm="1">
        <f t="array" ref="AD345">INDEX('Shop Goals'!$E$168:$E$179, COLUMN()-COLUMN($V$3)+1)</f>
        <v>5990.7766367137356</v>
      </c>
      <c r="AE345" s="341" cm="1">
        <f t="array" ref="AE345">INDEX('Shop Goals'!$E$168:$E$179, COLUMN()-COLUMN($V$3)+1)</f>
        <v>6424.8908857509623</v>
      </c>
      <c r="AF345" s="341" cm="1">
        <f t="array" ref="AF345">INDEX('Shop Goals'!$E$168:$E$179, COLUMN()-COLUMN($V$3)+1)</f>
        <v>4663.632218844984</v>
      </c>
      <c r="AG345" s="341" cm="1">
        <f t="array" ref="AG345">INDEX('Shop Goals'!$E$168:$E$179, COLUMN()-COLUMN($V$3)+1)</f>
        <v>5898.1231003039511</v>
      </c>
      <c r="AH345" s="342">
        <f t="shared" si="472"/>
        <v>60962.797864536784</v>
      </c>
      <c r="AJ345" s="757"/>
      <c r="AK345" s="757"/>
      <c r="AL345" s="182" t="s">
        <v>203</v>
      </c>
      <c r="AM345" s="341">
        <f>SUM(AM346:AM352)</f>
        <v>3300</v>
      </c>
      <c r="AN345" s="341">
        <f>SUM(AN346:AN352)</f>
        <v>3221</v>
      </c>
      <c r="AO345" s="341">
        <f t="shared" ref="AO345:AS345" si="482">SUM(AO346:AO352)</f>
        <v>3908</v>
      </c>
      <c r="AP345" s="341">
        <f t="shared" si="482"/>
        <v>3210</v>
      </c>
      <c r="AQ345" s="341">
        <f t="shared" si="482"/>
        <v>3513</v>
      </c>
      <c r="AR345" s="341">
        <f t="shared" si="482"/>
        <v>3445</v>
      </c>
      <c r="AS345" s="341">
        <f t="shared" si="482"/>
        <v>4782</v>
      </c>
      <c r="AT345" s="341">
        <f t="shared" ref="AT345:AY345" si="483">SUM(AT346:AT352)</f>
        <v>4235</v>
      </c>
      <c r="AU345" s="341">
        <f t="shared" si="483"/>
        <v>0</v>
      </c>
      <c r="AV345" s="341">
        <f t="shared" si="483"/>
        <v>0</v>
      </c>
      <c r="AW345" s="341">
        <f t="shared" si="483"/>
        <v>0</v>
      </c>
      <c r="AX345" s="341">
        <f t="shared" si="483"/>
        <v>0</v>
      </c>
      <c r="AY345" s="341">
        <f t="shared" si="483"/>
        <v>29614</v>
      </c>
      <c r="BA345" s="757"/>
      <c r="BB345" s="757"/>
      <c r="BC345" s="182" t="s">
        <v>203</v>
      </c>
      <c r="BD345" s="464">
        <f>AM345/V345</f>
        <v>0.7309312997935753</v>
      </c>
      <c r="BE345" s="464">
        <f t="shared" si="476"/>
        <v>0.71343324746518366</v>
      </c>
      <c r="BF345" s="464">
        <f t="shared" si="469"/>
        <v>0.77002966070607759</v>
      </c>
      <c r="BG345" s="464">
        <f t="shared" si="446"/>
        <v>0.6060956411403059</v>
      </c>
      <c r="BH345" s="464">
        <f t="shared" si="447"/>
        <v>0.63221404413395432</v>
      </c>
      <c r="BI345" s="464">
        <f t="shared" si="448"/>
        <v>0.66130824770212671</v>
      </c>
      <c r="BJ345" s="464">
        <f t="shared" si="449"/>
        <v>1.2912205541090367</v>
      </c>
      <c r="BK345" s="464">
        <f t="shared" si="450"/>
        <v>1.0291692057688402</v>
      </c>
      <c r="BL345" s="464">
        <f t="shared" si="451"/>
        <v>0</v>
      </c>
      <c r="BM345" s="464">
        <f t="shared" si="452"/>
        <v>0</v>
      </c>
      <c r="BN345" s="464">
        <f t="shared" si="453"/>
        <v>0</v>
      </c>
      <c r="BO345" s="464">
        <f t="shared" si="454"/>
        <v>0</v>
      </c>
      <c r="BP345" s="464">
        <f t="shared" si="480"/>
        <v>0.48577166792449705</v>
      </c>
    </row>
    <row r="346" spans="2:68" ht="16" customHeight="1">
      <c r="B346" s="769"/>
      <c r="C346" s="769"/>
      <c r="D346" s="292" t="s">
        <v>99</v>
      </c>
      <c r="E346" s="69">
        <v>825</v>
      </c>
      <c r="F346" s="69">
        <v>634</v>
      </c>
      <c r="G346" s="69">
        <v>1069</v>
      </c>
      <c r="H346" s="69">
        <v>906</v>
      </c>
      <c r="I346" s="69">
        <v>782</v>
      </c>
      <c r="J346" s="69">
        <v>872</v>
      </c>
      <c r="K346" s="69">
        <v>1742</v>
      </c>
      <c r="L346" s="69">
        <v>745</v>
      </c>
      <c r="M346" s="69">
        <v>664</v>
      </c>
      <c r="N346" s="69">
        <v>778</v>
      </c>
      <c r="O346" s="69">
        <v>596</v>
      </c>
      <c r="P346" s="69">
        <v>625</v>
      </c>
      <c r="Q346" s="69">
        <f>SUM(E346:P346)</f>
        <v>10238</v>
      </c>
      <c r="S346" s="769"/>
      <c r="T346" s="769"/>
      <c r="U346" s="292" t="s">
        <v>99</v>
      </c>
      <c r="V346" s="69">
        <v>607.75994865211806</v>
      </c>
      <c r="W346" s="69">
        <v>564.34852374839534</v>
      </c>
      <c r="X346" s="69">
        <v>638.0162396873643</v>
      </c>
      <c r="Y346" s="69">
        <f>Y$345*'Region OP Sales Goals'!V38</f>
        <v>659.85365853658539</v>
      </c>
      <c r="Z346" s="69">
        <f>Z$345*'Region OP Sales Goals'!W38</f>
        <v>694.58279845956349</v>
      </c>
      <c r="AA346" s="69">
        <f>AA$345*'Region OP Sales Goals'!X38</f>
        <v>659.85365853658539</v>
      </c>
      <c r="AB346" s="69">
        <f>AB$345*'Region OP Sales Goals'!Y38</f>
        <v>466.36322188449844</v>
      </c>
      <c r="AC346" s="69">
        <f>AC$345*'Region OP Sales Goals'!Z38</f>
        <v>519.36509575943569</v>
      </c>
      <c r="AD346" s="69">
        <f>AD$345*'Region OP Sales Goals'!AA38</f>
        <v>759.39422155526222</v>
      </c>
      <c r="AE346" s="69">
        <f>AE$345*'Region OP Sales Goals'!AB38</f>
        <v>816.13478818998715</v>
      </c>
      <c r="AF346" s="69">
        <f>AF$345*'Region OP Sales Goals'!AC38</f>
        <v>589.812310030395</v>
      </c>
      <c r="AG346" s="69">
        <f>AG$345*'Region OP Sales Goals'!AD38</f>
        <v>740.69452887538</v>
      </c>
      <c r="AH346" s="69">
        <f>AH$345*'Region OP Sales Goals'!AE38</f>
        <v>7649.8630937683647</v>
      </c>
      <c r="AJ346" s="757"/>
      <c r="AK346" s="757"/>
      <c r="AL346" s="292" t="s">
        <v>99</v>
      </c>
      <c r="AM346" s="69">
        <v>528</v>
      </c>
      <c r="AN346" s="69">
        <v>509</v>
      </c>
      <c r="AO346" s="69">
        <v>645</v>
      </c>
      <c r="AP346" s="69">
        <v>546</v>
      </c>
      <c r="AQ346" s="69">
        <v>629</v>
      </c>
      <c r="AR346" s="69">
        <v>604</v>
      </c>
      <c r="AS346" s="69">
        <v>819</v>
      </c>
      <c r="AT346" s="69">
        <v>760</v>
      </c>
      <c r="AU346" s="69"/>
      <c r="AV346" s="69"/>
      <c r="AW346" s="69"/>
      <c r="AX346" s="69"/>
      <c r="AY346" s="69">
        <f>SUM(AM346:AX346)</f>
        <v>5040</v>
      </c>
      <c r="BA346" s="757"/>
      <c r="BB346" s="757"/>
      <c r="BC346" s="292" t="s">
        <v>99</v>
      </c>
      <c r="BD346" s="465">
        <f>AM346/V346</f>
        <v>0.86876405918322097</v>
      </c>
      <c r="BE346" s="465">
        <f t="shared" si="476"/>
        <v>0.90192492507861777</v>
      </c>
      <c r="BF346" s="465">
        <f t="shared" si="469"/>
        <v>1.0109460541569566</v>
      </c>
      <c r="BG346" s="465">
        <f t="shared" si="446"/>
        <v>0.8274561987136837</v>
      </c>
      <c r="BH346" s="465">
        <f t="shared" si="447"/>
        <v>0.90557958157758567</v>
      </c>
      <c r="BI346" s="465">
        <f t="shared" si="448"/>
        <v>0.9153544762327197</v>
      </c>
      <c r="BJ346" s="465">
        <f t="shared" si="449"/>
        <v>1.7561419116425032</v>
      </c>
      <c r="BK346" s="465">
        <f t="shared" si="450"/>
        <v>1.4633251371825415</v>
      </c>
      <c r="BL346" s="465">
        <f t="shared" si="451"/>
        <v>0</v>
      </c>
      <c r="BM346" s="465">
        <f t="shared" si="452"/>
        <v>0</v>
      </c>
      <c r="BN346" s="465">
        <f t="shared" si="453"/>
        <v>0</v>
      </c>
      <c r="BO346" s="465">
        <f t="shared" si="454"/>
        <v>0</v>
      </c>
      <c r="BP346" s="465">
        <f>AY346/AH346</f>
        <v>0.65883532008639756</v>
      </c>
    </row>
    <row r="347" spans="2:68" ht="16" customHeight="1">
      <c r="B347" s="769"/>
      <c r="C347" s="769"/>
      <c r="D347" s="292" t="s">
        <v>100</v>
      </c>
      <c r="E347" s="69">
        <v>1167</v>
      </c>
      <c r="F347" s="69">
        <v>868</v>
      </c>
      <c r="G347" s="69">
        <v>1311</v>
      </c>
      <c r="H347" s="69">
        <v>1138</v>
      </c>
      <c r="I347" s="69">
        <v>866</v>
      </c>
      <c r="J347" s="69">
        <v>895</v>
      </c>
      <c r="K347" s="69">
        <v>1673</v>
      </c>
      <c r="L347" s="69">
        <v>1040</v>
      </c>
      <c r="M347" s="69">
        <v>760</v>
      </c>
      <c r="N347" s="69">
        <v>702</v>
      </c>
      <c r="O347" s="69">
        <v>627</v>
      </c>
      <c r="P347" s="69">
        <v>730</v>
      </c>
      <c r="Q347" s="69">
        <f t="shared" ref="Q347:Q352" si="484">SUM(E347:P347)</f>
        <v>11777</v>
      </c>
      <c r="S347" s="769"/>
      <c r="T347" s="769"/>
      <c r="U347" s="292" t="s">
        <v>100</v>
      </c>
      <c r="V347" s="69">
        <v>868.22849807445436</v>
      </c>
      <c r="W347" s="69">
        <v>870.70915092609573</v>
      </c>
      <c r="X347" s="69">
        <v>1015.0258358662613</v>
      </c>
      <c r="Y347" s="69">
        <f>Y$345*'Region OP Sales Goals'!V39</f>
        <v>1007.1450577663671</v>
      </c>
      <c r="Z347" s="69">
        <f>Z$345*'Region OP Sales Goals'!W39</f>
        <v>1059.2387676508342</v>
      </c>
      <c r="AA347" s="69">
        <f>AA$345*'Region OP Sales Goals'!X39</f>
        <v>989.78048780487802</v>
      </c>
      <c r="AB347" s="69">
        <f>AB$345*'Region OP Sales Goals'!Y39</f>
        <v>699.54483282674767</v>
      </c>
      <c r="AC347" s="69">
        <f>AC$345*'Region OP Sales Goals'!Z39</f>
        <v>785.70617050786427</v>
      </c>
      <c r="AD347" s="69">
        <f>AD$345*'Region OP Sales Goals'!AA39</f>
        <v>1147.5290459057296</v>
      </c>
      <c r="AE347" s="69">
        <f>AE$345*'Region OP Sales Goals'!AB39</f>
        <v>1215.5198973042361</v>
      </c>
      <c r="AF347" s="69">
        <f>AF$345*'Region OP Sales Goals'!AC39</f>
        <v>891.57674772036455</v>
      </c>
      <c r="AG347" s="69">
        <f>AG$345*'Region OP Sales Goals'!AD39</f>
        <v>1124.758358662614</v>
      </c>
      <c r="AH347" s="69">
        <f>AH$345*'Region OP Sales Goals'!AE39</f>
        <v>11144.245000798359</v>
      </c>
      <c r="AJ347" s="757"/>
      <c r="AK347" s="757"/>
      <c r="AL347" s="292" t="s">
        <v>100</v>
      </c>
      <c r="AM347" s="69">
        <v>580</v>
      </c>
      <c r="AN347" s="69">
        <v>545</v>
      </c>
      <c r="AO347" s="69">
        <v>710</v>
      </c>
      <c r="AP347" s="69">
        <v>610</v>
      </c>
      <c r="AQ347" s="69">
        <v>616</v>
      </c>
      <c r="AR347" s="69">
        <v>630</v>
      </c>
      <c r="AS347" s="69">
        <v>917</v>
      </c>
      <c r="AT347" s="69">
        <v>864</v>
      </c>
      <c r="AU347" s="69"/>
      <c r="AV347" s="69"/>
      <c r="AW347" s="69"/>
      <c r="AX347" s="69"/>
      <c r="AY347" s="69">
        <f t="shared" ref="AY347:AY352" si="485">SUM(AM347:AX347)</f>
        <v>5472</v>
      </c>
      <c r="BA347" s="757"/>
      <c r="BB347" s="757"/>
      <c r="BC347" s="292" t="s">
        <v>100</v>
      </c>
      <c r="BD347" s="465">
        <f t="shared" ref="BD347:BD348" si="486">AM347/V347</f>
        <v>0.66802690914467366</v>
      </c>
      <c r="BE347" s="465">
        <f t="shared" si="476"/>
        <v>0.62592657883557568</v>
      </c>
      <c r="BF347" s="465">
        <f t="shared" si="469"/>
        <v>0.6994895843159098</v>
      </c>
      <c r="BG347" s="465">
        <f t="shared" si="446"/>
        <v>0.60567243546113392</v>
      </c>
      <c r="BH347" s="465">
        <f t="shared" si="447"/>
        <v>0.58154971174833103</v>
      </c>
      <c r="BI347" s="465">
        <f t="shared" si="448"/>
        <v>0.6365047682412952</v>
      </c>
      <c r="BJ347" s="465">
        <f t="shared" si="449"/>
        <v>1.3108523670949739</v>
      </c>
      <c r="BK347" s="465">
        <f t="shared" si="450"/>
        <v>1.0996477212868625</v>
      </c>
      <c r="BL347" s="465">
        <f t="shared" si="451"/>
        <v>0</v>
      </c>
      <c r="BM347" s="465">
        <f t="shared" si="452"/>
        <v>0</v>
      </c>
      <c r="BN347" s="465">
        <f t="shared" si="453"/>
        <v>0</v>
      </c>
      <c r="BO347" s="465">
        <f t="shared" si="454"/>
        <v>0</v>
      </c>
      <c r="BP347" s="465">
        <f t="shared" ref="BP347:BP353" si="487">AY347/AH347</f>
        <v>0.49101576639853067</v>
      </c>
    </row>
    <row r="348" spans="2:68" ht="16" customHeight="1">
      <c r="B348" s="769"/>
      <c r="C348" s="769"/>
      <c r="D348" s="292" t="s">
        <v>101</v>
      </c>
      <c r="E348" s="69">
        <v>594</v>
      </c>
      <c r="F348" s="69">
        <v>424</v>
      </c>
      <c r="G348" s="69">
        <v>658</v>
      </c>
      <c r="H348" s="69">
        <v>517</v>
      </c>
      <c r="I348" s="69">
        <v>481</v>
      </c>
      <c r="J348" s="69">
        <v>480</v>
      </c>
      <c r="K348" s="69">
        <v>934</v>
      </c>
      <c r="L348" s="69">
        <v>488</v>
      </c>
      <c r="M348" s="69">
        <v>391</v>
      </c>
      <c r="N348" s="69">
        <v>362</v>
      </c>
      <c r="O348" s="69">
        <v>351</v>
      </c>
      <c r="P348" s="69">
        <v>359</v>
      </c>
      <c r="Q348" s="69">
        <f t="shared" si="484"/>
        <v>6039</v>
      </c>
      <c r="S348" s="769"/>
      <c r="T348" s="769"/>
      <c r="U348" s="292" t="s">
        <v>101</v>
      </c>
      <c r="V348" s="69">
        <v>451.47881899871629</v>
      </c>
      <c r="W348" s="69">
        <v>403.10608839171095</v>
      </c>
      <c r="X348" s="69">
        <v>478.51217976552323</v>
      </c>
      <c r="Y348" s="69">
        <f>Y$345*'Region OP Sales Goals'!V40</f>
        <v>468.84338896020535</v>
      </c>
      <c r="Z348" s="69">
        <f>Z$345*'Region OP Sales Goals'!W40</f>
        <v>503.57252888318351</v>
      </c>
      <c r="AA348" s="69">
        <f>AA$345*'Region OP Sales Goals'!X40</f>
        <v>468.84338896020535</v>
      </c>
      <c r="AB348" s="69">
        <f>AB$345*'Region OP Sales Goals'!Y40</f>
        <v>329.19756838905778</v>
      </c>
      <c r="AC348" s="69">
        <f>AC$345*'Region OP Sales Goals'!Z40</f>
        <v>372.87750464780004</v>
      </c>
      <c r="AD348" s="69">
        <f>AD$345*'Region OP Sales Goals'!AA40</f>
        <v>540.01366866151989</v>
      </c>
      <c r="AE348" s="69">
        <f>AE$345*'Region OP Sales Goals'!AB40</f>
        <v>573.03080872913995</v>
      </c>
      <c r="AF348" s="69">
        <f>AF$345*'Region OP Sales Goals'!AC40</f>
        <v>411.49696048632217</v>
      </c>
      <c r="AG348" s="69">
        <f>AG$345*'Region OP Sales Goals'!AD40</f>
        <v>534.94604863221889</v>
      </c>
      <c r="AH348" s="69">
        <f>AH$345*'Region OP Sales Goals'!AE40</f>
        <v>5398.9774509517474</v>
      </c>
      <c r="AJ348" s="757"/>
      <c r="AK348" s="757"/>
      <c r="AL348" s="292" t="s">
        <v>101</v>
      </c>
      <c r="AM348" s="69">
        <v>302</v>
      </c>
      <c r="AN348" s="69">
        <v>330</v>
      </c>
      <c r="AO348" s="69">
        <v>389</v>
      </c>
      <c r="AP348" s="69">
        <v>321</v>
      </c>
      <c r="AQ348" s="69">
        <v>381</v>
      </c>
      <c r="AR348" s="69">
        <v>336</v>
      </c>
      <c r="AS348" s="69">
        <v>409</v>
      </c>
      <c r="AT348" s="69">
        <v>357</v>
      </c>
      <c r="AU348" s="69"/>
      <c r="AV348" s="69"/>
      <c r="AW348" s="69"/>
      <c r="AX348" s="69"/>
      <c r="AY348" s="69">
        <f t="shared" si="485"/>
        <v>2825</v>
      </c>
      <c r="BA348" s="757"/>
      <c r="BB348" s="757"/>
      <c r="BC348" s="292" t="s">
        <v>101</v>
      </c>
      <c r="BD348" s="465">
        <f t="shared" si="486"/>
        <v>0.66891288647775671</v>
      </c>
      <c r="BE348" s="465">
        <f t="shared" si="476"/>
        <v>0.81864305576880436</v>
      </c>
      <c r="BF348" s="465">
        <f t="shared" si="469"/>
        <v>0.81293646525489638</v>
      </c>
      <c r="BG348" s="465">
        <f t="shared" si="446"/>
        <v>0.68466359462145676</v>
      </c>
      <c r="BH348" s="465">
        <f t="shared" si="447"/>
        <v>0.75659409151046575</v>
      </c>
      <c r="BI348" s="465">
        <f t="shared" si="448"/>
        <v>0.71665722053834724</v>
      </c>
      <c r="BJ348" s="465">
        <f t="shared" si="449"/>
        <v>1.2424150093254296</v>
      </c>
      <c r="BK348" s="465">
        <f t="shared" si="450"/>
        <v>0.95741897955791921</v>
      </c>
      <c r="BL348" s="465">
        <f t="shared" si="451"/>
        <v>0</v>
      </c>
      <c r="BM348" s="465">
        <f t="shared" si="452"/>
        <v>0</v>
      </c>
      <c r="BN348" s="465">
        <f t="shared" si="453"/>
        <v>0</v>
      </c>
      <c r="BO348" s="465">
        <f t="shared" si="454"/>
        <v>0</v>
      </c>
      <c r="BP348" s="465">
        <f t="shared" si="487"/>
        <v>0.52324723073292345</v>
      </c>
    </row>
    <row r="349" spans="2:68" ht="16" customHeight="1">
      <c r="B349" s="769"/>
      <c r="C349" s="769"/>
      <c r="D349" s="292" t="s">
        <v>102</v>
      </c>
      <c r="E349" s="69">
        <v>222</v>
      </c>
      <c r="F349" s="69">
        <v>218</v>
      </c>
      <c r="G349" s="69">
        <v>257</v>
      </c>
      <c r="H349" s="69">
        <v>224</v>
      </c>
      <c r="I349" s="69">
        <v>175</v>
      </c>
      <c r="J349" s="69">
        <v>191</v>
      </c>
      <c r="K349" s="69">
        <v>474</v>
      </c>
      <c r="L349" s="69">
        <v>236</v>
      </c>
      <c r="M349" s="69">
        <v>155</v>
      </c>
      <c r="N349" s="69">
        <v>204</v>
      </c>
      <c r="O349" s="69">
        <v>146</v>
      </c>
      <c r="P349" s="69">
        <v>174</v>
      </c>
      <c r="Q349" s="69">
        <f t="shared" si="484"/>
        <v>2676</v>
      </c>
      <c r="S349" s="769"/>
      <c r="T349" s="769"/>
      <c r="U349" s="292" t="s">
        <v>102</v>
      </c>
      <c r="V349" s="69">
        <v>156.28112965340179</v>
      </c>
      <c r="W349" s="69">
        <v>209.61516596368969</v>
      </c>
      <c r="X349" s="69">
        <v>203.00516717325226</v>
      </c>
      <c r="Y349" s="69">
        <f>Y$345*'Region OP Sales Goals'!V41</f>
        <v>225.73940949935815</v>
      </c>
      <c r="Z349" s="69">
        <f>Z$345*'Region OP Sales Goals'!W41</f>
        <v>243.1039794608472</v>
      </c>
      <c r="AA349" s="69">
        <f>AA$345*'Region OP Sales Goals'!X41</f>
        <v>225.73940949935815</v>
      </c>
      <c r="AB349" s="69">
        <f>AB$345*'Region OP Sales Goals'!Y41</f>
        <v>164.59878419452889</v>
      </c>
      <c r="AC349" s="69">
        <f>AC$345*'Region OP Sales Goals'!Z41</f>
        <v>173.12169858647857</v>
      </c>
      <c r="AD349" s="69">
        <f>AD$345*'Region OP Sales Goals'!AA41</f>
        <v>253.13140718508743</v>
      </c>
      <c r="AE349" s="69">
        <f>AE$345*'Region OP Sales Goals'!AB41</f>
        <v>277.83311938382542</v>
      </c>
      <c r="AF349" s="69">
        <f>AF$345*'Region OP Sales Goals'!AC41</f>
        <v>205.74848024316108</v>
      </c>
      <c r="AG349" s="69">
        <f>AG$345*'Region OP Sales Goals'!AD41</f>
        <v>260.61474164133739</v>
      </c>
      <c r="AH349" s="69">
        <f>AH$345*'Region OP Sales Goals'!AE41</f>
        <v>2628.6566597928331</v>
      </c>
      <c r="AJ349" s="757"/>
      <c r="AK349" s="757"/>
      <c r="AL349" s="292" t="s">
        <v>102</v>
      </c>
      <c r="AM349" s="69">
        <v>184</v>
      </c>
      <c r="AN349" s="69">
        <v>183</v>
      </c>
      <c r="AO349" s="69">
        <v>204</v>
      </c>
      <c r="AP349" s="69">
        <v>177</v>
      </c>
      <c r="AQ349" s="69">
        <v>207</v>
      </c>
      <c r="AR349" s="69">
        <v>218</v>
      </c>
      <c r="AS349" s="69">
        <v>251</v>
      </c>
      <c r="AT349" s="69">
        <v>219</v>
      </c>
      <c r="AU349" s="69"/>
      <c r="AV349" s="69"/>
      <c r="AW349" s="69"/>
      <c r="AX349" s="69"/>
      <c r="AY349" s="69">
        <f t="shared" si="485"/>
        <v>1643</v>
      </c>
      <c r="BA349" s="757"/>
      <c r="BB349" s="757"/>
      <c r="BC349" s="292" t="s">
        <v>102</v>
      </c>
      <c r="BD349" s="465">
        <f>AM349/V349</f>
        <v>1.1773654337415704</v>
      </c>
      <c r="BE349" s="465">
        <f t="shared" si="476"/>
        <v>0.87302843359959903</v>
      </c>
      <c r="BF349" s="465">
        <f t="shared" si="469"/>
        <v>1.0049005295806028</v>
      </c>
      <c r="BG349" s="465">
        <f t="shared" si="446"/>
        <v>0.78408993977856256</v>
      </c>
      <c r="BH349" s="465">
        <f t="shared" si="447"/>
        <v>0.85148750118810013</v>
      </c>
      <c r="BI349" s="465">
        <f t="shared" si="448"/>
        <v>0.96571529306060244</v>
      </c>
      <c r="BJ349" s="465">
        <f t="shared" si="449"/>
        <v>1.5249201336952707</v>
      </c>
      <c r="BK349" s="465">
        <f t="shared" si="450"/>
        <v>1.2650060725380654</v>
      </c>
      <c r="BL349" s="465">
        <f t="shared" si="451"/>
        <v>0</v>
      </c>
      <c r="BM349" s="465">
        <f t="shared" si="452"/>
        <v>0</v>
      </c>
      <c r="BN349" s="465">
        <f t="shared" si="453"/>
        <v>0</v>
      </c>
      <c r="BO349" s="465">
        <f t="shared" si="454"/>
        <v>0</v>
      </c>
      <c r="BP349" s="465">
        <f t="shared" si="487"/>
        <v>0.62503408114526693</v>
      </c>
    </row>
    <row r="350" spans="2:68" ht="16" customHeight="1">
      <c r="B350" s="769"/>
      <c r="C350" s="769"/>
      <c r="D350" s="292" t="s">
        <v>103</v>
      </c>
      <c r="E350" s="69">
        <v>802</v>
      </c>
      <c r="F350" s="69">
        <v>569</v>
      </c>
      <c r="G350" s="69">
        <v>815</v>
      </c>
      <c r="H350" s="69">
        <v>637</v>
      </c>
      <c r="I350" s="69">
        <v>851</v>
      </c>
      <c r="J350" s="69">
        <v>777</v>
      </c>
      <c r="K350" s="69">
        <v>1626</v>
      </c>
      <c r="L350" s="69">
        <v>699</v>
      </c>
      <c r="M350" s="69">
        <v>501</v>
      </c>
      <c r="N350" s="69">
        <v>581</v>
      </c>
      <c r="O350" s="69">
        <v>523</v>
      </c>
      <c r="P350" s="69">
        <v>593</v>
      </c>
      <c r="Q350" s="69">
        <f t="shared" si="484"/>
        <v>8974</v>
      </c>
      <c r="S350" s="769"/>
      <c r="T350" s="769"/>
      <c r="U350" s="292" t="s">
        <v>103</v>
      </c>
      <c r="V350" s="69">
        <v>486.20795892169446</v>
      </c>
      <c r="W350" s="69">
        <v>548.22428021272685</v>
      </c>
      <c r="X350" s="69">
        <v>609.01550151975675</v>
      </c>
      <c r="Y350" s="69">
        <f>Y$345*'Region OP Sales Goals'!V42</f>
        <v>659.85365853658539</v>
      </c>
      <c r="Z350" s="69">
        <f>Z$345*'Region OP Sales Goals'!W42</f>
        <v>694.58279845956349</v>
      </c>
      <c r="AA350" s="69">
        <f>AA$345*'Region OP Sales Goals'!X42</f>
        <v>642.48908857509628</v>
      </c>
      <c r="AB350" s="69">
        <f>AB$345*'Region OP Sales Goals'!Y42</f>
        <v>452.64665653495439</v>
      </c>
      <c r="AC350" s="69">
        <f>AC$345*'Region OP Sales Goals'!Z42</f>
        <v>506.04804202201427</v>
      </c>
      <c r="AD350" s="69">
        <f>AD$345*'Region OP Sales Goals'!AA42</f>
        <v>742.51879440958976</v>
      </c>
      <c r="AE350" s="69">
        <f>AE$345*'Region OP Sales Goals'!AB42</f>
        <v>798.77021822849804</v>
      </c>
      <c r="AF350" s="69">
        <f>AF$345*'Region OP Sales Goals'!AC42</f>
        <v>576.095744680851</v>
      </c>
      <c r="AG350" s="69">
        <f>AG$345*'Region OP Sales Goals'!AD42</f>
        <v>726.97796352583589</v>
      </c>
      <c r="AH350" s="69">
        <f>AH$345*'Region OP Sales Goals'!AE42</f>
        <v>7256.3516177514739</v>
      </c>
      <c r="AJ350" s="757"/>
      <c r="AK350" s="757"/>
      <c r="AL350" s="292" t="s">
        <v>103</v>
      </c>
      <c r="AM350" s="69">
        <v>509</v>
      </c>
      <c r="AN350" s="69">
        <v>503</v>
      </c>
      <c r="AO350" s="69">
        <v>580</v>
      </c>
      <c r="AP350" s="69">
        <v>446</v>
      </c>
      <c r="AQ350" s="69">
        <v>515</v>
      </c>
      <c r="AR350" s="69">
        <v>475</v>
      </c>
      <c r="AS350" s="69">
        <v>797</v>
      </c>
      <c r="AT350" s="69">
        <v>631</v>
      </c>
      <c r="AU350" s="69"/>
      <c r="AV350" s="69"/>
      <c r="AW350" s="69"/>
      <c r="AX350" s="69"/>
      <c r="AY350" s="69">
        <f t="shared" si="485"/>
        <v>4456</v>
      </c>
      <c r="BA350" s="757"/>
      <c r="BB350" s="757"/>
      <c r="BC350" s="292" t="s">
        <v>103</v>
      </c>
      <c r="BD350" s="465">
        <f t="shared" ref="BD350:BD352" si="488">AM350/V350</f>
        <v>1.0468771451805385</v>
      </c>
      <c r="BE350" s="465">
        <f t="shared" si="476"/>
        <v>0.91750770287813865</v>
      </c>
      <c r="BF350" s="465">
        <f t="shared" si="469"/>
        <v>0.95235671104044062</v>
      </c>
      <c r="BG350" s="465">
        <f t="shared" si="446"/>
        <v>0.6759074443705182</v>
      </c>
      <c r="BH350" s="465">
        <f t="shared" si="447"/>
        <v>0.74145228062393742</v>
      </c>
      <c r="BI350" s="465">
        <f t="shared" si="448"/>
        <v>0.73931216645787501</v>
      </c>
      <c r="BJ350" s="465">
        <f t="shared" si="449"/>
        <v>1.7607553010577774</v>
      </c>
      <c r="BK350" s="465">
        <f t="shared" si="450"/>
        <v>1.2469171849350817</v>
      </c>
      <c r="BL350" s="465">
        <f t="shared" si="451"/>
        <v>0</v>
      </c>
      <c r="BM350" s="465">
        <f t="shared" si="452"/>
        <v>0</v>
      </c>
      <c r="BN350" s="465">
        <f t="shared" si="453"/>
        <v>0</v>
      </c>
      <c r="BO350" s="465">
        <f t="shared" si="454"/>
        <v>0</v>
      </c>
      <c r="BP350" s="465">
        <f t="shared" si="487"/>
        <v>0.61408270088499117</v>
      </c>
    </row>
    <row r="351" spans="2:68" ht="16" customHeight="1">
      <c r="B351" s="769"/>
      <c r="C351" s="769"/>
      <c r="D351" s="292" t="s">
        <v>104</v>
      </c>
      <c r="E351" s="69">
        <v>1154</v>
      </c>
      <c r="F351" s="69">
        <v>773</v>
      </c>
      <c r="G351" s="69">
        <v>1222</v>
      </c>
      <c r="H351" s="69">
        <v>897</v>
      </c>
      <c r="I351" s="69">
        <v>740</v>
      </c>
      <c r="J351" s="69">
        <v>818</v>
      </c>
      <c r="K351" s="69">
        <v>1759</v>
      </c>
      <c r="L351" s="69">
        <v>832</v>
      </c>
      <c r="M351" s="69">
        <v>655</v>
      </c>
      <c r="N351" s="69">
        <v>642</v>
      </c>
      <c r="O351" s="69">
        <v>644</v>
      </c>
      <c r="P351" s="69">
        <v>862</v>
      </c>
      <c r="Q351" s="69">
        <f t="shared" si="484"/>
        <v>10998</v>
      </c>
      <c r="S351" s="769"/>
      <c r="T351" s="769"/>
      <c r="U351" s="292" t="s">
        <v>104</v>
      </c>
      <c r="V351" s="69">
        <v>1250.2490372272143</v>
      </c>
      <c r="W351" s="69">
        <v>1257.6909957821383</v>
      </c>
      <c r="X351" s="69">
        <v>1392.0354320451584</v>
      </c>
      <c r="Y351" s="69">
        <f>Y$345*'Region OP Sales Goals'!V43</f>
        <v>1493.3530166880616</v>
      </c>
      <c r="Z351" s="69">
        <f>Z$345*'Region OP Sales Goals'!W43</f>
        <v>1545.4467265725289</v>
      </c>
      <c r="AA351" s="69">
        <f>AA$345*'Region OP Sales Goals'!X43</f>
        <v>1458.6238767650834</v>
      </c>
      <c r="AB351" s="69">
        <f>AB$345*'Region OP Sales Goals'!Y43</f>
        <v>1042.4589665653496</v>
      </c>
      <c r="AC351" s="69">
        <f>AC$345*'Region OP Sales Goals'!Z43</f>
        <v>1158.5836751556642</v>
      </c>
      <c r="AD351" s="69">
        <f>AD$345*'Region OP Sales Goals'!AA43</f>
        <v>1687.5427145672495</v>
      </c>
      <c r="AE351" s="69">
        <f>AE$345*'Region OP Sales Goals'!AB43</f>
        <v>1805.9152759948652</v>
      </c>
      <c r="AF351" s="69">
        <f>AF$345*'Region OP Sales Goals'!AC43</f>
        <v>1303.0737082066867</v>
      </c>
      <c r="AG351" s="69">
        <f>AG$345*'Region OP Sales Goals'!AD43</f>
        <v>1659.7044072948327</v>
      </c>
      <c r="AH351" s="69">
        <f>AH$345*'Region OP Sales Goals'!AE43</f>
        <v>17566.352289394024</v>
      </c>
      <c r="AJ351" s="757"/>
      <c r="AK351" s="757"/>
      <c r="AL351" s="292" t="s">
        <v>104</v>
      </c>
      <c r="AM351" s="69">
        <v>723</v>
      </c>
      <c r="AN351" s="69">
        <v>712</v>
      </c>
      <c r="AO351" s="69">
        <v>843</v>
      </c>
      <c r="AP351" s="69">
        <v>697</v>
      </c>
      <c r="AQ351" s="156">
        <v>684</v>
      </c>
      <c r="AR351" s="156">
        <v>689</v>
      </c>
      <c r="AS351" s="156">
        <v>960</v>
      </c>
      <c r="AT351" s="156">
        <v>932</v>
      </c>
      <c r="AU351" s="69"/>
      <c r="AV351" s="69"/>
      <c r="AW351" s="69"/>
      <c r="AX351" s="69"/>
      <c r="AY351" s="69">
        <f t="shared" si="485"/>
        <v>6240</v>
      </c>
      <c r="BA351" s="757"/>
      <c r="BB351" s="757"/>
      <c r="BC351" s="292" t="s">
        <v>104</v>
      </c>
      <c r="BD351" s="465">
        <f t="shared" si="488"/>
        <v>0.57828478844779574</v>
      </c>
      <c r="BE351" s="465">
        <f t="shared" si="476"/>
        <v>0.56611679847259966</v>
      </c>
      <c r="BF351" s="465">
        <f t="shared" si="469"/>
        <v>0.6055880336044871</v>
      </c>
      <c r="BG351" s="465">
        <f t="shared" si="446"/>
        <v>0.46673491948059093</v>
      </c>
      <c r="BH351" s="465">
        <f t="shared" si="447"/>
        <v>0.4425904744817481</v>
      </c>
      <c r="BI351" s="465">
        <f t="shared" si="448"/>
        <v>0.47236303407294761</v>
      </c>
      <c r="BJ351" s="465">
        <f t="shared" si="449"/>
        <v>0.92089955651968547</v>
      </c>
      <c r="BK351" s="465">
        <f t="shared" si="450"/>
        <v>0.80443046107548422</v>
      </c>
      <c r="BL351" s="465">
        <f t="shared" si="451"/>
        <v>0</v>
      </c>
      <c r="BM351" s="465">
        <f t="shared" si="452"/>
        <v>0</v>
      </c>
      <c r="BN351" s="465">
        <f t="shared" si="453"/>
        <v>0</v>
      </c>
      <c r="BO351" s="465">
        <f t="shared" si="454"/>
        <v>0</v>
      </c>
      <c r="BP351" s="465">
        <f t="shared" si="487"/>
        <v>0.35522457350280418</v>
      </c>
    </row>
    <row r="352" spans="2:68" ht="16" customHeight="1">
      <c r="B352" s="769"/>
      <c r="C352" s="769"/>
      <c r="D352" s="292" t="s">
        <v>105</v>
      </c>
      <c r="E352" s="69">
        <v>660</v>
      </c>
      <c r="F352" s="69">
        <v>489</v>
      </c>
      <c r="G352" s="69">
        <v>768</v>
      </c>
      <c r="H352" s="69">
        <v>627</v>
      </c>
      <c r="I352" s="69">
        <v>631</v>
      </c>
      <c r="J352" s="69">
        <v>551</v>
      </c>
      <c r="K352" s="69">
        <v>1184</v>
      </c>
      <c r="L352" s="69">
        <v>636</v>
      </c>
      <c r="M352" s="69">
        <v>509</v>
      </c>
      <c r="N352" s="69">
        <v>413</v>
      </c>
      <c r="O352" s="69">
        <v>401</v>
      </c>
      <c r="P352" s="69">
        <v>491</v>
      </c>
      <c r="Q352" s="69">
        <f t="shared" si="484"/>
        <v>7360</v>
      </c>
      <c r="S352" s="769"/>
      <c r="T352" s="769"/>
      <c r="U352" s="292" t="s">
        <v>105</v>
      </c>
      <c r="V352" s="69">
        <v>694.58279845956349</v>
      </c>
      <c r="W352" s="69">
        <v>661.09398496240601</v>
      </c>
      <c r="X352" s="69">
        <v>739.51882327399039</v>
      </c>
      <c r="Y352" s="69">
        <f>Y$345*'Region OP Sales Goals'!V44</f>
        <v>781.40564826700893</v>
      </c>
      <c r="Z352" s="69">
        <f>Z$345*'Region OP Sales Goals'!W44</f>
        <v>816.13478818998715</v>
      </c>
      <c r="AA352" s="69">
        <f>AA$345*'Region OP Sales Goals'!X44</f>
        <v>764.04107830551982</v>
      </c>
      <c r="AB352" s="69">
        <f>AB$345*'Region OP Sales Goals'!Y44</f>
        <v>548.66261398176289</v>
      </c>
      <c r="AC352" s="69">
        <f>AC$345*'Region OP Sales Goals'!Z44</f>
        <v>599.2674181839642</v>
      </c>
      <c r="AD352" s="69">
        <f>AD$345*'Region OP Sales Goals'!AA44</f>
        <v>860.64678442929721</v>
      </c>
      <c r="AE352" s="69">
        <f>AE$345*'Region OP Sales Goals'!AB44</f>
        <v>937.6867779204108</v>
      </c>
      <c r="AF352" s="69">
        <f>AF$345*'Region OP Sales Goals'!AC44</f>
        <v>685.82826747720355</v>
      </c>
      <c r="AG352" s="69">
        <f>AG$345*'Region OP Sales Goals'!AD44</f>
        <v>850.42705167173256</v>
      </c>
      <c r="AH352" s="69">
        <f>AH$345*'Region OP Sales Goals'!AE44</f>
        <v>9129.4662435918763</v>
      </c>
      <c r="AJ352" s="757"/>
      <c r="AK352" s="757"/>
      <c r="AL352" s="292" t="s">
        <v>105</v>
      </c>
      <c r="AM352" s="69">
        <v>474</v>
      </c>
      <c r="AN352" s="69">
        <v>439</v>
      </c>
      <c r="AO352" s="69">
        <v>537</v>
      </c>
      <c r="AP352" s="69">
        <v>413</v>
      </c>
      <c r="AQ352" s="69">
        <v>481</v>
      </c>
      <c r="AR352" s="69">
        <v>493</v>
      </c>
      <c r="AS352" s="69">
        <v>629</v>
      </c>
      <c r="AT352" s="69">
        <v>472</v>
      </c>
      <c r="AU352" s="69"/>
      <c r="AV352" s="69"/>
      <c r="AW352" s="69"/>
      <c r="AX352" s="69"/>
      <c r="AY352" s="69">
        <f t="shared" si="485"/>
        <v>3938</v>
      </c>
      <c r="BA352" s="757"/>
      <c r="BB352" s="757"/>
      <c r="BC352" s="292" t="s">
        <v>105</v>
      </c>
      <c r="BD352" s="465">
        <f t="shared" si="488"/>
        <v>0.68242404080727437</v>
      </c>
      <c r="BE352" s="465">
        <f t="shared" si="476"/>
        <v>0.66405081574742253</v>
      </c>
      <c r="BF352" s="465">
        <f t="shared" si="469"/>
        <v>0.72614784519290387</v>
      </c>
      <c r="BG352" s="465">
        <f t="shared" si="446"/>
        <v>0.52853470014703108</v>
      </c>
      <c r="BH352" s="465">
        <f t="shared" si="447"/>
        <v>0.58936343231582544</v>
      </c>
      <c r="BI352" s="465">
        <f t="shared" si="448"/>
        <v>0.64525326451474163</v>
      </c>
      <c r="BJ352" s="465">
        <f t="shared" si="449"/>
        <v>1.146424020829871</v>
      </c>
      <c r="BK352" s="465">
        <f t="shared" si="450"/>
        <v>0.78762833699579604</v>
      </c>
      <c r="BL352" s="465">
        <f t="shared" si="451"/>
        <v>0</v>
      </c>
      <c r="BM352" s="465">
        <f t="shared" si="452"/>
        <v>0</v>
      </c>
      <c r="BN352" s="465">
        <f t="shared" si="453"/>
        <v>0</v>
      </c>
      <c r="BO352" s="465">
        <f t="shared" si="454"/>
        <v>0</v>
      </c>
      <c r="BP352" s="465">
        <f t="shared" si="487"/>
        <v>0.43135051874080232</v>
      </c>
    </row>
    <row r="353" spans="2:68">
      <c r="B353" s="769"/>
      <c r="C353" s="769"/>
      <c r="D353" s="182" t="s">
        <v>7</v>
      </c>
      <c r="E353" s="341">
        <f>SUM(E354:E360)</f>
        <v>66013</v>
      </c>
      <c r="F353" s="341">
        <f t="shared" ref="F353:Q353" si="489">SUM(F354:F360)</f>
        <v>59287</v>
      </c>
      <c r="G353" s="341">
        <f t="shared" si="489"/>
        <v>70842</v>
      </c>
      <c r="H353" s="341">
        <f t="shared" si="489"/>
        <v>71890</v>
      </c>
      <c r="I353" s="341">
        <f t="shared" si="489"/>
        <v>70372</v>
      </c>
      <c r="J353" s="341">
        <f t="shared" si="489"/>
        <v>69567</v>
      </c>
      <c r="K353" s="341">
        <f t="shared" si="489"/>
        <v>68094</v>
      </c>
      <c r="L353" s="341">
        <f t="shared" si="489"/>
        <v>77048</v>
      </c>
      <c r="M353" s="341">
        <f t="shared" si="489"/>
        <v>73706</v>
      </c>
      <c r="N353" s="341">
        <f t="shared" si="489"/>
        <v>76216</v>
      </c>
      <c r="O353" s="341">
        <f t="shared" si="489"/>
        <v>75008</v>
      </c>
      <c r="P353" s="341">
        <f t="shared" si="489"/>
        <v>77075</v>
      </c>
      <c r="Q353" s="341">
        <f t="shared" si="489"/>
        <v>855118</v>
      </c>
      <c r="S353" s="769"/>
      <c r="T353" s="769"/>
      <c r="U353" s="182" t="s">
        <v>7</v>
      </c>
      <c r="V353" s="341">
        <v>60712.492809204225</v>
      </c>
      <c r="W353" s="341">
        <v>60712.492809204225</v>
      </c>
      <c r="X353" s="341">
        <v>86934.888321633698</v>
      </c>
      <c r="Y353" s="341" cm="1">
        <f t="array" ref="Y353">INDEX('Shop Goals'!$G$168:$G$179, COLUMN()-COLUMN($V$3)+1)</f>
        <v>71220.424256951112</v>
      </c>
      <c r="Z353" s="341" cm="1">
        <f t="array" ref="Z353">INDEX('Shop Goals'!$G$168:$G$179, COLUMN()-COLUMN($V$3)+1)</f>
        <v>74723.068072866736</v>
      </c>
      <c r="AA353" s="341" cm="1">
        <f t="array" ref="AA353">INDEX('Shop Goals'!$G$168:$G$179, COLUMN()-COLUMN($V$3)+1)</f>
        <v>70052.87631831257</v>
      </c>
      <c r="AB353" s="341" cm="1">
        <f t="array" ref="AB353">INDEX('Shop Goals'!$G$168:$G$179, COLUMN()-COLUMN($V$3)+1)</f>
        <v>63438.972559029993</v>
      </c>
      <c r="AC353" s="341" cm="1">
        <f t="array" ref="AC353">INDEX('Shop Goals'!$G$168:$G$179, COLUMN()-COLUMN($V$3)+1)</f>
        <v>70487.7472878111</v>
      </c>
      <c r="AD353" s="341" cm="1">
        <f t="array" ref="AD353">INDEX('Shop Goals'!$G$168:$G$179, COLUMN()-COLUMN($V$3)+1)</f>
        <v>80560.807766059443</v>
      </c>
      <c r="AE353" s="341" cm="1">
        <f t="array" ref="AE353">INDEX('Shop Goals'!$G$168:$G$179, COLUMN()-COLUMN($V$3)+1)</f>
        <v>86398.547459252164</v>
      </c>
      <c r="AF353" s="341" cm="1">
        <f t="array" ref="AF353">INDEX('Shop Goals'!$G$168:$G$179, COLUMN()-COLUMN($V$3)+1)</f>
        <v>79886.113592852591</v>
      </c>
      <c r="AG353" s="341" cm="1">
        <f t="array" ref="AG353">INDEX('Shop Goals'!$G$168:$G$179, COLUMN()-COLUMN($V$3)+1)</f>
        <v>101032.43777919593</v>
      </c>
      <c r="AH353" s="342">
        <f>SUM(V353:AG353)</f>
        <v>906160.86903237388</v>
      </c>
      <c r="AJ353" s="757"/>
      <c r="AK353" s="757"/>
      <c r="AL353" s="182" t="s">
        <v>7</v>
      </c>
      <c r="AM353" s="341">
        <f>SUM(AM354:AM360)</f>
        <v>89782</v>
      </c>
      <c r="AN353" s="341">
        <f t="shared" ref="AN353:AY353" si="490">SUM(AN354:AN360)</f>
        <v>79812</v>
      </c>
      <c r="AO353" s="341">
        <f t="shared" si="490"/>
        <v>83421</v>
      </c>
      <c r="AP353" s="341">
        <f t="shared" si="490"/>
        <v>80705</v>
      </c>
      <c r="AQ353" s="341">
        <f t="shared" si="490"/>
        <v>78647</v>
      </c>
      <c r="AR353" s="341">
        <f t="shared" si="490"/>
        <v>69737</v>
      </c>
      <c r="AS353" s="341">
        <f t="shared" si="490"/>
        <v>69882</v>
      </c>
      <c r="AT353" s="341">
        <f t="shared" si="490"/>
        <v>57352</v>
      </c>
      <c r="AU353" s="341">
        <f t="shared" si="490"/>
        <v>0</v>
      </c>
      <c r="AV353" s="341">
        <f t="shared" si="490"/>
        <v>0</v>
      </c>
      <c r="AW353" s="341">
        <f t="shared" si="490"/>
        <v>0</v>
      </c>
      <c r="AX353" s="341">
        <f t="shared" si="490"/>
        <v>0</v>
      </c>
      <c r="AY353" s="341">
        <f t="shared" si="490"/>
        <v>609338</v>
      </c>
      <c r="BA353" s="757"/>
      <c r="BB353" s="757"/>
      <c r="BC353" s="182" t="s">
        <v>6</v>
      </c>
      <c r="BD353" s="464">
        <f>AM353/V353</f>
        <v>1.4788060223807633</v>
      </c>
      <c r="BE353" s="464">
        <f t="shared" si="476"/>
        <v>1.3145894083252043</v>
      </c>
      <c r="BF353" s="464">
        <f t="shared" si="469"/>
        <v>0.95958022849660385</v>
      </c>
      <c r="BG353" s="464">
        <f t="shared" si="446"/>
        <v>1.1331721320394015</v>
      </c>
      <c r="BH353" s="464">
        <f t="shared" si="447"/>
        <v>1.0525129926852952</v>
      </c>
      <c r="BI353" s="464">
        <f t="shared" si="448"/>
        <v>0.99549088724241297</v>
      </c>
      <c r="BJ353" s="464">
        <f t="shared" si="449"/>
        <v>1.1015626070389897</v>
      </c>
      <c r="BK353" s="464">
        <f t="shared" si="450"/>
        <v>0.81364495542500392</v>
      </c>
      <c r="BL353" s="464">
        <f t="shared" si="451"/>
        <v>0</v>
      </c>
      <c r="BM353" s="464">
        <f t="shared" si="452"/>
        <v>0</v>
      </c>
      <c r="BN353" s="464">
        <f t="shared" si="453"/>
        <v>0</v>
      </c>
      <c r="BO353" s="464">
        <f t="shared" si="454"/>
        <v>0</v>
      </c>
      <c r="BP353" s="464">
        <f t="shared" si="487"/>
        <v>0.67243910085266612</v>
      </c>
    </row>
    <row r="354" spans="2:68" ht="16" customHeight="1">
      <c r="B354" s="769"/>
      <c r="C354" s="769"/>
      <c r="D354" s="292" t="s">
        <v>99</v>
      </c>
      <c r="E354" s="69">
        <v>7113</v>
      </c>
      <c r="F354" s="69">
        <v>7691</v>
      </c>
      <c r="G354" s="69">
        <v>8653</v>
      </c>
      <c r="H354" s="69">
        <v>7949</v>
      </c>
      <c r="I354" s="69">
        <v>6231</v>
      </c>
      <c r="J354" s="69">
        <v>5878</v>
      </c>
      <c r="K354" s="69">
        <v>5879</v>
      </c>
      <c r="L354" s="69">
        <v>5945</v>
      </c>
      <c r="M354" s="69">
        <v>8854</v>
      </c>
      <c r="N354" s="69">
        <v>7596</v>
      </c>
      <c r="O354" s="69">
        <v>6630</v>
      </c>
      <c r="P354" s="69">
        <v>7787</v>
      </c>
      <c r="Q354" s="69">
        <f>SUM(E354:P354)</f>
        <v>86206</v>
      </c>
      <c r="S354" s="769"/>
      <c r="T354" s="769"/>
      <c r="U354" s="292" t="s">
        <v>99</v>
      </c>
      <c r="V354" s="69">
        <v>8172.8355704697988</v>
      </c>
      <c r="W354" s="69">
        <v>7589.0616011505281</v>
      </c>
      <c r="X354" s="69">
        <v>10928.95738900538</v>
      </c>
      <c r="Y354" s="69">
        <f>Y$353*'Region OP Sales Goals'!V38</f>
        <v>8873.3643336529258</v>
      </c>
      <c r="Z354" s="69">
        <f>Z$353*'Region OP Sales Goals'!W38</f>
        <v>9340.383509108342</v>
      </c>
      <c r="AA354" s="69">
        <f>AA$353*'Region OP Sales Goals'!X38</f>
        <v>8873.3643336529258</v>
      </c>
      <c r="AB354" s="69">
        <f>AB$353*'Region OP Sales Goals'!Y38</f>
        <v>7988.611359285258</v>
      </c>
      <c r="AC354" s="69">
        <f>AC$353*'Region OP Sales Goals'!Z38</f>
        <v>8896.5117936072256</v>
      </c>
      <c r="AD354" s="69">
        <f>AD$353*'Region OP Sales Goals'!AA38</f>
        <v>10211.933378796268</v>
      </c>
      <c r="AE354" s="69">
        <f>AE$353*'Region OP Sales Goals'!AB38</f>
        <v>10974.950623202303</v>
      </c>
      <c r="AF354" s="69">
        <f>AF$353*'Region OP Sales Goals'!AC38</f>
        <v>10103.243777919592</v>
      </c>
      <c r="AG354" s="69">
        <f>AG$353*'Region OP Sales Goals'!AD38</f>
        <v>12687.794511806002</v>
      </c>
      <c r="AH354" s="69">
        <f>AH$353*'Region OP Sales Goals'!AE38</f>
        <v>113708.79998702135</v>
      </c>
      <c r="AJ354" s="757"/>
      <c r="AK354" s="757"/>
      <c r="AL354" s="292" t="s">
        <v>99</v>
      </c>
      <c r="AM354" s="69">
        <v>10051</v>
      </c>
      <c r="AN354" s="69">
        <v>8543</v>
      </c>
      <c r="AO354" s="69">
        <v>9593</v>
      </c>
      <c r="AP354" s="69">
        <v>9824</v>
      </c>
      <c r="AQ354" s="69">
        <v>10410</v>
      </c>
      <c r="AR354" s="69">
        <v>9534</v>
      </c>
      <c r="AS354" s="69">
        <v>11253</v>
      </c>
      <c r="AT354" s="69">
        <v>8598</v>
      </c>
      <c r="AU354" s="69"/>
      <c r="AV354" s="69"/>
      <c r="AW354" s="69"/>
      <c r="AX354" s="69"/>
      <c r="AY354" s="69">
        <f>SUM(AM354:AX354)</f>
        <v>77806</v>
      </c>
      <c r="BA354" s="757"/>
      <c r="BB354" s="757"/>
      <c r="BC354" s="292" t="s">
        <v>99</v>
      </c>
      <c r="BD354" s="465">
        <f>AM354/V354</f>
        <v>1.2298057281754708</v>
      </c>
      <c r="BE354" s="465">
        <f t="shared" si="476"/>
        <v>1.1256991244747376</v>
      </c>
      <c r="BF354" s="465">
        <f t="shared" si="469"/>
        <v>0.87775985014367763</v>
      </c>
      <c r="BG354" s="465">
        <f t="shared" si="446"/>
        <v>1.1071336226713597</v>
      </c>
      <c r="BH354" s="465">
        <f t="shared" si="447"/>
        <v>1.114515264801345</v>
      </c>
      <c r="BI354" s="465">
        <f t="shared" si="448"/>
        <v>1.0744515430118835</v>
      </c>
      <c r="BJ354" s="465">
        <f t="shared" si="449"/>
        <v>1.4086302980455425</v>
      </c>
      <c r="BK354" s="465">
        <f t="shared" si="450"/>
        <v>0.96644619818053545</v>
      </c>
      <c r="BL354" s="465">
        <f t="shared" si="451"/>
        <v>0</v>
      </c>
      <c r="BM354" s="465">
        <f t="shared" si="452"/>
        <v>0</v>
      </c>
      <c r="BN354" s="465">
        <f t="shared" si="453"/>
        <v>0</v>
      </c>
      <c r="BO354" s="465">
        <f t="shared" si="454"/>
        <v>0</v>
      </c>
      <c r="BP354" s="465">
        <f>AY354/AH354</f>
        <v>0.68425662753349548</v>
      </c>
    </row>
    <row r="355" spans="2:68" ht="16" customHeight="1">
      <c r="B355" s="769"/>
      <c r="C355" s="769"/>
      <c r="D355" s="292" t="s">
        <v>100</v>
      </c>
      <c r="E355" s="69">
        <v>13191</v>
      </c>
      <c r="F355" s="69">
        <v>10663</v>
      </c>
      <c r="G355" s="69">
        <v>13310</v>
      </c>
      <c r="H355" s="69">
        <v>14705</v>
      </c>
      <c r="I355" s="69">
        <v>13398</v>
      </c>
      <c r="J355" s="69">
        <v>13319</v>
      </c>
      <c r="K355" s="69">
        <v>12942</v>
      </c>
      <c r="L355" s="69">
        <v>11190</v>
      </c>
      <c r="M355" s="69">
        <v>12744</v>
      </c>
      <c r="N355" s="69">
        <v>13501</v>
      </c>
      <c r="O355" s="69">
        <v>13199</v>
      </c>
      <c r="P355" s="69">
        <v>14175</v>
      </c>
      <c r="Q355" s="69">
        <f t="shared" ref="Q355:Q360" si="491">SUM(E355:P355)</f>
        <v>156337</v>
      </c>
      <c r="S355" s="769"/>
      <c r="T355" s="769"/>
      <c r="U355" s="292" t="s">
        <v>100</v>
      </c>
      <c r="V355" s="69">
        <v>11675.479386385428</v>
      </c>
      <c r="W355" s="69">
        <v>11708.837898917958</v>
      </c>
      <c r="X355" s="69">
        <v>17386.97766432674</v>
      </c>
      <c r="Y355" s="69">
        <f>Y$353*'Region OP Sales Goals'!V39</f>
        <v>13543.556088207097</v>
      </c>
      <c r="Z355" s="69">
        <f>Z$353*'Region OP Sales Goals'!W39</f>
        <v>14244.08485139022</v>
      </c>
      <c r="AA355" s="69">
        <f>AA$353*'Region OP Sales Goals'!X39</f>
        <v>13310.046500479388</v>
      </c>
      <c r="AB355" s="69">
        <f>AB$353*'Region OP Sales Goals'!Y39</f>
        <v>11982.917038927888</v>
      </c>
      <c r="AC355" s="69">
        <f>AC$353*'Region OP Sales Goals'!Z39</f>
        <v>13458.825533918625</v>
      </c>
      <c r="AD355" s="69">
        <f>AD$353*'Region OP Sales Goals'!AA39</f>
        <v>15431.36599462547</v>
      </c>
      <c r="AE355" s="69">
        <f>AE$353*'Region OP Sales Goals'!AB39</f>
        <v>16345.671140939599</v>
      </c>
      <c r="AF355" s="69">
        <f>AF$353*'Region OP Sales Goals'!AC39</f>
        <v>15272.345245692406</v>
      </c>
      <c r="AG355" s="69">
        <f>AG$353*'Region OP Sales Goals'!AD39</f>
        <v>19266.650925335038</v>
      </c>
      <c r="AH355" s="69">
        <f>AH$353*'Region OP Sales Goals'!AE39</f>
        <v>165649.85677121629</v>
      </c>
      <c r="AJ355" s="757"/>
      <c r="AK355" s="757"/>
      <c r="AL355" s="292" t="s">
        <v>100</v>
      </c>
      <c r="AM355" s="69">
        <v>15631</v>
      </c>
      <c r="AN355" s="69">
        <v>11588</v>
      </c>
      <c r="AO355" s="69">
        <v>12003</v>
      </c>
      <c r="AP355" s="69">
        <v>12715</v>
      </c>
      <c r="AQ355" s="69">
        <v>13408</v>
      </c>
      <c r="AR355" s="69">
        <v>11254</v>
      </c>
      <c r="AS355" s="69">
        <v>11722</v>
      </c>
      <c r="AT355" s="69">
        <v>9810</v>
      </c>
      <c r="AU355" s="69"/>
      <c r="AV355" s="69"/>
      <c r="AW355" s="69"/>
      <c r="AX355" s="69"/>
      <c r="AY355" s="69">
        <f t="shared" ref="AY355:AY360" si="492">SUM(AM355:AX355)</f>
        <v>98131</v>
      </c>
      <c r="BA355" s="757"/>
      <c r="BB355" s="757"/>
      <c r="BC355" s="292" t="s">
        <v>100</v>
      </c>
      <c r="BD355" s="465">
        <f t="shared" ref="BD355:BD356" si="493">AM355/V355</f>
        <v>1.3387887111707837</v>
      </c>
      <c r="BE355" s="465">
        <f t="shared" si="476"/>
        <v>0.98967977010518482</v>
      </c>
      <c r="BF355" s="465">
        <f t="shared" si="469"/>
        <v>0.6903442468110389</v>
      </c>
      <c r="BG355" s="465">
        <f t="shared" si="446"/>
        <v>0.93882285547378852</v>
      </c>
      <c r="BH355" s="465">
        <f t="shared" si="447"/>
        <v>0.9413030138395575</v>
      </c>
      <c r="BI355" s="465">
        <f t="shared" si="448"/>
        <v>0.84552672296033415</v>
      </c>
      <c r="BJ355" s="465">
        <f t="shared" si="449"/>
        <v>0.97822591627061517</v>
      </c>
      <c r="BK355" s="465">
        <f t="shared" si="450"/>
        <v>0.72888975158174552</v>
      </c>
      <c r="BL355" s="465">
        <f t="shared" si="451"/>
        <v>0</v>
      </c>
      <c r="BM355" s="465">
        <f t="shared" si="452"/>
        <v>0</v>
      </c>
      <c r="BN355" s="465">
        <f t="shared" si="453"/>
        <v>0</v>
      </c>
      <c r="BO355" s="465">
        <f t="shared" si="454"/>
        <v>0</v>
      </c>
      <c r="BP355" s="465">
        <f t="shared" ref="BP355:BP360" si="494">AY355/AH355</f>
        <v>0.59240015000756385</v>
      </c>
    </row>
    <row r="356" spans="2:68" ht="16" customHeight="1">
      <c r="B356" s="769"/>
      <c r="C356" s="769"/>
      <c r="D356" s="292" t="s">
        <v>101</v>
      </c>
      <c r="E356" s="69">
        <v>9903</v>
      </c>
      <c r="F356" s="69">
        <v>10380</v>
      </c>
      <c r="G356" s="69">
        <v>11313</v>
      </c>
      <c r="H356" s="69">
        <v>6898</v>
      </c>
      <c r="I356" s="69">
        <v>8830</v>
      </c>
      <c r="J356" s="69">
        <v>10086</v>
      </c>
      <c r="K356" s="69">
        <v>10950</v>
      </c>
      <c r="L356" s="69">
        <v>17252</v>
      </c>
      <c r="M356" s="69">
        <v>9589</v>
      </c>
      <c r="N356" s="69">
        <v>9412</v>
      </c>
      <c r="O356" s="69">
        <v>11111</v>
      </c>
      <c r="P356" s="69">
        <v>9129</v>
      </c>
      <c r="Q356" s="69">
        <f t="shared" si="491"/>
        <v>124853</v>
      </c>
      <c r="S356" s="769"/>
      <c r="T356" s="769"/>
      <c r="U356" s="292" t="s">
        <v>101</v>
      </c>
      <c r="V356" s="69">
        <v>6071.2492809204232</v>
      </c>
      <c r="W356" s="69">
        <v>5420.7582865360919</v>
      </c>
      <c r="X356" s="69">
        <v>8196.7180417540349</v>
      </c>
      <c r="Y356" s="69">
        <f>Y$353*'Region OP Sales Goals'!V40</f>
        <v>6304.7588686481313</v>
      </c>
      <c r="Z356" s="69">
        <f>Z$353*'Region OP Sales Goals'!W40</f>
        <v>6771.7780441035475</v>
      </c>
      <c r="AA356" s="69">
        <f>AA$353*'Region OP Sales Goals'!X40</f>
        <v>6304.7588686481313</v>
      </c>
      <c r="AB356" s="69">
        <f>AB$353*'Region OP Sales Goals'!Y40</f>
        <v>5639.0197830248881</v>
      </c>
      <c r="AC356" s="69">
        <f>AC$353*'Region OP Sales Goals'!Z40</f>
        <v>6387.2392364359575</v>
      </c>
      <c r="AD356" s="69">
        <f>AD$353*'Region OP Sales Goals'!AA40</f>
        <v>7261.8192915884574</v>
      </c>
      <c r="AE356" s="69">
        <f>AE$353*'Region OP Sales Goals'!AB40</f>
        <v>7705.8163950143826</v>
      </c>
      <c r="AF356" s="69">
        <f>AF$353*'Region OP Sales Goals'!AC40</f>
        <v>7048.7747287811117</v>
      </c>
      <c r="AG356" s="69">
        <f>AG$353*'Region OP Sales Goals'!AD40</f>
        <v>9163.4071474154443</v>
      </c>
      <c r="AH356" s="69">
        <f>AH$353*'Region OP Sales Goals'!AE40</f>
        <v>80251.272418823719</v>
      </c>
      <c r="AJ356" s="757"/>
      <c r="AK356" s="757"/>
      <c r="AL356" s="292" t="s">
        <v>101</v>
      </c>
      <c r="AM356" s="69">
        <v>11542</v>
      </c>
      <c r="AN356" s="69">
        <v>8825</v>
      </c>
      <c r="AO356" s="69">
        <v>9333</v>
      </c>
      <c r="AP356" s="69">
        <v>8454</v>
      </c>
      <c r="AQ356" s="69">
        <v>6922</v>
      </c>
      <c r="AR356" s="69">
        <v>5821</v>
      </c>
      <c r="AS356" s="69">
        <v>6231</v>
      </c>
      <c r="AT356" s="69">
        <v>5967</v>
      </c>
      <c r="AU356" s="69"/>
      <c r="AV356" s="69"/>
      <c r="AW356" s="69"/>
      <c r="AX356" s="69"/>
      <c r="AY356" s="69">
        <f t="shared" si="492"/>
        <v>63095</v>
      </c>
      <c r="BA356" s="757"/>
      <c r="BB356" s="757"/>
      <c r="BC356" s="292" t="s">
        <v>101</v>
      </c>
      <c r="BD356" s="465">
        <f t="shared" si="493"/>
        <v>1.9010914337304547</v>
      </c>
      <c r="BE356" s="465">
        <f t="shared" si="476"/>
        <v>1.6280010163742693</v>
      </c>
      <c r="BF356" s="465">
        <f t="shared" si="469"/>
        <v>1.1386264542049331</v>
      </c>
      <c r="BG356" s="465">
        <f t="shared" si="446"/>
        <v>1.3408918843890234</v>
      </c>
      <c r="BH356" s="465">
        <f t="shared" si="447"/>
        <v>1.0221835321414967</v>
      </c>
      <c r="BI356" s="465">
        <f t="shared" si="448"/>
        <v>0.92327083735846993</v>
      </c>
      <c r="BJ356" s="465">
        <f t="shared" si="449"/>
        <v>1.1049792764971578</v>
      </c>
      <c r="BK356" s="465">
        <f t="shared" si="450"/>
        <v>0.93420643553811078</v>
      </c>
      <c r="BL356" s="465">
        <f t="shared" si="451"/>
        <v>0</v>
      </c>
      <c r="BM356" s="465">
        <f t="shared" si="452"/>
        <v>0</v>
      </c>
      <c r="BN356" s="465">
        <f t="shared" si="453"/>
        <v>0</v>
      </c>
      <c r="BO356" s="465">
        <f t="shared" si="454"/>
        <v>0</v>
      </c>
      <c r="BP356" s="465">
        <f t="shared" si="494"/>
        <v>0.78621806356805446</v>
      </c>
    </row>
    <row r="357" spans="2:68" ht="16" customHeight="1">
      <c r="B357" s="769"/>
      <c r="C357" s="769"/>
      <c r="D357" s="292" t="s">
        <v>102</v>
      </c>
      <c r="E357" s="69">
        <v>2461</v>
      </c>
      <c r="F357" s="69">
        <v>2056</v>
      </c>
      <c r="G357" s="69">
        <v>2717</v>
      </c>
      <c r="H357" s="69">
        <v>3372</v>
      </c>
      <c r="I357" s="69">
        <v>3275</v>
      </c>
      <c r="J357" s="69">
        <v>2949</v>
      </c>
      <c r="K357" s="69">
        <v>2990</v>
      </c>
      <c r="L357" s="69">
        <v>2917</v>
      </c>
      <c r="M357" s="69">
        <v>3286</v>
      </c>
      <c r="N357" s="69">
        <v>3459</v>
      </c>
      <c r="O357" s="69">
        <v>3289</v>
      </c>
      <c r="P357" s="69">
        <v>3207</v>
      </c>
      <c r="Q357" s="69">
        <f t="shared" si="491"/>
        <v>35978</v>
      </c>
      <c r="S357" s="769"/>
      <c r="T357" s="769"/>
      <c r="U357" s="292" t="s">
        <v>102</v>
      </c>
      <c r="V357" s="69">
        <v>2101.5862895493769</v>
      </c>
      <c r="W357" s="69">
        <v>2818.7943089987675</v>
      </c>
      <c r="X357" s="69">
        <v>3477.3955328653478</v>
      </c>
      <c r="Y357" s="69">
        <f>Y$353*'Region OP Sales Goals'!V41</f>
        <v>3035.6246404602111</v>
      </c>
      <c r="Z357" s="69">
        <f>Z$353*'Region OP Sales Goals'!W41</f>
        <v>3269.1342281879197</v>
      </c>
      <c r="AA357" s="69">
        <f>AA$353*'Region OP Sales Goals'!X41</f>
        <v>3035.6246404602116</v>
      </c>
      <c r="AB357" s="69">
        <f>AB$353*'Region OP Sales Goals'!Y41</f>
        <v>2819.509891512444</v>
      </c>
      <c r="AC357" s="69">
        <f>AC$353*'Region OP Sales Goals'!Z41</f>
        <v>2965.5039312024087</v>
      </c>
      <c r="AD357" s="69">
        <f>AD$353*'Region OP Sales Goals'!AA41</f>
        <v>3403.977792932089</v>
      </c>
      <c r="AE357" s="69">
        <f>AE$353*'Region OP Sales Goals'!AB41</f>
        <v>3736.1534036433372</v>
      </c>
      <c r="AF357" s="69">
        <f>AF$353*'Region OP Sales Goals'!AC41</f>
        <v>3524.3873643905558</v>
      </c>
      <c r="AG357" s="69">
        <f>AG$353*'Region OP Sales Goals'!AD41</f>
        <v>4464.2239948947035</v>
      </c>
      <c r="AH357" s="69">
        <f>AH$353*'Region OP Sales Goals'!AE41</f>
        <v>39072.776950272768</v>
      </c>
      <c r="AJ357" s="757"/>
      <c r="AK357" s="757"/>
      <c r="AL357" s="292" t="s">
        <v>102</v>
      </c>
      <c r="AM357" s="69">
        <v>4367</v>
      </c>
      <c r="AN357" s="69">
        <v>4518</v>
      </c>
      <c r="AO357" s="69">
        <v>4048</v>
      </c>
      <c r="AP357" s="69">
        <v>4226</v>
      </c>
      <c r="AQ357" s="69">
        <v>4218</v>
      </c>
      <c r="AR357" s="69">
        <v>3502</v>
      </c>
      <c r="AS357" s="69">
        <v>3268</v>
      </c>
      <c r="AT357" s="69">
        <v>2956</v>
      </c>
      <c r="AU357" s="69"/>
      <c r="AV357" s="69"/>
      <c r="AW357" s="69"/>
      <c r="AX357" s="69"/>
      <c r="AY357" s="69">
        <f t="shared" si="492"/>
        <v>31103</v>
      </c>
      <c r="BA357" s="757"/>
      <c r="BB357" s="757"/>
      <c r="BC357" s="292" t="s">
        <v>102</v>
      </c>
      <c r="BD357" s="465">
        <f>AM357/V357</f>
        <v>2.0779541728626207</v>
      </c>
      <c r="BE357" s="465">
        <f t="shared" si="476"/>
        <v>1.602812942248627</v>
      </c>
      <c r="BF357" s="465">
        <f t="shared" si="469"/>
        <v>1.1640896072194808</v>
      </c>
      <c r="BG357" s="465">
        <f t="shared" si="446"/>
        <v>1.3921352276806278</v>
      </c>
      <c r="BH357" s="465">
        <f t="shared" si="447"/>
        <v>1.2902498660442083</v>
      </c>
      <c r="BI357" s="465">
        <f t="shared" si="448"/>
        <v>1.153634067046275</v>
      </c>
      <c r="BJ357" s="465">
        <f t="shared" si="449"/>
        <v>1.1590666909300951</v>
      </c>
      <c r="BK357" s="465">
        <f t="shared" si="450"/>
        <v>0.9967951716056046</v>
      </c>
      <c r="BL357" s="465">
        <f t="shared" si="451"/>
        <v>0</v>
      </c>
      <c r="BM357" s="465">
        <f t="shared" si="452"/>
        <v>0</v>
      </c>
      <c r="BN357" s="465">
        <f t="shared" si="453"/>
        <v>0</v>
      </c>
      <c r="BO357" s="465">
        <f t="shared" si="454"/>
        <v>0</v>
      </c>
      <c r="BP357" s="465">
        <f t="shared" si="494"/>
        <v>0.79602737321650407</v>
      </c>
    </row>
    <row r="358" spans="2:68" ht="16" customHeight="1">
      <c r="B358" s="769"/>
      <c r="C358" s="769"/>
      <c r="D358" s="292" t="s">
        <v>103</v>
      </c>
      <c r="E358" s="69">
        <v>9747</v>
      </c>
      <c r="F358" s="69">
        <v>8857</v>
      </c>
      <c r="G358" s="69">
        <v>9629</v>
      </c>
      <c r="H358" s="69">
        <v>9841</v>
      </c>
      <c r="I358" s="69">
        <v>11249</v>
      </c>
      <c r="J358" s="69">
        <v>13767</v>
      </c>
      <c r="K358" s="69">
        <v>12528</v>
      </c>
      <c r="L358" s="69">
        <v>14320</v>
      </c>
      <c r="M358" s="69">
        <v>11674</v>
      </c>
      <c r="N358" s="69">
        <v>13927</v>
      </c>
      <c r="O358" s="69">
        <v>14853</v>
      </c>
      <c r="P358" s="69">
        <v>13256</v>
      </c>
      <c r="Q358" s="69">
        <f t="shared" si="491"/>
        <v>143648</v>
      </c>
      <c r="S358" s="769"/>
      <c r="T358" s="769"/>
      <c r="U358" s="292" t="s">
        <v>103</v>
      </c>
      <c r="V358" s="69">
        <v>6538.2684563758403</v>
      </c>
      <c r="W358" s="69">
        <v>7372.231269689084</v>
      </c>
      <c r="X358" s="69">
        <v>10432.186598596043</v>
      </c>
      <c r="Y358" s="69">
        <f>Y$353*'Region OP Sales Goals'!V42</f>
        <v>8873.3643336529258</v>
      </c>
      <c r="Z358" s="69">
        <f>Z$353*'Region OP Sales Goals'!W42</f>
        <v>9340.383509108342</v>
      </c>
      <c r="AA358" s="69">
        <f>AA$353*'Region OP Sales Goals'!X42</f>
        <v>8639.8547459252168</v>
      </c>
      <c r="AB358" s="69">
        <f>AB$353*'Region OP Sales Goals'!Y42</f>
        <v>7753.6522016592207</v>
      </c>
      <c r="AC358" s="69">
        <f>AC$353*'Region OP Sales Goals'!Z42</f>
        <v>8668.3961065916556</v>
      </c>
      <c r="AD358" s="69">
        <f>AD$353*'Region OP Sales Goals'!AA42</f>
        <v>9985.0015259341289</v>
      </c>
      <c r="AE358" s="69">
        <f>AE$353*'Region OP Sales Goals'!AB42</f>
        <v>10741.441035474594</v>
      </c>
      <c r="AF358" s="69">
        <f>AF$353*'Region OP Sales Goals'!AC42</f>
        <v>9868.2846202935561</v>
      </c>
      <c r="AG358" s="69">
        <f>AG$353*'Region OP Sales Goals'!AD42</f>
        <v>12452.835354179964</v>
      </c>
      <c r="AH358" s="69">
        <f>AH$353*'Region OP Sales Goals'!AE42</f>
        <v>107859.58188069311</v>
      </c>
      <c r="AJ358" s="757"/>
      <c r="AK358" s="757"/>
      <c r="AL358" s="292" t="s">
        <v>103</v>
      </c>
      <c r="AM358" s="69">
        <v>16032</v>
      </c>
      <c r="AN358" s="69">
        <v>13472</v>
      </c>
      <c r="AO358" s="69">
        <v>14696</v>
      </c>
      <c r="AP358" s="69">
        <v>12481</v>
      </c>
      <c r="AQ358" s="69">
        <v>11128</v>
      </c>
      <c r="AR358" s="69">
        <v>12128</v>
      </c>
      <c r="AS358" s="69">
        <v>10846</v>
      </c>
      <c r="AT358" s="69">
        <v>8229</v>
      </c>
      <c r="AU358" s="69"/>
      <c r="AV358" s="69"/>
      <c r="AW358" s="69"/>
      <c r="AX358" s="69"/>
      <c r="AY358" s="69">
        <f t="shared" si="492"/>
        <v>99012</v>
      </c>
      <c r="BA358" s="757"/>
      <c r="BB358" s="757"/>
      <c r="BC358" s="292" t="s">
        <v>103</v>
      </c>
      <c r="BD358" s="465">
        <f t="shared" ref="BD358:BD360" si="495">AM358/V358</f>
        <v>2.4520253499787512</v>
      </c>
      <c r="BE358" s="465">
        <f t="shared" si="476"/>
        <v>1.8273979080648357</v>
      </c>
      <c r="BF358" s="465">
        <f t="shared" si="469"/>
        <v>1.4087171333742994</v>
      </c>
      <c r="BG358" s="465">
        <f t="shared" si="446"/>
        <v>1.406569090448009</v>
      </c>
      <c r="BH358" s="465">
        <f t="shared" si="447"/>
        <v>1.1913857700969612</v>
      </c>
      <c r="BI358" s="465">
        <f t="shared" si="448"/>
        <v>1.4037273029063231</v>
      </c>
      <c r="BJ358" s="465">
        <f t="shared" si="449"/>
        <v>1.3988246722852802</v>
      </c>
      <c r="BK358" s="465">
        <f t="shared" si="450"/>
        <v>0.9493105643548605</v>
      </c>
      <c r="BL358" s="465">
        <f t="shared" si="451"/>
        <v>0</v>
      </c>
      <c r="BM358" s="465">
        <f t="shared" si="452"/>
        <v>0</v>
      </c>
      <c r="BN358" s="465">
        <f t="shared" si="453"/>
        <v>0</v>
      </c>
      <c r="BO358" s="465">
        <f t="shared" si="454"/>
        <v>0</v>
      </c>
      <c r="BP358" s="465">
        <f t="shared" si="494"/>
        <v>0.91797129446988124</v>
      </c>
    </row>
    <row r="359" spans="2:68" ht="16" customHeight="1">
      <c r="B359" s="769"/>
      <c r="C359" s="769"/>
      <c r="D359" s="292" t="s">
        <v>104</v>
      </c>
      <c r="E359" s="69">
        <v>16406</v>
      </c>
      <c r="F359" s="69">
        <v>13109</v>
      </c>
      <c r="G359" s="69">
        <v>16507</v>
      </c>
      <c r="H359" s="69">
        <v>19243</v>
      </c>
      <c r="I359" s="69">
        <v>19181</v>
      </c>
      <c r="J359" s="69">
        <v>16296</v>
      </c>
      <c r="K359" s="69">
        <v>15522</v>
      </c>
      <c r="L359" s="69">
        <v>17136</v>
      </c>
      <c r="M359" s="69">
        <v>18139</v>
      </c>
      <c r="N359" s="69">
        <v>20020</v>
      </c>
      <c r="O359" s="69">
        <v>18485</v>
      </c>
      <c r="P359" s="69">
        <v>18032</v>
      </c>
      <c r="Q359" s="69">
        <f t="shared" si="491"/>
        <v>208076</v>
      </c>
      <c r="S359" s="769"/>
      <c r="T359" s="769"/>
      <c r="U359" s="292" t="s">
        <v>104</v>
      </c>
      <c r="V359" s="69">
        <v>16812.690316395016</v>
      </c>
      <c r="W359" s="69">
        <v>16912.765853992605</v>
      </c>
      <c r="X359" s="69">
        <v>23844.997939648099</v>
      </c>
      <c r="Y359" s="69">
        <f>Y$353*'Region OP Sales Goals'!V43</f>
        <v>20081.824544582934</v>
      </c>
      <c r="Z359" s="69">
        <f>Z$353*'Region OP Sales Goals'!W43</f>
        <v>20782.353307766061</v>
      </c>
      <c r="AA359" s="69">
        <f>AA$353*'Region OP Sales Goals'!X43</f>
        <v>19614.80536912752</v>
      </c>
      <c r="AB359" s="69">
        <f>AB$353*'Region OP Sales Goals'!Y43</f>
        <v>17856.895979578814</v>
      </c>
      <c r="AC359" s="69">
        <f>AC$353*'Region OP Sales Goals'!Z43</f>
        <v>19846.06477035458</v>
      </c>
      <c r="AD359" s="69">
        <f>AD$353*'Region OP Sales Goals'!AA43</f>
        <v>22693.185286213928</v>
      </c>
      <c r="AE359" s="69">
        <f>AE$353*'Region OP Sales Goals'!AB43</f>
        <v>24284.997123681689</v>
      </c>
      <c r="AF359" s="69">
        <f>AF$353*'Region OP Sales Goals'!AC43</f>
        <v>22321.119974473517</v>
      </c>
      <c r="AG359" s="69">
        <f>AG$353*'Region OP Sales Goals'!AD43</f>
        <v>28430.058072750482</v>
      </c>
      <c r="AH359" s="69">
        <f>AH$353*'Region OP Sales Goals'!AE43</f>
        <v>261109.09626649349</v>
      </c>
      <c r="AJ359" s="757"/>
      <c r="AK359" s="757"/>
      <c r="AL359" s="292" t="s">
        <v>104</v>
      </c>
      <c r="AM359" s="69">
        <v>21117</v>
      </c>
      <c r="AN359" s="69">
        <v>21837</v>
      </c>
      <c r="AO359" s="69">
        <v>22934</v>
      </c>
      <c r="AP359" s="69">
        <v>21852</v>
      </c>
      <c r="AQ359" s="156">
        <v>23146</v>
      </c>
      <c r="AR359" s="156">
        <v>19743</v>
      </c>
      <c r="AS359" s="156">
        <v>19938</v>
      </c>
      <c r="AT359" s="156">
        <v>16238</v>
      </c>
      <c r="AU359" s="69"/>
      <c r="AV359" s="69"/>
      <c r="AW359" s="69"/>
      <c r="AX359" s="69"/>
      <c r="AY359" s="69">
        <f t="shared" si="492"/>
        <v>166805</v>
      </c>
      <c r="BA359" s="757"/>
      <c r="BB359" s="757"/>
      <c r="BC359" s="292" t="s">
        <v>104</v>
      </c>
      <c r="BD359" s="465">
        <f t="shared" si="495"/>
        <v>1.2560155217637956</v>
      </c>
      <c r="BE359" s="465">
        <f t="shared" si="476"/>
        <v>1.2911548701447273</v>
      </c>
      <c r="BF359" s="465">
        <f t="shared" si="469"/>
        <v>0.96179500866580725</v>
      </c>
      <c r="BG359" s="465">
        <f t="shared" si="446"/>
        <v>1.0881481387055825</v>
      </c>
      <c r="BH359" s="465">
        <f t="shared" si="447"/>
        <v>1.113733351427082</v>
      </c>
      <c r="BI359" s="465">
        <f t="shared" si="448"/>
        <v>1.0065356055520311</v>
      </c>
      <c r="BJ359" s="465">
        <f t="shared" si="449"/>
        <v>1.1165434363733284</v>
      </c>
      <c r="BK359" s="465">
        <f t="shared" si="450"/>
        <v>0.81819747077797544</v>
      </c>
      <c r="BL359" s="465">
        <f t="shared" si="451"/>
        <v>0</v>
      </c>
      <c r="BM359" s="465">
        <f t="shared" si="452"/>
        <v>0</v>
      </c>
      <c r="BN359" s="465">
        <f t="shared" si="453"/>
        <v>0</v>
      </c>
      <c r="BO359" s="465">
        <f t="shared" si="454"/>
        <v>0</v>
      </c>
      <c r="BP359" s="465">
        <f t="shared" si="494"/>
        <v>0.63883258907899276</v>
      </c>
    </row>
    <row r="360" spans="2:68" ht="16" customHeight="1">
      <c r="B360" s="770"/>
      <c r="C360" s="770"/>
      <c r="D360" s="292" t="s">
        <v>105</v>
      </c>
      <c r="E360" s="69">
        <v>7192</v>
      </c>
      <c r="F360" s="69">
        <v>6531</v>
      </c>
      <c r="G360" s="69">
        <v>8713</v>
      </c>
      <c r="H360" s="69">
        <v>9882</v>
      </c>
      <c r="I360" s="69">
        <v>8208</v>
      </c>
      <c r="J360" s="69">
        <v>7272</v>
      </c>
      <c r="K360" s="69">
        <v>7283</v>
      </c>
      <c r="L360" s="69">
        <v>8288</v>
      </c>
      <c r="M360" s="69">
        <v>9420</v>
      </c>
      <c r="N360" s="69">
        <v>8301</v>
      </c>
      <c r="O360" s="69">
        <v>7441</v>
      </c>
      <c r="P360" s="69">
        <v>11489</v>
      </c>
      <c r="Q360" s="69">
        <f t="shared" si="491"/>
        <v>100020</v>
      </c>
      <c r="S360" s="770"/>
      <c r="T360" s="770"/>
      <c r="U360" s="292" t="s">
        <v>105</v>
      </c>
      <c r="V360" s="69">
        <v>9340.383509108342</v>
      </c>
      <c r="W360" s="69">
        <v>8890.0435899191907</v>
      </c>
      <c r="X360" s="69">
        <v>12667.655155438053</v>
      </c>
      <c r="Y360" s="69">
        <f>Y$353*'Region OP Sales Goals'!V44</f>
        <v>10507.931447746885</v>
      </c>
      <c r="Z360" s="69">
        <f>Z$353*'Region OP Sales Goals'!W44</f>
        <v>10974.950623202301</v>
      </c>
      <c r="AA360" s="69">
        <f>AA$353*'Region OP Sales Goals'!X44</f>
        <v>10274.421860019176</v>
      </c>
      <c r="AB360" s="69">
        <f>AB$353*'Region OP Sales Goals'!Y44</f>
        <v>9398.3663050414798</v>
      </c>
      <c r="AC360" s="69">
        <f>AC$353*'Region OP Sales Goals'!Z44</f>
        <v>10265.205915700644</v>
      </c>
      <c r="AD360" s="69">
        <f>AD$353*'Region OP Sales Goals'!AA44</f>
        <v>11573.524495969103</v>
      </c>
      <c r="AE360" s="69">
        <f>AE$353*'Region OP Sales Goals'!AB44</f>
        <v>12609.517737296263</v>
      </c>
      <c r="AF360" s="69">
        <f>AF$353*'Region OP Sales Goals'!AC44</f>
        <v>11747.957881301852</v>
      </c>
      <c r="AG360" s="69">
        <f>AG$353*'Region OP Sales Goals'!AD44</f>
        <v>14567.467772814298</v>
      </c>
      <c r="AH360" s="69">
        <f>AH$353*'Region OP Sales Goals'!AE44</f>
        <v>135701.8600668156</v>
      </c>
      <c r="AJ360" s="757"/>
      <c r="AK360" s="757"/>
      <c r="AL360" s="292" t="s">
        <v>105</v>
      </c>
      <c r="AM360" s="69">
        <v>11042</v>
      </c>
      <c r="AN360" s="69">
        <v>11029</v>
      </c>
      <c r="AO360" s="69">
        <v>10814</v>
      </c>
      <c r="AP360" s="69">
        <v>11153</v>
      </c>
      <c r="AQ360" s="69">
        <v>9415</v>
      </c>
      <c r="AR360" s="69">
        <v>7755</v>
      </c>
      <c r="AS360" s="69">
        <v>6624</v>
      </c>
      <c r="AT360" s="69">
        <v>5554</v>
      </c>
      <c r="AU360" s="69"/>
      <c r="AV360" s="69"/>
      <c r="AW360" s="69"/>
      <c r="AX360" s="69"/>
      <c r="AY360" s="69">
        <f t="shared" si="492"/>
        <v>73386</v>
      </c>
      <c r="BA360" s="757"/>
      <c r="BB360" s="757"/>
      <c r="BC360" s="292" t="s">
        <v>105</v>
      </c>
      <c r="BD360" s="465">
        <f t="shared" si="495"/>
        <v>1.1821784393791019</v>
      </c>
      <c r="BE360" s="465">
        <f t="shared" si="476"/>
        <v>1.2406013410897405</v>
      </c>
      <c r="BF360" s="465">
        <f t="shared" si="469"/>
        <v>0.8536702228871218</v>
      </c>
      <c r="BG360" s="465">
        <f t="shared" si="446"/>
        <v>1.0613887286437742</v>
      </c>
      <c r="BH360" s="465">
        <f t="shared" si="447"/>
        <v>0.85786262947694847</v>
      </c>
      <c r="BI360" s="465">
        <f t="shared" si="448"/>
        <v>0.75478699489428269</v>
      </c>
      <c r="BJ360" s="465">
        <f t="shared" si="449"/>
        <v>0.70480334400743117</v>
      </c>
      <c r="BK360" s="465">
        <f t="shared" si="450"/>
        <v>0.54105100721897359</v>
      </c>
      <c r="BL360" s="465">
        <f t="shared" si="451"/>
        <v>0</v>
      </c>
      <c r="BM360" s="465">
        <f t="shared" si="452"/>
        <v>0</v>
      </c>
      <c r="BN360" s="465">
        <f t="shared" si="453"/>
        <v>0</v>
      </c>
      <c r="BO360" s="465">
        <f t="shared" si="454"/>
        <v>0</v>
      </c>
      <c r="BP360" s="465">
        <f t="shared" si="494"/>
        <v>0.54078846055512353</v>
      </c>
    </row>
    <row r="362" spans="2:68" ht="50" customHeight="1">
      <c r="B362" s="771" t="s">
        <v>364</v>
      </c>
      <c r="C362" s="772"/>
      <c r="D362" s="772"/>
      <c r="E362" s="772"/>
      <c r="F362" s="772"/>
      <c r="G362" s="772"/>
      <c r="H362" s="772"/>
      <c r="I362" s="772"/>
      <c r="J362" s="772"/>
      <c r="K362" s="772"/>
      <c r="L362" s="772"/>
      <c r="M362" s="772"/>
      <c r="N362" s="772"/>
      <c r="O362" s="772"/>
      <c r="P362" s="772"/>
      <c r="Q362" s="773"/>
      <c r="S362" s="771" t="s">
        <v>365</v>
      </c>
      <c r="T362" s="772"/>
      <c r="U362" s="772"/>
      <c r="V362" s="772"/>
      <c r="W362" s="772"/>
      <c r="X362" s="772"/>
      <c r="Y362" s="772"/>
      <c r="Z362" s="772"/>
      <c r="AA362" s="772"/>
      <c r="AB362" s="772"/>
      <c r="AC362" s="772"/>
      <c r="AD362" s="772"/>
      <c r="AE362" s="772"/>
      <c r="AF362" s="772"/>
      <c r="AG362" s="772"/>
      <c r="AH362" s="773"/>
      <c r="AJ362" s="771" t="s">
        <v>366</v>
      </c>
      <c r="AK362" s="772"/>
      <c r="AL362" s="772"/>
      <c r="AM362" s="772"/>
      <c r="AN362" s="772"/>
      <c r="AO362" s="772"/>
      <c r="AP362" s="772"/>
      <c r="AQ362" s="772"/>
      <c r="AR362" s="772"/>
      <c r="AS362" s="772"/>
      <c r="AT362" s="772"/>
      <c r="AU362" s="772"/>
      <c r="AV362" s="772"/>
      <c r="AW362" s="772"/>
      <c r="AX362" s="772"/>
      <c r="AY362" s="773"/>
      <c r="BA362" s="771" t="s">
        <v>367</v>
      </c>
      <c r="BB362" s="772"/>
      <c r="BC362" s="772"/>
      <c r="BD362" s="772"/>
      <c r="BE362" s="772"/>
      <c r="BF362" s="772"/>
      <c r="BG362" s="772"/>
      <c r="BH362" s="772"/>
      <c r="BI362" s="772"/>
      <c r="BJ362" s="772"/>
      <c r="BK362" s="772"/>
      <c r="BL362" s="772"/>
      <c r="BM362" s="772"/>
      <c r="BN362" s="772"/>
      <c r="BO362" s="772"/>
      <c r="BP362" s="773"/>
    </row>
    <row r="363" spans="2:68">
      <c r="B363" s="765" t="s">
        <v>92</v>
      </c>
      <c r="C363" s="766"/>
      <c r="D363" s="767"/>
      <c r="E363" s="234" t="s">
        <v>252</v>
      </c>
      <c r="F363" s="234" t="s">
        <v>253</v>
      </c>
      <c r="G363" s="234" t="s">
        <v>230</v>
      </c>
      <c r="H363" s="234" t="s">
        <v>254</v>
      </c>
      <c r="I363" s="234" t="s">
        <v>78</v>
      </c>
      <c r="J363" s="234" t="s">
        <v>255</v>
      </c>
      <c r="K363" s="234" t="s">
        <v>256</v>
      </c>
      <c r="L363" s="234" t="s">
        <v>236</v>
      </c>
      <c r="M363" s="234" t="s">
        <v>257</v>
      </c>
      <c r="N363" s="234" t="s">
        <v>258</v>
      </c>
      <c r="O363" s="234" t="s">
        <v>259</v>
      </c>
      <c r="P363" s="234" t="s">
        <v>260</v>
      </c>
      <c r="Q363" s="234" t="s">
        <v>24</v>
      </c>
      <c r="S363" s="765" t="s">
        <v>92</v>
      </c>
      <c r="T363" s="766"/>
      <c r="U363" s="767"/>
      <c r="V363" s="234" t="s">
        <v>252</v>
      </c>
      <c r="W363" s="234" t="s">
        <v>253</v>
      </c>
      <c r="X363" s="234" t="s">
        <v>230</v>
      </c>
      <c r="Y363" s="234" t="s">
        <v>254</v>
      </c>
      <c r="Z363" s="234" t="s">
        <v>78</v>
      </c>
      <c r="AA363" s="234" t="s">
        <v>255</v>
      </c>
      <c r="AB363" s="234" t="s">
        <v>256</v>
      </c>
      <c r="AC363" s="234" t="s">
        <v>236</v>
      </c>
      <c r="AD363" s="234" t="s">
        <v>257</v>
      </c>
      <c r="AE363" s="234" t="s">
        <v>258</v>
      </c>
      <c r="AF363" s="234" t="s">
        <v>259</v>
      </c>
      <c r="AG363" s="234" t="s">
        <v>260</v>
      </c>
      <c r="AH363" s="234" t="s">
        <v>24</v>
      </c>
      <c r="AJ363" s="765" t="s">
        <v>92</v>
      </c>
      <c r="AK363" s="766"/>
      <c r="AL363" s="767"/>
      <c r="AM363" s="234" t="s">
        <v>252</v>
      </c>
      <c r="AN363" s="234" t="s">
        <v>253</v>
      </c>
      <c r="AO363" s="234" t="s">
        <v>230</v>
      </c>
      <c r="AP363" s="234" t="s">
        <v>254</v>
      </c>
      <c r="AQ363" s="234" t="s">
        <v>78</v>
      </c>
      <c r="AR363" s="234" t="s">
        <v>255</v>
      </c>
      <c r="AS363" s="234" t="s">
        <v>256</v>
      </c>
      <c r="AT363" s="234" t="s">
        <v>236</v>
      </c>
      <c r="AU363" s="234" t="s">
        <v>257</v>
      </c>
      <c r="AV363" s="234" t="s">
        <v>258</v>
      </c>
      <c r="AW363" s="234" t="s">
        <v>259</v>
      </c>
      <c r="AX363" s="234" t="s">
        <v>260</v>
      </c>
      <c r="AY363" s="234" t="s">
        <v>24</v>
      </c>
      <c r="BA363" s="765" t="s">
        <v>92</v>
      </c>
      <c r="BB363" s="766"/>
      <c r="BC363" s="767"/>
      <c r="BD363" s="234" t="s">
        <v>252</v>
      </c>
      <c r="BE363" s="234" t="s">
        <v>253</v>
      </c>
      <c r="BF363" s="234" t="s">
        <v>230</v>
      </c>
      <c r="BG363" s="234" t="s">
        <v>254</v>
      </c>
      <c r="BH363" s="234" t="s">
        <v>78</v>
      </c>
      <c r="BI363" s="234" t="s">
        <v>255</v>
      </c>
      <c r="BJ363" s="234" t="s">
        <v>256</v>
      </c>
      <c r="BK363" s="234" t="s">
        <v>236</v>
      </c>
      <c r="BL363" s="234" t="s">
        <v>257</v>
      </c>
      <c r="BM363" s="234" t="s">
        <v>258</v>
      </c>
      <c r="BN363" s="234" t="s">
        <v>259</v>
      </c>
      <c r="BO363" s="234" t="s">
        <v>260</v>
      </c>
      <c r="BP363" s="234" t="s">
        <v>24</v>
      </c>
    </row>
    <row r="364" spans="2:68">
      <c r="B364" s="768" t="s">
        <v>48</v>
      </c>
      <c r="C364" s="768" t="s">
        <v>49</v>
      </c>
      <c r="D364" s="343" t="s">
        <v>50</v>
      </c>
      <c r="E364" s="344">
        <f>E365+E373</f>
        <v>20779</v>
      </c>
      <c r="F364" s="344">
        <f t="shared" ref="F364:Q364" si="496">F365+F373</f>
        <v>19745</v>
      </c>
      <c r="G364" s="344">
        <f t="shared" si="496"/>
        <v>22215</v>
      </c>
      <c r="H364" s="344">
        <f t="shared" si="496"/>
        <v>25092</v>
      </c>
      <c r="I364" s="344">
        <f t="shared" si="496"/>
        <v>23697</v>
      </c>
      <c r="J364" s="344">
        <f t="shared" si="496"/>
        <v>22611</v>
      </c>
      <c r="K364" s="344">
        <f t="shared" si="496"/>
        <v>24716</v>
      </c>
      <c r="L364" s="344">
        <f t="shared" si="496"/>
        <v>27824</v>
      </c>
      <c r="M364" s="344">
        <f t="shared" si="496"/>
        <v>24762</v>
      </c>
      <c r="N364" s="344">
        <f t="shared" si="496"/>
        <v>23646</v>
      </c>
      <c r="O364" s="344">
        <f t="shared" si="496"/>
        <v>29238</v>
      </c>
      <c r="P364" s="344">
        <f t="shared" si="496"/>
        <v>27379</v>
      </c>
      <c r="Q364" s="344">
        <f t="shared" si="496"/>
        <v>291704</v>
      </c>
      <c r="S364" s="768" t="s">
        <v>48</v>
      </c>
      <c r="T364" s="768" t="s">
        <v>49</v>
      </c>
      <c r="U364" s="343" t="s">
        <v>50</v>
      </c>
      <c r="V364" s="344">
        <v>16739.442843419791</v>
      </c>
      <c r="W364" s="344">
        <v>18261.21037463977</v>
      </c>
      <c r="X364" s="344">
        <v>27194.031971580815</v>
      </c>
      <c r="Y364" s="344" cm="1">
        <f t="array" ref="Y364">INDEX('Research Goals'!$G$178:$G$189, COLUMN()-COLUMN($V$3)+1)</f>
        <v>27991.959654178674</v>
      </c>
      <c r="Z364" s="344" cm="1">
        <f t="array" ref="Z364">INDEX('Research Goals'!$G$178:$G$189, COLUMN()-COLUMN($V$3)+1)</f>
        <v>30145.187319884724</v>
      </c>
      <c r="AA364" s="344" cm="1">
        <f t="array" ref="AA364">INDEX('Research Goals'!$G$178:$G$189, COLUMN()-COLUMN($V$3)+1)</f>
        <v>29068.573487031696</v>
      </c>
      <c r="AB364" s="344" cm="1">
        <f t="array" ref="AB364">INDEX('Research Goals'!$G$178:$G$189, COLUMN()-COLUMN($V$3)+1)</f>
        <v>37202.699822380106</v>
      </c>
      <c r="AC364" s="344" cm="1">
        <f t="array" ref="AC364">INDEX('Research Goals'!$G$178:$G$189, COLUMN()-COLUMN($V$3)+1)</f>
        <v>37202.699822380106</v>
      </c>
      <c r="AD364" s="344" cm="1">
        <f t="array" ref="AD364">INDEX('Research Goals'!$G$178:$G$189, COLUMN()-COLUMN($V$3)+1)</f>
        <v>30145.187319884724</v>
      </c>
      <c r="AE364" s="344" cm="1">
        <f t="array" ref="AE364">INDEX('Research Goals'!$G$178:$G$189, COLUMN()-COLUMN($V$3)+1)</f>
        <v>34451.642651296832</v>
      </c>
      <c r="AF364" s="344" cm="1">
        <f t="array" ref="AF364">INDEX('Research Goals'!$G$178:$G$189, COLUMN()-COLUMN($V$3)+1)</f>
        <v>32552.362344582594</v>
      </c>
      <c r="AG364" s="344" cm="1">
        <f t="array" ref="AG364">INDEX('Research Goals'!$G$178:$G$189, COLUMN()-COLUMN($V$3)+1)</f>
        <v>45340.790408525754</v>
      </c>
      <c r="AH364" s="345">
        <f>SUM(V364:AG364)</f>
        <v>366295.78801978554</v>
      </c>
      <c r="AI364" s="47"/>
      <c r="AJ364" s="757" t="s">
        <v>48</v>
      </c>
      <c r="AK364" s="757" t="s">
        <v>49</v>
      </c>
      <c r="AL364" s="343" t="s">
        <v>50</v>
      </c>
      <c r="AM364" s="344">
        <f>AM365+AM373</f>
        <v>25461</v>
      </c>
      <c r="AN364" s="344">
        <f t="shared" ref="AN364:AY364" si="497">AN365+AN373</f>
        <v>22391.571428571428</v>
      </c>
      <c r="AO364" s="344">
        <f t="shared" si="497"/>
        <v>22856</v>
      </c>
      <c r="AP364" s="344">
        <f t="shared" si="497"/>
        <v>26724.285714285714</v>
      </c>
      <c r="AQ364" s="344">
        <f t="shared" si="497"/>
        <v>24327.428571428572</v>
      </c>
      <c r="AR364" s="344">
        <f t="shared" si="497"/>
        <v>23195</v>
      </c>
      <c r="AS364" s="344">
        <f t="shared" si="497"/>
        <v>27003.857142857145</v>
      </c>
      <c r="AT364" s="344">
        <f t="shared" si="497"/>
        <v>22148.142857142855</v>
      </c>
      <c r="AU364" s="344">
        <f t="shared" si="497"/>
        <v>0</v>
      </c>
      <c r="AV364" s="344">
        <f t="shared" si="497"/>
        <v>0</v>
      </c>
      <c r="AW364" s="344">
        <f t="shared" si="497"/>
        <v>0</v>
      </c>
      <c r="AX364" s="344">
        <f t="shared" si="497"/>
        <v>0</v>
      </c>
      <c r="AY364" s="344">
        <f t="shared" si="497"/>
        <v>194107.28571428571</v>
      </c>
      <c r="BA364" s="757" t="s">
        <v>48</v>
      </c>
      <c r="BB364" s="757" t="s">
        <v>49</v>
      </c>
      <c r="BC364" s="343" t="s">
        <v>50</v>
      </c>
      <c r="BD364" s="463">
        <f>AM364/V364</f>
        <v>1.5210183659134522</v>
      </c>
      <c r="BE364" s="463">
        <f>AN364/W364</f>
        <v>1.2261822173445682</v>
      </c>
      <c r="BF364" s="463">
        <f t="shared" ref="BF364:BF375" si="498">AO364/X364</f>
        <v>0.84047852940254375</v>
      </c>
      <c r="BG364" s="463">
        <f t="shared" ref="BG364:BG405" si="499">AP364/Y364</f>
        <v>0.95471292629904458</v>
      </c>
      <c r="BH364" s="463">
        <f t="shared" ref="BH364:BH405" si="500">AQ364/Z364</f>
        <v>0.80700870468240304</v>
      </c>
      <c r="BI364" s="463">
        <f t="shared" ref="BI364:BI405" si="501">AR364/AA364</f>
        <v>0.79794077306022393</v>
      </c>
      <c r="BJ364" s="463">
        <f t="shared" ref="BJ364:BJ405" si="502">AS364/AB364</f>
        <v>0.72585745851198624</v>
      </c>
      <c r="BK364" s="463">
        <f t="shared" ref="BK364:BK405" si="503">AT364/AC364</f>
        <v>0.59533697723247359</v>
      </c>
      <c r="BL364" s="463">
        <f t="shared" ref="BL364:BL405" si="504">AU364/AD364</f>
        <v>0</v>
      </c>
      <c r="BM364" s="463">
        <f t="shared" ref="BM364:BM405" si="505">AV364/AE364</f>
        <v>0</v>
      </c>
      <c r="BN364" s="463">
        <f t="shared" ref="BN364:BN405" si="506">AW364/AF364</f>
        <v>0</v>
      </c>
      <c r="BO364" s="463">
        <f t="shared" ref="BO364:BO405" si="507">AX364/AG364</f>
        <v>0</v>
      </c>
      <c r="BP364" s="463">
        <f t="shared" ref="BP364:BP365" si="508">AY364/AH364</f>
        <v>0.52991951330819276</v>
      </c>
    </row>
    <row r="365" spans="2:68">
      <c r="B365" s="769"/>
      <c r="C365" s="769"/>
      <c r="D365" s="182" t="s">
        <v>52</v>
      </c>
      <c r="E365" s="341">
        <f>SUM(E366:E372)</f>
        <v>11068</v>
      </c>
      <c r="F365" s="341">
        <f t="shared" ref="F365:Q365" si="509">SUM(F366:F372)</f>
        <v>10359</v>
      </c>
      <c r="G365" s="341">
        <f t="shared" si="509"/>
        <v>11411</v>
      </c>
      <c r="H365" s="341">
        <f t="shared" si="509"/>
        <v>14088</v>
      </c>
      <c r="I365" s="341">
        <f t="shared" si="509"/>
        <v>12882</v>
      </c>
      <c r="J365" s="341">
        <f t="shared" si="509"/>
        <v>12169</v>
      </c>
      <c r="K365" s="341">
        <f t="shared" si="509"/>
        <v>13266</v>
      </c>
      <c r="L365" s="341">
        <f t="shared" si="509"/>
        <v>16659</v>
      </c>
      <c r="M365" s="341">
        <f t="shared" si="509"/>
        <v>15614</v>
      </c>
      <c r="N365" s="341">
        <f t="shared" si="509"/>
        <v>13709</v>
      </c>
      <c r="O365" s="341">
        <f t="shared" si="509"/>
        <v>15004</v>
      </c>
      <c r="P365" s="341">
        <f t="shared" si="509"/>
        <v>15643</v>
      </c>
      <c r="Q365" s="341">
        <f t="shared" si="509"/>
        <v>161872</v>
      </c>
      <c r="S365" s="769"/>
      <c r="T365" s="769"/>
      <c r="U365" s="182" t="s">
        <v>52</v>
      </c>
      <c r="V365" s="341">
        <v>12058.895292987512</v>
      </c>
      <c r="W365" s="341">
        <v>13155.158501440921</v>
      </c>
      <c r="X365" s="341">
        <v>18627.921847246889</v>
      </c>
      <c r="Y365" s="341" cm="1">
        <f t="array" ref="Y365">INDEX('Research Goals'!$D$178:$D$189, COLUMN()-COLUMN($V$3)+1)</f>
        <v>14251.421709894332</v>
      </c>
      <c r="Z365" s="341" cm="1">
        <f t="array" ref="Z365">INDEX('Research Goals'!$D$178:$D$189, COLUMN()-COLUMN($V$3)+1)</f>
        <v>15347.684918347742</v>
      </c>
      <c r="AA365" s="341" cm="1">
        <f t="array" ref="AA365">INDEX('Research Goals'!$D$178:$D$189, COLUMN()-COLUMN($V$3)+1)</f>
        <v>14799.553314121036</v>
      </c>
      <c r="AB365" s="341" cm="1">
        <f t="array" ref="AB365">INDEX('Research Goals'!$D$178:$D$189, COLUMN()-COLUMN($V$3)+1)</f>
        <v>18627.921847246889</v>
      </c>
      <c r="AC365" s="341" cm="1">
        <f t="array" ref="AC365">INDEX('Research Goals'!$D$178:$D$189, COLUMN()-COLUMN($V$3)+1)</f>
        <v>18627.921847246889</v>
      </c>
      <c r="AD365" s="341" cm="1">
        <f t="array" ref="AD365">INDEX('Research Goals'!$D$178:$D$189, COLUMN()-COLUMN($V$3)+1)</f>
        <v>15347.684918347742</v>
      </c>
      <c r="AE365" s="341" cm="1">
        <f t="array" ref="AE365">INDEX('Research Goals'!$D$178:$D$189, COLUMN()-COLUMN($V$3)+1)</f>
        <v>17540.211335254564</v>
      </c>
      <c r="AF365" s="341" cm="1">
        <f t="array" ref="AF365">INDEX('Research Goals'!$D$178:$D$189, COLUMN()-COLUMN($V$3)+1)</f>
        <v>16299.431616341029</v>
      </c>
      <c r="AG365" s="341" cm="1">
        <f t="array" ref="AG365">INDEX('Research Goals'!$D$178:$D$189, COLUMN()-COLUMN($V$3)+1)</f>
        <v>22702.779751332149</v>
      </c>
      <c r="AH365" s="342">
        <f>SUM(V365:AG365)</f>
        <v>197386.58689980771</v>
      </c>
      <c r="AJ365" s="757"/>
      <c r="AK365" s="757"/>
      <c r="AL365" s="182" t="s">
        <v>52</v>
      </c>
      <c r="AM365" s="341">
        <f>SUM(AM366:AM372)</f>
        <v>14965</v>
      </c>
      <c r="AN365" s="341">
        <f t="shared" ref="AN365:AY365" si="510">SUM(AN366:AN372)</f>
        <v>13542</v>
      </c>
      <c r="AO365" s="341">
        <f t="shared" si="510"/>
        <v>13958</v>
      </c>
      <c r="AP365" s="341">
        <f t="shared" si="510"/>
        <v>15351</v>
      </c>
      <c r="AQ365" s="341">
        <f t="shared" si="510"/>
        <v>14245</v>
      </c>
      <c r="AR365" s="341">
        <f t="shared" si="510"/>
        <v>13493</v>
      </c>
      <c r="AS365" s="341">
        <f t="shared" si="510"/>
        <v>16169</v>
      </c>
      <c r="AT365" s="341">
        <f t="shared" si="510"/>
        <v>12718</v>
      </c>
      <c r="AU365" s="341">
        <f t="shared" si="510"/>
        <v>0</v>
      </c>
      <c r="AV365" s="341">
        <f t="shared" si="510"/>
        <v>0</v>
      </c>
      <c r="AW365" s="341">
        <f t="shared" si="510"/>
        <v>0</v>
      </c>
      <c r="AX365" s="341">
        <f t="shared" si="510"/>
        <v>0</v>
      </c>
      <c r="AY365" s="341">
        <f t="shared" si="510"/>
        <v>114441</v>
      </c>
      <c r="BA365" s="757"/>
      <c r="BB365" s="757"/>
      <c r="BC365" s="182" t="s">
        <v>52</v>
      </c>
      <c r="BD365" s="464">
        <f>AM365/V365</f>
        <v>1.2409926146968409</v>
      </c>
      <c r="BE365" s="464">
        <f t="shared" ref="BE365:BE380" si="511">AN365/W365</f>
        <v>1.029406068996942</v>
      </c>
      <c r="BF365" s="464">
        <f t="shared" si="498"/>
        <v>0.74930526950127396</v>
      </c>
      <c r="BG365" s="464">
        <f t="shared" si="499"/>
        <v>1.0771556910243043</v>
      </c>
      <c r="BH365" s="464">
        <f t="shared" si="500"/>
        <v>0.92815301303002951</v>
      </c>
      <c r="BI365" s="464">
        <f t="shared" si="501"/>
        <v>0.91171670614717915</v>
      </c>
      <c r="BJ365" s="464">
        <f t="shared" si="502"/>
        <v>0.86799805864494195</v>
      </c>
      <c r="BK365" s="464">
        <f t="shared" si="503"/>
        <v>0.682738531130334</v>
      </c>
      <c r="BL365" s="464">
        <f t="shared" si="504"/>
        <v>0</v>
      </c>
      <c r="BM365" s="464">
        <f t="shared" si="505"/>
        <v>0</v>
      </c>
      <c r="BN365" s="464">
        <f t="shared" si="506"/>
        <v>0</v>
      </c>
      <c r="BO365" s="464">
        <f t="shared" si="507"/>
        <v>0</v>
      </c>
      <c r="BP365" s="464">
        <f t="shared" si="508"/>
        <v>0.57978103678387016</v>
      </c>
    </row>
    <row r="366" spans="2:68" ht="16" customHeight="1">
      <c r="B366" s="769"/>
      <c r="C366" s="769"/>
      <c r="D366" s="292" t="s">
        <v>99</v>
      </c>
      <c r="E366" s="69">
        <v>1764</v>
      </c>
      <c r="F366" s="69">
        <v>1682</v>
      </c>
      <c r="G366" s="69">
        <v>1907</v>
      </c>
      <c r="H366" s="69">
        <v>2331</v>
      </c>
      <c r="I366" s="69">
        <v>2159</v>
      </c>
      <c r="J366" s="69">
        <v>2069</v>
      </c>
      <c r="K366" s="69">
        <v>2370</v>
      </c>
      <c r="L366" s="69">
        <v>2876</v>
      </c>
      <c r="M366" s="69">
        <v>2670</v>
      </c>
      <c r="N366" s="69">
        <v>2391</v>
      </c>
      <c r="O366" s="69">
        <v>2395</v>
      </c>
      <c r="P366" s="69">
        <v>2445</v>
      </c>
      <c r="Q366" s="69">
        <f>SUM(E366:P366)</f>
        <v>27059</v>
      </c>
      <c r="S366" s="769"/>
      <c r="T366" s="769"/>
      <c r="U366" s="292" t="s">
        <v>99</v>
      </c>
      <c r="V366" s="69">
        <v>1644.3948126801151</v>
      </c>
      <c r="W366" s="69">
        <v>1409.4812680115272</v>
      </c>
      <c r="X366" s="69">
        <v>1862.7921847246889</v>
      </c>
      <c r="Y366" s="69">
        <f>Y$365*'Region OP Sales Goals'!V60</f>
        <v>1425.1421709894332</v>
      </c>
      <c r="Z366" s="69">
        <f>Z$365*'Region OP Sales Goals'!W60</f>
        <v>1534.7684918347743</v>
      </c>
      <c r="AA366" s="69">
        <f>AA$365*'Region OP Sales Goals'!X60</f>
        <v>1563.3330965620812</v>
      </c>
      <c r="AB366" s="69">
        <f>AB$365*'Region OP Sales Goals'!Y60</f>
        <v>1862.7921847246889</v>
      </c>
      <c r="AC366" s="69">
        <f>AC$365*'Region OP Sales Goals'!Z60</f>
        <v>1862.7921847246889</v>
      </c>
      <c r="AD366" s="69">
        <f>AD$365*'Region OP Sales Goals'!AA60</f>
        <v>1534.7684918347743</v>
      </c>
      <c r="AE366" s="69">
        <f>AE$365*'Region OP Sales Goals'!AB60</f>
        <v>1754.0211335254564</v>
      </c>
      <c r="AF366" s="69">
        <f>AF$365*'Region OP Sales Goals'!AC60</f>
        <v>1629.943161634103</v>
      </c>
      <c r="AG366" s="69">
        <f>AG$365*'Region OP Sales Goals'!AD60</f>
        <v>2331.6368393260045</v>
      </c>
      <c r="AH366" s="69">
        <f>AH$365*'Region OP Sales Goals'!AE60</f>
        <v>20605.005512672691</v>
      </c>
      <c r="AJ366" s="757"/>
      <c r="AK366" s="757"/>
      <c r="AL366" s="292" t="s">
        <v>99</v>
      </c>
      <c r="AM366" s="69">
        <v>2366</v>
      </c>
      <c r="AN366" s="69">
        <v>2256</v>
      </c>
      <c r="AO366" s="69">
        <v>2295</v>
      </c>
      <c r="AP366" s="69">
        <v>2485</v>
      </c>
      <c r="AQ366" s="69">
        <v>2349</v>
      </c>
      <c r="AR366" s="69">
        <v>2267</v>
      </c>
      <c r="AS366" s="69">
        <v>2722</v>
      </c>
      <c r="AT366" s="69">
        <v>2121</v>
      </c>
      <c r="AU366" s="69"/>
      <c r="AV366" s="69"/>
      <c r="AW366" s="69"/>
      <c r="AX366" s="69"/>
      <c r="AY366" s="69">
        <f>SUM(AM366:AX366)</f>
        <v>18861</v>
      </c>
      <c r="BA366" s="757"/>
      <c r="BB366" s="757"/>
      <c r="BC366" s="292" t="s">
        <v>99</v>
      </c>
      <c r="BD366" s="465">
        <f>AM366/V366</f>
        <v>1.4388272097160033</v>
      </c>
      <c r="BE366" s="465">
        <f t="shared" si="511"/>
        <v>1.6005888486781576</v>
      </c>
      <c r="BF366" s="465">
        <f t="shared" si="498"/>
        <v>1.2320214883976386</v>
      </c>
      <c r="BG366" s="465">
        <f t="shared" si="499"/>
        <v>1.7436856831446785</v>
      </c>
      <c r="BH366" s="465">
        <f t="shared" si="500"/>
        <v>1.5305239927044854</v>
      </c>
      <c r="BI366" s="465">
        <f t="shared" si="501"/>
        <v>1.4501068294308803</v>
      </c>
      <c r="BJ366" s="465">
        <f t="shared" si="502"/>
        <v>1.4612472729491817</v>
      </c>
      <c r="BK366" s="465">
        <f t="shared" si="503"/>
        <v>1.1386133232642228</v>
      </c>
      <c r="BL366" s="465">
        <f t="shared" si="504"/>
        <v>0</v>
      </c>
      <c r="BM366" s="465">
        <f t="shared" si="505"/>
        <v>0</v>
      </c>
      <c r="BN366" s="465">
        <f t="shared" si="506"/>
        <v>0</v>
      </c>
      <c r="BO366" s="465">
        <f t="shared" si="507"/>
        <v>0</v>
      </c>
      <c r="BP366" s="465">
        <f>AY366/AH366</f>
        <v>0.91536010453381944</v>
      </c>
    </row>
    <row r="367" spans="2:68" ht="16" customHeight="1">
      <c r="B367" s="769"/>
      <c r="C367" s="769"/>
      <c r="D367" s="292" t="s">
        <v>100</v>
      </c>
      <c r="E367" s="69">
        <v>2303</v>
      </c>
      <c r="F367" s="69">
        <v>2172</v>
      </c>
      <c r="G367" s="69">
        <v>2457</v>
      </c>
      <c r="H367" s="69">
        <v>3049</v>
      </c>
      <c r="I367" s="69">
        <v>2862</v>
      </c>
      <c r="J367" s="69">
        <v>2625</v>
      </c>
      <c r="K367" s="69">
        <v>3023</v>
      </c>
      <c r="L367" s="69">
        <v>3771</v>
      </c>
      <c r="M367" s="69">
        <v>3356</v>
      </c>
      <c r="N367" s="69">
        <v>3001</v>
      </c>
      <c r="O367" s="69">
        <v>2890</v>
      </c>
      <c r="P367" s="69">
        <v>3007</v>
      </c>
      <c r="Q367" s="69">
        <f t="shared" ref="Q367:Q372" si="512">SUM(E367:P367)</f>
        <v>34516</v>
      </c>
      <c r="S367" s="769"/>
      <c r="T367" s="769"/>
      <c r="U367" s="292" t="s">
        <v>100</v>
      </c>
      <c r="V367" s="69">
        <v>1863.6474543707973</v>
      </c>
      <c r="W367" s="69">
        <v>1973.2737752161381</v>
      </c>
      <c r="X367" s="69">
        <v>2910.6127886323266</v>
      </c>
      <c r="Y367" s="69">
        <f>Y$365*'Region OP Sales Goals'!V61</f>
        <v>2082.9000960614794</v>
      </c>
      <c r="Z367" s="69">
        <f>Z$365*'Region OP Sales Goals'!W61</f>
        <v>2302.1527377521611</v>
      </c>
      <c r="AA367" s="69">
        <f>AA$365*'Region OP Sales Goals'!X61</f>
        <v>2188.6663351869138</v>
      </c>
      <c r="AB367" s="69">
        <f>AB$365*'Region OP Sales Goals'!Y61</f>
        <v>2794.1882770870334</v>
      </c>
      <c r="AC367" s="69">
        <f>AC$365*'Region OP Sales Goals'!Z61</f>
        <v>2739.4002716539544</v>
      </c>
      <c r="AD367" s="69">
        <f>AD$365*'Region OP Sales Goals'!AA61</f>
        <v>2302.1527377521611</v>
      </c>
      <c r="AE367" s="69">
        <f>AE$365*'Region OP Sales Goals'!AB61</f>
        <v>2572.5643291706692</v>
      </c>
      <c r="AF367" s="69">
        <f>AF$365*'Region OP Sales Goals'!AC61</f>
        <v>2390.5833037300176</v>
      </c>
      <c r="AG367" s="69">
        <f>AG$365*'Region OP Sales Goals'!AD61</f>
        <v>3313.3786664106383</v>
      </c>
      <c r="AH367" s="69">
        <f>AH$365*'Region OP Sales Goals'!AE61</f>
        <v>29268.473739591889</v>
      </c>
      <c r="AJ367" s="757"/>
      <c r="AK367" s="757"/>
      <c r="AL367" s="292" t="s">
        <v>100</v>
      </c>
      <c r="AM367" s="69">
        <v>2832</v>
      </c>
      <c r="AN367" s="69">
        <v>2459</v>
      </c>
      <c r="AO367" s="69">
        <v>2658</v>
      </c>
      <c r="AP367" s="69">
        <v>2896</v>
      </c>
      <c r="AQ367" s="69">
        <v>2707</v>
      </c>
      <c r="AR367" s="69">
        <v>2529</v>
      </c>
      <c r="AS367" s="69">
        <v>3138</v>
      </c>
      <c r="AT367" s="69">
        <v>2411</v>
      </c>
      <c r="AU367" s="69"/>
      <c r="AV367" s="69"/>
      <c r="AW367" s="69"/>
      <c r="AX367" s="69"/>
      <c r="AY367" s="69">
        <f t="shared" ref="AY367:AY372" si="513">SUM(AM367:AX367)</f>
        <v>21630</v>
      </c>
      <c r="BA367" s="757"/>
      <c r="BB367" s="757"/>
      <c r="BC367" s="292" t="s">
        <v>100</v>
      </c>
      <c r="BD367" s="465">
        <f>AM367/V367</f>
        <v>1.5196007127625633</v>
      </c>
      <c r="BE367" s="465">
        <f t="shared" si="511"/>
        <v>1.2461524755887758</v>
      </c>
      <c r="BF367" s="465">
        <f t="shared" si="498"/>
        <v>0.9132097578836561</v>
      </c>
      <c r="BG367" s="465">
        <f t="shared" si="499"/>
        <v>1.3903691326703558</v>
      </c>
      <c r="BH367" s="465">
        <f t="shared" si="500"/>
        <v>1.1758559523913843</v>
      </c>
      <c r="BI367" s="465">
        <f t="shared" si="501"/>
        <v>1.1554981951070316</v>
      </c>
      <c r="BJ367" s="465">
        <f t="shared" si="502"/>
        <v>1.1230452957419867</v>
      </c>
      <c r="BK367" s="465">
        <f t="shared" si="503"/>
        <v>0.88011964697087597</v>
      </c>
      <c r="BL367" s="465">
        <f t="shared" si="504"/>
        <v>0</v>
      </c>
      <c r="BM367" s="465">
        <f t="shared" si="505"/>
        <v>0</v>
      </c>
      <c r="BN367" s="465">
        <f t="shared" si="506"/>
        <v>0</v>
      </c>
      <c r="BO367" s="465">
        <f t="shared" si="507"/>
        <v>0</v>
      </c>
      <c r="BP367" s="465">
        <f t="shared" ref="BP367:BP373" si="514">AY367/AH367</f>
        <v>0.73902042834371595</v>
      </c>
    </row>
    <row r="368" spans="2:68" ht="16" customHeight="1">
      <c r="B368" s="769"/>
      <c r="C368" s="769"/>
      <c r="D368" s="292" t="s">
        <v>101</v>
      </c>
      <c r="E368" s="69">
        <v>1084</v>
      </c>
      <c r="F368" s="69">
        <v>1037</v>
      </c>
      <c r="G368" s="69">
        <v>1043</v>
      </c>
      <c r="H368" s="69">
        <v>1394</v>
      </c>
      <c r="I368" s="69">
        <v>1323</v>
      </c>
      <c r="J368" s="69">
        <v>1101</v>
      </c>
      <c r="K368" s="69">
        <v>1227</v>
      </c>
      <c r="L368" s="69">
        <v>1481</v>
      </c>
      <c r="M368" s="69">
        <v>1532</v>
      </c>
      <c r="N368" s="69">
        <v>1216</v>
      </c>
      <c r="O368" s="69">
        <v>1521</v>
      </c>
      <c r="P368" s="69">
        <v>1401</v>
      </c>
      <c r="Q368" s="69">
        <f t="shared" si="512"/>
        <v>15360</v>
      </c>
      <c r="S368" s="769"/>
      <c r="T368" s="769"/>
      <c r="U368" s="292" t="s">
        <v>101</v>
      </c>
      <c r="V368" s="69">
        <v>986.63688760806917</v>
      </c>
      <c r="W368" s="69">
        <v>1033.6195965417867</v>
      </c>
      <c r="X368" s="69">
        <v>1513.5186500888099</v>
      </c>
      <c r="Y368" s="69">
        <f>Y$365*'Region OP Sales Goals'!V62</f>
        <v>1096.2632084534102</v>
      </c>
      <c r="Z368" s="69">
        <f>Z$365*'Region OP Sales Goals'!W62</f>
        <v>1205.8895292987511</v>
      </c>
      <c r="AA368" s="69">
        <f>AA$365*'Region OP Sales Goals'!X62</f>
        <v>1146.4442708121928</v>
      </c>
      <c r="AB368" s="69">
        <f>AB$365*'Region OP Sales Goals'!Y62</f>
        <v>1397.0941385435167</v>
      </c>
      <c r="AC368" s="69">
        <f>AC$365*'Region OP Sales Goals'!Z62</f>
        <v>1424.4881412600564</v>
      </c>
      <c r="AD368" s="69">
        <f>AD$365*'Region OP Sales Goals'!AA62</f>
        <v>1205.8895292987511</v>
      </c>
      <c r="AE368" s="69">
        <f>AE$365*'Region OP Sales Goals'!AB62</f>
        <v>1403.2169068203652</v>
      </c>
      <c r="AF368" s="69">
        <f>AF$365*'Region OP Sales Goals'!AC62</f>
        <v>1303.9545293072824</v>
      </c>
      <c r="AG368" s="69">
        <f>AG$365*'Region OP Sales Goals'!AD62</f>
        <v>1718.0481973981086</v>
      </c>
      <c r="AH368" s="69">
        <f>AH$365*'Region OP Sales Goals'!AE62</f>
        <v>15336.680239546151</v>
      </c>
      <c r="AJ368" s="757"/>
      <c r="AK368" s="757"/>
      <c r="AL368" s="292" t="s">
        <v>101</v>
      </c>
      <c r="AM368" s="69">
        <v>1434</v>
      </c>
      <c r="AN368" s="69">
        <v>1268</v>
      </c>
      <c r="AO368" s="69">
        <v>1360</v>
      </c>
      <c r="AP368" s="69">
        <v>1429</v>
      </c>
      <c r="AQ368" s="69">
        <v>1463</v>
      </c>
      <c r="AR368" s="69">
        <v>1374</v>
      </c>
      <c r="AS368" s="69">
        <v>1560</v>
      </c>
      <c r="AT368" s="69">
        <v>1093</v>
      </c>
      <c r="AU368" s="69"/>
      <c r="AV368" s="69"/>
      <c r="AW368" s="69"/>
      <c r="AX368" s="69"/>
      <c r="AY368" s="69">
        <f t="shared" si="513"/>
        <v>10981</v>
      </c>
      <c r="BA368" s="757"/>
      <c r="BB368" s="757"/>
      <c r="BC368" s="292" t="s">
        <v>101</v>
      </c>
      <c r="BD368" s="465">
        <f t="shared" ref="BD368:BD372" si="515">AM368/V368</f>
        <v>1.4534222448103329</v>
      </c>
      <c r="BE368" s="465">
        <f t="shared" si="511"/>
        <v>1.2267569270574854</v>
      </c>
      <c r="BF368" s="465">
        <f t="shared" si="498"/>
        <v>0.89856837900226616</v>
      </c>
      <c r="BG368" s="465">
        <f t="shared" si="499"/>
        <v>1.3035190718623215</v>
      </c>
      <c r="BH368" s="465">
        <f t="shared" si="500"/>
        <v>1.2132122922161566</v>
      </c>
      <c r="BI368" s="465">
        <f t="shared" si="501"/>
        <v>1.1984882605995286</v>
      </c>
      <c r="BJ368" s="465">
        <f t="shared" si="502"/>
        <v>1.1166033533189925</v>
      </c>
      <c r="BK368" s="465">
        <f t="shared" si="503"/>
        <v>0.76729315488240379</v>
      </c>
      <c r="BL368" s="465">
        <f t="shared" si="504"/>
        <v>0</v>
      </c>
      <c r="BM368" s="465">
        <f t="shared" si="505"/>
        <v>0</v>
      </c>
      <c r="BN368" s="465">
        <f t="shared" si="506"/>
        <v>0</v>
      </c>
      <c r="BO368" s="465">
        <f t="shared" si="507"/>
        <v>0</v>
      </c>
      <c r="BP368" s="465">
        <f t="shared" si="514"/>
        <v>0.71599588884204013</v>
      </c>
    </row>
    <row r="369" spans="2:68" ht="16" customHeight="1">
      <c r="B369" s="769"/>
      <c r="C369" s="769"/>
      <c r="D369" s="292" t="s">
        <v>102</v>
      </c>
      <c r="E369" s="69">
        <v>638</v>
      </c>
      <c r="F369" s="69">
        <v>702</v>
      </c>
      <c r="G369" s="69">
        <v>701</v>
      </c>
      <c r="H369" s="69">
        <v>881</v>
      </c>
      <c r="I369" s="69">
        <v>773</v>
      </c>
      <c r="J369" s="69">
        <v>792</v>
      </c>
      <c r="K369" s="69">
        <v>784</v>
      </c>
      <c r="L369" s="69">
        <v>1002</v>
      </c>
      <c r="M369" s="69">
        <v>924</v>
      </c>
      <c r="N369" s="69">
        <v>787</v>
      </c>
      <c r="O369" s="69">
        <v>901</v>
      </c>
      <c r="P369" s="69">
        <v>970</v>
      </c>
      <c r="Q369" s="69">
        <f t="shared" si="512"/>
        <v>9855</v>
      </c>
      <c r="S369" s="769"/>
      <c r="T369" s="769"/>
      <c r="U369" s="292" t="s">
        <v>102</v>
      </c>
      <c r="V369" s="69">
        <v>219.25264169068203</v>
      </c>
      <c r="W369" s="69">
        <v>563.79250720461096</v>
      </c>
      <c r="X369" s="69">
        <v>814.9715808170514</v>
      </c>
      <c r="Y369" s="69">
        <f>Y$365*'Region OP Sales Goals'!V63</f>
        <v>767.38424591738715</v>
      </c>
      <c r="Z369" s="69">
        <f>Z$365*'Region OP Sales Goals'!W63</f>
        <v>657.75792507204608</v>
      </c>
      <c r="AA369" s="69">
        <f>AA$365*'Region OP Sales Goals'!X63</f>
        <v>625.33323862483246</v>
      </c>
      <c r="AB369" s="69">
        <f>AB$365*'Region OP Sales Goals'!Y63</f>
        <v>814.9715808170514</v>
      </c>
      <c r="AC369" s="69">
        <f>AC$365*'Region OP Sales Goals'!Z63</f>
        <v>767.03207606310718</v>
      </c>
      <c r="AD369" s="69">
        <f>AD$365*'Region OP Sales Goals'!AA63</f>
        <v>657.75792507204608</v>
      </c>
      <c r="AE369" s="69">
        <f>AE$365*'Region OP Sales Goals'!AB63</f>
        <v>701.60845341018262</v>
      </c>
      <c r="AF369" s="69">
        <f>AF$365*'Region OP Sales Goals'!AC63</f>
        <v>651.97726465364121</v>
      </c>
      <c r="AG369" s="69">
        <f>AG$365*'Region OP Sales Goals'!AD63</f>
        <v>981.74182708463354</v>
      </c>
      <c r="AH369" s="69">
        <f>AH$365*'Region OP Sales Goals'!AE63</f>
        <v>7609.8031722938913</v>
      </c>
      <c r="AJ369" s="757"/>
      <c r="AK369" s="757"/>
      <c r="AL369" s="292" t="s">
        <v>102</v>
      </c>
      <c r="AM369" s="69">
        <v>920</v>
      </c>
      <c r="AN369" s="69">
        <v>930</v>
      </c>
      <c r="AO369" s="69">
        <v>825</v>
      </c>
      <c r="AP369" s="69">
        <v>987</v>
      </c>
      <c r="AQ369" s="69">
        <v>873</v>
      </c>
      <c r="AR369" s="69">
        <v>863</v>
      </c>
      <c r="AS369" s="69">
        <v>1021</v>
      </c>
      <c r="AT369" s="69">
        <v>786</v>
      </c>
      <c r="AU369" s="69"/>
      <c r="AV369" s="69"/>
      <c r="AW369" s="69"/>
      <c r="AX369" s="69"/>
      <c r="AY369" s="69">
        <f t="shared" si="513"/>
        <v>7205</v>
      </c>
      <c r="BA369" s="757"/>
      <c r="BB369" s="757"/>
      <c r="BC369" s="292" t="s">
        <v>102</v>
      </c>
      <c r="BD369" s="465">
        <f t="shared" si="515"/>
        <v>4.1960725896197895</v>
      </c>
      <c r="BE369" s="465">
        <f t="shared" si="511"/>
        <v>1.6495430288903883</v>
      </c>
      <c r="BF369" s="465">
        <f t="shared" si="498"/>
        <v>1.0123052378990867</v>
      </c>
      <c r="BG369" s="465">
        <f t="shared" si="499"/>
        <v>1.2861874676878051</v>
      </c>
      <c r="BH369" s="465">
        <f t="shared" si="500"/>
        <v>1.3272360038906075</v>
      </c>
      <c r="BI369" s="465">
        <f t="shared" si="501"/>
        <v>1.3800641748994815</v>
      </c>
      <c r="BJ369" s="465">
        <f t="shared" si="502"/>
        <v>1.2528044216908698</v>
      </c>
      <c r="BK369" s="465">
        <f t="shared" si="503"/>
        <v>1.0247289840005755</v>
      </c>
      <c r="BL369" s="465">
        <f t="shared" si="504"/>
        <v>0</v>
      </c>
      <c r="BM369" s="465">
        <f t="shared" si="505"/>
        <v>0</v>
      </c>
      <c r="BN369" s="465">
        <f t="shared" si="506"/>
        <v>0</v>
      </c>
      <c r="BO369" s="465">
        <f t="shared" si="507"/>
        <v>0</v>
      </c>
      <c r="BP369" s="465">
        <f t="shared" si="514"/>
        <v>0.946805040402659</v>
      </c>
    </row>
    <row r="370" spans="2:68" ht="16" customHeight="1">
      <c r="B370" s="769"/>
      <c r="C370" s="769"/>
      <c r="D370" s="292" t="s">
        <v>103</v>
      </c>
      <c r="E370" s="69">
        <v>1480</v>
      </c>
      <c r="F370" s="69">
        <v>1331</v>
      </c>
      <c r="G370" s="69">
        <v>1490</v>
      </c>
      <c r="H370" s="69">
        <v>1907</v>
      </c>
      <c r="I370" s="69">
        <v>1780</v>
      </c>
      <c r="J370" s="69">
        <v>1631</v>
      </c>
      <c r="K370" s="69">
        <v>1747</v>
      </c>
      <c r="L370" s="69">
        <v>2131</v>
      </c>
      <c r="M370" s="69">
        <v>2023</v>
      </c>
      <c r="N370" s="69">
        <v>1850</v>
      </c>
      <c r="O370" s="69">
        <v>1959</v>
      </c>
      <c r="P370" s="69">
        <v>2240</v>
      </c>
      <c r="Q370" s="69">
        <f t="shared" si="512"/>
        <v>21569</v>
      </c>
      <c r="S370" s="769"/>
      <c r="T370" s="769"/>
      <c r="U370" s="292" t="s">
        <v>103</v>
      </c>
      <c r="V370" s="69">
        <v>1973.2737752161383</v>
      </c>
      <c r="W370" s="69">
        <v>1973.2737752161381</v>
      </c>
      <c r="X370" s="69">
        <v>3027.0373001776197</v>
      </c>
      <c r="Y370" s="69">
        <f>Y$365*'Region OP Sales Goals'!V64</f>
        <v>2192.5264169068205</v>
      </c>
      <c r="Z370" s="69">
        <f>Z$365*'Region OP Sales Goals'!W64</f>
        <v>2411.7790585975022</v>
      </c>
      <c r="AA370" s="69">
        <f>AA$365*'Region OP Sales Goals'!X64</f>
        <v>2292.8885416243857</v>
      </c>
      <c r="AB370" s="69">
        <f>AB$365*'Region OP Sales Goals'!Y64</f>
        <v>2910.6127886323266</v>
      </c>
      <c r="AC370" s="69">
        <f>AC$365*'Region OP Sales Goals'!Z64</f>
        <v>2848.9762825201128</v>
      </c>
      <c r="AD370" s="69">
        <f>AD$365*'Region OP Sales Goals'!AA64</f>
        <v>2411.7790585975022</v>
      </c>
      <c r="AE370" s="69">
        <f>AE$365*'Region OP Sales Goals'!AB64</f>
        <v>2689.4990714056994</v>
      </c>
      <c r="AF370" s="69">
        <f>AF$365*'Region OP Sales Goals'!AC64</f>
        <v>2499.246181172291</v>
      </c>
      <c r="AG370" s="69">
        <f>AG$365*'Region OP Sales Goals'!AD64</f>
        <v>3558.8141231817967</v>
      </c>
      <c r="AH370" s="69">
        <f>AH$365*'Region OP Sales Goals'!AE64</f>
        <v>29736.769319425359</v>
      </c>
      <c r="AJ370" s="757"/>
      <c r="AK370" s="757"/>
      <c r="AL370" s="292" t="s">
        <v>103</v>
      </c>
      <c r="AM370" s="69">
        <v>2197</v>
      </c>
      <c r="AN370" s="69">
        <v>1808</v>
      </c>
      <c r="AO370" s="69">
        <v>2119</v>
      </c>
      <c r="AP370" s="69">
        <v>2179</v>
      </c>
      <c r="AQ370" s="69">
        <v>2012</v>
      </c>
      <c r="AR370" s="69">
        <v>1999</v>
      </c>
      <c r="AS370" s="69">
        <v>2343</v>
      </c>
      <c r="AT370" s="69">
        <v>1894</v>
      </c>
      <c r="AU370" s="69"/>
      <c r="AV370" s="69"/>
      <c r="AW370" s="69"/>
      <c r="AX370" s="69"/>
      <c r="AY370" s="69">
        <f t="shared" si="513"/>
        <v>16551</v>
      </c>
      <c r="BA370" s="757"/>
      <c r="BB370" s="757"/>
      <c r="BC370" s="292" t="s">
        <v>103</v>
      </c>
      <c r="BD370" s="465">
        <f t="shared" si="515"/>
        <v>1.1133781979945263</v>
      </c>
      <c r="BE370" s="465">
        <f t="shared" si="511"/>
        <v>0.91624386981069805</v>
      </c>
      <c r="BF370" s="465">
        <f t="shared" si="498"/>
        <v>0.70002440996536841</v>
      </c>
      <c r="BG370" s="465">
        <f t="shared" si="499"/>
        <v>0.99383067095451316</v>
      </c>
      <c r="BH370" s="465">
        <f t="shared" si="500"/>
        <v>0.83423893777816371</v>
      </c>
      <c r="BI370" s="465">
        <f t="shared" si="501"/>
        <v>0.87182606729929324</v>
      </c>
      <c r="BJ370" s="465">
        <f t="shared" si="502"/>
        <v>0.80498512517735377</v>
      </c>
      <c r="BK370" s="465">
        <f t="shared" si="503"/>
        <v>0.6648001991524578</v>
      </c>
      <c r="BL370" s="465">
        <f t="shared" si="504"/>
        <v>0</v>
      </c>
      <c r="BM370" s="465">
        <f t="shared" si="505"/>
        <v>0</v>
      </c>
      <c r="BN370" s="465">
        <f t="shared" si="506"/>
        <v>0</v>
      </c>
      <c r="BO370" s="465">
        <f t="shared" si="507"/>
        <v>0</v>
      </c>
      <c r="BP370" s="465">
        <f t="shared" si="514"/>
        <v>0.55658366321549813</v>
      </c>
    </row>
    <row r="371" spans="2:68" ht="16" customHeight="1">
      <c r="B371" s="769"/>
      <c r="C371" s="769"/>
      <c r="D371" s="292" t="s">
        <v>104</v>
      </c>
      <c r="E371" s="69">
        <v>1995</v>
      </c>
      <c r="F371" s="69">
        <v>1876</v>
      </c>
      <c r="G371" s="69">
        <v>2078</v>
      </c>
      <c r="H371" s="69">
        <v>2376</v>
      </c>
      <c r="I371" s="69">
        <v>2219</v>
      </c>
      <c r="J371" s="69">
        <v>2051</v>
      </c>
      <c r="K371" s="69">
        <v>2104</v>
      </c>
      <c r="L371" s="69">
        <v>2887</v>
      </c>
      <c r="M371" s="69">
        <v>2688</v>
      </c>
      <c r="N371" s="69">
        <v>2357</v>
      </c>
      <c r="O371" s="69">
        <v>2814</v>
      </c>
      <c r="P371" s="69">
        <v>3007</v>
      </c>
      <c r="Q371" s="69">
        <f t="shared" si="512"/>
        <v>28452</v>
      </c>
      <c r="S371" s="769"/>
      <c r="T371" s="769"/>
      <c r="U371" s="292" t="s">
        <v>104</v>
      </c>
      <c r="V371" s="69">
        <v>3179.1633045148892</v>
      </c>
      <c r="W371" s="69">
        <v>3664.6512968299712</v>
      </c>
      <c r="X371" s="69">
        <v>5239.1030195381873</v>
      </c>
      <c r="Y371" s="69">
        <f>Y$365*'Region OP Sales Goals'!V65</f>
        <v>3946.5475504322767</v>
      </c>
      <c r="Z371" s="69">
        <f>Z$365*'Region OP Sales Goals'!W65</f>
        <v>4275.4265129682999</v>
      </c>
      <c r="AA371" s="69">
        <f>AA$365*'Region OP Sales Goals'!X65</f>
        <v>4168.8882574988838</v>
      </c>
      <c r="AB371" s="69">
        <f>AB$365*'Region OP Sales Goals'!Y65</f>
        <v>5239.1030195381873</v>
      </c>
      <c r="AC371" s="69">
        <f>AC$365*'Region OP Sales Goals'!Z65</f>
        <v>5259.648521575592</v>
      </c>
      <c r="AD371" s="69">
        <f>AD$365*'Region OP Sales Goals'!AA65</f>
        <v>4275.4265129682999</v>
      </c>
      <c r="AE371" s="69">
        <f>AE$365*'Region OP Sales Goals'!AB65</f>
        <v>4911.2591738712781</v>
      </c>
      <c r="AF371" s="69">
        <f>AF$365*'Region OP Sales Goals'!AC65</f>
        <v>4563.8408525754885</v>
      </c>
      <c r="AG371" s="69">
        <f>AG$365*'Region OP Sales Goals'!AD65</f>
        <v>6381.3218760501177</v>
      </c>
      <c r="AH371" s="69">
        <f>AH$365*'Region OP Sales Goals'!AE65</f>
        <v>55258.878420349487</v>
      </c>
      <c r="AJ371" s="757"/>
      <c r="AK371" s="757"/>
      <c r="AL371" s="292" t="s">
        <v>104</v>
      </c>
      <c r="AM371" s="69">
        <v>2746</v>
      </c>
      <c r="AN371" s="69">
        <v>2674</v>
      </c>
      <c r="AO371" s="69">
        <v>2583</v>
      </c>
      <c r="AP371" s="69">
        <v>2782</v>
      </c>
      <c r="AQ371" s="156">
        <v>2662</v>
      </c>
      <c r="AR371" s="156">
        <v>2453</v>
      </c>
      <c r="AS371" s="156">
        <v>2990</v>
      </c>
      <c r="AT371" s="156">
        <v>2392</v>
      </c>
      <c r="AU371" s="69"/>
      <c r="AV371" s="69"/>
      <c r="AW371" s="69"/>
      <c r="AX371" s="69"/>
      <c r="AY371" s="69">
        <f t="shared" si="513"/>
        <v>21282</v>
      </c>
      <c r="BA371" s="757"/>
      <c r="BB371" s="757"/>
      <c r="BC371" s="292" t="s">
        <v>104</v>
      </c>
      <c r="BD371" s="465">
        <f t="shared" si="515"/>
        <v>0.86374927519459843</v>
      </c>
      <c r="BE371" s="465">
        <f t="shared" si="511"/>
        <v>0.72967378978542563</v>
      </c>
      <c r="BF371" s="465">
        <f t="shared" si="498"/>
        <v>0.49302332677315525</v>
      </c>
      <c r="BG371" s="465">
        <f t="shared" si="499"/>
        <v>0.70491992417404914</v>
      </c>
      <c r="BH371" s="465">
        <f t="shared" si="500"/>
        <v>0.62262793944079597</v>
      </c>
      <c r="BI371" s="465">
        <f t="shared" si="501"/>
        <v>0.58840627248466293</v>
      </c>
      <c r="BJ371" s="465">
        <f t="shared" si="502"/>
        <v>0.57070838058526296</v>
      </c>
      <c r="BK371" s="465">
        <f t="shared" si="503"/>
        <v>0.45478324077888138</v>
      </c>
      <c r="BL371" s="465">
        <f t="shared" si="504"/>
        <v>0</v>
      </c>
      <c r="BM371" s="465">
        <f t="shared" si="505"/>
        <v>0</v>
      </c>
      <c r="BN371" s="465">
        <f t="shared" si="506"/>
        <v>0</v>
      </c>
      <c r="BO371" s="465">
        <f t="shared" si="507"/>
        <v>0</v>
      </c>
      <c r="BP371" s="465">
        <f t="shared" si="514"/>
        <v>0.3851326810889949</v>
      </c>
    </row>
    <row r="372" spans="2:68" ht="16" customHeight="1">
      <c r="B372" s="769"/>
      <c r="C372" s="769"/>
      <c r="D372" s="292" t="s">
        <v>105</v>
      </c>
      <c r="E372" s="69">
        <v>1804</v>
      </c>
      <c r="F372" s="69">
        <v>1559</v>
      </c>
      <c r="G372" s="69">
        <v>1735</v>
      </c>
      <c r="H372" s="69">
        <v>2150</v>
      </c>
      <c r="I372" s="69">
        <v>1766</v>
      </c>
      <c r="J372" s="69">
        <v>1900</v>
      </c>
      <c r="K372" s="69">
        <v>2011</v>
      </c>
      <c r="L372" s="69">
        <v>2511</v>
      </c>
      <c r="M372" s="69">
        <v>2421</v>
      </c>
      <c r="N372" s="69">
        <v>2107</v>
      </c>
      <c r="O372" s="69">
        <v>2524</v>
      </c>
      <c r="P372" s="69">
        <v>2573</v>
      </c>
      <c r="Q372" s="69">
        <f t="shared" si="512"/>
        <v>25061</v>
      </c>
      <c r="S372" s="769"/>
      <c r="T372" s="769"/>
      <c r="U372" s="292" t="s">
        <v>105</v>
      </c>
      <c r="V372" s="69">
        <v>2192.5264169068205</v>
      </c>
      <c r="W372" s="69">
        <v>2537.0662824207493</v>
      </c>
      <c r="X372" s="69">
        <v>3259.8863232682056</v>
      </c>
      <c r="Y372" s="69">
        <f>Y$365*'Region OP Sales Goals'!V66</f>
        <v>2740.6580211335254</v>
      </c>
      <c r="Z372" s="69">
        <f>Z$365*'Region OP Sales Goals'!W66</f>
        <v>2959.9106628242075</v>
      </c>
      <c r="AA372" s="69">
        <f>AA$365*'Region OP Sales Goals'!X66</f>
        <v>2813.9995738117464</v>
      </c>
      <c r="AB372" s="69">
        <f>AB$365*'Region OP Sales Goals'!Y66</f>
        <v>3609.1598579040847</v>
      </c>
      <c r="AC372" s="69">
        <f>AC$365*'Region OP Sales Goals'!Z66</f>
        <v>3725.5843694493778</v>
      </c>
      <c r="AD372" s="69">
        <f>AD$365*'Region OP Sales Goals'!AA66</f>
        <v>2959.9106628242075</v>
      </c>
      <c r="AE372" s="69">
        <f>AE$365*'Region OP Sales Goals'!AB66</f>
        <v>3508.0422670509129</v>
      </c>
      <c r="AF372" s="69">
        <f>AF$365*'Region OP Sales Goals'!AC66</f>
        <v>3259.8863232682061</v>
      </c>
      <c r="AG372" s="69">
        <f>AG$365*'Region OP Sales Goals'!AD66</f>
        <v>4417.8382218808511</v>
      </c>
      <c r="AH372" s="69">
        <f>AH$365*'Region OP Sales Goals'!AE66</f>
        <v>38868.53312617803</v>
      </c>
      <c r="AJ372" s="757"/>
      <c r="AK372" s="757"/>
      <c r="AL372" s="292" t="s">
        <v>105</v>
      </c>
      <c r="AM372" s="69">
        <v>2470</v>
      </c>
      <c r="AN372" s="69">
        <v>2147</v>
      </c>
      <c r="AO372" s="69">
        <v>2118</v>
      </c>
      <c r="AP372" s="69">
        <v>2593</v>
      </c>
      <c r="AQ372" s="69">
        <v>2179</v>
      </c>
      <c r="AR372" s="69">
        <v>2008</v>
      </c>
      <c r="AS372" s="69">
        <v>2395</v>
      </c>
      <c r="AT372" s="69">
        <v>2021</v>
      </c>
      <c r="AU372" s="69"/>
      <c r="AV372" s="69"/>
      <c r="AW372" s="69"/>
      <c r="AX372" s="69"/>
      <c r="AY372" s="69">
        <f t="shared" si="513"/>
        <v>17931</v>
      </c>
      <c r="BA372" s="757"/>
      <c r="BB372" s="757"/>
      <c r="BC372" s="292" t="s">
        <v>105</v>
      </c>
      <c r="BD372" s="465">
        <f t="shared" si="515"/>
        <v>1.1265542713435739</v>
      </c>
      <c r="BE372" s="465">
        <f t="shared" si="511"/>
        <v>0.84625301864460301</v>
      </c>
      <c r="BF372" s="465">
        <f t="shared" si="498"/>
        <v>0.64971590723341388</v>
      </c>
      <c r="BG372" s="465">
        <f t="shared" si="499"/>
        <v>0.94612314998992297</v>
      </c>
      <c r="BH372" s="465">
        <f t="shared" si="500"/>
        <v>0.73617086737371351</v>
      </c>
      <c r="BI372" s="465">
        <f t="shared" si="501"/>
        <v>0.71357509030466293</v>
      </c>
      <c r="BJ372" s="465">
        <f t="shared" si="502"/>
        <v>0.66358933776649809</v>
      </c>
      <c r="BK372" s="465">
        <f t="shared" si="503"/>
        <v>0.5424652348696356</v>
      </c>
      <c r="BL372" s="465">
        <f t="shared" si="504"/>
        <v>0</v>
      </c>
      <c r="BM372" s="465">
        <f t="shared" si="505"/>
        <v>0</v>
      </c>
      <c r="BN372" s="465">
        <f t="shared" si="506"/>
        <v>0</v>
      </c>
      <c r="BO372" s="465">
        <f t="shared" si="507"/>
        <v>0</v>
      </c>
      <c r="BP372" s="465">
        <f t="shared" si="514"/>
        <v>0.46132432993524619</v>
      </c>
    </row>
    <row r="373" spans="2:68">
      <c r="B373" s="769"/>
      <c r="C373" s="769"/>
      <c r="D373" s="182" t="s">
        <v>14</v>
      </c>
      <c r="E373" s="341">
        <f>SUM(E374:E380)</f>
        <v>9711</v>
      </c>
      <c r="F373" s="341">
        <f t="shared" ref="F373:Q373" si="516">SUM(F374:F380)</f>
        <v>9386</v>
      </c>
      <c r="G373" s="341">
        <f t="shared" si="516"/>
        <v>10804</v>
      </c>
      <c r="H373" s="341">
        <f t="shared" si="516"/>
        <v>11004</v>
      </c>
      <c r="I373" s="341">
        <f t="shared" si="516"/>
        <v>10815</v>
      </c>
      <c r="J373" s="341">
        <f t="shared" si="516"/>
        <v>10442</v>
      </c>
      <c r="K373" s="341">
        <f t="shared" si="516"/>
        <v>11450</v>
      </c>
      <c r="L373" s="341">
        <f t="shared" si="516"/>
        <v>11165</v>
      </c>
      <c r="M373" s="341">
        <f t="shared" si="516"/>
        <v>9148</v>
      </c>
      <c r="N373" s="341">
        <f t="shared" si="516"/>
        <v>9937</v>
      </c>
      <c r="O373" s="341">
        <f t="shared" si="516"/>
        <v>14234</v>
      </c>
      <c r="P373" s="341">
        <f t="shared" si="516"/>
        <v>11736</v>
      </c>
      <c r="Q373" s="341">
        <f t="shared" si="516"/>
        <v>129832</v>
      </c>
      <c r="S373" s="769"/>
      <c r="T373" s="769"/>
      <c r="U373" s="182" t="s">
        <v>14</v>
      </c>
      <c r="V373" s="341">
        <v>4680.5475504322767</v>
      </c>
      <c r="W373" s="341">
        <v>5106.0518731988477</v>
      </c>
      <c r="X373" s="341">
        <v>8566.1101243339253</v>
      </c>
      <c r="Y373" s="341" cm="1">
        <f t="array" ref="Y373">INDEX('Research Goals'!$F$178:$F$189, COLUMN()-COLUMN($V$3)+1)</f>
        <v>13740.53794428434</v>
      </c>
      <c r="Z373" s="341" cm="1">
        <f t="array" ref="Z373">INDEX('Research Goals'!$F$178:$F$189, COLUMN()-COLUMN($V$3)+1)</f>
        <v>14797.502401536984</v>
      </c>
      <c r="AA373" s="341" cm="1">
        <f t="array" ref="AA373">INDEX('Research Goals'!$F$178:$F$189, COLUMN()-COLUMN($V$3)+1)</f>
        <v>14269.020172910661</v>
      </c>
      <c r="AB373" s="341" cm="1">
        <f t="array" ref="AB373">INDEX('Research Goals'!$F$178:$F$189, COLUMN()-COLUMN($V$3)+1)</f>
        <v>18574.777975133213</v>
      </c>
      <c r="AC373" s="341" cm="1">
        <f t="array" ref="AC373">INDEX('Research Goals'!$F$178:$F$189, COLUMN()-COLUMN($V$3)+1)</f>
        <v>18574.777975133213</v>
      </c>
      <c r="AD373" s="341" cm="1">
        <f t="array" ref="AD373">INDEX('Research Goals'!$F$178:$F$189, COLUMN()-COLUMN($V$3)+1)</f>
        <v>14797.502401536984</v>
      </c>
      <c r="AE373" s="341" cm="1">
        <f t="array" ref="AE373">INDEX('Research Goals'!$F$178:$F$189, COLUMN()-COLUMN($V$3)+1)</f>
        <v>16911.431316042264</v>
      </c>
      <c r="AF373" s="341" cm="1">
        <f t="array" ref="AF373">INDEX('Research Goals'!$F$178:$F$189, COLUMN()-COLUMN($V$3)+1)</f>
        <v>16252.930728241563</v>
      </c>
      <c r="AG373" s="341" cm="1">
        <f t="array" ref="AG373">INDEX('Research Goals'!$F$178:$F$189, COLUMN()-COLUMN($V$3)+1)</f>
        <v>22638.010657193605</v>
      </c>
      <c r="AH373" s="342">
        <f>SUM(V373:AG373)</f>
        <v>168909.20111997786</v>
      </c>
      <c r="AJ373" s="757"/>
      <c r="AK373" s="757"/>
      <c r="AL373" s="182" t="s">
        <v>14</v>
      </c>
      <c r="AM373" s="341">
        <f>SUM(AM374:AM380)</f>
        <v>10496</v>
      </c>
      <c r="AN373" s="341">
        <f t="shared" ref="AN373:AY373" si="517">SUM(AN374:AN380)</f>
        <v>8849.5714285714294</v>
      </c>
      <c r="AO373" s="341">
        <f t="shared" si="517"/>
        <v>8898</v>
      </c>
      <c r="AP373" s="341">
        <f t="shared" si="517"/>
        <v>11373.285714285714</v>
      </c>
      <c r="AQ373" s="341">
        <f t="shared" si="517"/>
        <v>10082.428571428572</v>
      </c>
      <c r="AR373" s="341">
        <f t="shared" si="517"/>
        <v>9702</v>
      </c>
      <c r="AS373" s="341">
        <f t="shared" si="517"/>
        <v>10834.857142857143</v>
      </c>
      <c r="AT373" s="341">
        <f t="shared" si="517"/>
        <v>9430.1428571428569</v>
      </c>
      <c r="AU373" s="341">
        <f t="shared" si="517"/>
        <v>0</v>
      </c>
      <c r="AV373" s="341">
        <f t="shared" si="517"/>
        <v>0</v>
      </c>
      <c r="AW373" s="341">
        <f t="shared" si="517"/>
        <v>0</v>
      </c>
      <c r="AX373" s="341">
        <f t="shared" si="517"/>
        <v>0</v>
      </c>
      <c r="AY373" s="341">
        <f t="shared" si="517"/>
        <v>79666.28571428571</v>
      </c>
      <c r="BA373" s="757"/>
      <c r="BB373" s="757"/>
      <c r="BC373" s="182" t="s">
        <v>14</v>
      </c>
      <c r="BD373" s="464">
        <f>AM373/V373</f>
        <v>2.2424726780161932</v>
      </c>
      <c r="BE373" s="464">
        <f t="shared" si="511"/>
        <v>1.7331534516956122</v>
      </c>
      <c r="BF373" s="464">
        <f t="shared" si="498"/>
        <v>1.0387445259106893</v>
      </c>
      <c r="BG373" s="464">
        <f t="shared" si="499"/>
        <v>0.82771764543735826</v>
      </c>
      <c r="BH373" s="464">
        <f t="shared" si="500"/>
        <v>0.68136015780482884</v>
      </c>
      <c r="BI373" s="464">
        <f t="shared" si="501"/>
        <v>0.67993456330091806</v>
      </c>
      <c r="BJ373" s="464">
        <f t="shared" si="502"/>
        <v>0.58331018316139194</v>
      </c>
      <c r="BK373" s="464">
        <f t="shared" si="503"/>
        <v>0.50768536074925685</v>
      </c>
      <c r="BL373" s="464">
        <f t="shared" si="504"/>
        <v>0</v>
      </c>
      <c r="BM373" s="464">
        <f t="shared" si="505"/>
        <v>0</v>
      </c>
      <c r="BN373" s="464">
        <f t="shared" si="506"/>
        <v>0</v>
      </c>
      <c r="BO373" s="464">
        <f t="shared" si="507"/>
        <v>0</v>
      </c>
      <c r="BP373" s="464">
        <f t="shared" si="514"/>
        <v>0.47165154524470199</v>
      </c>
    </row>
    <row r="374" spans="2:68" ht="16" customHeight="1">
      <c r="B374" s="769"/>
      <c r="C374" s="769"/>
      <c r="D374" s="292" t="s">
        <v>99</v>
      </c>
      <c r="E374" s="69">
        <v>1702</v>
      </c>
      <c r="F374" s="69">
        <v>1624</v>
      </c>
      <c r="G374" s="69">
        <v>1471</v>
      </c>
      <c r="H374" s="69">
        <v>1607</v>
      </c>
      <c r="I374" s="69">
        <v>1585</v>
      </c>
      <c r="J374" s="69">
        <v>1213</v>
      </c>
      <c r="K374" s="69">
        <v>1483</v>
      </c>
      <c r="L374" s="69">
        <v>1470</v>
      </c>
      <c r="M374" s="69">
        <v>1162</v>
      </c>
      <c r="N374" s="69">
        <v>1503</v>
      </c>
      <c r="O374" s="69">
        <v>1654</v>
      </c>
      <c r="P374" s="69">
        <v>1921</v>
      </c>
      <c r="Q374" s="69">
        <f>SUM(E374:P374)</f>
        <v>18395</v>
      </c>
      <c r="S374" s="769"/>
      <c r="T374" s="769"/>
      <c r="U374" s="292" t="s">
        <v>99</v>
      </c>
      <c r="V374" s="69">
        <v>638.25648414985585</v>
      </c>
      <c r="W374" s="69">
        <v>547.07698641416221</v>
      </c>
      <c r="X374" s="69">
        <v>856.6110124333926</v>
      </c>
      <c r="Y374" s="69">
        <f>Y$373*'Region OP Sales Goals'!V60</f>
        <v>1374.0537944284342</v>
      </c>
      <c r="Z374" s="69">
        <f>Z$373*'Region OP Sales Goals'!W60</f>
        <v>1479.7502401536985</v>
      </c>
      <c r="AA374" s="69">
        <f>AA$373*'Region OP Sales Goals'!X60</f>
        <v>1507.2908633356333</v>
      </c>
      <c r="AB374" s="69">
        <f>AB$373*'Region OP Sales Goals'!Y60</f>
        <v>1857.4777975133213</v>
      </c>
      <c r="AC374" s="69">
        <f>AC$373*'Region OP Sales Goals'!Z60</f>
        <v>1857.4777975133213</v>
      </c>
      <c r="AD374" s="69">
        <f>AD$373*'Region OP Sales Goals'!AA60</f>
        <v>1479.7502401536985</v>
      </c>
      <c r="AE374" s="69">
        <f>AE$373*'Region OP Sales Goals'!AB60</f>
        <v>1691.1431316042265</v>
      </c>
      <c r="AF374" s="69">
        <f>AF$373*'Region OP Sales Goals'!AC60</f>
        <v>1625.2930728241563</v>
      </c>
      <c r="AG374" s="69">
        <f>AG$373*'Region OP Sales Goals'!AD60</f>
        <v>2324.9848783063703</v>
      </c>
      <c r="AH374" s="69">
        <f>AH$373*'Region OP Sales Goals'!AE60</f>
        <v>17632.277222488792</v>
      </c>
      <c r="AJ374" s="757"/>
      <c r="AK374" s="757"/>
      <c r="AL374" s="292" t="s">
        <v>99</v>
      </c>
      <c r="AM374" s="69">
        <v>2061.8571428571431</v>
      </c>
      <c r="AN374" s="69">
        <v>1291</v>
      </c>
      <c r="AO374" s="69">
        <v>1257</v>
      </c>
      <c r="AP374" s="69">
        <v>1561.7142857142858</v>
      </c>
      <c r="AQ374" s="156">
        <v>1508.2857142857142</v>
      </c>
      <c r="AR374" s="156">
        <v>1297.1428571428571</v>
      </c>
      <c r="AS374" s="156">
        <v>1645.8571428571429</v>
      </c>
      <c r="AT374" s="156">
        <v>1613</v>
      </c>
      <c r="AU374" s="69"/>
      <c r="AV374" s="69"/>
      <c r="AW374" s="69"/>
      <c r="AX374" s="69"/>
      <c r="AY374" s="69">
        <f>SUM(AM374:AX374)</f>
        <v>12235.857142857143</v>
      </c>
      <c r="BA374" s="757"/>
      <c r="BB374" s="757"/>
      <c r="BC374" s="292" t="s">
        <v>99</v>
      </c>
      <c r="BD374" s="465">
        <f>AM374/V374</f>
        <v>3.2304523245126031</v>
      </c>
      <c r="BE374" s="465">
        <f t="shared" si="511"/>
        <v>2.3598141249952969</v>
      </c>
      <c r="BF374" s="465">
        <f t="shared" si="498"/>
        <v>1.4674105069338463</v>
      </c>
      <c r="BG374" s="465">
        <f t="shared" si="499"/>
        <v>1.13657434086408</v>
      </c>
      <c r="BH374" s="465">
        <f t="shared" si="500"/>
        <v>1.0192839800648059</v>
      </c>
      <c r="BI374" s="465">
        <f t="shared" si="501"/>
        <v>0.86057899553128137</v>
      </c>
      <c r="BJ374" s="465">
        <f t="shared" si="502"/>
        <v>0.88607096411085862</v>
      </c>
      <c r="BK374" s="465">
        <f t="shared" si="503"/>
        <v>0.86838184669522656</v>
      </c>
      <c r="BL374" s="465">
        <f t="shared" si="504"/>
        <v>0</v>
      </c>
      <c r="BM374" s="465">
        <f t="shared" si="505"/>
        <v>0</v>
      </c>
      <c r="BN374" s="465">
        <f t="shared" si="506"/>
        <v>0</v>
      </c>
      <c r="BO374" s="465">
        <f t="shared" si="507"/>
        <v>0</v>
      </c>
      <c r="BP374" s="465">
        <f>AY374/AH374</f>
        <v>0.69394650438294636</v>
      </c>
    </row>
    <row r="375" spans="2:68" ht="16" customHeight="1">
      <c r="B375" s="769"/>
      <c r="C375" s="769"/>
      <c r="D375" s="292" t="s">
        <v>100</v>
      </c>
      <c r="E375" s="69">
        <v>928</v>
      </c>
      <c r="F375" s="69">
        <v>1100</v>
      </c>
      <c r="G375" s="69">
        <v>1587</v>
      </c>
      <c r="H375" s="69">
        <v>1607</v>
      </c>
      <c r="I375" s="69">
        <v>1575</v>
      </c>
      <c r="J375" s="69">
        <v>1564</v>
      </c>
      <c r="K375" s="69">
        <v>1946</v>
      </c>
      <c r="L375" s="69">
        <v>1537</v>
      </c>
      <c r="M375" s="69">
        <v>1261</v>
      </c>
      <c r="N375" s="69">
        <v>1223</v>
      </c>
      <c r="O375" s="69">
        <v>2564</v>
      </c>
      <c r="P375" s="69">
        <v>1710</v>
      </c>
      <c r="Q375" s="69">
        <f t="shared" ref="Q375:Q380" si="518">SUM(E375:P375)</f>
        <v>18602</v>
      </c>
      <c r="S375" s="769"/>
      <c r="T375" s="769"/>
      <c r="U375" s="292" t="s">
        <v>100</v>
      </c>
      <c r="V375" s="69">
        <v>723.35734870317003</v>
      </c>
      <c r="W375" s="69">
        <v>765.90778097982718</v>
      </c>
      <c r="X375" s="69">
        <v>1338.4547069271757</v>
      </c>
      <c r="Y375" s="69">
        <f>Y$373*'Region OP Sales Goals'!V61</f>
        <v>2008.2324687800192</v>
      </c>
      <c r="Z375" s="69">
        <f>Z$373*'Region OP Sales Goals'!W61</f>
        <v>2219.6253602305474</v>
      </c>
      <c r="AA375" s="69">
        <f>AA$373*'Region OP Sales Goals'!X61</f>
        <v>2110.2072086698863</v>
      </c>
      <c r="AB375" s="69">
        <f>AB$373*'Region OP Sales Goals'!Y61</f>
        <v>2786.2166962699816</v>
      </c>
      <c r="AC375" s="69">
        <f>AC$373*'Region OP Sales Goals'!Z61</f>
        <v>2731.5849963431197</v>
      </c>
      <c r="AD375" s="69">
        <f>AD$373*'Region OP Sales Goals'!AA61</f>
        <v>2219.6253602305474</v>
      </c>
      <c r="AE375" s="69">
        <f>AE$373*'Region OP Sales Goals'!AB61</f>
        <v>2480.343259686199</v>
      </c>
      <c r="AF375" s="69">
        <f>AF$373*'Region OP Sales Goals'!AC61</f>
        <v>2383.7631734754291</v>
      </c>
      <c r="AG375" s="69">
        <f>AG$373*'Region OP Sales Goals'!AD61</f>
        <v>3303.9258796985264</v>
      </c>
      <c r="AH375" s="69">
        <f>AH$373*'Region OP Sales Goals'!AE61</f>
        <v>25045.848327398853</v>
      </c>
      <c r="AJ375" s="757"/>
      <c r="AK375" s="757"/>
      <c r="AL375" s="292" t="s">
        <v>100</v>
      </c>
      <c r="AM375" s="69">
        <v>1601.4285714285713</v>
      </c>
      <c r="AN375" s="69">
        <v>1313</v>
      </c>
      <c r="AO375" s="69">
        <v>1399</v>
      </c>
      <c r="AP375" s="69">
        <v>2230.8571428571431</v>
      </c>
      <c r="AQ375" s="156">
        <v>1549.1428571428571</v>
      </c>
      <c r="AR375" s="156">
        <v>1270.1428571428571</v>
      </c>
      <c r="AS375" s="156">
        <v>1719.7142857142858</v>
      </c>
      <c r="AT375" s="156">
        <v>1402.1428571428571</v>
      </c>
      <c r="AU375" s="69"/>
      <c r="AV375" s="69"/>
      <c r="AW375" s="69"/>
      <c r="AX375" s="69"/>
      <c r="AY375" s="69">
        <f t="shared" ref="AY375:AY380" si="519">SUM(AM375:AX375)</f>
        <v>12485.428571428572</v>
      </c>
      <c r="BA375" s="757"/>
      <c r="BB375" s="757"/>
      <c r="BC375" s="292" t="s">
        <v>100</v>
      </c>
      <c r="BD375" s="465">
        <f t="shared" ref="BD375:BD376" si="520">AM375/V375</f>
        <v>2.21388304729274</v>
      </c>
      <c r="BE375" s="465">
        <f t="shared" si="511"/>
        <v>1.7143056025887042</v>
      </c>
      <c r="BF375" s="465">
        <f t="shared" si="498"/>
        <v>1.0452352199588615</v>
      </c>
      <c r="BG375" s="465">
        <f t="shared" si="499"/>
        <v>1.1108560276452288</v>
      </c>
      <c r="BH375" s="465">
        <f t="shared" si="500"/>
        <v>0.69792987812229323</v>
      </c>
      <c r="BI375" s="465">
        <f t="shared" si="501"/>
        <v>0.60190433049627301</v>
      </c>
      <c r="BJ375" s="465">
        <f t="shared" si="502"/>
        <v>0.61722201579530234</v>
      </c>
      <c r="BK375" s="465">
        <f t="shared" si="503"/>
        <v>0.5133074237191817</v>
      </c>
      <c r="BL375" s="465">
        <f t="shared" si="504"/>
        <v>0</v>
      </c>
      <c r="BM375" s="465">
        <f t="shared" si="505"/>
        <v>0</v>
      </c>
      <c r="BN375" s="465">
        <f t="shared" si="506"/>
        <v>0</v>
      </c>
      <c r="BO375" s="465">
        <f t="shared" si="507"/>
        <v>0</v>
      </c>
      <c r="BP375" s="465">
        <f t="shared" ref="BP375:BP382" si="521">AY375/AH375</f>
        <v>0.49850292185033174</v>
      </c>
    </row>
    <row r="376" spans="2:68" ht="16" customHeight="1">
      <c r="B376" s="769"/>
      <c r="C376" s="769"/>
      <c r="D376" s="292" t="s">
        <v>101</v>
      </c>
      <c r="E376" s="69">
        <v>856</v>
      </c>
      <c r="F376" s="69">
        <v>883</v>
      </c>
      <c r="G376" s="69">
        <v>868</v>
      </c>
      <c r="H376" s="69">
        <v>943</v>
      </c>
      <c r="I376" s="69">
        <v>1126</v>
      </c>
      <c r="J376" s="69">
        <v>1048</v>
      </c>
      <c r="K376" s="69">
        <v>955</v>
      </c>
      <c r="L376" s="69">
        <v>778</v>
      </c>
      <c r="M376" s="69">
        <v>710</v>
      </c>
      <c r="N376" s="69">
        <v>793</v>
      </c>
      <c r="O376" s="69">
        <v>1357</v>
      </c>
      <c r="P376" s="69">
        <v>1096</v>
      </c>
      <c r="Q376" s="69">
        <f t="shared" si="518"/>
        <v>11413</v>
      </c>
      <c r="S376" s="769"/>
      <c r="T376" s="769"/>
      <c r="U376" s="292" t="s">
        <v>101</v>
      </c>
      <c r="V376" s="69">
        <v>382.95389048991353</v>
      </c>
      <c r="W376" s="69">
        <v>401.18979003705232</v>
      </c>
      <c r="X376" s="69">
        <v>695.99644760213141</v>
      </c>
      <c r="Y376" s="69">
        <f>Y$373*'Region OP Sales Goals'!V62</f>
        <v>1056.9644572526415</v>
      </c>
      <c r="Z376" s="69">
        <f>Z$373*'Region OP Sales Goals'!W62</f>
        <v>1162.6609029779058</v>
      </c>
      <c r="AA376" s="69">
        <f>AA$373*'Region OP Sales Goals'!X62</f>
        <v>1105.3466331127977</v>
      </c>
      <c r="AB376" s="69">
        <f>AB$373*'Region OP Sales Goals'!Y62</f>
        <v>1393.1083481349908</v>
      </c>
      <c r="AC376" s="69">
        <f>AC$373*'Region OP Sales Goals'!Z62</f>
        <v>1420.4241980984223</v>
      </c>
      <c r="AD376" s="69">
        <f>AD$373*'Region OP Sales Goals'!AA62</f>
        <v>1162.6609029779058</v>
      </c>
      <c r="AE376" s="69">
        <f>AE$373*'Region OP Sales Goals'!AB62</f>
        <v>1352.9145052833812</v>
      </c>
      <c r="AF376" s="69">
        <f>AF$373*'Region OP Sales Goals'!AC62</f>
        <v>1300.234458259325</v>
      </c>
      <c r="AG376" s="69">
        <f>AG$373*'Region OP Sales Goals'!AD62</f>
        <v>1713.1467524362729</v>
      </c>
      <c r="AH376" s="69">
        <f>AH$373*'Region OP Sales Goals'!AE62</f>
        <v>13124.024523556998</v>
      </c>
      <c r="AJ376" s="757"/>
      <c r="AK376" s="757"/>
      <c r="AL376" s="292" t="s">
        <v>101</v>
      </c>
      <c r="AM376" s="69">
        <v>822.42857142857144</v>
      </c>
      <c r="AN376" s="69">
        <v>752.42857142857144</v>
      </c>
      <c r="AO376" s="69">
        <v>816</v>
      </c>
      <c r="AP376" s="69">
        <v>846.85714285714289</v>
      </c>
      <c r="AQ376" s="156">
        <v>892.14285714285711</v>
      </c>
      <c r="AR376" s="156">
        <v>1124.2857142857142</v>
      </c>
      <c r="AS376" s="156">
        <v>1145</v>
      </c>
      <c r="AT376" s="156">
        <v>927.71428571428567</v>
      </c>
      <c r="AU376" s="69"/>
      <c r="AV376" s="69"/>
      <c r="AW376" s="69"/>
      <c r="AX376" s="69"/>
      <c r="AY376" s="69">
        <f t="shared" si="519"/>
        <v>7326.8571428571422</v>
      </c>
      <c r="BA376" s="757"/>
      <c r="BB376" s="757"/>
      <c r="BC376" s="292" t="s">
        <v>101</v>
      </c>
      <c r="BD376" s="465">
        <f t="shared" si="520"/>
        <v>2.1475916340122234</v>
      </c>
      <c r="BE376" s="465">
        <f t="shared" si="511"/>
        <v>1.8754928218863198</v>
      </c>
      <c r="BF376" s="465">
        <f>AO376/X376</f>
        <v>1.1724197771573526</v>
      </c>
      <c r="BG376" s="465">
        <f t="shared" si="499"/>
        <v>0.80121629166071606</v>
      </c>
      <c r="BH376" s="465">
        <f t="shared" si="500"/>
        <v>0.76732850898987404</v>
      </c>
      <c r="BI376" s="465">
        <f t="shared" si="501"/>
        <v>1.0171340651028009</v>
      </c>
      <c r="BJ376" s="465">
        <f t="shared" si="502"/>
        <v>0.82190304977560202</v>
      </c>
      <c r="BK376" s="465">
        <f t="shared" si="503"/>
        <v>0.65312481085316154</v>
      </c>
      <c r="BL376" s="465">
        <f t="shared" si="504"/>
        <v>0</v>
      </c>
      <c r="BM376" s="465">
        <f t="shared" si="505"/>
        <v>0</v>
      </c>
      <c r="BN376" s="465">
        <f t="shared" si="506"/>
        <v>0</v>
      </c>
      <c r="BO376" s="465">
        <f t="shared" si="507"/>
        <v>0</v>
      </c>
      <c r="BP376" s="465">
        <f t="shared" si="521"/>
        <v>0.55827822705647823</v>
      </c>
    </row>
    <row r="377" spans="2:68" ht="16" customHeight="1">
      <c r="B377" s="769"/>
      <c r="C377" s="769"/>
      <c r="D377" s="292" t="s">
        <v>102</v>
      </c>
      <c r="E377" s="69">
        <v>465</v>
      </c>
      <c r="F377" s="69">
        <v>607</v>
      </c>
      <c r="G377" s="69">
        <v>602</v>
      </c>
      <c r="H377" s="69">
        <v>565</v>
      </c>
      <c r="I377" s="69">
        <v>601</v>
      </c>
      <c r="J377" s="69">
        <v>653</v>
      </c>
      <c r="K377" s="69">
        <v>702</v>
      </c>
      <c r="L377" s="69">
        <v>665</v>
      </c>
      <c r="M377" s="69">
        <v>507</v>
      </c>
      <c r="N377" s="69">
        <v>566</v>
      </c>
      <c r="O377" s="69">
        <v>841</v>
      </c>
      <c r="P377" s="69">
        <v>583</v>
      </c>
      <c r="Q377" s="69">
        <f t="shared" si="518"/>
        <v>7357</v>
      </c>
      <c r="S377" s="769"/>
      <c r="T377" s="769"/>
      <c r="U377" s="292" t="s">
        <v>102</v>
      </c>
      <c r="V377" s="69">
        <v>85.100864553314111</v>
      </c>
      <c r="W377" s="69">
        <v>218.83079456566492</v>
      </c>
      <c r="X377" s="69">
        <v>374.7673179396092</v>
      </c>
      <c r="Y377" s="69">
        <f>Y$373*'Region OP Sales Goals'!V63</f>
        <v>739.87512007684916</v>
      </c>
      <c r="Z377" s="69">
        <f>Z$373*'Region OP Sales Goals'!W63</f>
        <v>634.17867435158507</v>
      </c>
      <c r="AA377" s="69">
        <f>AA$373*'Region OP Sales Goals'!X63</f>
        <v>602.91634533425326</v>
      </c>
      <c r="AB377" s="69">
        <f>AB$373*'Region OP Sales Goals'!Y63</f>
        <v>812.64653641207804</v>
      </c>
      <c r="AC377" s="69">
        <f>AC$373*'Region OP Sales Goals'!Z63</f>
        <v>764.84379897607346</v>
      </c>
      <c r="AD377" s="69">
        <f>AD$373*'Region OP Sales Goals'!AA63</f>
        <v>634.17867435158507</v>
      </c>
      <c r="AE377" s="69">
        <f>AE$373*'Region OP Sales Goals'!AB63</f>
        <v>676.45725264169062</v>
      </c>
      <c r="AF377" s="69">
        <f>AF$373*'Region OP Sales Goals'!AC63</f>
        <v>650.11722912966252</v>
      </c>
      <c r="AG377" s="69">
        <f>AG$373*'Region OP Sales Goals'!AD63</f>
        <v>978.94100139215595</v>
      </c>
      <c r="AH377" s="69">
        <f>AH$373*'Region OP Sales Goals'!AE63</f>
        <v>6511.9205651237016</v>
      </c>
      <c r="AJ377" s="757"/>
      <c r="AK377" s="757"/>
      <c r="AL377" s="292" t="s">
        <v>102</v>
      </c>
      <c r="AM377" s="69">
        <v>397.71428571428572</v>
      </c>
      <c r="AN377" s="69">
        <v>491.71428571428572</v>
      </c>
      <c r="AO377" s="69">
        <v>459</v>
      </c>
      <c r="AP377" s="69">
        <v>387.28571428571428</v>
      </c>
      <c r="AQ377" s="156">
        <v>402.71428571428572</v>
      </c>
      <c r="AR377" s="156">
        <v>466.85714285714289</v>
      </c>
      <c r="AS377" s="156">
        <v>533.71428571428578</v>
      </c>
      <c r="AT377" s="156">
        <v>438.42857142857144</v>
      </c>
      <c r="AU377" s="69"/>
      <c r="AV377" s="69"/>
      <c r="AW377" s="69"/>
      <c r="AX377" s="69"/>
      <c r="AY377" s="69">
        <f t="shared" si="519"/>
        <v>3577.428571428572</v>
      </c>
      <c r="BA377" s="757"/>
      <c r="BB377" s="757"/>
      <c r="BC377" s="292" t="s">
        <v>102</v>
      </c>
      <c r="BD377" s="465">
        <f>AM377/V377</f>
        <v>4.6734458903778249</v>
      </c>
      <c r="BE377" s="465">
        <f t="shared" si="511"/>
        <v>2.2470068103999696</v>
      </c>
      <c r="BF377" s="465">
        <f t="shared" ref="BF377:BF405" si="522">AO377/X377</f>
        <v>1.2247599457804488</v>
      </c>
      <c r="BG377" s="465">
        <f t="shared" si="499"/>
        <v>0.5234474085917199</v>
      </c>
      <c r="BH377" s="465">
        <f t="shared" si="500"/>
        <v>0.63501707326573265</v>
      </c>
      <c r="BI377" s="465">
        <f t="shared" si="501"/>
        <v>0.77433154113332259</v>
      </c>
      <c r="BJ377" s="465">
        <f t="shared" si="502"/>
        <v>0.65676067244523284</v>
      </c>
      <c r="BK377" s="465">
        <f t="shared" si="503"/>
        <v>0.57322628753153659</v>
      </c>
      <c r="BL377" s="465">
        <f t="shared" si="504"/>
        <v>0</v>
      </c>
      <c r="BM377" s="465">
        <f t="shared" si="505"/>
        <v>0</v>
      </c>
      <c r="BN377" s="465">
        <f t="shared" si="506"/>
        <v>0</v>
      </c>
      <c r="BO377" s="465">
        <f t="shared" si="507"/>
        <v>0</v>
      </c>
      <c r="BP377" s="465">
        <f t="shared" si="521"/>
        <v>0.54936612565399356</v>
      </c>
    </row>
    <row r="378" spans="2:68" ht="16" customHeight="1">
      <c r="B378" s="769"/>
      <c r="C378" s="769"/>
      <c r="D378" s="292" t="s">
        <v>103</v>
      </c>
      <c r="E378" s="69">
        <v>1427</v>
      </c>
      <c r="F378" s="69">
        <v>1241</v>
      </c>
      <c r="G378" s="69">
        <v>1664</v>
      </c>
      <c r="H378" s="69">
        <v>1696</v>
      </c>
      <c r="I378" s="69">
        <v>1667</v>
      </c>
      <c r="J378" s="69">
        <v>1637</v>
      </c>
      <c r="K378" s="69">
        <v>1761</v>
      </c>
      <c r="L378" s="69">
        <v>1908</v>
      </c>
      <c r="M378" s="69">
        <v>1591</v>
      </c>
      <c r="N378" s="69">
        <v>1755</v>
      </c>
      <c r="O378" s="69">
        <v>2000</v>
      </c>
      <c r="P378" s="69">
        <v>1291</v>
      </c>
      <c r="Q378" s="69">
        <f t="shared" si="518"/>
        <v>19638</v>
      </c>
      <c r="S378" s="769"/>
      <c r="T378" s="769"/>
      <c r="U378" s="292" t="s">
        <v>103</v>
      </c>
      <c r="V378" s="69">
        <v>765.90778097982707</v>
      </c>
      <c r="W378" s="69">
        <v>765.90778097982718</v>
      </c>
      <c r="X378" s="69">
        <v>1391.9928952042628</v>
      </c>
      <c r="Y378" s="69">
        <f>Y$373*'Region OP Sales Goals'!V64</f>
        <v>2113.928914505283</v>
      </c>
      <c r="Z378" s="69">
        <f>Z$373*'Region OP Sales Goals'!W64</f>
        <v>2325.3218059558117</v>
      </c>
      <c r="AA378" s="69">
        <f>AA$373*'Region OP Sales Goals'!X64</f>
        <v>2210.6932662255954</v>
      </c>
      <c r="AB378" s="69">
        <f>AB$373*'Region OP Sales Goals'!Y64</f>
        <v>2902.3090586145645</v>
      </c>
      <c r="AC378" s="69">
        <f>AC$373*'Region OP Sales Goals'!Z64</f>
        <v>2840.8483961968445</v>
      </c>
      <c r="AD378" s="69">
        <f>AD$373*'Region OP Sales Goals'!AA64</f>
        <v>2325.3218059558117</v>
      </c>
      <c r="AE378" s="69">
        <f>AE$373*'Region OP Sales Goals'!AB64</f>
        <v>2593.0861351264803</v>
      </c>
      <c r="AF378" s="69">
        <f>AF$373*'Region OP Sales Goals'!AC64</f>
        <v>2492.1160449970394</v>
      </c>
      <c r="AG378" s="69">
        <f>AG$373*'Region OP Sales Goals'!AD64</f>
        <v>3548.6611300465652</v>
      </c>
      <c r="AH378" s="69">
        <f>AH$373*'Region OP Sales Goals'!AE64</f>
        <v>25446.581900637233</v>
      </c>
      <c r="AJ378" s="757"/>
      <c r="AK378" s="757"/>
      <c r="AL378" s="292" t="s">
        <v>103</v>
      </c>
      <c r="AM378" s="69">
        <v>1187</v>
      </c>
      <c r="AN378" s="69">
        <v>1243.1428571428571</v>
      </c>
      <c r="AO378" s="69">
        <v>1395</v>
      </c>
      <c r="AP378" s="69">
        <v>1843.5714285714287</v>
      </c>
      <c r="AQ378" s="156">
        <v>1630.4285714285713</v>
      </c>
      <c r="AR378" s="156">
        <v>1600.8571428571429</v>
      </c>
      <c r="AS378" s="156">
        <v>1491.2857142857142</v>
      </c>
      <c r="AT378" s="156">
        <v>1437.8571428571429</v>
      </c>
      <c r="AU378" s="69"/>
      <c r="AV378" s="69"/>
      <c r="AW378" s="69"/>
      <c r="AX378" s="69"/>
      <c r="AY378" s="69">
        <f t="shared" si="519"/>
        <v>11829.142857142857</v>
      </c>
      <c r="BA378" s="757"/>
      <c r="BB378" s="757"/>
      <c r="BC378" s="292" t="s">
        <v>103</v>
      </c>
      <c r="BD378" s="465">
        <f t="shared" ref="BD378:BD380" si="523">AM378/V378</f>
        <v>1.5497949354705196</v>
      </c>
      <c r="BE378" s="465">
        <f t="shared" si="511"/>
        <v>1.6230973075537922</v>
      </c>
      <c r="BF378" s="465">
        <f t="shared" si="522"/>
        <v>1.0021602874598694</v>
      </c>
      <c r="BG378" s="465">
        <f t="shared" si="499"/>
        <v>0.87210663325586546</v>
      </c>
      <c r="BH378" s="465">
        <f t="shared" si="500"/>
        <v>0.70116255188962628</v>
      </c>
      <c r="BI378" s="465">
        <f t="shared" si="501"/>
        <v>0.72414258789974517</v>
      </c>
      <c r="BJ378" s="465">
        <f t="shared" si="502"/>
        <v>0.51382732995278901</v>
      </c>
      <c r="BK378" s="465">
        <f t="shared" si="503"/>
        <v>0.5061365276591524</v>
      </c>
      <c r="BL378" s="465">
        <f t="shared" si="504"/>
        <v>0</v>
      </c>
      <c r="BM378" s="465">
        <f t="shared" si="505"/>
        <v>0</v>
      </c>
      <c r="BN378" s="465">
        <f t="shared" si="506"/>
        <v>0</v>
      </c>
      <c r="BO378" s="465">
        <f t="shared" si="507"/>
        <v>0</v>
      </c>
      <c r="BP378" s="465">
        <f t="shared" si="521"/>
        <v>0.46486176034694199</v>
      </c>
    </row>
    <row r="379" spans="2:68" ht="16" customHeight="1">
      <c r="B379" s="769"/>
      <c r="C379" s="769"/>
      <c r="D379" s="292" t="s">
        <v>104</v>
      </c>
      <c r="E379" s="69">
        <v>2685</v>
      </c>
      <c r="F379" s="69">
        <v>2420</v>
      </c>
      <c r="G379" s="69">
        <v>2848</v>
      </c>
      <c r="H379" s="69">
        <v>2754</v>
      </c>
      <c r="I379" s="69">
        <v>2579</v>
      </c>
      <c r="J379" s="69">
        <v>2498</v>
      </c>
      <c r="K379" s="69">
        <v>2286</v>
      </c>
      <c r="L379" s="69">
        <v>2687</v>
      </c>
      <c r="M379" s="69">
        <v>2133</v>
      </c>
      <c r="N379" s="69">
        <v>2473</v>
      </c>
      <c r="O379" s="69">
        <v>3251</v>
      </c>
      <c r="P379" s="69">
        <v>3171</v>
      </c>
      <c r="Q379" s="69">
        <f t="shared" si="518"/>
        <v>31785</v>
      </c>
      <c r="S379" s="769"/>
      <c r="T379" s="769"/>
      <c r="U379" s="292" t="s">
        <v>104</v>
      </c>
      <c r="V379" s="69">
        <v>1233.9625360230546</v>
      </c>
      <c r="W379" s="69">
        <v>1422.400164676822</v>
      </c>
      <c r="X379" s="69">
        <v>2409.2184724689164</v>
      </c>
      <c r="Y379" s="69">
        <f>Y$373*'Region OP Sales Goals'!V65</f>
        <v>3805.0720461095098</v>
      </c>
      <c r="Z379" s="69">
        <f>Z$373*'Region OP Sales Goals'!W65</f>
        <v>4122.1613832853027</v>
      </c>
      <c r="AA379" s="69">
        <f>AA$373*'Region OP Sales Goals'!X65</f>
        <v>4019.4423022283554</v>
      </c>
      <c r="AB379" s="69">
        <f>AB$373*'Region OP Sales Goals'!Y65</f>
        <v>5224.1563055062161</v>
      </c>
      <c r="AC379" s="69">
        <f>AC$373*'Region OP Sales Goals'!Z65</f>
        <v>5244.6431929787896</v>
      </c>
      <c r="AD379" s="69">
        <f>AD$373*'Region OP Sales Goals'!AA65</f>
        <v>4122.1613832853027</v>
      </c>
      <c r="AE379" s="69">
        <f>AE$373*'Region OP Sales Goals'!AB65</f>
        <v>4735.2007684918344</v>
      </c>
      <c r="AF379" s="69">
        <f>AF$373*'Region OP Sales Goals'!AC65</f>
        <v>4550.8206039076376</v>
      </c>
      <c r="AG379" s="69">
        <f>AG$373*'Region OP Sales Goals'!AD65</f>
        <v>6363.116509049014</v>
      </c>
      <c r="AH379" s="69">
        <f>AH$373*'Region OP Sales Goals'!AE65</f>
        <v>47286.561642129032</v>
      </c>
      <c r="AJ379" s="757"/>
      <c r="AK379" s="757"/>
      <c r="AL379" s="292" t="s">
        <v>104</v>
      </c>
      <c r="AM379" s="69">
        <v>2911.4285714285716</v>
      </c>
      <c r="AN379" s="69">
        <v>2328.8571428571431</v>
      </c>
      <c r="AO379" s="69">
        <v>2185</v>
      </c>
      <c r="AP379" s="69">
        <v>2585</v>
      </c>
      <c r="AQ379" s="156">
        <v>2776</v>
      </c>
      <c r="AR379" s="156">
        <v>2509.4285714285716</v>
      </c>
      <c r="AS379" s="156">
        <v>2435.4285714285716</v>
      </c>
      <c r="AT379" s="156">
        <v>1945.1428571428571</v>
      </c>
      <c r="AU379" s="69"/>
      <c r="AV379" s="69"/>
      <c r="AW379" s="69"/>
      <c r="AX379" s="69"/>
      <c r="AY379" s="69">
        <f t="shared" si="519"/>
        <v>19676.285714285717</v>
      </c>
      <c r="BA379" s="757"/>
      <c r="BB379" s="757"/>
      <c r="BC379" s="292" t="s">
        <v>104</v>
      </c>
      <c r="BD379" s="465">
        <f t="shared" si="523"/>
        <v>2.3594140716879726</v>
      </c>
      <c r="BE379" s="465">
        <f t="shared" si="511"/>
        <v>1.6372728298905068</v>
      </c>
      <c r="BF379" s="465">
        <f t="shared" si="522"/>
        <v>0.90693310920900339</v>
      </c>
      <c r="BG379" s="465">
        <f t="shared" si="499"/>
        <v>0.67935638765185258</v>
      </c>
      <c r="BH379" s="465">
        <f t="shared" si="500"/>
        <v>0.6734331196386999</v>
      </c>
      <c r="BI379" s="465">
        <f t="shared" si="501"/>
        <v>0.62432257580544415</v>
      </c>
      <c r="BJ379" s="465">
        <f t="shared" si="502"/>
        <v>0.46618600765479601</v>
      </c>
      <c r="BK379" s="465">
        <f t="shared" si="503"/>
        <v>0.37088182848108647</v>
      </c>
      <c r="BL379" s="465">
        <f t="shared" si="504"/>
        <v>0</v>
      </c>
      <c r="BM379" s="465">
        <f t="shared" si="505"/>
        <v>0</v>
      </c>
      <c r="BN379" s="465">
        <f t="shared" si="506"/>
        <v>0</v>
      </c>
      <c r="BO379" s="465">
        <f t="shared" si="507"/>
        <v>0</v>
      </c>
      <c r="BP379" s="465">
        <f t="shared" si="521"/>
        <v>0.41610734701326896</v>
      </c>
    </row>
    <row r="380" spans="2:68" ht="16" customHeight="1">
      <c r="B380" s="770"/>
      <c r="C380" s="770"/>
      <c r="D380" s="292" t="s">
        <v>105</v>
      </c>
      <c r="E380" s="69">
        <v>1648</v>
      </c>
      <c r="F380" s="69">
        <v>1511</v>
      </c>
      <c r="G380" s="69">
        <v>1764</v>
      </c>
      <c r="H380" s="69">
        <v>1832</v>
      </c>
      <c r="I380" s="69">
        <v>1682</v>
      </c>
      <c r="J380" s="69">
        <v>1829</v>
      </c>
      <c r="K380" s="69">
        <v>2317</v>
      </c>
      <c r="L380" s="69">
        <v>2120</v>
      </c>
      <c r="M380" s="69">
        <v>1784</v>
      </c>
      <c r="N380" s="69">
        <v>1624</v>
      </c>
      <c r="O380" s="69">
        <v>2567</v>
      </c>
      <c r="P380" s="69">
        <v>1964</v>
      </c>
      <c r="Q380" s="69">
        <f t="shared" si="518"/>
        <v>22642</v>
      </c>
      <c r="S380" s="770"/>
      <c r="T380" s="770"/>
      <c r="U380" s="292" t="s">
        <v>105</v>
      </c>
      <c r="V380" s="69">
        <v>851.00864553314125</v>
      </c>
      <c r="W380" s="69">
        <v>984.73857554549215</v>
      </c>
      <c r="X380" s="69">
        <v>1499.0692717584368</v>
      </c>
      <c r="Y380" s="69">
        <f>Y$373*'Region OP Sales Goals'!V66</f>
        <v>2642.4111431316041</v>
      </c>
      <c r="Z380" s="69">
        <f>Z$373*'Region OP Sales Goals'!W66</f>
        <v>2853.8040345821328</v>
      </c>
      <c r="AA380" s="69">
        <f>AA$373*'Region OP Sales Goals'!X66</f>
        <v>2713.1235540041398</v>
      </c>
      <c r="AB380" s="69">
        <f>AB$373*'Region OP Sales Goals'!Y66</f>
        <v>3598.8632326820602</v>
      </c>
      <c r="AC380" s="69">
        <f>AC$373*'Region OP Sales Goals'!Z66</f>
        <v>3714.9555950266426</v>
      </c>
      <c r="AD380" s="69">
        <f>AD$373*'Region OP Sales Goals'!AA66</f>
        <v>2853.8040345821328</v>
      </c>
      <c r="AE380" s="69">
        <f>AE$373*'Region OP Sales Goals'!AB66</f>
        <v>3382.286263208453</v>
      </c>
      <c r="AF380" s="69">
        <f>AF$373*'Region OP Sales Goals'!AC66</f>
        <v>3250.5861456483126</v>
      </c>
      <c r="AG380" s="69">
        <f>AG$373*'Region OP Sales Goals'!AD66</f>
        <v>4405.2345062647018</v>
      </c>
      <c r="AH380" s="69">
        <f>AH$373*'Region OP Sales Goals'!AE66</f>
        <v>33260.886578785678</v>
      </c>
      <c r="AJ380" s="757"/>
      <c r="AK380" s="757"/>
      <c r="AL380" s="292" t="s">
        <v>105</v>
      </c>
      <c r="AM380" s="69">
        <v>1514.1428571428571</v>
      </c>
      <c r="AN380" s="69">
        <v>1429.4285714285716</v>
      </c>
      <c r="AO380" s="69">
        <v>1387</v>
      </c>
      <c r="AP380" s="69">
        <v>1918</v>
      </c>
      <c r="AQ380" s="156">
        <v>1323.7142857142858</v>
      </c>
      <c r="AR380" s="156">
        <v>1433.2857142857142</v>
      </c>
      <c r="AS380" s="156">
        <v>1863.8571428571429</v>
      </c>
      <c r="AT380" s="156">
        <v>1665.8571428571429</v>
      </c>
      <c r="AU380" s="69"/>
      <c r="AV380" s="69"/>
      <c r="AW380" s="69"/>
      <c r="AX380" s="69"/>
      <c r="AY380" s="69">
        <f t="shared" si="519"/>
        <v>12535.285714285714</v>
      </c>
      <c r="BA380" s="757"/>
      <c r="BB380" s="757"/>
      <c r="BC380" s="292" t="s">
        <v>105</v>
      </c>
      <c r="BD380" s="465">
        <f t="shared" si="523"/>
        <v>1.7792332252914711</v>
      </c>
      <c r="BE380" s="465">
        <f t="shared" si="511"/>
        <v>1.451581777058693</v>
      </c>
      <c r="BF380" s="465">
        <f t="shared" si="522"/>
        <v>0.92524076514024101</v>
      </c>
      <c r="BG380" s="465">
        <f t="shared" si="499"/>
        <v>0.72585222212123968</v>
      </c>
      <c r="BH380" s="465">
        <f t="shared" si="500"/>
        <v>0.46384204019394421</v>
      </c>
      <c r="BI380" s="465">
        <f t="shared" si="501"/>
        <v>0.52827882171838869</v>
      </c>
      <c r="BJ380" s="465">
        <f t="shared" si="502"/>
        <v>0.51790163236297804</v>
      </c>
      <c r="BK380" s="465">
        <f t="shared" si="503"/>
        <v>0.44841912648627386</v>
      </c>
      <c r="BL380" s="465">
        <f t="shared" si="504"/>
        <v>0</v>
      </c>
      <c r="BM380" s="465">
        <f t="shared" si="505"/>
        <v>0</v>
      </c>
      <c r="BN380" s="465">
        <f t="shared" si="506"/>
        <v>0</v>
      </c>
      <c r="BO380" s="465">
        <f t="shared" si="507"/>
        <v>0</v>
      </c>
      <c r="BP380" s="465">
        <f t="shared" si="521"/>
        <v>0.37687767836834868</v>
      </c>
    </row>
    <row r="381" spans="2:68">
      <c r="B381" s="768" t="s">
        <v>57</v>
      </c>
      <c r="C381" s="768" t="s">
        <v>49</v>
      </c>
      <c r="D381" s="343" t="s">
        <v>58</v>
      </c>
      <c r="E381" s="344"/>
      <c r="F381" s="344"/>
      <c r="G381" s="344"/>
      <c r="H381" s="344"/>
      <c r="I381" s="344"/>
      <c r="J381" s="344"/>
      <c r="K381" s="344"/>
      <c r="L381" s="344"/>
      <c r="M381" s="344"/>
      <c r="N381" s="344"/>
      <c r="O381" s="344"/>
      <c r="P381" s="344"/>
      <c r="Q381" s="345"/>
      <c r="S381" s="768" t="s">
        <v>57</v>
      </c>
      <c r="T381" s="768" t="s">
        <v>49</v>
      </c>
      <c r="U381" s="343" t="s">
        <v>58</v>
      </c>
      <c r="V381" s="344">
        <v>35050.024355745161</v>
      </c>
      <c r="W381" s="344">
        <v>38236.390206267446</v>
      </c>
      <c r="X381" s="344">
        <v>54820.723943906894</v>
      </c>
      <c r="Y381" s="344" cm="1">
        <f t="array" ref="Y381">INDEX('Shop Goals'!$H$188:$H$199, COLUMN()-COLUMN($V$3)+1)</f>
        <v>41422.756056789738</v>
      </c>
      <c r="Z381" s="344" cm="1">
        <f t="array" ref="Z381">INDEX('Shop Goals'!$H$188:$H$199, COLUMN()-COLUMN($V$3)+1)</f>
        <v>44609.121907312016</v>
      </c>
      <c r="AA381" s="344" cm="1">
        <f t="array" ref="AA381">INDEX('Shop Goals'!$H$188:$H$199, COLUMN()-COLUMN($V$3)+1)</f>
        <v>43015.938982050873</v>
      </c>
      <c r="AB381" s="344" cm="1">
        <f t="array" ref="AB381">INDEX('Shop Goals'!$H$188:$H$199, COLUMN()-COLUMN($V$3)+1)</f>
        <v>54820.723943906894</v>
      </c>
      <c r="AC381" s="344" cm="1">
        <f t="array" ref="AC381">INDEX('Shop Goals'!$H$188:$H$199, COLUMN()-COLUMN($V$3)+1)</f>
        <v>54820.723943906894</v>
      </c>
      <c r="AD381" s="344" cm="1">
        <f t="array" ref="AD381">INDEX('Shop Goals'!$H$188:$H$199, COLUMN()-COLUMN($V$3)+1)</f>
        <v>44609.121907312016</v>
      </c>
      <c r="AE381" s="344" cm="1">
        <f t="array" ref="AE381">INDEX('Shop Goals'!$H$188:$H$199, COLUMN()-COLUMN($V$3)+1)</f>
        <v>50981.853608356592</v>
      </c>
      <c r="AF381" s="344" cm="1">
        <f t="array" ref="AF381">INDEX('Shop Goals'!$H$188:$H$199, COLUMN()-COLUMN($V$3)+1)</f>
        <v>47968.133450918533</v>
      </c>
      <c r="AG381" s="344" cm="1">
        <f t="array" ref="AG381">INDEX('Shop Goals'!$H$188:$H$199, COLUMN()-COLUMN($V$3)+1)</f>
        <v>66812.757306636529</v>
      </c>
      <c r="AH381" s="345">
        <f t="shared" ref="AH381:AH390" si="524">SUM(V381:AG381)</f>
        <v>577168.26961310965</v>
      </c>
      <c r="AI381" s="47"/>
      <c r="AJ381" s="757" t="s">
        <v>57</v>
      </c>
      <c r="AK381" s="757" t="s">
        <v>49</v>
      </c>
      <c r="AL381" s="343" t="s">
        <v>58</v>
      </c>
      <c r="AM381" s="344">
        <f>AM382+AM390+AM398</f>
        <v>54643</v>
      </c>
      <c r="AN381" s="344">
        <f t="shared" ref="AN381:AX381" si="525">AN382+AN390+AN398</f>
        <v>53070</v>
      </c>
      <c r="AO381" s="344">
        <f t="shared" si="525"/>
        <v>56828</v>
      </c>
      <c r="AP381" s="344">
        <f t="shared" si="525"/>
        <v>56196</v>
      </c>
      <c r="AQ381" s="344">
        <f t="shared" si="525"/>
        <v>53834</v>
      </c>
      <c r="AR381" s="344">
        <f t="shared" si="525"/>
        <v>54107</v>
      </c>
      <c r="AS381" s="344">
        <f t="shared" si="525"/>
        <v>56673</v>
      </c>
      <c r="AT381" s="344">
        <f t="shared" si="525"/>
        <v>46585</v>
      </c>
      <c r="AU381" s="344">
        <f t="shared" si="525"/>
        <v>0</v>
      </c>
      <c r="AV381" s="344">
        <f t="shared" si="525"/>
        <v>0</v>
      </c>
      <c r="AW381" s="344">
        <f t="shared" si="525"/>
        <v>0</v>
      </c>
      <c r="AX381" s="344">
        <f t="shared" si="525"/>
        <v>0</v>
      </c>
      <c r="AY381" s="344">
        <f>AY382+AY390+AY398</f>
        <v>431936</v>
      </c>
      <c r="BA381" s="757" t="s">
        <v>57</v>
      </c>
      <c r="BB381" s="757" t="s">
        <v>49</v>
      </c>
      <c r="BC381" s="343" t="s">
        <v>58</v>
      </c>
      <c r="BD381" s="463">
        <f>AM381/V381</f>
        <v>1.5590003432064174</v>
      </c>
      <c r="BE381" s="463">
        <f>AN381/W381</f>
        <v>1.3879448272630384</v>
      </c>
      <c r="BF381" s="463">
        <f t="shared" si="522"/>
        <v>1.036615278159168</v>
      </c>
      <c r="BG381" s="463">
        <f t="shared" si="499"/>
        <v>1.3566456061725214</v>
      </c>
      <c r="BH381" s="463">
        <f t="shared" si="500"/>
        <v>1.2067935367984886</v>
      </c>
      <c r="BI381" s="463">
        <f t="shared" si="501"/>
        <v>1.2578360784493641</v>
      </c>
      <c r="BJ381" s="463">
        <f t="shared" si="502"/>
        <v>1.0337878802547076</v>
      </c>
      <c r="BK381" s="463">
        <f t="shared" si="503"/>
        <v>0.84976987986634822</v>
      </c>
      <c r="BL381" s="463">
        <f t="shared" si="504"/>
        <v>0</v>
      </c>
      <c r="BM381" s="463">
        <f t="shared" si="505"/>
        <v>0</v>
      </c>
      <c r="BN381" s="463">
        <f t="shared" si="506"/>
        <v>0</v>
      </c>
      <c r="BO381" s="463">
        <f t="shared" si="507"/>
        <v>0</v>
      </c>
      <c r="BP381" s="463">
        <f t="shared" si="521"/>
        <v>0.74837100849209459</v>
      </c>
    </row>
    <row r="382" spans="2:68">
      <c r="B382" s="769"/>
      <c r="C382" s="769"/>
      <c r="D382" s="182" t="s">
        <v>60</v>
      </c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1"/>
      <c r="P382" s="341"/>
      <c r="Q382" s="342"/>
      <c r="S382" s="769"/>
      <c r="T382" s="769"/>
      <c r="U382" s="182" t="s">
        <v>60</v>
      </c>
      <c r="V382" s="341">
        <v>271.77713736791549</v>
      </c>
      <c r="W382" s="341">
        <v>296.48414985590779</v>
      </c>
      <c r="X382" s="341">
        <v>410.37300177619892</v>
      </c>
      <c r="Y382" s="341" cm="1">
        <f t="array" ref="Y382">INDEX('Shop Goals'!$D$188:$D$199, COLUMN()-COLUMN($V$3)+1)</f>
        <v>321.19116234390009</v>
      </c>
      <c r="Z382" s="341" cm="1">
        <f t="array" ref="Z382">INDEX('Shop Goals'!$D$188:$D$199, COLUMN()-COLUMN($V$3)+1)</f>
        <v>345.89817483189239</v>
      </c>
      <c r="AA382" s="341" cm="1">
        <f t="array" ref="AA382">INDEX('Shop Goals'!$D$188:$D$199, COLUMN()-COLUMN($V$3)+1)</f>
        <v>333.54466858789624</v>
      </c>
      <c r="AB382" s="341" cm="1">
        <f t="array" ref="AB382">INDEX('Shop Goals'!$D$188:$D$199, COLUMN()-COLUMN($V$3)+1)</f>
        <v>410.37300177619892</v>
      </c>
      <c r="AC382" s="341" cm="1">
        <f t="array" ref="AC382">INDEX('Shop Goals'!$D$188:$D$199, COLUMN()-COLUMN($V$3)+1)</f>
        <v>410.37300177619892</v>
      </c>
      <c r="AD382" s="341" cm="1">
        <f t="array" ref="AD382">INDEX('Shop Goals'!$D$188:$D$199, COLUMN()-COLUMN($V$3)+1)</f>
        <v>345.89817483189239</v>
      </c>
      <c r="AE382" s="341" cm="1">
        <f t="array" ref="AE382">INDEX('Shop Goals'!$D$188:$D$199, COLUMN()-COLUMN($V$3)+1)</f>
        <v>395.31219980787705</v>
      </c>
      <c r="AF382" s="341" cm="1">
        <f t="array" ref="AF382">INDEX('Shop Goals'!$D$188:$D$199, COLUMN()-COLUMN($V$3)+1)</f>
        <v>359.07637655417409</v>
      </c>
      <c r="AG382" s="341" cm="1">
        <f t="array" ref="AG382">INDEX('Shop Goals'!$D$188:$D$199, COLUMN()-COLUMN($V$3)+1)</f>
        <v>500.14209591474247</v>
      </c>
      <c r="AH382" s="342">
        <f t="shared" si="524"/>
        <v>4400.4431454247951</v>
      </c>
      <c r="AJ382" s="757"/>
      <c r="AK382" s="757"/>
      <c r="AL382" s="182" t="s">
        <v>60</v>
      </c>
      <c r="AM382" s="341">
        <f>SUM(AM383:AM389)</f>
        <v>361</v>
      </c>
      <c r="AN382" s="341">
        <f t="shared" ref="AN382:AY382" si="526">SUM(AN383:AN389)</f>
        <v>289</v>
      </c>
      <c r="AO382" s="341">
        <f t="shared" si="526"/>
        <v>370</v>
      </c>
      <c r="AP382" s="341">
        <f t="shared" si="526"/>
        <v>265</v>
      </c>
      <c r="AQ382" s="341">
        <f t="shared" si="526"/>
        <v>312</v>
      </c>
      <c r="AR382" s="341">
        <f t="shared" si="526"/>
        <v>388</v>
      </c>
      <c r="AS382" s="341">
        <f t="shared" si="526"/>
        <v>417</v>
      </c>
      <c r="AT382" s="341">
        <f t="shared" si="526"/>
        <v>384</v>
      </c>
      <c r="AU382" s="341">
        <f t="shared" si="526"/>
        <v>0</v>
      </c>
      <c r="AV382" s="341">
        <f t="shared" si="526"/>
        <v>0</v>
      </c>
      <c r="AW382" s="341">
        <f t="shared" si="526"/>
        <v>0</v>
      </c>
      <c r="AX382" s="341">
        <f t="shared" si="526"/>
        <v>0</v>
      </c>
      <c r="AY382" s="341">
        <f t="shared" si="526"/>
        <v>2786</v>
      </c>
      <c r="BA382" s="757"/>
      <c r="BB382" s="757"/>
      <c r="BC382" s="182" t="s">
        <v>60</v>
      </c>
      <c r="BD382" s="464">
        <f>AM382/V382</f>
        <v>1.3282942174466279</v>
      </c>
      <c r="BE382" s="464">
        <f t="shared" ref="BE382:BE405" si="527">AN382/W382</f>
        <v>0.97475699844479002</v>
      </c>
      <c r="BF382" s="464">
        <f t="shared" si="522"/>
        <v>0.90161876731301938</v>
      </c>
      <c r="BG382" s="464">
        <f t="shared" si="499"/>
        <v>0.82505383419069267</v>
      </c>
      <c r="BH382" s="464">
        <f t="shared" si="500"/>
        <v>0.90199955565429912</v>
      </c>
      <c r="BI382" s="464">
        <f t="shared" si="501"/>
        <v>1.1632624848799034</v>
      </c>
      <c r="BJ382" s="464">
        <f t="shared" si="502"/>
        <v>1.0161487188365652</v>
      </c>
      <c r="BK382" s="464">
        <f t="shared" si="503"/>
        <v>0.93573407202216075</v>
      </c>
      <c r="BL382" s="464">
        <f t="shared" si="504"/>
        <v>0</v>
      </c>
      <c r="BM382" s="464">
        <f t="shared" si="505"/>
        <v>0</v>
      </c>
      <c r="BN382" s="464">
        <f t="shared" si="506"/>
        <v>0</v>
      </c>
      <c r="BO382" s="464">
        <f t="shared" si="507"/>
        <v>0</v>
      </c>
      <c r="BP382" s="464">
        <f t="shared" si="521"/>
        <v>0.63311805377979824</v>
      </c>
    </row>
    <row r="383" spans="2:68" ht="16" customHeight="1">
      <c r="B383" s="769"/>
      <c r="C383" s="769"/>
      <c r="D383" s="292" t="s">
        <v>99</v>
      </c>
      <c r="E383" s="69">
        <v>40</v>
      </c>
      <c r="F383" s="69">
        <v>56</v>
      </c>
      <c r="G383" s="69">
        <v>37</v>
      </c>
      <c r="H383" s="69">
        <v>40</v>
      </c>
      <c r="I383" s="69">
        <v>61</v>
      </c>
      <c r="J383" s="69">
        <v>52</v>
      </c>
      <c r="K383" s="69">
        <v>62</v>
      </c>
      <c r="L383" s="69">
        <v>76</v>
      </c>
      <c r="M383" s="69">
        <v>50</v>
      </c>
      <c r="N383" s="69">
        <v>62</v>
      </c>
      <c r="O383" s="69">
        <v>46</v>
      </c>
      <c r="P383" s="69">
        <v>88</v>
      </c>
      <c r="Q383" s="69">
        <f>SUM(E383:P383)</f>
        <v>670</v>
      </c>
      <c r="S383" s="769"/>
      <c r="T383" s="769"/>
      <c r="U383" s="292" t="s">
        <v>99</v>
      </c>
      <c r="V383" s="69">
        <v>37.060518731988473</v>
      </c>
      <c r="W383" s="69">
        <v>31.766158913132976</v>
      </c>
      <c r="X383" s="69">
        <v>41.037300177619898</v>
      </c>
      <c r="Y383" s="69">
        <f>Y$382*'Region OP Sales Goals'!V60</f>
        <v>32.119116234390013</v>
      </c>
      <c r="Z383" s="69">
        <f>Z$382*'Region OP Sales Goals'!W60</f>
        <v>34.589817483189243</v>
      </c>
      <c r="AA383" s="69">
        <f>AA$382*'Region OP Sales Goals'!X60</f>
        <v>35.23359175224256</v>
      </c>
      <c r="AB383" s="69">
        <f>AB$382*'Region OP Sales Goals'!Y60</f>
        <v>41.037300177619898</v>
      </c>
      <c r="AC383" s="69">
        <f>AC$382*'Region OP Sales Goals'!Z60</f>
        <v>41.037300177619898</v>
      </c>
      <c r="AD383" s="69">
        <f>AD$382*'Region OP Sales Goals'!AA60</f>
        <v>34.589817483189243</v>
      </c>
      <c r="AE383" s="69">
        <f>AE$382*'Region OP Sales Goals'!AB60</f>
        <v>39.531219980787711</v>
      </c>
      <c r="AF383" s="69">
        <f>AF$382*'Region OP Sales Goals'!AC60</f>
        <v>35.90763765541741</v>
      </c>
      <c r="AG383" s="69">
        <f>AG$382*'Region OP Sales Goals'!AD60</f>
        <v>51.365944985838418</v>
      </c>
      <c r="AH383" s="69">
        <f>AH$382*'Region OP Sales Goals'!AE60</f>
        <v>459.3582405662894</v>
      </c>
      <c r="AJ383" s="757"/>
      <c r="AK383" s="757"/>
      <c r="AL383" s="292" t="s">
        <v>99</v>
      </c>
      <c r="AM383" s="69">
        <v>84</v>
      </c>
      <c r="AN383" s="69">
        <v>46</v>
      </c>
      <c r="AO383" s="69">
        <v>57</v>
      </c>
      <c r="AP383" s="69">
        <v>39</v>
      </c>
      <c r="AQ383" s="69">
        <v>51</v>
      </c>
      <c r="AR383" s="69">
        <v>59</v>
      </c>
      <c r="AS383" s="69">
        <v>83</v>
      </c>
      <c r="AT383" s="69">
        <v>59</v>
      </c>
      <c r="AU383" s="69"/>
      <c r="AV383" s="69"/>
      <c r="AW383" s="69"/>
      <c r="AX383" s="69"/>
      <c r="AY383" s="69">
        <f>SUM(AM383:AX383)</f>
        <v>478</v>
      </c>
      <c r="BA383" s="757"/>
      <c r="BB383" s="757"/>
      <c r="BC383" s="292" t="s">
        <v>99</v>
      </c>
      <c r="BD383" s="465">
        <f>AM383/V383</f>
        <v>2.2665629860031102</v>
      </c>
      <c r="BE383" s="465">
        <f t="shared" si="527"/>
        <v>1.4480819077242095</v>
      </c>
      <c r="BF383" s="465">
        <f t="shared" si="522"/>
        <v>1.3889802631578947</v>
      </c>
      <c r="BG383" s="465">
        <f t="shared" si="499"/>
        <v>1.2142301710730947</v>
      </c>
      <c r="BH383" s="465">
        <f t="shared" si="500"/>
        <v>1.4744223505887579</v>
      </c>
      <c r="BI383" s="465">
        <f t="shared" si="501"/>
        <v>1.6745383330453316</v>
      </c>
      <c r="BJ383" s="465">
        <f t="shared" si="502"/>
        <v>2.0225502077562325</v>
      </c>
      <c r="BK383" s="465">
        <f t="shared" si="503"/>
        <v>1.437716412742382</v>
      </c>
      <c r="BL383" s="465">
        <f t="shared" si="504"/>
        <v>0</v>
      </c>
      <c r="BM383" s="465">
        <f t="shared" si="505"/>
        <v>0</v>
      </c>
      <c r="BN383" s="465">
        <f t="shared" si="506"/>
        <v>0</v>
      </c>
      <c r="BO383" s="465">
        <f t="shared" si="507"/>
        <v>0</v>
      </c>
      <c r="BP383" s="465">
        <f>AY383/AH383</f>
        <v>1.040582181372711</v>
      </c>
    </row>
    <row r="384" spans="2:68" ht="16" customHeight="1">
      <c r="B384" s="769"/>
      <c r="C384" s="769"/>
      <c r="D384" s="292" t="s">
        <v>100</v>
      </c>
      <c r="E384" s="69">
        <v>81</v>
      </c>
      <c r="F384" s="69">
        <v>73</v>
      </c>
      <c r="G384" s="69">
        <v>44</v>
      </c>
      <c r="H384" s="69">
        <v>85</v>
      </c>
      <c r="I384" s="69">
        <v>57</v>
      </c>
      <c r="J384" s="69">
        <v>43</v>
      </c>
      <c r="K384" s="69">
        <v>43</v>
      </c>
      <c r="L384" s="69">
        <v>81</v>
      </c>
      <c r="M384" s="69">
        <v>53</v>
      </c>
      <c r="N384" s="69">
        <v>49</v>
      </c>
      <c r="O384" s="69">
        <v>51</v>
      </c>
      <c r="P384" s="69">
        <v>66</v>
      </c>
      <c r="Q384" s="69">
        <f t="shared" ref="Q384:Q389" si="528">SUM(E384:P384)</f>
        <v>726</v>
      </c>
      <c r="S384" s="769"/>
      <c r="T384" s="769"/>
      <c r="U384" s="292" t="s">
        <v>100</v>
      </c>
      <c r="V384" s="69">
        <v>42.001921229586941</v>
      </c>
      <c r="W384" s="69">
        <v>44.472622478386164</v>
      </c>
      <c r="X384" s="69">
        <v>64.120781527531079</v>
      </c>
      <c r="Y384" s="69">
        <f>Y$382*'Region OP Sales Goals'!V61</f>
        <v>46.943323727185401</v>
      </c>
      <c r="Z384" s="69">
        <f>Z$382*'Region OP Sales Goals'!W61</f>
        <v>51.884726224783854</v>
      </c>
      <c r="AA384" s="69">
        <f>AA$382*'Region OP Sales Goals'!X61</f>
        <v>49.327028453139583</v>
      </c>
      <c r="AB384" s="69">
        <f>AB$382*'Region OP Sales Goals'!Y61</f>
        <v>61.555950266429832</v>
      </c>
      <c r="AC384" s="69">
        <f>AC$382*'Region OP Sales Goals'!Z61</f>
        <v>60.348970849441017</v>
      </c>
      <c r="AD384" s="69">
        <f>AD$382*'Region OP Sales Goals'!AA61</f>
        <v>51.884726224783854</v>
      </c>
      <c r="AE384" s="69">
        <f>AE$382*'Region OP Sales Goals'!AB61</f>
        <v>57.979122638488633</v>
      </c>
      <c r="AF384" s="69">
        <f>AF$382*'Region OP Sales Goals'!AC61</f>
        <v>52.664535227945535</v>
      </c>
      <c r="AG384" s="69">
        <f>AG$382*'Region OP Sales Goals'!AD61</f>
        <v>72.993711295665122</v>
      </c>
      <c r="AH384" s="69">
        <f>AH$382*'Region OP Sales Goals'!AE61</f>
        <v>652.49750080438832</v>
      </c>
      <c r="AJ384" s="757"/>
      <c r="AK384" s="757"/>
      <c r="AL384" s="292" t="s">
        <v>100</v>
      </c>
      <c r="AM384" s="69">
        <v>73</v>
      </c>
      <c r="AN384" s="69">
        <v>58</v>
      </c>
      <c r="AO384" s="69">
        <v>51</v>
      </c>
      <c r="AP384" s="69">
        <v>53</v>
      </c>
      <c r="AQ384" s="69">
        <v>50</v>
      </c>
      <c r="AR384" s="69">
        <v>69</v>
      </c>
      <c r="AS384" s="69">
        <v>65</v>
      </c>
      <c r="AT384" s="69">
        <v>59</v>
      </c>
      <c r="AU384" s="69"/>
      <c r="AV384" s="69"/>
      <c r="AW384" s="69"/>
      <c r="AX384" s="69"/>
      <c r="AY384" s="69">
        <f t="shared" ref="AY384:AY389" si="529">SUM(AM384:AX384)</f>
        <v>478</v>
      </c>
      <c r="BA384" s="757"/>
      <c r="BB384" s="757"/>
      <c r="BC384" s="292" t="s">
        <v>100</v>
      </c>
      <c r="BD384" s="465">
        <f t="shared" ref="BD384:BD389" si="530">AM384/V384</f>
        <v>1.7380157350654102</v>
      </c>
      <c r="BE384" s="465">
        <f t="shared" si="527"/>
        <v>1.304173146708139</v>
      </c>
      <c r="BF384" s="465">
        <f t="shared" si="522"/>
        <v>0.79537396121883663</v>
      </c>
      <c r="BG384" s="465">
        <f t="shared" si="499"/>
        <v>1.1290210362609479</v>
      </c>
      <c r="BH384" s="465">
        <f t="shared" si="500"/>
        <v>0.96367473894690081</v>
      </c>
      <c r="BI384" s="465">
        <f t="shared" si="501"/>
        <v>1.3988274210669236</v>
      </c>
      <c r="BJ384" s="465">
        <f t="shared" si="502"/>
        <v>1.0559499076638967</v>
      </c>
      <c r="BK384" s="465">
        <f t="shared" si="503"/>
        <v>0.97764716066482005</v>
      </c>
      <c r="BL384" s="465">
        <f t="shared" si="504"/>
        <v>0</v>
      </c>
      <c r="BM384" s="465">
        <f t="shared" si="505"/>
        <v>0</v>
      </c>
      <c r="BN384" s="465">
        <f t="shared" si="506"/>
        <v>0</v>
      </c>
      <c r="BO384" s="465">
        <f t="shared" si="507"/>
        <v>0</v>
      </c>
      <c r="BP384" s="465">
        <f t="shared" ref="BP384:BP390" si="531">AY384/AH384</f>
        <v>0.73256985568638866</v>
      </c>
    </row>
    <row r="385" spans="2:68" ht="16" customHeight="1">
      <c r="B385" s="769"/>
      <c r="C385" s="769"/>
      <c r="D385" s="292" t="s">
        <v>101</v>
      </c>
      <c r="E385" s="69">
        <v>39</v>
      </c>
      <c r="F385" s="69">
        <v>26</v>
      </c>
      <c r="G385" s="69">
        <v>26</v>
      </c>
      <c r="H385" s="69">
        <v>29</v>
      </c>
      <c r="I385" s="69">
        <v>43</v>
      </c>
      <c r="J385" s="69">
        <v>48</v>
      </c>
      <c r="K385" s="69">
        <v>21</v>
      </c>
      <c r="L385" s="69">
        <v>21</v>
      </c>
      <c r="M385" s="69">
        <v>32</v>
      </c>
      <c r="N385" s="69">
        <v>26</v>
      </c>
      <c r="O385" s="69">
        <v>40</v>
      </c>
      <c r="P385" s="69">
        <v>35</v>
      </c>
      <c r="Q385" s="69">
        <f t="shared" si="528"/>
        <v>386</v>
      </c>
      <c r="S385" s="769"/>
      <c r="T385" s="769"/>
      <c r="U385" s="292" t="s">
        <v>101</v>
      </c>
      <c r="V385" s="69">
        <v>22.236311239193085</v>
      </c>
      <c r="W385" s="69">
        <v>23.295183202964182</v>
      </c>
      <c r="X385" s="69">
        <v>33.342806394316163</v>
      </c>
      <c r="Y385" s="69">
        <f>Y$382*'Region OP Sales Goals'!V62</f>
        <v>24.707012487992316</v>
      </c>
      <c r="Z385" s="69">
        <f>Z$382*'Region OP Sales Goals'!W62</f>
        <v>27.177713736791546</v>
      </c>
      <c r="AA385" s="69">
        <f>AA$382*'Region OP Sales Goals'!X62</f>
        <v>25.837967284977875</v>
      </c>
      <c r="AB385" s="69">
        <f>AB$382*'Region OP Sales Goals'!Y62</f>
        <v>30.777975133214916</v>
      </c>
      <c r="AC385" s="69">
        <f>AC$382*'Region OP Sales Goals'!Z62</f>
        <v>31.381464841709331</v>
      </c>
      <c r="AD385" s="69">
        <f>AD$382*'Region OP Sales Goals'!AA62</f>
        <v>27.177713736791546</v>
      </c>
      <c r="AE385" s="69">
        <f>AE$382*'Region OP Sales Goals'!AB62</f>
        <v>31.624975984630165</v>
      </c>
      <c r="AF385" s="69">
        <f>AF$382*'Region OP Sales Goals'!AC62</f>
        <v>28.726110124333928</v>
      </c>
      <c r="AG385" s="69">
        <f>AG$382*'Region OP Sales Goals'!AD62</f>
        <v>37.84859104219673</v>
      </c>
      <c r="AH385" s="69">
        <f>AH$382*'Region OP Sales Goals'!AE62</f>
        <v>341.9086904214995</v>
      </c>
      <c r="AJ385" s="757"/>
      <c r="AK385" s="757"/>
      <c r="AL385" s="292" t="s">
        <v>101</v>
      </c>
      <c r="AM385" s="69">
        <v>33</v>
      </c>
      <c r="AN385" s="69">
        <v>24</v>
      </c>
      <c r="AO385" s="69">
        <v>56</v>
      </c>
      <c r="AP385" s="69">
        <v>18</v>
      </c>
      <c r="AQ385" s="69">
        <v>20</v>
      </c>
      <c r="AR385" s="69">
        <v>36</v>
      </c>
      <c r="AS385" s="69">
        <v>47</v>
      </c>
      <c r="AT385" s="69">
        <v>28</v>
      </c>
      <c r="AU385" s="69"/>
      <c r="AV385" s="69"/>
      <c r="AW385" s="69"/>
      <c r="AX385" s="69"/>
      <c r="AY385" s="69">
        <f t="shared" si="529"/>
        <v>262</v>
      </c>
      <c r="BA385" s="757"/>
      <c r="BB385" s="757"/>
      <c r="BC385" s="292" t="s">
        <v>101</v>
      </c>
      <c r="BD385" s="465">
        <f t="shared" si="530"/>
        <v>1.4840590979782269</v>
      </c>
      <c r="BE385" s="465">
        <f t="shared" si="527"/>
        <v>1.0302559027286866</v>
      </c>
      <c r="BF385" s="465">
        <f t="shared" si="522"/>
        <v>1.6795226933731089</v>
      </c>
      <c r="BG385" s="465">
        <f t="shared" si="499"/>
        <v>0.72853810264385688</v>
      </c>
      <c r="BH385" s="465">
        <f t="shared" si="500"/>
        <v>0.73589707337763333</v>
      </c>
      <c r="BI385" s="465">
        <f t="shared" si="501"/>
        <v>1.3932984589283193</v>
      </c>
      <c r="BJ385" s="465">
        <f t="shared" si="502"/>
        <v>1.527066020313943</v>
      </c>
      <c r="BK385" s="465">
        <f t="shared" si="503"/>
        <v>0.89224643085446409</v>
      </c>
      <c r="BL385" s="465">
        <f t="shared" si="504"/>
        <v>0</v>
      </c>
      <c r="BM385" s="465">
        <f t="shared" si="505"/>
        <v>0</v>
      </c>
      <c r="BN385" s="465">
        <f t="shared" si="506"/>
        <v>0</v>
      </c>
      <c r="BO385" s="465">
        <f t="shared" si="507"/>
        <v>0</v>
      </c>
      <c r="BP385" s="465">
        <f t="shared" si="531"/>
        <v>0.7662864599230006</v>
      </c>
    </row>
    <row r="386" spans="2:68" ht="16" customHeight="1">
      <c r="B386" s="769"/>
      <c r="C386" s="769"/>
      <c r="D386" s="292" t="s">
        <v>102</v>
      </c>
      <c r="E386" s="69">
        <v>8</v>
      </c>
      <c r="F386" s="69">
        <v>13</v>
      </c>
      <c r="G386" s="69">
        <v>8</v>
      </c>
      <c r="H386" s="69">
        <v>22</v>
      </c>
      <c r="I386" s="69">
        <v>22</v>
      </c>
      <c r="J386" s="69">
        <v>6</v>
      </c>
      <c r="K386" s="69">
        <v>10</v>
      </c>
      <c r="L386" s="69">
        <v>11</v>
      </c>
      <c r="M386" s="69">
        <v>10</v>
      </c>
      <c r="N386" s="69">
        <v>12</v>
      </c>
      <c r="O386" s="69">
        <v>3</v>
      </c>
      <c r="P386" s="69">
        <v>11</v>
      </c>
      <c r="Q386" s="69">
        <f t="shared" si="528"/>
        <v>136</v>
      </c>
      <c r="S386" s="769"/>
      <c r="T386" s="769"/>
      <c r="U386" s="292" t="s">
        <v>102</v>
      </c>
      <c r="V386" s="69">
        <v>4.941402497598463</v>
      </c>
      <c r="W386" s="69">
        <v>12.706463565253191</v>
      </c>
      <c r="X386" s="69">
        <v>17.953818827708702</v>
      </c>
      <c r="Y386" s="69">
        <f>Y$382*'Region OP Sales Goals'!V63</f>
        <v>17.294908741594622</v>
      </c>
      <c r="Z386" s="69">
        <f>Z$382*'Region OP Sales Goals'!W63</f>
        <v>14.824207492795388</v>
      </c>
      <c r="AA386" s="69">
        <f>AA$382*'Region OP Sales Goals'!X63</f>
        <v>14.093436700897024</v>
      </c>
      <c r="AB386" s="69">
        <f>AB$382*'Region OP Sales Goals'!Y63</f>
        <v>17.953818827708702</v>
      </c>
      <c r="AC386" s="69">
        <f>AC$382*'Region OP Sales Goals'!Z63</f>
        <v>16.897711837843485</v>
      </c>
      <c r="AD386" s="69">
        <f>AD$382*'Region OP Sales Goals'!AA63</f>
        <v>14.824207492795388</v>
      </c>
      <c r="AE386" s="69">
        <f>AE$382*'Region OP Sales Goals'!AB63</f>
        <v>15.812487992315083</v>
      </c>
      <c r="AF386" s="69">
        <f>AF$382*'Region OP Sales Goals'!AC63</f>
        <v>14.363055062166964</v>
      </c>
      <c r="AG386" s="69">
        <f>AG$382*'Region OP Sales Goals'!AD63</f>
        <v>21.627766309826704</v>
      </c>
      <c r="AH386" s="69">
        <f>AH$382*'Region OP Sales Goals'!AE63</f>
        <v>169.64935020914098</v>
      </c>
      <c r="AJ386" s="757"/>
      <c r="AK386" s="757"/>
      <c r="AL386" s="292" t="s">
        <v>102</v>
      </c>
      <c r="AM386" s="69">
        <v>13</v>
      </c>
      <c r="AN386" s="69">
        <v>5</v>
      </c>
      <c r="AO386" s="69">
        <v>18</v>
      </c>
      <c r="AP386" s="69">
        <v>8</v>
      </c>
      <c r="AQ386" s="69">
        <v>13</v>
      </c>
      <c r="AR386" s="69">
        <v>21</v>
      </c>
      <c r="AS386" s="69">
        <v>17</v>
      </c>
      <c r="AT386" s="69">
        <v>15</v>
      </c>
      <c r="AU386" s="69"/>
      <c r="AV386" s="69"/>
      <c r="AW386" s="69"/>
      <c r="AX386" s="69"/>
      <c r="AY386" s="69">
        <f t="shared" si="529"/>
        <v>110</v>
      </c>
      <c r="BA386" s="757"/>
      <c r="BB386" s="757"/>
      <c r="BC386" s="292" t="s">
        <v>102</v>
      </c>
      <c r="BD386" s="465">
        <f t="shared" si="530"/>
        <v>2.6308320373250389</v>
      </c>
      <c r="BE386" s="465">
        <f t="shared" si="527"/>
        <v>0.39350051840331779</v>
      </c>
      <c r="BF386" s="465">
        <f t="shared" si="522"/>
        <v>1.0025722200237437</v>
      </c>
      <c r="BG386" s="465">
        <f t="shared" si="499"/>
        <v>0.46256387469451232</v>
      </c>
      <c r="BH386" s="465">
        <f t="shared" si="500"/>
        <v>0.87694401244167974</v>
      </c>
      <c r="BI386" s="465">
        <f t="shared" si="501"/>
        <v>1.4900552963538967</v>
      </c>
      <c r="BJ386" s="465">
        <f t="shared" si="502"/>
        <v>0.9468737633557579</v>
      </c>
      <c r="BK386" s="465">
        <f t="shared" si="503"/>
        <v>0.88769415314602296</v>
      </c>
      <c r="BL386" s="465">
        <f t="shared" si="504"/>
        <v>0</v>
      </c>
      <c r="BM386" s="465">
        <f t="shared" si="505"/>
        <v>0</v>
      </c>
      <c r="BN386" s="465">
        <f t="shared" si="506"/>
        <v>0</v>
      </c>
      <c r="BO386" s="465">
        <f t="shared" si="507"/>
        <v>0</v>
      </c>
      <c r="BP386" s="465">
        <f t="shared" si="531"/>
        <v>0.648396235319462</v>
      </c>
    </row>
    <row r="387" spans="2:68" ht="16" customHeight="1">
      <c r="B387" s="769"/>
      <c r="C387" s="769"/>
      <c r="D387" s="292" t="s">
        <v>103</v>
      </c>
      <c r="E387" s="69">
        <v>32</v>
      </c>
      <c r="F387" s="69">
        <v>42</v>
      </c>
      <c r="G387" s="69">
        <v>38</v>
      </c>
      <c r="H387" s="69">
        <v>32</v>
      </c>
      <c r="I387" s="69">
        <v>43</v>
      </c>
      <c r="J387" s="69">
        <v>44</v>
      </c>
      <c r="K387" s="69">
        <v>35</v>
      </c>
      <c r="L387" s="69">
        <v>35</v>
      </c>
      <c r="M387" s="69">
        <v>32</v>
      </c>
      <c r="N387" s="69">
        <v>44</v>
      </c>
      <c r="O387" s="69">
        <v>57</v>
      </c>
      <c r="P387" s="69">
        <v>54</v>
      </c>
      <c r="Q387" s="69">
        <f t="shared" si="528"/>
        <v>488</v>
      </c>
      <c r="S387" s="769"/>
      <c r="T387" s="769"/>
      <c r="U387" s="292" t="s">
        <v>103</v>
      </c>
      <c r="V387" s="69">
        <v>44.472622478386171</v>
      </c>
      <c r="W387" s="69">
        <v>44.472622478386164</v>
      </c>
      <c r="X387" s="69">
        <v>66.685612788632326</v>
      </c>
      <c r="Y387" s="69">
        <f>Y$382*'Region OP Sales Goals'!V64</f>
        <v>49.414024975984631</v>
      </c>
      <c r="Z387" s="69">
        <f>Z$382*'Region OP Sales Goals'!W64</f>
        <v>54.355427473583092</v>
      </c>
      <c r="AA387" s="69">
        <f>AA$382*'Region OP Sales Goals'!X64</f>
        <v>51.67593456995575</v>
      </c>
      <c r="AB387" s="69">
        <f>AB$382*'Region OP Sales Goals'!Y64</f>
        <v>64.120781527531079</v>
      </c>
      <c r="AC387" s="69">
        <f>AC$382*'Region OP Sales Goals'!Z64</f>
        <v>62.762929683418662</v>
      </c>
      <c r="AD387" s="69">
        <f>AD$382*'Region OP Sales Goals'!AA64</f>
        <v>54.355427473583092</v>
      </c>
      <c r="AE387" s="69">
        <f>AE$382*'Region OP Sales Goals'!AB64</f>
        <v>60.614537303874478</v>
      </c>
      <c r="AF387" s="69">
        <f>AF$382*'Region OP Sales Goals'!AC64</f>
        <v>55.058377738306689</v>
      </c>
      <c r="AG387" s="69">
        <f>AG$382*'Region OP Sales Goals'!AD64</f>
        <v>78.4006528731218</v>
      </c>
      <c r="AH387" s="69">
        <f>AH$382*'Region OP Sales Goals'!AE64</f>
        <v>662.93746081725851</v>
      </c>
      <c r="AJ387" s="757"/>
      <c r="AK387" s="757"/>
      <c r="AL387" s="292" t="s">
        <v>103</v>
      </c>
      <c r="AM387" s="69">
        <v>31</v>
      </c>
      <c r="AN387" s="69">
        <v>28</v>
      </c>
      <c r="AO387" s="69">
        <v>65</v>
      </c>
      <c r="AP387" s="69">
        <v>38</v>
      </c>
      <c r="AQ387" s="69">
        <v>48</v>
      </c>
      <c r="AR387" s="69">
        <v>69</v>
      </c>
      <c r="AS387" s="69">
        <v>69</v>
      </c>
      <c r="AT387" s="69">
        <v>65</v>
      </c>
      <c r="AU387" s="69"/>
      <c r="AV387" s="69"/>
      <c r="AW387" s="69"/>
      <c r="AX387" s="69"/>
      <c r="AY387" s="69">
        <f t="shared" si="529"/>
        <v>413</v>
      </c>
      <c r="BA387" s="757"/>
      <c r="BB387" s="757"/>
      <c r="BC387" s="292" t="s">
        <v>103</v>
      </c>
      <c r="BD387" s="465">
        <f t="shared" si="530"/>
        <v>0.69705806117159141</v>
      </c>
      <c r="BE387" s="465">
        <f t="shared" si="527"/>
        <v>0.62960082944530849</v>
      </c>
      <c r="BF387" s="465">
        <f t="shared" si="522"/>
        <v>0.97472299168975074</v>
      </c>
      <c r="BG387" s="465">
        <f t="shared" si="499"/>
        <v>0.76901244167962668</v>
      </c>
      <c r="BH387" s="465">
        <f t="shared" si="500"/>
        <v>0.88307648805315997</v>
      </c>
      <c r="BI387" s="465">
        <f t="shared" si="501"/>
        <v>1.3352443564729726</v>
      </c>
      <c r="BJ387" s="465">
        <f t="shared" si="502"/>
        <v>1.0760941828254849</v>
      </c>
      <c r="BK387" s="465">
        <f t="shared" si="503"/>
        <v>1.0356431786703602</v>
      </c>
      <c r="BL387" s="465">
        <f t="shared" si="504"/>
        <v>0</v>
      </c>
      <c r="BM387" s="465">
        <f t="shared" si="505"/>
        <v>0</v>
      </c>
      <c r="BN387" s="465">
        <f t="shared" si="506"/>
        <v>0</v>
      </c>
      <c r="BO387" s="465">
        <f t="shared" si="507"/>
        <v>0</v>
      </c>
      <c r="BP387" s="465">
        <f t="shared" si="531"/>
        <v>0.62298485816574667</v>
      </c>
    </row>
    <row r="388" spans="2:68" ht="16" customHeight="1">
      <c r="B388" s="769"/>
      <c r="C388" s="769"/>
      <c r="D388" s="292" t="s">
        <v>104</v>
      </c>
      <c r="E388" s="69">
        <v>72</v>
      </c>
      <c r="F388" s="69">
        <v>67</v>
      </c>
      <c r="G388" s="69">
        <v>83</v>
      </c>
      <c r="H388" s="69">
        <v>70</v>
      </c>
      <c r="I388" s="69">
        <v>81</v>
      </c>
      <c r="J388" s="69">
        <v>68</v>
      </c>
      <c r="K388" s="69">
        <v>65</v>
      </c>
      <c r="L388" s="69">
        <v>87</v>
      </c>
      <c r="M388" s="69">
        <v>79</v>
      </c>
      <c r="N388" s="69">
        <v>95</v>
      </c>
      <c r="O388" s="69">
        <v>113</v>
      </c>
      <c r="P388" s="69">
        <v>96</v>
      </c>
      <c r="Q388" s="69">
        <f t="shared" si="528"/>
        <v>976</v>
      </c>
      <c r="S388" s="769"/>
      <c r="T388" s="769"/>
      <c r="U388" s="292" t="s">
        <v>104</v>
      </c>
      <c r="V388" s="69">
        <v>71.650336215177717</v>
      </c>
      <c r="W388" s="69">
        <v>82.592013174145748</v>
      </c>
      <c r="X388" s="69">
        <v>115.41740674955595</v>
      </c>
      <c r="Y388" s="69">
        <f>Y$382*'Region OP Sales Goals'!V65</f>
        <v>88.945244956772342</v>
      </c>
      <c r="Z388" s="69">
        <f>Z$382*'Region OP Sales Goals'!W65</f>
        <v>96.357348703170032</v>
      </c>
      <c r="AA388" s="69">
        <f>AA$382*'Region OP Sales Goals'!X65</f>
        <v>93.956244672646832</v>
      </c>
      <c r="AB388" s="69">
        <f>AB$382*'Region OP Sales Goals'!Y65</f>
        <v>115.41740674955595</v>
      </c>
      <c r="AC388" s="69">
        <f>AC$382*'Region OP Sales Goals'!Z65</f>
        <v>115.87002403092676</v>
      </c>
      <c r="AD388" s="69">
        <f>AD$382*'Region OP Sales Goals'!AA65</f>
        <v>96.357348703170032</v>
      </c>
      <c r="AE388" s="69">
        <f>AE$382*'Region OP Sales Goals'!AB65</f>
        <v>110.68741594620559</v>
      </c>
      <c r="AF388" s="69">
        <f>AF$382*'Region OP Sales Goals'!AC65</f>
        <v>100.54138543516875</v>
      </c>
      <c r="AG388" s="69">
        <f>AG$382*'Region OP Sales Goals'!AD65</f>
        <v>140.58048101387357</v>
      </c>
      <c r="AH388" s="69">
        <f>AH$382*'Region OP Sales Goals'!AE65</f>
        <v>1231.9152815186851</v>
      </c>
      <c r="AJ388" s="757"/>
      <c r="AK388" s="757"/>
      <c r="AL388" s="292" t="s">
        <v>104</v>
      </c>
      <c r="AM388" s="69">
        <v>94</v>
      </c>
      <c r="AN388" s="69">
        <v>74</v>
      </c>
      <c r="AO388" s="69">
        <v>64</v>
      </c>
      <c r="AP388" s="69">
        <v>73</v>
      </c>
      <c r="AQ388" s="156">
        <v>85</v>
      </c>
      <c r="AR388" s="156">
        <v>100</v>
      </c>
      <c r="AS388" s="156">
        <v>87</v>
      </c>
      <c r="AT388" s="156">
        <v>109</v>
      </c>
      <c r="AU388" s="69"/>
      <c r="AV388" s="69"/>
      <c r="AW388" s="69"/>
      <c r="AX388" s="69"/>
      <c r="AY388" s="69">
        <f t="shared" si="529"/>
        <v>686</v>
      </c>
      <c r="BA388" s="757"/>
      <c r="BB388" s="757"/>
      <c r="BC388" s="292" t="s">
        <v>104</v>
      </c>
      <c r="BD388" s="465">
        <f t="shared" si="530"/>
        <v>1.3119268515042635</v>
      </c>
      <c r="BE388" s="465">
        <f t="shared" si="527"/>
        <v>0.89597041113370812</v>
      </c>
      <c r="BF388" s="465">
        <f t="shared" si="522"/>
        <v>0.55450907971683594</v>
      </c>
      <c r="BG388" s="465">
        <f t="shared" si="499"/>
        <v>0.82072965266977704</v>
      </c>
      <c r="BH388" s="465">
        <f t="shared" si="500"/>
        <v>0.88213303026677825</v>
      </c>
      <c r="BI388" s="465">
        <f t="shared" si="501"/>
        <v>1.0643252116813549</v>
      </c>
      <c r="BJ388" s="465">
        <f t="shared" si="502"/>
        <v>0.75378578024007381</v>
      </c>
      <c r="BK388" s="465">
        <f t="shared" si="503"/>
        <v>0.94070922062557716</v>
      </c>
      <c r="BL388" s="465">
        <f t="shared" si="504"/>
        <v>0</v>
      </c>
      <c r="BM388" s="465">
        <f t="shared" si="505"/>
        <v>0</v>
      </c>
      <c r="BN388" s="465">
        <f t="shared" si="506"/>
        <v>0</v>
      </c>
      <c r="BO388" s="465">
        <f t="shared" si="507"/>
        <v>0</v>
      </c>
      <c r="BP388" s="465">
        <f t="shared" si="531"/>
        <v>0.55685647405421446</v>
      </c>
    </row>
    <row r="389" spans="2:68" ht="16" customHeight="1">
      <c r="B389" s="769"/>
      <c r="C389" s="769"/>
      <c r="D389" s="292" t="s">
        <v>105</v>
      </c>
      <c r="E389" s="69">
        <v>55</v>
      </c>
      <c r="F389" s="69">
        <v>46</v>
      </c>
      <c r="G389" s="69">
        <v>50</v>
      </c>
      <c r="H389" s="69">
        <v>63</v>
      </c>
      <c r="I389" s="69">
        <v>53</v>
      </c>
      <c r="J389" s="69">
        <v>29</v>
      </c>
      <c r="K389" s="69">
        <v>24</v>
      </c>
      <c r="L389" s="69">
        <v>36</v>
      </c>
      <c r="M389" s="69">
        <v>49</v>
      </c>
      <c r="N389" s="69">
        <v>39</v>
      </c>
      <c r="O389" s="69">
        <v>52</v>
      </c>
      <c r="P389" s="69">
        <v>61</v>
      </c>
      <c r="Q389" s="69">
        <f t="shared" si="528"/>
        <v>557</v>
      </c>
      <c r="S389" s="769"/>
      <c r="T389" s="769"/>
      <c r="U389" s="292" t="s">
        <v>105</v>
      </c>
      <c r="V389" s="69">
        <v>49.414024975984638</v>
      </c>
      <c r="W389" s="69">
        <v>57.179086043639359</v>
      </c>
      <c r="X389" s="69">
        <v>71.815275310834807</v>
      </c>
      <c r="Y389" s="69">
        <f>Y$382*'Region OP Sales Goals'!V66</f>
        <v>61.767531219980789</v>
      </c>
      <c r="Z389" s="69">
        <f>Z$382*'Region OP Sales Goals'!W66</f>
        <v>66.708933717579256</v>
      </c>
      <c r="AA389" s="69">
        <f>AA$382*'Region OP Sales Goals'!X66</f>
        <v>63.420465154036606</v>
      </c>
      <c r="AB389" s="69">
        <f>AB$382*'Region OP Sales Goals'!Y66</f>
        <v>79.509769094138548</v>
      </c>
      <c r="AC389" s="69">
        <f>AC$382*'Region OP Sales Goals'!Z66</f>
        <v>82.074600355239795</v>
      </c>
      <c r="AD389" s="69">
        <f>AD$382*'Region OP Sales Goals'!AA66</f>
        <v>66.708933717579256</v>
      </c>
      <c r="AE389" s="69">
        <f>AE$382*'Region OP Sales Goals'!AB66</f>
        <v>79.062439961575421</v>
      </c>
      <c r="AF389" s="69">
        <f>AF$382*'Region OP Sales Goals'!AC66</f>
        <v>71.815275310834821</v>
      </c>
      <c r="AG389" s="69">
        <f>AG$382*'Region OP Sales Goals'!AD66</f>
        <v>97.324948394220158</v>
      </c>
      <c r="AH389" s="69">
        <f>AH$382*'Region OP Sales Goals'!AE66</f>
        <v>866.51668106822774</v>
      </c>
      <c r="AJ389" s="757"/>
      <c r="AK389" s="757"/>
      <c r="AL389" s="292" t="s">
        <v>105</v>
      </c>
      <c r="AM389" s="69">
        <v>33</v>
      </c>
      <c r="AN389" s="69">
        <v>54</v>
      </c>
      <c r="AO389" s="69">
        <v>59</v>
      </c>
      <c r="AP389" s="69">
        <v>36</v>
      </c>
      <c r="AQ389" s="69">
        <v>45</v>
      </c>
      <c r="AR389" s="69">
        <v>34</v>
      </c>
      <c r="AS389" s="69">
        <v>49</v>
      </c>
      <c r="AT389" s="69">
        <v>49</v>
      </c>
      <c r="AU389" s="69"/>
      <c r="AV389" s="69"/>
      <c r="AW389" s="69"/>
      <c r="AX389" s="69"/>
      <c r="AY389" s="69">
        <f t="shared" si="529"/>
        <v>359</v>
      </c>
      <c r="BA389" s="757"/>
      <c r="BB389" s="757"/>
      <c r="BC389" s="292" t="s">
        <v>105</v>
      </c>
      <c r="BD389" s="465">
        <f t="shared" si="530"/>
        <v>0.66782659409020206</v>
      </c>
      <c r="BE389" s="465">
        <f t="shared" si="527"/>
        <v>0.94440124416796267</v>
      </c>
      <c r="BF389" s="465">
        <f t="shared" si="522"/>
        <v>0.82155223585278991</v>
      </c>
      <c r="BG389" s="465">
        <f t="shared" si="499"/>
        <v>0.58283048211508548</v>
      </c>
      <c r="BH389" s="465">
        <f t="shared" si="500"/>
        <v>0.6745723172628304</v>
      </c>
      <c r="BI389" s="465">
        <f t="shared" si="501"/>
        <v>0.53610455106912691</v>
      </c>
      <c r="BJ389" s="465">
        <f t="shared" si="502"/>
        <v>0.6162764721651327</v>
      </c>
      <c r="BK389" s="465">
        <f t="shared" si="503"/>
        <v>0.59701783240997219</v>
      </c>
      <c r="BL389" s="465">
        <f t="shared" si="504"/>
        <v>0</v>
      </c>
      <c r="BM389" s="465">
        <f t="shared" si="505"/>
        <v>0</v>
      </c>
      <c r="BN389" s="465">
        <f t="shared" si="506"/>
        <v>0</v>
      </c>
      <c r="BO389" s="465">
        <f t="shared" si="507"/>
        <v>0</v>
      </c>
      <c r="BP389" s="465">
        <f t="shared" si="531"/>
        <v>0.41430246854270664</v>
      </c>
    </row>
    <row r="390" spans="2:68">
      <c r="B390" s="769"/>
      <c r="C390" s="769"/>
      <c r="D390" s="182" t="s">
        <v>203</v>
      </c>
      <c r="E390" s="341">
        <f>SUM(E391:E397)</f>
        <v>1770</v>
      </c>
      <c r="F390" s="341">
        <f t="shared" ref="F390:Q390" si="532">SUM(F391:F397)</f>
        <v>1703</v>
      </c>
      <c r="G390" s="341">
        <f t="shared" si="532"/>
        <v>2100</v>
      </c>
      <c r="H390" s="341">
        <f t="shared" si="532"/>
        <v>2684</v>
      </c>
      <c r="I390" s="341">
        <f t="shared" si="532"/>
        <v>2645</v>
      </c>
      <c r="J390" s="341">
        <f t="shared" si="532"/>
        <v>2186</v>
      </c>
      <c r="K390" s="341">
        <f t="shared" si="532"/>
        <v>1773</v>
      </c>
      <c r="L390" s="341">
        <f t="shared" si="532"/>
        <v>2557</v>
      </c>
      <c r="M390" s="341">
        <f t="shared" si="532"/>
        <v>2051</v>
      </c>
      <c r="N390" s="341">
        <f t="shared" si="532"/>
        <v>1948</v>
      </c>
      <c r="O390" s="341">
        <f t="shared" si="532"/>
        <v>2010</v>
      </c>
      <c r="P390" s="341">
        <f t="shared" si="532"/>
        <v>2433</v>
      </c>
      <c r="Q390" s="341">
        <f t="shared" si="532"/>
        <v>25860</v>
      </c>
      <c r="S390" s="769"/>
      <c r="T390" s="769"/>
      <c r="U390" s="182" t="s">
        <v>203</v>
      </c>
      <c r="V390" s="341">
        <v>1801.6330451488952</v>
      </c>
      <c r="W390" s="341">
        <v>1965.4178674351585</v>
      </c>
      <c r="X390" s="341">
        <v>2627.6376554174067</v>
      </c>
      <c r="Y390" s="341" cm="1">
        <f t="array" ref="Y390">INDEX('Shop Goals'!$E$188:$E$199, COLUMN()-COLUMN($V$3)+1)</f>
        <v>2129.2026897214218</v>
      </c>
      <c r="Z390" s="341" cm="1">
        <f t="array" ref="Z390">INDEX('Shop Goals'!$E$188:$E$199, COLUMN()-COLUMN($V$3)+1)</f>
        <v>2292.9875120076849</v>
      </c>
      <c r="AA390" s="341" cm="1">
        <f t="array" ref="AA390">INDEX('Shop Goals'!$E$188:$E$199, COLUMN()-COLUMN($V$3)+1)</f>
        <v>2211.0951008645534</v>
      </c>
      <c r="AB390" s="341" cm="1">
        <f t="array" ref="AB390">INDEX('Shop Goals'!$E$188:$E$199, COLUMN()-COLUMN($V$3)+1)</f>
        <v>2627.6376554174067</v>
      </c>
      <c r="AC390" s="341" cm="1">
        <f t="array" ref="AC390">INDEX('Shop Goals'!$E$188:$E$199, COLUMN()-COLUMN($V$3)+1)</f>
        <v>2627.6376554174067</v>
      </c>
      <c r="AD390" s="341" cm="1">
        <f t="array" ref="AD390">INDEX('Shop Goals'!$E$188:$E$199, COLUMN()-COLUMN($V$3)+1)</f>
        <v>2292.9875120076849</v>
      </c>
      <c r="AE390" s="341" cm="1">
        <f t="array" ref="AE390">INDEX('Shop Goals'!$E$188:$E$199, COLUMN()-COLUMN($V$3)+1)</f>
        <v>2620.5571565802111</v>
      </c>
      <c r="AF390" s="341" cm="1">
        <f t="array" ref="AF390">INDEX('Shop Goals'!$E$188:$E$199, COLUMN()-COLUMN($V$3)+1)</f>
        <v>2299.182948490231</v>
      </c>
      <c r="AG390" s="341" cm="1">
        <f t="array" ref="AG390">INDEX('Shop Goals'!$E$188:$E$199, COLUMN()-COLUMN($V$3)+1)</f>
        <v>3202.4333925399642</v>
      </c>
      <c r="AH390" s="342">
        <f t="shared" si="524"/>
        <v>28698.410191048024</v>
      </c>
      <c r="AJ390" s="757"/>
      <c r="AK390" s="757"/>
      <c r="AL390" s="182" t="s">
        <v>203</v>
      </c>
      <c r="AM390" s="341">
        <f>SUM(AM391:AM397)</f>
        <v>1837</v>
      </c>
      <c r="AN390" s="341">
        <f>SUM(AN391:AN397)</f>
        <v>2053</v>
      </c>
      <c r="AO390" s="341">
        <f t="shared" ref="AO390:AS390" si="533">SUM(AO391:AO397)</f>
        <v>2462</v>
      </c>
      <c r="AP390" s="341">
        <f t="shared" si="533"/>
        <v>1979</v>
      </c>
      <c r="AQ390" s="341">
        <f t="shared" si="533"/>
        <v>2415</v>
      </c>
      <c r="AR390" s="341">
        <f t="shared" si="533"/>
        <v>2668</v>
      </c>
      <c r="AS390" s="341">
        <f t="shared" si="533"/>
        <v>2999</v>
      </c>
      <c r="AT390" s="341">
        <f t="shared" ref="AT390:AY390" si="534">SUM(AT391:AT397)</f>
        <v>2659</v>
      </c>
      <c r="AU390" s="341">
        <f t="shared" si="534"/>
        <v>0</v>
      </c>
      <c r="AV390" s="341">
        <f t="shared" si="534"/>
        <v>0</v>
      </c>
      <c r="AW390" s="341">
        <f t="shared" si="534"/>
        <v>0</v>
      </c>
      <c r="AX390" s="341">
        <f t="shared" si="534"/>
        <v>0</v>
      </c>
      <c r="AY390" s="341">
        <f t="shared" si="534"/>
        <v>19072</v>
      </c>
      <c r="BA390" s="757"/>
      <c r="BB390" s="757"/>
      <c r="BC390" s="182" t="s">
        <v>203</v>
      </c>
      <c r="BD390" s="464">
        <f>AM390/V390</f>
        <v>1.0196304985337243</v>
      </c>
      <c r="BE390" s="464">
        <f t="shared" si="527"/>
        <v>1.0445615835777127</v>
      </c>
      <c r="BF390" s="464">
        <f t="shared" si="522"/>
        <v>0.93696328141899199</v>
      </c>
      <c r="BG390" s="464">
        <f t="shared" si="499"/>
        <v>0.92945589893976988</v>
      </c>
      <c r="BH390" s="464">
        <f t="shared" si="500"/>
        <v>1.0532111436950147</v>
      </c>
      <c r="BI390" s="464">
        <f t="shared" si="501"/>
        <v>1.2066419028999673</v>
      </c>
      <c r="BJ390" s="464">
        <f t="shared" si="502"/>
        <v>1.1413293586415747</v>
      </c>
      <c r="BK390" s="464">
        <f t="shared" si="503"/>
        <v>1.0119355667315597</v>
      </c>
      <c r="BL390" s="464">
        <f t="shared" si="504"/>
        <v>0</v>
      </c>
      <c r="BM390" s="464">
        <f t="shared" si="505"/>
        <v>0</v>
      </c>
      <c r="BN390" s="464">
        <f t="shared" si="506"/>
        <v>0</v>
      </c>
      <c r="BO390" s="464">
        <f t="shared" si="507"/>
        <v>0</v>
      </c>
      <c r="BP390" s="464">
        <f t="shared" si="531"/>
        <v>0.66456642974422264</v>
      </c>
    </row>
    <row r="391" spans="2:68" ht="16" customHeight="1">
      <c r="B391" s="769"/>
      <c r="C391" s="769"/>
      <c r="D391" s="292" t="s">
        <v>99</v>
      </c>
      <c r="E391" s="69">
        <v>307</v>
      </c>
      <c r="F391" s="69">
        <v>289</v>
      </c>
      <c r="G391" s="69">
        <v>413</v>
      </c>
      <c r="H391" s="69">
        <v>511</v>
      </c>
      <c r="I391" s="69">
        <v>541</v>
      </c>
      <c r="J391" s="69">
        <v>490</v>
      </c>
      <c r="K391" s="69">
        <v>396</v>
      </c>
      <c r="L391" s="69">
        <v>495</v>
      </c>
      <c r="M391" s="69">
        <v>354</v>
      </c>
      <c r="N391" s="69">
        <v>326</v>
      </c>
      <c r="O391" s="69">
        <v>310</v>
      </c>
      <c r="P391" s="69">
        <v>389</v>
      </c>
      <c r="Q391" s="69">
        <f>SUM(E391:P391)</f>
        <v>4821</v>
      </c>
      <c r="S391" s="769"/>
      <c r="T391" s="769"/>
      <c r="U391" s="292" t="s">
        <v>99</v>
      </c>
      <c r="V391" s="69">
        <v>245.67723342939479</v>
      </c>
      <c r="W391" s="69">
        <v>210.58048579662412</v>
      </c>
      <c r="X391" s="69">
        <v>262.76376554174067</v>
      </c>
      <c r="Y391" s="69">
        <f>Y$390*'Region OP Sales Goals'!V60</f>
        <v>212.9202689721422</v>
      </c>
      <c r="Z391" s="69">
        <f>Z$390*'Region OP Sales Goals'!W60</f>
        <v>229.29875120076849</v>
      </c>
      <c r="AA391" s="69">
        <f>AA$390*'Region OP Sales Goals'!X60</f>
        <v>233.56638389414297</v>
      </c>
      <c r="AB391" s="69">
        <f>AB$390*'Region OP Sales Goals'!Y60</f>
        <v>262.76376554174067</v>
      </c>
      <c r="AC391" s="69">
        <f>AC$390*'Region OP Sales Goals'!Z60</f>
        <v>262.76376554174067</v>
      </c>
      <c r="AD391" s="69">
        <f>AD$390*'Region OP Sales Goals'!AA60</f>
        <v>229.29875120076849</v>
      </c>
      <c r="AE391" s="69">
        <f>AE$390*'Region OP Sales Goals'!AB60</f>
        <v>262.05571565802114</v>
      </c>
      <c r="AF391" s="69">
        <f>AF$390*'Region OP Sales Goals'!AC60</f>
        <v>229.91829484902311</v>
      </c>
      <c r="AG391" s="69">
        <f>AG$390*'Region OP Sales Goals'!AD60</f>
        <v>328.89856463923957</v>
      </c>
      <c r="AH391" s="69">
        <f>AH$390*'Region OP Sales Goals'!AE60</f>
        <v>2995.8008265862704</v>
      </c>
      <c r="AJ391" s="757"/>
      <c r="AK391" s="757"/>
      <c r="AL391" s="292" t="s">
        <v>99</v>
      </c>
      <c r="AM391" s="69">
        <v>307</v>
      </c>
      <c r="AN391" s="69">
        <v>346</v>
      </c>
      <c r="AO391" s="69">
        <v>378</v>
      </c>
      <c r="AP391" s="69">
        <v>292</v>
      </c>
      <c r="AQ391" s="69">
        <v>374</v>
      </c>
      <c r="AR391" s="69">
        <v>439</v>
      </c>
      <c r="AS391" s="69">
        <v>498</v>
      </c>
      <c r="AT391" s="69">
        <v>468</v>
      </c>
      <c r="AU391" s="69"/>
      <c r="AV391" s="69"/>
      <c r="AW391" s="69"/>
      <c r="AX391" s="69"/>
      <c r="AY391" s="69">
        <f>SUM(AM391:AX391)</f>
        <v>3102</v>
      </c>
      <c r="BA391" s="757"/>
      <c r="BB391" s="757"/>
      <c r="BC391" s="292" t="s">
        <v>99</v>
      </c>
      <c r="BD391" s="465">
        <f>AM391/V391</f>
        <v>1.2496070381231672</v>
      </c>
      <c r="BE391" s="465">
        <f t="shared" si="527"/>
        <v>1.6430772238514175</v>
      </c>
      <c r="BF391" s="465">
        <f t="shared" si="522"/>
        <v>1.4385545100584036</v>
      </c>
      <c r="BG391" s="465">
        <f t="shared" si="499"/>
        <v>1.3714053688247234</v>
      </c>
      <c r="BH391" s="465">
        <f t="shared" si="500"/>
        <v>1.6310599078341015</v>
      </c>
      <c r="BI391" s="465">
        <f t="shared" si="501"/>
        <v>1.8795512979254914</v>
      </c>
      <c r="BJ391" s="465">
        <f t="shared" si="502"/>
        <v>1.8952384815055159</v>
      </c>
      <c r="BK391" s="465">
        <f t="shared" si="503"/>
        <v>1.7810674886437379</v>
      </c>
      <c r="BL391" s="465">
        <f t="shared" si="504"/>
        <v>0</v>
      </c>
      <c r="BM391" s="465">
        <f t="shared" si="505"/>
        <v>0</v>
      </c>
      <c r="BN391" s="465">
        <f t="shared" si="506"/>
        <v>0</v>
      </c>
      <c r="BO391" s="465">
        <f t="shared" si="507"/>
        <v>0</v>
      </c>
      <c r="BP391" s="465">
        <f>AY391/AH391</f>
        <v>1.0354493437852288</v>
      </c>
    </row>
    <row r="392" spans="2:68" ht="16" customHeight="1">
      <c r="B392" s="769"/>
      <c r="C392" s="769"/>
      <c r="D392" s="292" t="s">
        <v>100</v>
      </c>
      <c r="E392" s="69">
        <v>391</v>
      </c>
      <c r="F392" s="69">
        <v>358</v>
      </c>
      <c r="G392" s="69">
        <v>431</v>
      </c>
      <c r="H392" s="69">
        <v>542</v>
      </c>
      <c r="I392" s="69">
        <v>490</v>
      </c>
      <c r="J392" s="69">
        <v>420</v>
      </c>
      <c r="K392" s="69">
        <v>345</v>
      </c>
      <c r="L392" s="69">
        <v>530</v>
      </c>
      <c r="M392" s="69">
        <v>421</v>
      </c>
      <c r="N392" s="69">
        <v>382</v>
      </c>
      <c r="O392" s="69">
        <v>361</v>
      </c>
      <c r="P392" s="69">
        <v>444</v>
      </c>
      <c r="Q392" s="69">
        <f t="shared" ref="Q392:Q397" si="535">SUM(E392:P392)</f>
        <v>5115</v>
      </c>
      <c r="S392" s="769"/>
      <c r="T392" s="769"/>
      <c r="U392" s="292" t="s">
        <v>100</v>
      </c>
      <c r="V392" s="69">
        <v>278.43419788664744</v>
      </c>
      <c r="W392" s="69">
        <v>294.81268011527379</v>
      </c>
      <c r="X392" s="69">
        <v>410.56838365896976</v>
      </c>
      <c r="Y392" s="69">
        <f>Y$390*'Region OP Sales Goals'!V61</f>
        <v>311.19116234390015</v>
      </c>
      <c r="Z392" s="69">
        <f>Z$390*'Region OP Sales Goals'!W61</f>
        <v>343.94812680115274</v>
      </c>
      <c r="AA392" s="69">
        <f>AA$390*'Region OP Sales Goals'!X61</f>
        <v>326.99293745180012</v>
      </c>
      <c r="AB392" s="69">
        <f>AB$390*'Region OP Sales Goals'!Y61</f>
        <v>394.145648312611</v>
      </c>
      <c r="AC392" s="69">
        <f>AC$390*'Region OP Sales Goals'!Z61</f>
        <v>386.41730226726571</v>
      </c>
      <c r="AD392" s="69">
        <f>AD$390*'Region OP Sales Goals'!AA61</f>
        <v>343.94812680115274</v>
      </c>
      <c r="AE392" s="69">
        <f>AE$390*'Region OP Sales Goals'!AB61</f>
        <v>384.34838296509764</v>
      </c>
      <c r="AF392" s="69">
        <f>AF$390*'Region OP Sales Goals'!AC61</f>
        <v>337.21349911190055</v>
      </c>
      <c r="AG392" s="69">
        <f>AG$390*'Region OP Sales Goals'!AD61</f>
        <v>467.38217080312995</v>
      </c>
      <c r="AH392" s="69">
        <f>AH$390*'Region OP Sales Goals'!AE61</f>
        <v>4255.3989014009521</v>
      </c>
      <c r="AJ392" s="757"/>
      <c r="AK392" s="757"/>
      <c r="AL392" s="292" t="s">
        <v>100</v>
      </c>
      <c r="AM392" s="69">
        <v>326</v>
      </c>
      <c r="AN392" s="69">
        <v>329</v>
      </c>
      <c r="AO392" s="69">
        <v>422</v>
      </c>
      <c r="AP392" s="69">
        <v>327</v>
      </c>
      <c r="AQ392" s="69">
        <v>420</v>
      </c>
      <c r="AR392" s="69">
        <v>459</v>
      </c>
      <c r="AS392" s="69">
        <v>544</v>
      </c>
      <c r="AT392" s="69">
        <v>436</v>
      </c>
      <c r="AU392" s="69"/>
      <c r="AV392" s="69"/>
      <c r="AW392" s="69"/>
      <c r="AX392" s="69"/>
      <c r="AY392" s="69">
        <f t="shared" ref="AY392:AY397" si="536">SUM(AM392:AX392)</f>
        <v>3263</v>
      </c>
      <c r="BA392" s="757"/>
      <c r="BB392" s="757"/>
      <c r="BC392" s="292" t="s">
        <v>100</v>
      </c>
      <c r="BD392" s="465">
        <f t="shared" ref="BD392:BD393" si="537">AM392/V392</f>
        <v>1.1708331895808177</v>
      </c>
      <c r="BE392" s="465">
        <f t="shared" si="527"/>
        <v>1.1159628543499511</v>
      </c>
      <c r="BF392" s="465">
        <f t="shared" si="522"/>
        <v>1.0278433917369674</v>
      </c>
      <c r="BG392" s="465">
        <f t="shared" si="499"/>
        <v>1.0508010495446827</v>
      </c>
      <c r="BH392" s="465">
        <f t="shared" si="500"/>
        <v>1.2211143695014663</v>
      </c>
      <c r="BI392" s="465">
        <f t="shared" si="501"/>
        <v>1.4037000418935903</v>
      </c>
      <c r="BJ392" s="465">
        <f t="shared" si="502"/>
        <v>1.3802004470401616</v>
      </c>
      <c r="BK392" s="465">
        <f t="shared" si="503"/>
        <v>1.128313865455332</v>
      </c>
      <c r="BL392" s="465">
        <f t="shared" si="504"/>
        <v>0</v>
      </c>
      <c r="BM392" s="465">
        <f t="shared" si="505"/>
        <v>0</v>
      </c>
      <c r="BN392" s="465">
        <f t="shared" si="506"/>
        <v>0</v>
      </c>
      <c r="BO392" s="465">
        <f t="shared" si="507"/>
        <v>0</v>
      </c>
      <c r="BP392" s="465">
        <f t="shared" ref="BP392:BP398" si="538">AY392/AH392</f>
        <v>0.76679062894098204</v>
      </c>
    </row>
    <row r="393" spans="2:68" ht="16" customHeight="1">
      <c r="B393" s="769"/>
      <c r="C393" s="769"/>
      <c r="D393" s="292" t="s">
        <v>101</v>
      </c>
      <c r="E393" s="69">
        <v>164</v>
      </c>
      <c r="F393" s="69">
        <v>164</v>
      </c>
      <c r="G393" s="69">
        <v>179</v>
      </c>
      <c r="H393" s="69">
        <v>264</v>
      </c>
      <c r="I393" s="69">
        <v>270</v>
      </c>
      <c r="J393" s="69">
        <v>188</v>
      </c>
      <c r="K393" s="69">
        <v>157</v>
      </c>
      <c r="L393" s="69">
        <v>241</v>
      </c>
      <c r="M393" s="69">
        <v>216</v>
      </c>
      <c r="N393" s="69">
        <v>172</v>
      </c>
      <c r="O393" s="69">
        <v>214</v>
      </c>
      <c r="P393" s="69">
        <v>257</v>
      </c>
      <c r="Q393" s="69">
        <f t="shared" si="535"/>
        <v>2486</v>
      </c>
      <c r="S393" s="769"/>
      <c r="T393" s="769"/>
      <c r="U393" s="292" t="s">
        <v>101</v>
      </c>
      <c r="V393" s="69">
        <v>147.40634005763687</v>
      </c>
      <c r="W393" s="69">
        <v>154.42568958419102</v>
      </c>
      <c r="X393" s="69">
        <v>213.49555950266429</v>
      </c>
      <c r="Y393" s="69">
        <f>Y$390*'Region OP Sales Goals'!V62</f>
        <v>163.78482228626322</v>
      </c>
      <c r="Z393" s="69">
        <f>Z$390*'Region OP Sales Goals'!W62</f>
        <v>180.16330451488952</v>
      </c>
      <c r="AA393" s="69">
        <f>AA$390*'Region OP Sales Goals'!X62</f>
        <v>171.28201485570483</v>
      </c>
      <c r="AB393" s="69">
        <f>AB$390*'Region OP Sales Goals'!Y62</f>
        <v>197.0728241563055</v>
      </c>
      <c r="AC393" s="69">
        <f>AC$390*'Region OP Sales Goals'!Z62</f>
        <v>200.93699717897817</v>
      </c>
      <c r="AD393" s="69">
        <f>AD$390*'Region OP Sales Goals'!AA62</f>
        <v>180.16330451488952</v>
      </c>
      <c r="AE393" s="69">
        <f>AE$390*'Region OP Sales Goals'!AB62</f>
        <v>209.64457252641688</v>
      </c>
      <c r="AF393" s="69">
        <f>AF$390*'Region OP Sales Goals'!AC62</f>
        <v>183.93463587921849</v>
      </c>
      <c r="AG393" s="69">
        <f>AG$390*'Region OP Sales Goals'!AD62</f>
        <v>242.34631078680812</v>
      </c>
      <c r="AH393" s="69">
        <f>AH$390*'Region OP Sales Goals'!AE62</f>
        <v>2229.8290243340989</v>
      </c>
      <c r="AJ393" s="757"/>
      <c r="AK393" s="757"/>
      <c r="AL393" s="292" t="s">
        <v>101</v>
      </c>
      <c r="AM393" s="69">
        <v>188</v>
      </c>
      <c r="AN393" s="69">
        <v>200</v>
      </c>
      <c r="AO393" s="69">
        <v>242</v>
      </c>
      <c r="AP393" s="69">
        <v>179</v>
      </c>
      <c r="AQ393" s="69">
        <v>204</v>
      </c>
      <c r="AR393" s="69">
        <v>270</v>
      </c>
      <c r="AS393" s="69">
        <v>278</v>
      </c>
      <c r="AT393" s="69">
        <v>231</v>
      </c>
      <c r="AU393" s="69"/>
      <c r="AV393" s="69"/>
      <c r="AW393" s="69"/>
      <c r="AX393" s="69"/>
      <c r="AY393" s="69">
        <f t="shared" si="536"/>
        <v>1792</v>
      </c>
      <c r="BA393" s="757"/>
      <c r="BB393" s="757"/>
      <c r="BC393" s="292" t="s">
        <v>101</v>
      </c>
      <c r="BD393" s="465">
        <f t="shared" si="537"/>
        <v>1.2753861192570872</v>
      </c>
      <c r="BE393" s="465">
        <f t="shared" si="527"/>
        <v>1.2951213009864038</v>
      </c>
      <c r="BF393" s="465">
        <f t="shared" si="522"/>
        <v>1.1335130368225761</v>
      </c>
      <c r="BG393" s="465">
        <f t="shared" si="499"/>
        <v>1.0928973607038122</v>
      </c>
      <c r="BH393" s="465">
        <f t="shared" si="500"/>
        <v>1.1323060517195416</v>
      </c>
      <c r="BI393" s="465">
        <f t="shared" si="501"/>
        <v>1.5763476406291657</v>
      </c>
      <c r="BJ393" s="465">
        <f t="shared" si="502"/>
        <v>1.4106460451366356</v>
      </c>
      <c r="BK393" s="465">
        <f t="shared" si="503"/>
        <v>1.1496140742774421</v>
      </c>
      <c r="BL393" s="465">
        <f t="shared" si="504"/>
        <v>0</v>
      </c>
      <c r="BM393" s="465">
        <f t="shared" si="505"/>
        <v>0</v>
      </c>
      <c r="BN393" s="465">
        <f t="shared" si="506"/>
        <v>0</v>
      </c>
      <c r="BO393" s="465">
        <f t="shared" si="507"/>
        <v>0</v>
      </c>
      <c r="BP393" s="465">
        <f t="shared" si="538"/>
        <v>0.80364906028396088</v>
      </c>
    </row>
    <row r="394" spans="2:68" ht="16" customHeight="1">
      <c r="B394" s="769"/>
      <c r="C394" s="769"/>
      <c r="D394" s="292" t="s">
        <v>102</v>
      </c>
      <c r="E394" s="69">
        <v>76</v>
      </c>
      <c r="F394" s="69">
        <v>92</v>
      </c>
      <c r="G394" s="69">
        <v>93</v>
      </c>
      <c r="H394" s="69">
        <v>125</v>
      </c>
      <c r="I394" s="69">
        <v>120</v>
      </c>
      <c r="J394" s="69">
        <v>81</v>
      </c>
      <c r="K394" s="69">
        <v>45</v>
      </c>
      <c r="L394" s="69">
        <v>77</v>
      </c>
      <c r="M394" s="69">
        <v>78</v>
      </c>
      <c r="N394" s="69">
        <v>81</v>
      </c>
      <c r="O394" s="69">
        <v>83</v>
      </c>
      <c r="P394" s="69">
        <v>110</v>
      </c>
      <c r="Q394" s="69">
        <f t="shared" si="535"/>
        <v>1061</v>
      </c>
      <c r="S394" s="769"/>
      <c r="T394" s="769"/>
      <c r="U394" s="292" t="s">
        <v>102</v>
      </c>
      <c r="V394" s="69">
        <v>32.756964457252636</v>
      </c>
      <c r="W394" s="69">
        <v>84.232194318649647</v>
      </c>
      <c r="X394" s="69">
        <v>114.95914742451153</v>
      </c>
      <c r="Y394" s="69">
        <f>Y$390*'Region OP Sales Goals'!V63</f>
        <v>114.64937560038426</v>
      </c>
      <c r="Z394" s="69">
        <f>Z$390*'Region OP Sales Goals'!W63</f>
        <v>98.270893371757921</v>
      </c>
      <c r="AA394" s="69">
        <f>AA$390*'Region OP Sales Goals'!X63</f>
        <v>93.426553557657186</v>
      </c>
      <c r="AB394" s="69">
        <f>AB$390*'Region OP Sales Goals'!Y63</f>
        <v>114.95914742451153</v>
      </c>
      <c r="AC394" s="69">
        <f>AC$390*'Region OP Sales Goals'!Z63</f>
        <v>108.19684463483439</v>
      </c>
      <c r="AD394" s="69">
        <f>AD$390*'Region OP Sales Goals'!AA63</f>
        <v>98.270893371757921</v>
      </c>
      <c r="AE394" s="69">
        <f>AE$390*'Region OP Sales Goals'!AB63</f>
        <v>104.82228626320844</v>
      </c>
      <c r="AF394" s="69">
        <f>AF$390*'Region OP Sales Goals'!AC63</f>
        <v>91.967317939609245</v>
      </c>
      <c r="AG394" s="69">
        <f>AG$390*'Region OP Sales Goals'!AD63</f>
        <v>138.48360616389036</v>
      </c>
      <c r="AH394" s="69">
        <f>AH$390*'Region OP Sales Goals'!AE63</f>
        <v>1106.4037143642477</v>
      </c>
      <c r="AJ394" s="757"/>
      <c r="AK394" s="757"/>
      <c r="AL394" s="292" t="s">
        <v>102</v>
      </c>
      <c r="AM394" s="69">
        <v>65</v>
      </c>
      <c r="AN394" s="69">
        <v>133</v>
      </c>
      <c r="AO394" s="69">
        <v>103</v>
      </c>
      <c r="AP394" s="69">
        <v>87</v>
      </c>
      <c r="AQ394" s="69">
        <v>134</v>
      </c>
      <c r="AR394" s="69">
        <v>161</v>
      </c>
      <c r="AS394" s="69">
        <v>147</v>
      </c>
      <c r="AT394" s="69">
        <v>166</v>
      </c>
      <c r="AU394" s="69"/>
      <c r="AV394" s="69"/>
      <c r="AW394" s="69"/>
      <c r="AX394" s="69"/>
      <c r="AY394" s="69">
        <f t="shared" si="536"/>
        <v>996</v>
      </c>
      <c r="BA394" s="757"/>
      <c r="BB394" s="757"/>
      <c r="BC394" s="292" t="s">
        <v>102</v>
      </c>
      <c r="BD394" s="465">
        <f>AM394/V394</f>
        <v>1.984310850439883</v>
      </c>
      <c r="BE394" s="465">
        <f t="shared" si="527"/>
        <v>1.5789687194525905</v>
      </c>
      <c r="BF394" s="465">
        <f t="shared" si="522"/>
        <v>0.89597045826766797</v>
      </c>
      <c r="BG394" s="465">
        <f t="shared" si="499"/>
        <v>0.75883535819019676</v>
      </c>
      <c r="BH394" s="465">
        <f t="shared" si="500"/>
        <v>1.3635777126099706</v>
      </c>
      <c r="BI394" s="465">
        <f t="shared" si="501"/>
        <v>1.7232788096013902</v>
      </c>
      <c r="BJ394" s="465">
        <f t="shared" si="502"/>
        <v>1.2787151200519145</v>
      </c>
      <c r="BK394" s="465">
        <f t="shared" si="503"/>
        <v>1.5342406755044653</v>
      </c>
      <c r="BL394" s="465">
        <f t="shared" si="504"/>
        <v>0</v>
      </c>
      <c r="BM394" s="465">
        <f t="shared" si="505"/>
        <v>0</v>
      </c>
      <c r="BN394" s="465">
        <f t="shared" si="506"/>
        <v>0</v>
      </c>
      <c r="BO394" s="465">
        <f t="shared" si="507"/>
        <v>0</v>
      </c>
      <c r="BP394" s="465">
        <f t="shared" si="538"/>
        <v>0.90021389757563597</v>
      </c>
    </row>
    <row r="395" spans="2:68" ht="16" customHeight="1">
      <c r="B395" s="769"/>
      <c r="C395" s="769"/>
      <c r="D395" s="292" t="s">
        <v>103</v>
      </c>
      <c r="E395" s="69">
        <v>232</v>
      </c>
      <c r="F395" s="69">
        <v>212</v>
      </c>
      <c r="G395" s="69">
        <v>278</v>
      </c>
      <c r="H395" s="69">
        <v>347</v>
      </c>
      <c r="I395" s="69">
        <v>356</v>
      </c>
      <c r="J395" s="69">
        <v>296</v>
      </c>
      <c r="K395" s="69">
        <v>276</v>
      </c>
      <c r="L395" s="69">
        <v>357</v>
      </c>
      <c r="M395" s="69">
        <v>275</v>
      </c>
      <c r="N395" s="69">
        <v>315</v>
      </c>
      <c r="O395" s="69">
        <v>289</v>
      </c>
      <c r="P395" s="69">
        <v>344</v>
      </c>
      <c r="Q395" s="69">
        <f t="shared" si="535"/>
        <v>3577</v>
      </c>
      <c r="S395" s="769"/>
      <c r="T395" s="769"/>
      <c r="U395" s="292" t="s">
        <v>103</v>
      </c>
      <c r="V395" s="69">
        <v>294.81268011527374</v>
      </c>
      <c r="W395" s="69">
        <v>294.81268011527379</v>
      </c>
      <c r="X395" s="69">
        <v>426.99111900532858</v>
      </c>
      <c r="Y395" s="69">
        <f>Y$390*'Region OP Sales Goals'!V64</f>
        <v>327.56964457252644</v>
      </c>
      <c r="Z395" s="69">
        <f>Z$390*'Region OP Sales Goals'!W64</f>
        <v>360.32660902977904</v>
      </c>
      <c r="AA395" s="69">
        <f>AA$390*'Region OP Sales Goals'!X64</f>
        <v>342.56402971140966</v>
      </c>
      <c r="AB395" s="69">
        <f>AB$390*'Region OP Sales Goals'!Y64</f>
        <v>410.56838365896976</v>
      </c>
      <c r="AC395" s="69">
        <f>AC$390*'Region OP Sales Goals'!Z64</f>
        <v>401.87399435795635</v>
      </c>
      <c r="AD395" s="69">
        <f>AD$390*'Region OP Sales Goals'!AA64</f>
        <v>360.32660902977904</v>
      </c>
      <c r="AE395" s="69">
        <f>AE$390*'Region OP Sales Goals'!AB64</f>
        <v>401.81876400896567</v>
      </c>
      <c r="AF395" s="69">
        <f>AF$390*'Region OP Sales Goals'!AC64</f>
        <v>352.54138543516871</v>
      </c>
      <c r="AG395" s="69">
        <f>AG$390*'Region OP Sales Goals'!AD64</f>
        <v>502.00307234410252</v>
      </c>
      <c r="AH395" s="69">
        <f>AH$390*'Region OP Sales Goals'!AE64</f>
        <v>4323.4852838233674</v>
      </c>
      <c r="AJ395" s="757"/>
      <c r="AK395" s="757"/>
      <c r="AL395" s="292" t="s">
        <v>103</v>
      </c>
      <c r="AM395" s="69">
        <v>273</v>
      </c>
      <c r="AN395" s="69">
        <v>280</v>
      </c>
      <c r="AO395" s="69">
        <v>407</v>
      </c>
      <c r="AP395" s="69">
        <v>347</v>
      </c>
      <c r="AQ395" s="69">
        <v>406</v>
      </c>
      <c r="AR395" s="69">
        <v>440</v>
      </c>
      <c r="AS395" s="69">
        <v>484</v>
      </c>
      <c r="AT395" s="69">
        <v>432</v>
      </c>
      <c r="AU395" s="69"/>
      <c r="AV395" s="69"/>
      <c r="AW395" s="69"/>
      <c r="AX395" s="69"/>
      <c r="AY395" s="69">
        <f t="shared" si="536"/>
        <v>3069</v>
      </c>
      <c r="BA395" s="757"/>
      <c r="BB395" s="757"/>
      <c r="BC395" s="292" t="s">
        <v>103</v>
      </c>
      <c r="BD395" s="465">
        <f t="shared" ref="BD395:BD397" si="539">AM395/V395</f>
        <v>0.92601173020527872</v>
      </c>
      <c r="BE395" s="465">
        <f t="shared" si="527"/>
        <v>0.94975562072336261</v>
      </c>
      <c r="BF395" s="465">
        <f t="shared" si="522"/>
        <v>0.95318141732807538</v>
      </c>
      <c r="BG395" s="465">
        <f t="shared" si="499"/>
        <v>1.0593167155425218</v>
      </c>
      <c r="BH395" s="465">
        <f t="shared" si="500"/>
        <v>1.1267555318581712</v>
      </c>
      <c r="BI395" s="465">
        <f t="shared" si="501"/>
        <v>1.2844314108830239</v>
      </c>
      <c r="BJ395" s="465">
        <f t="shared" si="502"/>
        <v>1.1788535582954793</v>
      </c>
      <c r="BK395" s="465">
        <f t="shared" si="503"/>
        <v>1.074963809713972</v>
      </c>
      <c r="BL395" s="465">
        <f t="shared" si="504"/>
        <v>0</v>
      </c>
      <c r="BM395" s="465">
        <f t="shared" si="505"/>
        <v>0</v>
      </c>
      <c r="BN395" s="465">
        <f t="shared" si="506"/>
        <v>0</v>
      </c>
      <c r="BO395" s="465">
        <f t="shared" si="507"/>
        <v>0</v>
      </c>
      <c r="BP395" s="465">
        <f t="shared" si="538"/>
        <v>0.70984397968992408</v>
      </c>
    </row>
    <row r="396" spans="2:68" ht="16" customHeight="1">
      <c r="B396" s="769"/>
      <c r="C396" s="769"/>
      <c r="D396" s="292" t="s">
        <v>104</v>
      </c>
      <c r="E396" s="69">
        <v>390</v>
      </c>
      <c r="F396" s="69">
        <v>352</v>
      </c>
      <c r="G396" s="69">
        <v>447</v>
      </c>
      <c r="H396" s="69">
        <v>556</v>
      </c>
      <c r="I396" s="69">
        <v>507</v>
      </c>
      <c r="J396" s="69">
        <v>370</v>
      </c>
      <c r="K396" s="69">
        <v>313</v>
      </c>
      <c r="L396" s="69">
        <v>520</v>
      </c>
      <c r="M396" s="69">
        <v>400</v>
      </c>
      <c r="N396" s="69">
        <v>408</v>
      </c>
      <c r="O396" s="69">
        <v>454</v>
      </c>
      <c r="P396" s="69">
        <v>518</v>
      </c>
      <c r="Q396" s="69">
        <f t="shared" si="535"/>
        <v>5235</v>
      </c>
      <c r="S396" s="769"/>
      <c r="T396" s="769"/>
      <c r="U396" s="292" t="s">
        <v>104</v>
      </c>
      <c r="V396" s="69">
        <v>474.97598463016323</v>
      </c>
      <c r="W396" s="69">
        <v>547.50926307122279</v>
      </c>
      <c r="X396" s="69">
        <v>739.0230905861456</v>
      </c>
      <c r="Y396" s="69">
        <f>Y$390*'Region OP Sales Goals'!V65</f>
        <v>589.62536023054759</v>
      </c>
      <c r="Z396" s="69">
        <f>Z$390*'Region OP Sales Goals'!W65</f>
        <v>638.76080691642653</v>
      </c>
      <c r="AA396" s="69">
        <f>AA$390*'Region OP Sales Goals'!X65</f>
        <v>622.84369038438126</v>
      </c>
      <c r="AB396" s="69">
        <f>AB$390*'Region OP Sales Goals'!Y65</f>
        <v>739.0230905861456</v>
      </c>
      <c r="AC396" s="69">
        <f>AC$390*'Region OP Sales Goals'!Z65</f>
        <v>741.92122035315015</v>
      </c>
      <c r="AD396" s="69">
        <f>AD$390*'Region OP Sales Goals'!AA65</f>
        <v>638.76080691642653</v>
      </c>
      <c r="AE396" s="69">
        <f>AE$390*'Region OP Sales Goals'!AB65</f>
        <v>733.75600384245922</v>
      </c>
      <c r="AF396" s="69">
        <f>AF$390*'Region OP Sales Goals'!AC65</f>
        <v>643.77122557726477</v>
      </c>
      <c r="AG396" s="69">
        <f>AG$390*'Region OP Sales Goals'!AD65</f>
        <v>900.14344006528734</v>
      </c>
      <c r="AH396" s="69">
        <f>AH$390*'Region OP Sales Goals'!AE65</f>
        <v>8034.1931258449977</v>
      </c>
      <c r="AJ396" s="757"/>
      <c r="AK396" s="757"/>
      <c r="AL396" s="292" t="s">
        <v>104</v>
      </c>
      <c r="AM396" s="69">
        <v>422</v>
      </c>
      <c r="AN396" s="69">
        <v>498</v>
      </c>
      <c r="AO396" s="69">
        <v>557</v>
      </c>
      <c r="AP396" s="69">
        <v>458</v>
      </c>
      <c r="AQ396" s="156">
        <v>565</v>
      </c>
      <c r="AR396" s="156">
        <v>559</v>
      </c>
      <c r="AS396" s="156">
        <v>634</v>
      </c>
      <c r="AT396" s="156">
        <v>564</v>
      </c>
      <c r="AU396" s="69"/>
      <c r="AV396" s="69"/>
      <c r="AW396" s="69"/>
      <c r="AX396" s="69"/>
      <c r="AY396" s="69">
        <f t="shared" si="536"/>
        <v>4257</v>
      </c>
      <c r="BA396" s="757"/>
      <c r="BB396" s="757"/>
      <c r="BC396" s="292" t="s">
        <v>104</v>
      </c>
      <c r="BD396" s="465">
        <f t="shared" si="539"/>
        <v>0.88846597229244628</v>
      </c>
      <c r="BE396" s="465">
        <f t="shared" si="527"/>
        <v>0.9095736521542972</v>
      </c>
      <c r="BF396" s="465">
        <f t="shared" si="522"/>
        <v>0.75369769509938234</v>
      </c>
      <c r="BG396" s="465">
        <f t="shared" si="499"/>
        <v>0.77676441837732157</v>
      </c>
      <c r="BH396" s="465">
        <f t="shared" si="500"/>
        <v>0.88452515226708772</v>
      </c>
      <c r="BI396" s="465">
        <f t="shared" si="501"/>
        <v>0.89749644835451281</v>
      </c>
      <c r="BJ396" s="465">
        <f t="shared" si="502"/>
        <v>0.85788929747398279</v>
      </c>
      <c r="BK396" s="465">
        <f t="shared" si="503"/>
        <v>0.76018852747133892</v>
      </c>
      <c r="BL396" s="465">
        <f t="shared" si="504"/>
        <v>0</v>
      </c>
      <c r="BM396" s="465">
        <f t="shared" si="505"/>
        <v>0</v>
      </c>
      <c r="BN396" s="465">
        <f t="shared" si="506"/>
        <v>0</v>
      </c>
      <c r="BO396" s="465">
        <f t="shared" si="507"/>
        <v>0</v>
      </c>
      <c r="BP396" s="465">
        <f t="shared" si="538"/>
        <v>0.52986030249954552</v>
      </c>
    </row>
    <row r="397" spans="2:68" ht="16" customHeight="1">
      <c r="B397" s="769"/>
      <c r="C397" s="769"/>
      <c r="D397" s="292" t="s">
        <v>105</v>
      </c>
      <c r="E397" s="69">
        <v>210</v>
      </c>
      <c r="F397" s="69">
        <v>236</v>
      </c>
      <c r="G397" s="69">
        <v>259</v>
      </c>
      <c r="H397" s="69">
        <v>339</v>
      </c>
      <c r="I397" s="69">
        <v>361</v>
      </c>
      <c r="J397" s="69">
        <v>341</v>
      </c>
      <c r="K397" s="69">
        <v>241</v>
      </c>
      <c r="L397" s="69">
        <v>337</v>
      </c>
      <c r="M397" s="69">
        <v>307</v>
      </c>
      <c r="N397" s="69">
        <v>264</v>
      </c>
      <c r="O397" s="69">
        <v>299</v>
      </c>
      <c r="P397" s="69">
        <v>371</v>
      </c>
      <c r="Q397" s="69">
        <f t="shared" si="535"/>
        <v>3565</v>
      </c>
      <c r="S397" s="769"/>
      <c r="T397" s="769"/>
      <c r="U397" s="292" t="s">
        <v>105</v>
      </c>
      <c r="V397" s="69">
        <v>327.56964457252644</v>
      </c>
      <c r="W397" s="69">
        <v>379.04487443392344</v>
      </c>
      <c r="X397" s="69">
        <v>459.83658969804611</v>
      </c>
      <c r="Y397" s="69">
        <f>Y$390*'Region OP Sales Goals'!V66</f>
        <v>409.4620557156581</v>
      </c>
      <c r="Z397" s="69">
        <f>Z$390*'Region OP Sales Goals'!W66</f>
        <v>442.21902017291069</v>
      </c>
      <c r="AA397" s="69">
        <f>AA$390*'Region OP Sales Goals'!X66</f>
        <v>420.41949100945732</v>
      </c>
      <c r="AB397" s="69">
        <f>AB$390*'Region OP Sales Goals'!Y66</f>
        <v>509.10479573712257</v>
      </c>
      <c r="AC397" s="69">
        <f>AC$390*'Region OP Sales Goals'!Z66</f>
        <v>525.52753108348134</v>
      </c>
      <c r="AD397" s="69">
        <f>AD$390*'Region OP Sales Goals'!AA66</f>
        <v>442.21902017291069</v>
      </c>
      <c r="AE397" s="69">
        <f>AE$390*'Region OP Sales Goals'!AB66</f>
        <v>524.11143131604229</v>
      </c>
      <c r="AF397" s="69">
        <f>AF$390*'Region OP Sales Goals'!AC66</f>
        <v>459.83658969804623</v>
      </c>
      <c r="AG397" s="69">
        <f>AG$390*'Region OP Sales Goals'!AD66</f>
        <v>623.17622773750657</v>
      </c>
      <c r="AH397" s="69">
        <f>AH$390*'Region OP Sales Goals'!AE66</f>
        <v>5651.1697410604647</v>
      </c>
      <c r="AJ397" s="757"/>
      <c r="AK397" s="757"/>
      <c r="AL397" s="292" t="s">
        <v>105</v>
      </c>
      <c r="AM397" s="69">
        <v>256</v>
      </c>
      <c r="AN397" s="69">
        <v>267</v>
      </c>
      <c r="AO397" s="69">
        <v>353</v>
      </c>
      <c r="AP397" s="69">
        <v>289</v>
      </c>
      <c r="AQ397" s="69">
        <v>312</v>
      </c>
      <c r="AR397" s="69">
        <v>340</v>
      </c>
      <c r="AS397" s="69">
        <v>414</v>
      </c>
      <c r="AT397" s="69">
        <v>362</v>
      </c>
      <c r="AU397" s="69"/>
      <c r="AV397" s="69"/>
      <c r="AW397" s="69"/>
      <c r="AX397" s="69"/>
      <c r="AY397" s="69">
        <f t="shared" si="536"/>
        <v>2593</v>
      </c>
      <c r="BA397" s="757"/>
      <c r="BB397" s="757"/>
      <c r="BC397" s="292" t="s">
        <v>105</v>
      </c>
      <c r="BD397" s="465">
        <f t="shared" si="539"/>
        <v>0.78151319648093831</v>
      </c>
      <c r="BE397" s="465">
        <f t="shared" si="527"/>
        <v>0.70440208536982729</v>
      </c>
      <c r="BF397" s="465">
        <f t="shared" si="522"/>
        <v>0.76766400914681265</v>
      </c>
      <c r="BG397" s="465">
        <f t="shared" si="499"/>
        <v>0.70580410557184736</v>
      </c>
      <c r="BH397" s="465">
        <f t="shared" si="500"/>
        <v>0.70553274682306932</v>
      </c>
      <c r="BI397" s="465">
        <f t="shared" si="501"/>
        <v>0.80871607351894093</v>
      </c>
      <c r="BJ397" s="465">
        <f t="shared" si="502"/>
        <v>0.81319210399614827</v>
      </c>
      <c r="BK397" s="465">
        <f t="shared" si="503"/>
        <v>0.68883165693272763</v>
      </c>
      <c r="BL397" s="465">
        <f t="shared" si="504"/>
        <v>0</v>
      </c>
      <c r="BM397" s="465">
        <f t="shared" si="505"/>
        <v>0</v>
      </c>
      <c r="BN397" s="465">
        <f t="shared" si="506"/>
        <v>0</v>
      </c>
      <c r="BO397" s="465">
        <f t="shared" si="507"/>
        <v>0</v>
      </c>
      <c r="BP397" s="465">
        <f t="shared" si="538"/>
        <v>0.45884305706828993</v>
      </c>
    </row>
    <row r="398" spans="2:68">
      <c r="B398" s="769"/>
      <c r="C398" s="769"/>
      <c r="D398" s="182" t="s">
        <v>7</v>
      </c>
      <c r="E398" s="341">
        <f>SUM(E399:E405)</f>
        <v>36513</v>
      </c>
      <c r="F398" s="341">
        <f t="shared" ref="F398:Q398" si="540">SUM(F399:F405)</f>
        <v>33382</v>
      </c>
      <c r="G398" s="341">
        <f t="shared" si="540"/>
        <v>36569</v>
      </c>
      <c r="H398" s="341">
        <f t="shared" si="540"/>
        <v>35369</v>
      </c>
      <c r="I398" s="341">
        <f t="shared" si="540"/>
        <v>36339</v>
      </c>
      <c r="J398" s="341">
        <f t="shared" si="540"/>
        <v>37140</v>
      </c>
      <c r="K398" s="341">
        <f t="shared" si="540"/>
        <v>35576</v>
      </c>
      <c r="L398" s="341">
        <f t="shared" si="540"/>
        <v>36019</v>
      </c>
      <c r="M398" s="341">
        <f t="shared" si="540"/>
        <v>41230</v>
      </c>
      <c r="N398" s="341">
        <f t="shared" si="540"/>
        <v>46527</v>
      </c>
      <c r="O398" s="341">
        <f t="shared" si="540"/>
        <v>65570</v>
      </c>
      <c r="P398" s="341">
        <f t="shared" si="540"/>
        <v>57590</v>
      </c>
      <c r="Q398" s="341">
        <f t="shared" si="540"/>
        <v>497824</v>
      </c>
      <c r="S398" s="769"/>
      <c r="T398" s="769"/>
      <c r="U398" s="182" t="s">
        <v>7</v>
      </c>
      <c r="V398" s="341">
        <v>32976.61417322835</v>
      </c>
      <c r="W398" s="341">
        <v>35974.488188976378</v>
      </c>
      <c r="X398" s="341">
        <v>51782.71328671329</v>
      </c>
      <c r="Y398" s="341" cm="1">
        <f t="array" ref="Y398">INDEX('Shop Goals'!$G$188:$G$199, COLUMN()-COLUMN($V$3)+1)</f>
        <v>38972.362204724413</v>
      </c>
      <c r="Z398" s="341" cm="1">
        <f t="array" ref="Z398">INDEX('Shop Goals'!$G$188:$G$199, COLUMN()-COLUMN($V$3)+1)</f>
        <v>41970.236220472441</v>
      </c>
      <c r="AA398" s="341" cm="1">
        <f t="array" ref="AA398">INDEX('Shop Goals'!$G$188:$G$199, COLUMN()-COLUMN($V$3)+1)</f>
        <v>40471.299212598424</v>
      </c>
      <c r="AB398" s="341" cm="1">
        <f t="array" ref="AB398">INDEX('Shop Goals'!$G$188:$G$199, COLUMN()-COLUMN($V$3)+1)</f>
        <v>51782.71328671329</v>
      </c>
      <c r="AC398" s="341" cm="1">
        <f t="array" ref="AC398">INDEX('Shop Goals'!$G$188:$G$199, COLUMN()-COLUMN($V$3)+1)</f>
        <v>51782.71328671329</v>
      </c>
      <c r="AD398" s="341" cm="1">
        <f t="array" ref="AD398">INDEX('Shop Goals'!$G$188:$G$199, COLUMN()-COLUMN($V$3)+1)</f>
        <v>41970.236220472441</v>
      </c>
      <c r="AE398" s="341" cm="1">
        <f t="array" ref="AE398">INDEX('Shop Goals'!$G$188:$G$199, COLUMN()-COLUMN($V$3)+1)</f>
        <v>47965.984251968504</v>
      </c>
      <c r="AF398" s="341" cm="1">
        <f t="array" ref="AF398">INDEX('Shop Goals'!$G$188:$G$199, COLUMN()-COLUMN($V$3)+1)</f>
        <v>45309.874125874128</v>
      </c>
      <c r="AG398" s="341" cm="1">
        <f t="array" ref="AG398">INDEX('Shop Goals'!$G$188:$G$199, COLUMN()-COLUMN($V$3)+1)</f>
        <v>63110.181818181823</v>
      </c>
      <c r="AH398" s="342">
        <f>SUM(V398:AG398)</f>
        <v>544069.41627663677</v>
      </c>
      <c r="AJ398" s="757"/>
      <c r="AK398" s="757"/>
      <c r="AL398" s="182" t="s">
        <v>7</v>
      </c>
      <c r="AM398" s="341">
        <f>SUM(AM399:AM405)</f>
        <v>52445</v>
      </c>
      <c r="AN398" s="341">
        <f t="shared" ref="AN398:AY398" si="541">SUM(AN399:AN405)</f>
        <v>50728</v>
      </c>
      <c r="AO398" s="341">
        <f t="shared" si="541"/>
        <v>53996</v>
      </c>
      <c r="AP398" s="341">
        <f t="shared" si="541"/>
        <v>53952</v>
      </c>
      <c r="AQ398" s="341">
        <f t="shared" si="541"/>
        <v>51107</v>
      </c>
      <c r="AR398" s="341">
        <f t="shared" si="541"/>
        <v>51051</v>
      </c>
      <c r="AS398" s="341">
        <f t="shared" si="541"/>
        <v>53257</v>
      </c>
      <c r="AT398" s="341">
        <f t="shared" si="541"/>
        <v>43542</v>
      </c>
      <c r="AU398" s="341">
        <f t="shared" si="541"/>
        <v>0</v>
      </c>
      <c r="AV398" s="341">
        <f t="shared" si="541"/>
        <v>0</v>
      </c>
      <c r="AW398" s="341">
        <f t="shared" si="541"/>
        <v>0</v>
      </c>
      <c r="AX398" s="341">
        <f t="shared" si="541"/>
        <v>0</v>
      </c>
      <c r="AY398" s="341">
        <f t="shared" si="541"/>
        <v>410078</v>
      </c>
      <c r="BA398" s="757"/>
      <c r="BB398" s="757"/>
      <c r="BC398" s="182" t="s">
        <v>6</v>
      </c>
      <c r="BD398" s="464">
        <f>AM398/V398</f>
        <v>1.5903694577163963</v>
      </c>
      <c r="BE398" s="464">
        <f t="shared" si="527"/>
        <v>1.4101104019471367</v>
      </c>
      <c r="BF398" s="464">
        <f t="shared" si="522"/>
        <v>1.0427418065374843</v>
      </c>
      <c r="BG398" s="464">
        <f t="shared" si="499"/>
        <v>1.3843656619166822</v>
      </c>
      <c r="BH398" s="464">
        <f t="shared" si="500"/>
        <v>1.2176962676962677</v>
      </c>
      <c r="BI398" s="464">
        <f t="shared" si="501"/>
        <v>1.2614124328410043</v>
      </c>
      <c r="BJ398" s="464">
        <f t="shared" si="502"/>
        <v>1.0284706346908437</v>
      </c>
      <c r="BK398" s="464">
        <f t="shared" si="503"/>
        <v>0.84085976257973061</v>
      </c>
      <c r="BL398" s="464">
        <f t="shared" si="504"/>
        <v>0</v>
      </c>
      <c r="BM398" s="464">
        <f t="shared" si="505"/>
        <v>0</v>
      </c>
      <c r="BN398" s="464">
        <f t="shared" si="506"/>
        <v>0</v>
      </c>
      <c r="BO398" s="464">
        <f t="shared" si="507"/>
        <v>0</v>
      </c>
      <c r="BP398" s="464">
        <f t="shared" si="538"/>
        <v>0.75372367520010042</v>
      </c>
    </row>
    <row r="399" spans="2:68" ht="16" customHeight="1">
      <c r="B399" s="769"/>
      <c r="C399" s="769"/>
      <c r="D399" s="292" t="s">
        <v>99</v>
      </c>
      <c r="E399" s="69">
        <v>5091</v>
      </c>
      <c r="F399" s="69">
        <v>4450</v>
      </c>
      <c r="G399" s="69">
        <v>3885</v>
      </c>
      <c r="H399" s="69">
        <v>3803</v>
      </c>
      <c r="I399" s="69">
        <v>3860</v>
      </c>
      <c r="J399" s="69">
        <v>3883</v>
      </c>
      <c r="K399" s="69">
        <v>3880</v>
      </c>
      <c r="L399" s="69">
        <v>3169</v>
      </c>
      <c r="M399" s="69">
        <v>3562</v>
      </c>
      <c r="N399" s="69">
        <v>4705</v>
      </c>
      <c r="O399" s="69">
        <v>6827</v>
      </c>
      <c r="P399" s="69">
        <v>6304</v>
      </c>
      <c r="Q399" s="69">
        <f>SUM(E399:P399)</f>
        <v>53419</v>
      </c>
      <c r="S399" s="769"/>
      <c r="T399" s="769"/>
      <c r="U399" s="292" t="s">
        <v>99</v>
      </c>
      <c r="V399" s="69">
        <v>4496.8110236220473</v>
      </c>
      <c r="W399" s="69">
        <v>3854.4094488188975</v>
      </c>
      <c r="X399" s="69">
        <v>5178.2713286713297</v>
      </c>
      <c r="Y399" s="69">
        <f>Y$398*'Region OP Sales Goals'!V60</f>
        <v>3897.2362204724413</v>
      </c>
      <c r="Z399" s="69">
        <f>Z$398*'Region OP Sales Goals'!W60</f>
        <v>4197.0236220472443</v>
      </c>
      <c r="AA399" s="69">
        <f>AA$398*'Region OP Sales Goals'!X60</f>
        <v>4275.1372407674389</v>
      </c>
      <c r="AB399" s="69">
        <f>AB$398*'Region OP Sales Goals'!Y60</f>
        <v>5178.2713286713297</v>
      </c>
      <c r="AC399" s="69">
        <f>AC$398*'Region OP Sales Goals'!Z60</f>
        <v>5178.2713286713297</v>
      </c>
      <c r="AD399" s="69">
        <f>AD$398*'Region OP Sales Goals'!AA60</f>
        <v>4197.0236220472443</v>
      </c>
      <c r="AE399" s="69">
        <f>AE$398*'Region OP Sales Goals'!AB60</f>
        <v>4796.5984251968503</v>
      </c>
      <c r="AF399" s="69">
        <f>AF$398*'Region OP Sales Goals'!AC60</f>
        <v>4530.987412587413</v>
      </c>
      <c r="AG399" s="69">
        <f>AG$398*'Region OP Sales Goals'!AD60</f>
        <v>6481.5862407862414</v>
      </c>
      <c r="AH399" s="69">
        <f>AH$398*'Region OP Sales Goals'!AE60</f>
        <v>56794.909409660773</v>
      </c>
      <c r="AJ399" s="757"/>
      <c r="AK399" s="757"/>
      <c r="AL399" s="292" t="s">
        <v>99</v>
      </c>
      <c r="AM399" s="69">
        <v>6557</v>
      </c>
      <c r="AN399" s="69">
        <v>6484</v>
      </c>
      <c r="AO399" s="69">
        <v>6503</v>
      </c>
      <c r="AP399" s="69">
        <v>5417</v>
      </c>
      <c r="AQ399" s="69">
        <v>5429</v>
      </c>
      <c r="AR399" s="69">
        <v>7595</v>
      </c>
      <c r="AS399" s="69">
        <v>9557</v>
      </c>
      <c r="AT399" s="69">
        <v>7928</v>
      </c>
      <c r="AU399" s="69"/>
      <c r="AV399" s="69"/>
      <c r="AW399" s="69"/>
      <c r="AX399" s="69"/>
      <c r="AY399" s="69">
        <f>SUM(AM399:AX399)</f>
        <v>55470</v>
      </c>
      <c r="BA399" s="757"/>
      <c r="BB399" s="757"/>
      <c r="BC399" s="292" t="s">
        <v>99</v>
      </c>
      <c r="BD399" s="465">
        <f>AM399/V399</f>
        <v>1.4581444418179113</v>
      </c>
      <c r="BE399" s="465">
        <f t="shared" si="527"/>
        <v>1.6822291679434538</v>
      </c>
      <c r="BF399" s="465">
        <f t="shared" si="522"/>
        <v>1.255824499576498</v>
      </c>
      <c r="BG399" s="465">
        <f t="shared" si="499"/>
        <v>1.3899593695512062</v>
      </c>
      <c r="BH399" s="465">
        <f t="shared" si="500"/>
        <v>1.2935357264803329</v>
      </c>
      <c r="BI399" s="465">
        <f t="shared" si="501"/>
        <v>1.7765511543289323</v>
      </c>
      <c r="BJ399" s="465">
        <f t="shared" si="502"/>
        <v>1.8455966080966617</v>
      </c>
      <c r="BK399" s="465">
        <f t="shared" si="503"/>
        <v>1.531012860624708</v>
      </c>
      <c r="BL399" s="465">
        <f t="shared" si="504"/>
        <v>0</v>
      </c>
      <c r="BM399" s="465">
        <f t="shared" si="505"/>
        <v>0</v>
      </c>
      <c r="BN399" s="465">
        <f t="shared" si="506"/>
        <v>0</v>
      </c>
      <c r="BO399" s="465">
        <f t="shared" si="507"/>
        <v>0</v>
      </c>
      <c r="BP399" s="465">
        <f>AY399/AH399</f>
        <v>0.97667203938817437</v>
      </c>
    </row>
    <row r="400" spans="2:68" ht="16" customHeight="1">
      <c r="B400" s="769"/>
      <c r="C400" s="769"/>
      <c r="D400" s="292" t="s">
        <v>100</v>
      </c>
      <c r="E400" s="69">
        <v>6638</v>
      </c>
      <c r="F400" s="69">
        <v>5104</v>
      </c>
      <c r="G400" s="69">
        <v>6236</v>
      </c>
      <c r="H400" s="69">
        <v>5897</v>
      </c>
      <c r="I400" s="69">
        <v>6187</v>
      </c>
      <c r="J400" s="69">
        <v>5828</v>
      </c>
      <c r="K400" s="69">
        <v>4804</v>
      </c>
      <c r="L400" s="69">
        <v>4581</v>
      </c>
      <c r="M400" s="69">
        <v>6153</v>
      </c>
      <c r="N400" s="69">
        <v>8640</v>
      </c>
      <c r="O400" s="69">
        <v>11885</v>
      </c>
      <c r="P400" s="69">
        <v>13138</v>
      </c>
      <c r="Q400" s="69">
        <f t="shared" ref="Q400:Q405" si="542">SUM(E400:P400)</f>
        <v>85091</v>
      </c>
      <c r="S400" s="769"/>
      <c r="T400" s="769"/>
      <c r="U400" s="292" t="s">
        <v>100</v>
      </c>
      <c r="V400" s="69">
        <v>5096.3858267716541</v>
      </c>
      <c r="W400" s="69">
        <v>5396.1732283464562</v>
      </c>
      <c r="X400" s="69">
        <v>8091.0489510489515</v>
      </c>
      <c r="Y400" s="69">
        <f>Y$398*'Region OP Sales Goals'!V61</f>
        <v>5695.960629921261</v>
      </c>
      <c r="Z400" s="69">
        <f>Z$398*'Region OP Sales Goals'!W61</f>
        <v>6295.535433070866</v>
      </c>
      <c r="AA400" s="69">
        <f>AA$398*'Region OP Sales Goals'!X61</f>
        <v>5985.1921370744149</v>
      </c>
      <c r="AB400" s="69">
        <f>AB$398*'Region OP Sales Goals'!Y61</f>
        <v>7767.4069930069927</v>
      </c>
      <c r="AC400" s="69">
        <f>AC$398*'Region OP Sales Goals'!Z61</f>
        <v>7615.1048951048961</v>
      </c>
      <c r="AD400" s="69">
        <f>AD$398*'Region OP Sales Goals'!AA61</f>
        <v>6295.535433070866</v>
      </c>
      <c r="AE400" s="69">
        <f>AE$398*'Region OP Sales Goals'!AB61</f>
        <v>7035.0110236220471</v>
      </c>
      <c r="AF400" s="69">
        <f>AF$398*'Region OP Sales Goals'!AC61</f>
        <v>6645.4482051282057</v>
      </c>
      <c r="AG400" s="69">
        <f>AG$398*'Region OP Sales Goals'!AD61</f>
        <v>9210.6751842751855</v>
      </c>
      <c r="AH400" s="69">
        <f>AH$398*'Region OP Sales Goals'!AE61</f>
        <v>80674.587229631783</v>
      </c>
      <c r="AJ400" s="757"/>
      <c r="AK400" s="757"/>
      <c r="AL400" s="292" t="s">
        <v>100</v>
      </c>
      <c r="AM400" s="69">
        <v>10767</v>
      </c>
      <c r="AN400" s="69">
        <v>8079</v>
      </c>
      <c r="AO400" s="69">
        <v>8389</v>
      </c>
      <c r="AP400" s="69">
        <v>8580</v>
      </c>
      <c r="AQ400" s="69">
        <v>5958</v>
      </c>
      <c r="AR400" s="69">
        <v>5703</v>
      </c>
      <c r="AS400" s="69">
        <v>7693</v>
      </c>
      <c r="AT400" s="69">
        <v>6549</v>
      </c>
      <c r="AU400" s="69"/>
      <c r="AV400" s="69"/>
      <c r="AW400" s="69"/>
      <c r="AX400" s="69"/>
      <c r="AY400" s="69">
        <f t="shared" ref="AY400:AY405" si="543">SUM(AM400:AX400)</f>
        <v>61718</v>
      </c>
      <c r="BA400" s="757"/>
      <c r="BB400" s="757"/>
      <c r="BC400" s="292" t="s">
        <v>100</v>
      </c>
      <c r="BD400" s="465">
        <f t="shared" ref="BD400:BD401" si="544">AM400/V400</f>
        <v>2.1126736408849252</v>
      </c>
      <c r="BE400" s="465">
        <f t="shared" si="527"/>
        <v>1.4971720992129156</v>
      </c>
      <c r="BF400" s="465">
        <f t="shared" si="522"/>
        <v>1.0368247739883494</v>
      </c>
      <c r="BG400" s="465">
        <f t="shared" si="499"/>
        <v>1.5063306362984126</v>
      </c>
      <c r="BH400" s="465">
        <f t="shared" si="500"/>
        <v>0.94638495221585606</v>
      </c>
      <c r="BI400" s="465">
        <f t="shared" si="501"/>
        <v>0.95285161601974044</v>
      </c>
      <c r="BJ400" s="465">
        <f t="shared" si="502"/>
        <v>0.99042061358778011</v>
      </c>
      <c r="BK400" s="465">
        <f t="shared" si="503"/>
        <v>0.86000128563032607</v>
      </c>
      <c r="BL400" s="465">
        <f t="shared" si="504"/>
        <v>0</v>
      </c>
      <c r="BM400" s="465">
        <f t="shared" si="505"/>
        <v>0</v>
      </c>
      <c r="BN400" s="465">
        <f t="shared" si="506"/>
        <v>0</v>
      </c>
      <c r="BO400" s="465">
        <f t="shared" si="507"/>
        <v>0</v>
      </c>
      <c r="BP400" s="465">
        <f t="shared" ref="BP400:BP405" si="545">AY400/AH400</f>
        <v>0.76502405676184204</v>
      </c>
    </row>
    <row r="401" spans="2:68" ht="16" customHeight="1">
      <c r="B401" s="769"/>
      <c r="C401" s="769"/>
      <c r="D401" s="292" t="s">
        <v>101</v>
      </c>
      <c r="E401" s="69">
        <v>3947</v>
      </c>
      <c r="F401" s="69">
        <v>3819</v>
      </c>
      <c r="G401" s="69">
        <v>4510</v>
      </c>
      <c r="H401" s="69">
        <v>4361</v>
      </c>
      <c r="I401" s="69">
        <v>4443</v>
      </c>
      <c r="J401" s="69">
        <v>4819</v>
      </c>
      <c r="K401" s="69">
        <v>4887</v>
      </c>
      <c r="L401" s="69">
        <v>3273</v>
      </c>
      <c r="M401" s="69">
        <v>3793</v>
      </c>
      <c r="N401" s="69">
        <v>4619</v>
      </c>
      <c r="O401" s="69">
        <v>7721</v>
      </c>
      <c r="P401" s="69">
        <v>5007</v>
      </c>
      <c r="Q401" s="69">
        <f t="shared" si="542"/>
        <v>55199</v>
      </c>
      <c r="S401" s="769"/>
      <c r="T401" s="769"/>
      <c r="U401" s="292" t="s">
        <v>101</v>
      </c>
      <c r="V401" s="69">
        <v>2698.0866141732286</v>
      </c>
      <c r="W401" s="69">
        <v>2826.5669291338581</v>
      </c>
      <c r="X401" s="69">
        <v>4207.3454545454551</v>
      </c>
      <c r="Y401" s="69">
        <f>Y$398*'Region OP Sales Goals'!V62</f>
        <v>2997.874015748032</v>
      </c>
      <c r="Z401" s="69">
        <f>Z$398*'Region OP Sales Goals'!W62</f>
        <v>3297.6614173228345</v>
      </c>
      <c r="AA401" s="69">
        <f>AA$398*'Region OP Sales Goals'!X62</f>
        <v>3135.1006432294553</v>
      </c>
      <c r="AB401" s="69">
        <f>AB$398*'Region OP Sales Goals'!Y62</f>
        <v>3883.7034965034964</v>
      </c>
      <c r="AC401" s="69">
        <f>AC$398*'Region OP Sales Goals'!Z62</f>
        <v>3959.854545454546</v>
      </c>
      <c r="AD401" s="69">
        <f>AD$398*'Region OP Sales Goals'!AA62</f>
        <v>3297.6614173228345</v>
      </c>
      <c r="AE401" s="69">
        <f>AE$398*'Region OP Sales Goals'!AB62</f>
        <v>3837.2787401574806</v>
      </c>
      <c r="AF401" s="69">
        <f>AF$398*'Region OP Sales Goals'!AC62</f>
        <v>3624.7899300699305</v>
      </c>
      <c r="AG401" s="69">
        <f>AG$398*'Region OP Sales Goals'!AD62</f>
        <v>4775.9056511056515</v>
      </c>
      <c r="AH401" s="69">
        <f>AH$398*'Region OP Sales Goals'!AE62</f>
        <v>42273.483708327054</v>
      </c>
      <c r="AJ401" s="757"/>
      <c r="AK401" s="757"/>
      <c r="AL401" s="292" t="s">
        <v>101</v>
      </c>
      <c r="AM401" s="69">
        <v>5383</v>
      </c>
      <c r="AN401" s="69">
        <v>4483</v>
      </c>
      <c r="AO401" s="69">
        <v>3962</v>
      </c>
      <c r="AP401" s="69">
        <v>3560</v>
      </c>
      <c r="AQ401" s="69">
        <v>4584</v>
      </c>
      <c r="AR401" s="69">
        <v>4375</v>
      </c>
      <c r="AS401" s="69">
        <v>5014</v>
      </c>
      <c r="AT401" s="69">
        <v>4450</v>
      </c>
      <c r="AU401" s="69"/>
      <c r="AV401" s="69"/>
      <c r="AW401" s="69"/>
      <c r="AX401" s="69"/>
      <c r="AY401" s="69">
        <f t="shared" si="543"/>
        <v>35811</v>
      </c>
      <c r="BA401" s="757"/>
      <c r="BB401" s="757"/>
      <c r="BC401" s="292" t="s">
        <v>101</v>
      </c>
      <c r="BD401" s="465">
        <f t="shared" si="544"/>
        <v>1.9951175665461378</v>
      </c>
      <c r="BE401" s="465">
        <f t="shared" si="527"/>
        <v>1.5860229431658004</v>
      </c>
      <c r="BF401" s="465">
        <f t="shared" si="522"/>
        <v>0.94168640127223369</v>
      </c>
      <c r="BG401" s="465">
        <f t="shared" si="499"/>
        <v>1.187508207916371</v>
      </c>
      <c r="BH401" s="465">
        <f t="shared" si="500"/>
        <v>1.3900760023209005</v>
      </c>
      <c r="BI401" s="465">
        <f t="shared" si="501"/>
        <v>1.3954894907275861</v>
      </c>
      <c r="BJ401" s="465">
        <f t="shared" si="502"/>
        <v>1.2910357354813804</v>
      </c>
      <c r="BK401" s="465">
        <f t="shared" si="503"/>
        <v>1.1237786511901262</v>
      </c>
      <c r="BL401" s="465">
        <f t="shared" si="504"/>
        <v>0</v>
      </c>
      <c r="BM401" s="465">
        <f t="shared" si="505"/>
        <v>0</v>
      </c>
      <c r="BN401" s="465">
        <f t="shared" si="506"/>
        <v>0</v>
      </c>
      <c r="BO401" s="465">
        <f t="shared" si="507"/>
        <v>0</v>
      </c>
      <c r="BP401" s="465">
        <f t="shared" si="545"/>
        <v>0.84712677684867332</v>
      </c>
    </row>
    <row r="402" spans="2:68" ht="16" customHeight="1">
      <c r="B402" s="769"/>
      <c r="C402" s="769"/>
      <c r="D402" s="292" t="s">
        <v>102</v>
      </c>
      <c r="E402" s="69">
        <v>1057</v>
      </c>
      <c r="F402" s="69">
        <v>1176</v>
      </c>
      <c r="G402" s="69">
        <v>1401</v>
      </c>
      <c r="H402" s="69">
        <v>2041</v>
      </c>
      <c r="I402" s="69">
        <v>1542</v>
      </c>
      <c r="J402" s="69">
        <v>1788</v>
      </c>
      <c r="K402" s="69">
        <v>1664</v>
      </c>
      <c r="L402" s="69">
        <v>1509</v>
      </c>
      <c r="M402" s="69">
        <v>1451</v>
      </c>
      <c r="N402" s="69">
        <v>1862</v>
      </c>
      <c r="O402" s="69">
        <v>2230</v>
      </c>
      <c r="P402" s="69">
        <v>1562</v>
      </c>
      <c r="Q402" s="69">
        <f t="shared" si="542"/>
        <v>19283</v>
      </c>
      <c r="S402" s="769"/>
      <c r="T402" s="769"/>
      <c r="U402" s="292" t="s">
        <v>102</v>
      </c>
      <c r="V402" s="69">
        <v>599.5748031496064</v>
      </c>
      <c r="W402" s="69">
        <v>1541.7637795275591</v>
      </c>
      <c r="X402" s="69">
        <v>2265.4937062937061</v>
      </c>
      <c r="Y402" s="69">
        <f>Y$398*'Region OP Sales Goals'!V63</f>
        <v>2098.5118110236222</v>
      </c>
      <c r="Z402" s="69">
        <f>Z$398*'Region OP Sales Goals'!W63</f>
        <v>1798.724409448819</v>
      </c>
      <c r="AA402" s="69">
        <f>AA$398*'Region OP Sales Goals'!X63</f>
        <v>1710.0548963069757</v>
      </c>
      <c r="AB402" s="69">
        <f>AB$398*'Region OP Sales Goals'!Y63</f>
        <v>2265.4937062937061</v>
      </c>
      <c r="AC402" s="69">
        <f>AC$398*'Region OP Sales Goals'!Z63</f>
        <v>2132.2293706293708</v>
      </c>
      <c r="AD402" s="69">
        <f>AD$398*'Region OP Sales Goals'!AA63</f>
        <v>1798.724409448819</v>
      </c>
      <c r="AE402" s="69">
        <f>AE$398*'Region OP Sales Goals'!AB63</f>
        <v>1918.6393700787403</v>
      </c>
      <c r="AF402" s="69">
        <f>AF$398*'Region OP Sales Goals'!AC63</f>
        <v>1812.3949650349653</v>
      </c>
      <c r="AG402" s="69">
        <f>AG$398*'Region OP Sales Goals'!AD63</f>
        <v>2729.0889434889441</v>
      </c>
      <c r="AH402" s="69">
        <f>AH$398*'Region OP Sales Goals'!AE63</f>
        <v>20975.392679704266</v>
      </c>
      <c r="AJ402" s="757"/>
      <c r="AK402" s="757"/>
      <c r="AL402" s="292" t="s">
        <v>102</v>
      </c>
      <c r="AM402" s="69">
        <v>1017</v>
      </c>
      <c r="AN402" s="69">
        <v>1368</v>
      </c>
      <c r="AO402" s="69">
        <v>2030</v>
      </c>
      <c r="AP402" s="69">
        <v>1668</v>
      </c>
      <c r="AQ402" s="69">
        <v>1735</v>
      </c>
      <c r="AR402" s="69">
        <v>1892</v>
      </c>
      <c r="AS402" s="69">
        <v>2147</v>
      </c>
      <c r="AT402" s="69">
        <v>1707</v>
      </c>
      <c r="AU402" s="69"/>
      <c r="AV402" s="69"/>
      <c r="AW402" s="69"/>
      <c r="AX402" s="69"/>
      <c r="AY402" s="69">
        <f t="shared" si="543"/>
        <v>13564</v>
      </c>
      <c r="BA402" s="757"/>
      <c r="BB402" s="757"/>
      <c r="BC402" s="292" t="s">
        <v>102</v>
      </c>
      <c r="BD402" s="465">
        <f>AM402/V402</f>
        <v>1.6962020329367264</v>
      </c>
      <c r="BE402" s="465">
        <f t="shared" si="527"/>
        <v>0.88729545872403015</v>
      </c>
      <c r="BF402" s="465">
        <f t="shared" si="522"/>
        <v>0.89605192650083842</v>
      </c>
      <c r="BG402" s="465">
        <f t="shared" si="499"/>
        <v>0.7948489930997219</v>
      </c>
      <c r="BH402" s="465">
        <f t="shared" si="500"/>
        <v>0.9645724441642809</v>
      </c>
      <c r="BI402" s="465">
        <f t="shared" si="501"/>
        <v>1.1063972297532387</v>
      </c>
      <c r="BJ402" s="465">
        <f t="shared" si="502"/>
        <v>0.94769629861935967</v>
      </c>
      <c r="BK402" s="465">
        <f t="shared" si="503"/>
        <v>0.80057053125393551</v>
      </c>
      <c r="BL402" s="465">
        <f t="shared" si="504"/>
        <v>0</v>
      </c>
      <c r="BM402" s="465">
        <f t="shared" si="505"/>
        <v>0</v>
      </c>
      <c r="BN402" s="465">
        <f t="shared" si="506"/>
        <v>0</v>
      </c>
      <c r="BO402" s="465">
        <f t="shared" si="507"/>
        <v>0</v>
      </c>
      <c r="BP402" s="465">
        <f t="shared" si="545"/>
        <v>0.64666250625784427</v>
      </c>
    </row>
    <row r="403" spans="2:68" ht="16" customHeight="1">
      <c r="B403" s="769"/>
      <c r="C403" s="769"/>
      <c r="D403" s="292" t="s">
        <v>103</v>
      </c>
      <c r="E403" s="69">
        <v>6757</v>
      </c>
      <c r="F403" s="69">
        <v>5986</v>
      </c>
      <c r="G403" s="69">
        <v>5376</v>
      </c>
      <c r="H403" s="69">
        <v>4221</v>
      </c>
      <c r="I403" s="69">
        <v>5426</v>
      </c>
      <c r="J403" s="69">
        <v>6822</v>
      </c>
      <c r="K403" s="69">
        <v>6617</v>
      </c>
      <c r="L403" s="69">
        <v>6856</v>
      </c>
      <c r="M403" s="69">
        <v>7098</v>
      </c>
      <c r="N403" s="69">
        <v>9123</v>
      </c>
      <c r="O403" s="69">
        <v>15746</v>
      </c>
      <c r="P403" s="69">
        <v>9604</v>
      </c>
      <c r="Q403" s="69">
        <f t="shared" si="542"/>
        <v>89632</v>
      </c>
      <c r="S403" s="769"/>
      <c r="T403" s="769"/>
      <c r="U403" s="292" t="s">
        <v>103</v>
      </c>
      <c r="V403" s="69">
        <v>5396.1732283464571</v>
      </c>
      <c r="W403" s="69">
        <v>5396.1732283464562</v>
      </c>
      <c r="X403" s="69">
        <v>8414.6909090909103</v>
      </c>
      <c r="Y403" s="69">
        <f>Y$398*'Region OP Sales Goals'!V64</f>
        <v>5995.748031496064</v>
      </c>
      <c r="Z403" s="69">
        <f>Z$398*'Region OP Sales Goals'!W64</f>
        <v>6595.322834645669</v>
      </c>
      <c r="AA403" s="69">
        <f>AA$398*'Region OP Sales Goals'!X64</f>
        <v>6270.2012864589105</v>
      </c>
      <c r="AB403" s="69">
        <f>AB$398*'Region OP Sales Goals'!Y64</f>
        <v>8091.0489510489515</v>
      </c>
      <c r="AC403" s="69">
        <f>AC$398*'Region OP Sales Goals'!Z64</f>
        <v>7919.7090909090921</v>
      </c>
      <c r="AD403" s="69">
        <f>AD$398*'Region OP Sales Goals'!AA64</f>
        <v>6595.322834645669</v>
      </c>
      <c r="AE403" s="69">
        <f>AE$398*'Region OP Sales Goals'!AB64</f>
        <v>7354.7842519685037</v>
      </c>
      <c r="AF403" s="69">
        <f>AF$398*'Region OP Sales Goals'!AC64</f>
        <v>6947.5140326340324</v>
      </c>
      <c r="AG403" s="69">
        <f>AG$398*'Region OP Sales Goals'!AD64</f>
        <v>9892.9474201474222</v>
      </c>
      <c r="AH403" s="69">
        <f>AH$398*'Region OP Sales Goals'!AE64</f>
        <v>81965.380625305886</v>
      </c>
      <c r="AJ403" s="757"/>
      <c r="AK403" s="757"/>
      <c r="AL403" s="292" t="s">
        <v>103</v>
      </c>
      <c r="AM403" s="69">
        <v>7889</v>
      </c>
      <c r="AN403" s="69">
        <v>11128</v>
      </c>
      <c r="AO403" s="69">
        <v>13627</v>
      </c>
      <c r="AP403" s="69">
        <v>12613</v>
      </c>
      <c r="AQ403" s="69">
        <v>14458</v>
      </c>
      <c r="AR403" s="69">
        <v>11984</v>
      </c>
      <c r="AS403" s="69">
        <v>9925</v>
      </c>
      <c r="AT403" s="69">
        <v>7613</v>
      </c>
      <c r="AU403" s="69"/>
      <c r="AV403" s="69"/>
      <c r="AW403" s="69"/>
      <c r="AX403" s="69"/>
      <c r="AY403" s="69">
        <f t="shared" si="543"/>
        <v>89237</v>
      </c>
      <c r="BA403" s="757"/>
      <c r="BB403" s="757"/>
      <c r="BC403" s="292" t="s">
        <v>103</v>
      </c>
      <c r="BD403" s="465">
        <f t="shared" ref="BD403:BD405" si="546">AM403/V403</f>
        <v>1.4619619619619619</v>
      </c>
      <c r="BE403" s="465">
        <f t="shared" si="527"/>
        <v>2.0622021438347971</v>
      </c>
      <c r="BF403" s="465">
        <f t="shared" si="522"/>
        <v>1.6194296554942869</v>
      </c>
      <c r="BG403" s="465">
        <f t="shared" si="499"/>
        <v>2.1036574475349981</v>
      </c>
      <c r="BH403" s="465">
        <f t="shared" si="500"/>
        <v>2.1921595595064982</v>
      </c>
      <c r="BI403" s="465">
        <f t="shared" si="501"/>
        <v>1.9112624065005019</v>
      </c>
      <c r="BJ403" s="465">
        <f t="shared" si="502"/>
        <v>1.2266641890373544</v>
      </c>
      <c r="BK403" s="465">
        <f t="shared" si="503"/>
        <v>0.9612726821921832</v>
      </c>
      <c r="BL403" s="465">
        <f t="shared" si="504"/>
        <v>0</v>
      </c>
      <c r="BM403" s="465">
        <f t="shared" si="505"/>
        <v>0</v>
      </c>
      <c r="BN403" s="465">
        <f t="shared" si="506"/>
        <v>0</v>
      </c>
      <c r="BO403" s="465">
        <f t="shared" si="507"/>
        <v>0</v>
      </c>
      <c r="BP403" s="465">
        <f t="shared" si="545"/>
        <v>1.088715739733283</v>
      </c>
    </row>
    <row r="404" spans="2:68" ht="16" customHeight="1">
      <c r="B404" s="769"/>
      <c r="C404" s="769"/>
      <c r="D404" s="292" t="s">
        <v>104</v>
      </c>
      <c r="E404" s="69">
        <v>9391</v>
      </c>
      <c r="F404" s="69">
        <v>9526</v>
      </c>
      <c r="G404" s="69">
        <v>10868</v>
      </c>
      <c r="H404" s="69">
        <v>10472</v>
      </c>
      <c r="I404" s="69">
        <v>10685</v>
      </c>
      <c r="J404" s="69">
        <v>10135</v>
      </c>
      <c r="K404" s="69">
        <v>10357</v>
      </c>
      <c r="L404" s="69">
        <v>12582</v>
      </c>
      <c r="M404" s="69">
        <v>11998</v>
      </c>
      <c r="N404" s="69">
        <v>12410</v>
      </c>
      <c r="O404" s="69">
        <v>14479</v>
      </c>
      <c r="P404" s="69">
        <v>11275</v>
      </c>
      <c r="Q404" s="69">
        <f t="shared" si="542"/>
        <v>134178</v>
      </c>
      <c r="S404" s="769"/>
      <c r="T404" s="769"/>
      <c r="U404" s="292" t="s">
        <v>104</v>
      </c>
      <c r="V404" s="69">
        <v>8693.8346456692925</v>
      </c>
      <c r="W404" s="69">
        <v>10021.464566929135</v>
      </c>
      <c r="X404" s="69">
        <v>14563.888111888113</v>
      </c>
      <c r="Y404" s="69">
        <f>Y$398*'Region OP Sales Goals'!V65</f>
        <v>10792.346456692914</v>
      </c>
      <c r="Z404" s="69">
        <f>Z$398*'Region OP Sales Goals'!W65</f>
        <v>11691.708661417324</v>
      </c>
      <c r="AA404" s="69">
        <f>AA$398*'Region OP Sales Goals'!X65</f>
        <v>11400.365975379838</v>
      </c>
      <c r="AB404" s="69">
        <f>AB$398*'Region OP Sales Goals'!Y65</f>
        <v>14563.888111888113</v>
      </c>
      <c r="AC404" s="69">
        <f>AC$398*'Region OP Sales Goals'!Z65</f>
        <v>14621.0013986014</v>
      </c>
      <c r="AD404" s="69">
        <f>AD$398*'Region OP Sales Goals'!AA65</f>
        <v>11691.708661417324</v>
      </c>
      <c r="AE404" s="69">
        <f>AE$398*'Region OP Sales Goals'!AB65</f>
        <v>13430.475590551183</v>
      </c>
      <c r="AF404" s="69">
        <f>AF$398*'Region OP Sales Goals'!AC65</f>
        <v>12686.764755244758</v>
      </c>
      <c r="AG404" s="69">
        <f>AG$398*'Region OP Sales Goals'!AD65</f>
        <v>17739.078132678136</v>
      </c>
      <c r="AH404" s="69">
        <f>AH$398*'Region OP Sales Goals'!AE65</f>
        <v>152313.6206895448</v>
      </c>
      <c r="AJ404" s="757"/>
      <c r="AK404" s="757"/>
      <c r="AL404" s="292" t="s">
        <v>104</v>
      </c>
      <c r="AM404" s="69">
        <v>14274</v>
      </c>
      <c r="AN404" s="69">
        <v>13335</v>
      </c>
      <c r="AO404" s="69">
        <v>13765</v>
      </c>
      <c r="AP404" s="69">
        <v>15975</v>
      </c>
      <c r="AQ404" s="156">
        <v>13436</v>
      </c>
      <c r="AR404" s="156">
        <v>14585</v>
      </c>
      <c r="AS404" s="156">
        <v>14050</v>
      </c>
      <c r="AT404" s="156">
        <v>11023</v>
      </c>
      <c r="AU404" s="69"/>
      <c r="AV404" s="69"/>
      <c r="AW404" s="69"/>
      <c r="AX404" s="69"/>
      <c r="AY404" s="69">
        <f t="shared" si="543"/>
        <v>110443</v>
      </c>
      <c r="BA404" s="757"/>
      <c r="BB404" s="757"/>
      <c r="BC404" s="292" t="s">
        <v>104</v>
      </c>
      <c r="BD404" s="465">
        <f t="shared" si="546"/>
        <v>1.6418531731691477</v>
      </c>
      <c r="BE404" s="465">
        <f t="shared" si="527"/>
        <v>1.3306438306438304</v>
      </c>
      <c r="BF404" s="465">
        <f t="shared" si="522"/>
        <v>0.94514595925548195</v>
      </c>
      <c r="BG404" s="465">
        <f t="shared" si="499"/>
        <v>1.4802156383789036</v>
      </c>
      <c r="BH404" s="465">
        <f t="shared" si="500"/>
        <v>1.1491904553129042</v>
      </c>
      <c r="BI404" s="465">
        <f t="shared" si="501"/>
        <v>1.2793448939707444</v>
      </c>
      <c r="BJ404" s="465">
        <f t="shared" si="502"/>
        <v>0.9647149093744658</v>
      </c>
      <c r="BK404" s="465">
        <f t="shared" si="503"/>
        <v>0.75391552873077672</v>
      </c>
      <c r="BL404" s="465">
        <f t="shared" si="504"/>
        <v>0</v>
      </c>
      <c r="BM404" s="465">
        <f t="shared" si="505"/>
        <v>0</v>
      </c>
      <c r="BN404" s="465">
        <f t="shared" si="506"/>
        <v>0</v>
      </c>
      <c r="BO404" s="465">
        <f t="shared" si="507"/>
        <v>0</v>
      </c>
      <c r="BP404" s="465">
        <f t="shared" si="545"/>
        <v>0.72510258439139774</v>
      </c>
    </row>
    <row r="405" spans="2:68" ht="16" customHeight="1">
      <c r="B405" s="770"/>
      <c r="C405" s="770"/>
      <c r="D405" s="292" t="s">
        <v>105</v>
      </c>
      <c r="E405" s="69">
        <v>3632</v>
      </c>
      <c r="F405" s="69">
        <v>3321</v>
      </c>
      <c r="G405" s="69">
        <v>4293</v>
      </c>
      <c r="H405" s="69">
        <v>4574</v>
      </c>
      <c r="I405" s="69">
        <v>4196</v>
      </c>
      <c r="J405" s="69">
        <v>3865</v>
      </c>
      <c r="K405" s="69">
        <v>3367</v>
      </c>
      <c r="L405" s="69">
        <v>4049</v>
      </c>
      <c r="M405" s="69">
        <v>7175</v>
      </c>
      <c r="N405" s="69">
        <v>5168</v>
      </c>
      <c r="O405" s="69">
        <v>6682</v>
      </c>
      <c r="P405" s="69">
        <v>10700</v>
      </c>
      <c r="Q405" s="69">
        <f t="shared" si="542"/>
        <v>61022</v>
      </c>
      <c r="S405" s="770"/>
      <c r="T405" s="770"/>
      <c r="U405" s="292" t="s">
        <v>105</v>
      </c>
      <c r="V405" s="69">
        <v>5995.748031496064</v>
      </c>
      <c r="W405" s="69">
        <v>6937.9370078740158</v>
      </c>
      <c r="X405" s="69">
        <v>9061.9748251748242</v>
      </c>
      <c r="Y405" s="69">
        <f>Y$398*'Region OP Sales Goals'!V66</f>
        <v>7494.6850393700797</v>
      </c>
      <c r="Z405" s="69">
        <f>Z$398*'Region OP Sales Goals'!W66</f>
        <v>8094.2598425196857</v>
      </c>
      <c r="AA405" s="69">
        <f>AA$398*'Region OP Sales Goals'!X66</f>
        <v>7695.2470333813899</v>
      </c>
      <c r="AB405" s="69">
        <f>AB$398*'Region OP Sales Goals'!Y66</f>
        <v>10032.900699300701</v>
      </c>
      <c r="AC405" s="69">
        <f>AC$398*'Region OP Sales Goals'!Z66</f>
        <v>10356.542657342659</v>
      </c>
      <c r="AD405" s="69">
        <f>AD$398*'Region OP Sales Goals'!AA66</f>
        <v>8094.2598425196857</v>
      </c>
      <c r="AE405" s="69">
        <f>AE$398*'Region OP Sales Goals'!AB66</f>
        <v>9593.1968503937005</v>
      </c>
      <c r="AF405" s="69">
        <f>AF$398*'Region OP Sales Goals'!AC66</f>
        <v>9061.974825174826</v>
      </c>
      <c r="AG405" s="69">
        <f>AG$398*'Region OP Sales Goals'!AD66</f>
        <v>12280.900245700248</v>
      </c>
      <c r="AH405" s="69">
        <f>AH$398*'Region OP Sales Goals'!AE66</f>
        <v>107135.85184095101</v>
      </c>
      <c r="AJ405" s="757"/>
      <c r="AK405" s="757"/>
      <c r="AL405" s="292" t="s">
        <v>105</v>
      </c>
      <c r="AM405" s="69">
        <v>6558</v>
      </c>
      <c r="AN405" s="69">
        <v>5851</v>
      </c>
      <c r="AO405" s="69">
        <v>5720</v>
      </c>
      <c r="AP405" s="69">
        <v>6139</v>
      </c>
      <c r="AQ405" s="69">
        <v>5507</v>
      </c>
      <c r="AR405" s="69">
        <v>4917</v>
      </c>
      <c r="AS405" s="69">
        <v>4871</v>
      </c>
      <c r="AT405" s="69">
        <v>4272</v>
      </c>
      <c r="AU405" s="69"/>
      <c r="AV405" s="69"/>
      <c r="AW405" s="69"/>
      <c r="AX405" s="69"/>
      <c r="AY405" s="69">
        <f t="shared" si="543"/>
        <v>43835</v>
      </c>
      <c r="BA405" s="757"/>
      <c r="BB405" s="757"/>
      <c r="BC405" s="292" t="s">
        <v>105</v>
      </c>
      <c r="BD405" s="465">
        <f t="shared" si="546"/>
        <v>1.0937751162240956</v>
      </c>
      <c r="BE405" s="465">
        <f t="shared" si="527"/>
        <v>0.84333426396918465</v>
      </c>
      <c r="BF405" s="465">
        <f t="shared" si="522"/>
        <v>0.63120899255970397</v>
      </c>
      <c r="BG405" s="465">
        <f t="shared" si="499"/>
        <v>0.81911380768523612</v>
      </c>
      <c r="BH405" s="465">
        <f t="shared" si="500"/>
        <v>0.68035868716140824</v>
      </c>
      <c r="BI405" s="465">
        <f t="shared" si="501"/>
        <v>0.63896584198927364</v>
      </c>
      <c r="BJ405" s="465">
        <f t="shared" si="502"/>
        <v>0.48550266228983124</v>
      </c>
      <c r="BK405" s="465">
        <f t="shared" si="503"/>
        <v>0.41249286961331688</v>
      </c>
      <c r="BL405" s="465">
        <f t="shared" si="504"/>
        <v>0</v>
      </c>
      <c r="BM405" s="465">
        <f t="shared" si="505"/>
        <v>0</v>
      </c>
      <c r="BN405" s="465">
        <f t="shared" si="506"/>
        <v>0</v>
      </c>
      <c r="BO405" s="465">
        <f t="shared" si="507"/>
        <v>0</v>
      </c>
      <c r="BP405" s="465">
        <f t="shared" si="545"/>
        <v>0.4091534182700618</v>
      </c>
    </row>
  </sheetData>
  <mergeCells count="216">
    <mergeCell ref="AJ362:AY362"/>
    <mergeCell ref="AJ363:AL363"/>
    <mergeCell ref="AJ364:AJ380"/>
    <mergeCell ref="AK364:AK380"/>
    <mergeCell ref="AJ381:AJ405"/>
    <mergeCell ref="AK381:AK405"/>
    <mergeCell ref="AJ317:AY317"/>
    <mergeCell ref="AJ318:AL318"/>
    <mergeCell ref="AJ319:AJ335"/>
    <mergeCell ref="AK319:AK335"/>
    <mergeCell ref="AJ336:AJ360"/>
    <mergeCell ref="AK336:AK360"/>
    <mergeCell ref="AJ272:AY272"/>
    <mergeCell ref="AJ273:AL273"/>
    <mergeCell ref="AJ274:AJ290"/>
    <mergeCell ref="AK274:AK290"/>
    <mergeCell ref="AJ291:AJ315"/>
    <mergeCell ref="AK291:AK315"/>
    <mergeCell ref="AJ227:AY227"/>
    <mergeCell ref="AJ228:AL228"/>
    <mergeCell ref="AJ229:AJ245"/>
    <mergeCell ref="AK229:AK245"/>
    <mergeCell ref="AJ246:AJ270"/>
    <mergeCell ref="AK246:AK270"/>
    <mergeCell ref="AJ182:AY182"/>
    <mergeCell ref="AJ183:AL183"/>
    <mergeCell ref="AJ184:AJ200"/>
    <mergeCell ref="AK184:AK200"/>
    <mergeCell ref="AJ201:AJ225"/>
    <mergeCell ref="AK201:AK225"/>
    <mergeCell ref="AJ137:AY137"/>
    <mergeCell ref="AJ138:AL138"/>
    <mergeCell ref="AJ139:AJ155"/>
    <mergeCell ref="AK139:AK155"/>
    <mergeCell ref="AJ156:AJ180"/>
    <mergeCell ref="AK156:AK180"/>
    <mergeCell ref="AJ92:AY92"/>
    <mergeCell ref="AJ93:AL93"/>
    <mergeCell ref="AJ94:AJ110"/>
    <mergeCell ref="AK94:AK110"/>
    <mergeCell ref="AJ111:AJ135"/>
    <mergeCell ref="AK111:AK135"/>
    <mergeCell ref="AJ47:AY47"/>
    <mergeCell ref="AJ48:AL48"/>
    <mergeCell ref="AJ49:AJ65"/>
    <mergeCell ref="AK49:AK65"/>
    <mergeCell ref="AJ66:AJ90"/>
    <mergeCell ref="AK66:AK90"/>
    <mergeCell ref="AJ1:AY1"/>
    <mergeCell ref="AJ2:AL2"/>
    <mergeCell ref="AJ4:AJ20"/>
    <mergeCell ref="AK4:AK20"/>
    <mergeCell ref="AJ21:AJ45"/>
    <mergeCell ref="AK21:AK45"/>
    <mergeCell ref="S381:S405"/>
    <mergeCell ref="T381:T405"/>
    <mergeCell ref="S318:U318"/>
    <mergeCell ref="S274:S290"/>
    <mergeCell ref="T274:T290"/>
    <mergeCell ref="S291:S315"/>
    <mergeCell ref="T291:T315"/>
    <mergeCell ref="S319:S335"/>
    <mergeCell ref="T319:T335"/>
    <mergeCell ref="S336:S360"/>
    <mergeCell ref="T336:T360"/>
    <mergeCell ref="S364:S380"/>
    <mergeCell ref="T364:T380"/>
    <mergeCell ref="S362:AH362"/>
    <mergeCell ref="S363:U363"/>
    <mergeCell ref="S246:S270"/>
    <mergeCell ref="T246:T270"/>
    <mergeCell ref="S272:AH272"/>
    <mergeCell ref="S273:U273"/>
    <mergeCell ref="S317:AH317"/>
    <mergeCell ref="S183:U183"/>
    <mergeCell ref="S139:S155"/>
    <mergeCell ref="T139:T155"/>
    <mergeCell ref="S156:S180"/>
    <mergeCell ref="T156:T180"/>
    <mergeCell ref="S184:S200"/>
    <mergeCell ref="T184:T200"/>
    <mergeCell ref="S201:S225"/>
    <mergeCell ref="T201:T225"/>
    <mergeCell ref="S229:S245"/>
    <mergeCell ref="T229:T245"/>
    <mergeCell ref="S227:AH227"/>
    <mergeCell ref="S228:U228"/>
    <mergeCell ref="S111:S135"/>
    <mergeCell ref="T111:T135"/>
    <mergeCell ref="S137:AH137"/>
    <mergeCell ref="S138:U138"/>
    <mergeCell ref="S182:AH182"/>
    <mergeCell ref="S47:AH47"/>
    <mergeCell ref="S48:U48"/>
    <mergeCell ref="S94:S110"/>
    <mergeCell ref="T94:T110"/>
    <mergeCell ref="S92:AH92"/>
    <mergeCell ref="S93:U93"/>
    <mergeCell ref="T4:T20"/>
    <mergeCell ref="T21:T45"/>
    <mergeCell ref="S21:S45"/>
    <mergeCell ref="S4:S20"/>
    <mergeCell ref="S1:AH1"/>
    <mergeCell ref="S2:U2"/>
    <mergeCell ref="S49:S65"/>
    <mergeCell ref="T49:T65"/>
    <mergeCell ref="S66:S90"/>
    <mergeCell ref="T66:T90"/>
    <mergeCell ref="BA1:BP1"/>
    <mergeCell ref="BA2:BC2"/>
    <mergeCell ref="BA4:BA20"/>
    <mergeCell ref="BB4:BB20"/>
    <mergeCell ref="BA21:BA45"/>
    <mergeCell ref="BB21:BB45"/>
    <mergeCell ref="BA47:BP47"/>
    <mergeCell ref="BA48:BC48"/>
    <mergeCell ref="BA49:BA65"/>
    <mergeCell ref="BB49:BB65"/>
    <mergeCell ref="BA66:BA90"/>
    <mergeCell ref="BB66:BB90"/>
    <mergeCell ref="BA92:BP92"/>
    <mergeCell ref="BA93:BC93"/>
    <mergeCell ref="BA94:BA110"/>
    <mergeCell ref="BB94:BB110"/>
    <mergeCell ref="BA111:BA135"/>
    <mergeCell ref="BB111:BB135"/>
    <mergeCell ref="BA137:BP137"/>
    <mergeCell ref="BA138:BC138"/>
    <mergeCell ref="BA139:BA155"/>
    <mergeCell ref="BB139:BB155"/>
    <mergeCell ref="BA156:BA180"/>
    <mergeCell ref="BB156:BB180"/>
    <mergeCell ref="BA182:BP182"/>
    <mergeCell ref="BA183:BC183"/>
    <mergeCell ref="BA184:BA200"/>
    <mergeCell ref="BB184:BB200"/>
    <mergeCell ref="BA201:BA225"/>
    <mergeCell ref="BB201:BB225"/>
    <mergeCell ref="BA227:BP227"/>
    <mergeCell ref="BA363:BC363"/>
    <mergeCell ref="BA364:BA380"/>
    <mergeCell ref="BB364:BB380"/>
    <mergeCell ref="BA381:BA405"/>
    <mergeCell ref="BB381:BB405"/>
    <mergeCell ref="BA291:BA315"/>
    <mergeCell ref="BB291:BB315"/>
    <mergeCell ref="BA317:BP317"/>
    <mergeCell ref="BA318:BC318"/>
    <mergeCell ref="BA319:BA335"/>
    <mergeCell ref="BB319:BB335"/>
    <mergeCell ref="BA336:BA360"/>
    <mergeCell ref="BB336:BB360"/>
    <mergeCell ref="BA362:BP362"/>
    <mergeCell ref="BA228:BC228"/>
    <mergeCell ref="BA229:BA245"/>
    <mergeCell ref="BB229:BB245"/>
    <mergeCell ref="BA246:BA270"/>
    <mergeCell ref="BB246:BB270"/>
    <mergeCell ref="BA272:BP272"/>
    <mergeCell ref="BA273:BC273"/>
    <mergeCell ref="BA274:BA290"/>
    <mergeCell ref="BB274:BB290"/>
    <mergeCell ref="B1:Q1"/>
    <mergeCell ref="B2:D2"/>
    <mergeCell ref="B4:B20"/>
    <mergeCell ref="C4:C20"/>
    <mergeCell ref="B21:B45"/>
    <mergeCell ref="C21:C45"/>
    <mergeCell ref="B47:Q47"/>
    <mergeCell ref="B48:D48"/>
    <mergeCell ref="B49:B65"/>
    <mergeCell ref="C49:C65"/>
    <mergeCell ref="B66:B90"/>
    <mergeCell ref="C66:C90"/>
    <mergeCell ref="B92:Q92"/>
    <mergeCell ref="B93:D93"/>
    <mergeCell ref="B94:B110"/>
    <mergeCell ref="C94:C110"/>
    <mergeCell ref="B111:B135"/>
    <mergeCell ref="C111:C135"/>
    <mergeCell ref="B137:Q137"/>
    <mergeCell ref="B138:D138"/>
    <mergeCell ref="B139:B155"/>
    <mergeCell ref="C139:C155"/>
    <mergeCell ref="B156:B180"/>
    <mergeCell ref="C156:C180"/>
    <mergeCell ref="B182:Q182"/>
    <mergeCell ref="B183:D183"/>
    <mergeCell ref="B184:B200"/>
    <mergeCell ref="C184:C200"/>
    <mergeCell ref="B201:B225"/>
    <mergeCell ref="C201:C225"/>
    <mergeCell ref="B227:Q227"/>
    <mergeCell ref="B228:D228"/>
    <mergeCell ref="B229:B245"/>
    <mergeCell ref="C229:C245"/>
    <mergeCell ref="B246:B270"/>
    <mergeCell ref="C246:C270"/>
    <mergeCell ref="B272:Q272"/>
    <mergeCell ref="B273:D273"/>
    <mergeCell ref="B274:B290"/>
    <mergeCell ref="C274:C290"/>
    <mergeCell ref="B363:D363"/>
    <mergeCell ref="B364:B380"/>
    <mergeCell ref="C364:C380"/>
    <mergeCell ref="B381:B405"/>
    <mergeCell ref="C381:C405"/>
    <mergeCell ref="B291:B315"/>
    <mergeCell ref="C291:C315"/>
    <mergeCell ref="B317:Q317"/>
    <mergeCell ref="B318:D318"/>
    <mergeCell ref="B319:B335"/>
    <mergeCell ref="C319:C335"/>
    <mergeCell ref="B336:B360"/>
    <mergeCell ref="C336:C360"/>
    <mergeCell ref="B362:Q36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130486-ddd0-4915-aeaa-155c8d98a8a7}" enabled="1" method="Privileged" siteId="{e9261556-ec76-4458-a16c-1fd225eb8d5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Historic Data (Region)</vt:lpstr>
      <vt:lpstr>Region 2025 Data</vt:lpstr>
      <vt:lpstr>Goal Methodology</vt:lpstr>
      <vt:lpstr>Region OP Sales Goals</vt:lpstr>
      <vt:lpstr>Sales Goals</vt:lpstr>
      <vt:lpstr>Historic Data Weighted</vt:lpstr>
      <vt:lpstr>Historic Data</vt:lpstr>
      <vt:lpstr>Shop Goals</vt:lpstr>
      <vt:lpstr>Research Goals</vt:lpstr>
      <vt:lpstr>Consideration Goals</vt:lpstr>
      <vt:lpstr>HVA Goals No Ind Correlations</vt:lpstr>
      <vt:lpstr>Lead Goals</vt:lpstr>
      <vt:lpstr>MTD Actuals</vt:lpstr>
      <vt:lpstr>Aug26 OP Pace</vt:lpstr>
      <vt:lpstr>Sheet1</vt:lpstr>
      <vt:lpstr>Scorecard Charts</vt:lpstr>
      <vt:lpstr>Goals File Paste</vt:lpstr>
      <vt:lpstr>Site KPI Goals</vt:lpstr>
      <vt:lpstr>Region All Data + OP Goals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DeVries, Maximo [INNOCEAN]</cp:lastModifiedBy>
  <cp:revision/>
  <dcterms:created xsi:type="dcterms:W3CDTF">2025-12-10T20:54:39Z</dcterms:created>
  <dcterms:modified xsi:type="dcterms:W3CDTF">2026-08-28T00:27:32Z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130486-ddd0-4915-aeaa-155c8d98a8a7_Enabled">
    <vt:lpwstr>true</vt:lpwstr>
  </property>
  <property fmtid="{D5CDD505-2E9C-101B-9397-08002B2CF9AE}" pid="3" name="MSIP_Label_bf130486-ddd0-4915-aeaa-155c8d98a8a7_SetDate">
    <vt:lpwstr>2025-12-10T20:54:39Z</vt:lpwstr>
  </property>
  <property fmtid="{D5CDD505-2E9C-101B-9397-08002B2CF9AE}" pid="4" name="MSIP_Label_bf130486-ddd0-4915-aeaa-155c8d98a8a7_Method">
    <vt:lpwstr>Standard</vt:lpwstr>
  </property>
  <property fmtid="{D5CDD505-2E9C-101B-9397-08002B2CF9AE}" pid="5" name="MSIP_Label_bf130486-ddd0-4915-aeaa-155c8d98a8a7_Name">
    <vt:lpwstr>General</vt:lpwstr>
  </property>
  <property fmtid="{D5CDD505-2E9C-101B-9397-08002B2CF9AE}" pid="6" name="MSIP_Label_bf130486-ddd0-4915-aeaa-155c8d98a8a7_SiteId">
    <vt:lpwstr>e9261556-ec76-4458-a16c-1fd225eb8d54</vt:lpwstr>
  </property>
  <property fmtid="{D5CDD505-2E9C-101B-9397-08002B2CF9AE}" pid="7" name="MSIP_Label_bf130486-ddd0-4915-aeaa-155c8d98a8a7_ActionId">
    <vt:lpwstr>e51b10ea-d0d3-47de-ba82-8160b996c7b8</vt:lpwstr>
  </property>
  <property fmtid="{D5CDD505-2E9C-101B-9397-08002B2CF9AE}" pid="8" name="MSIP_Label_bf130486-ddd0-4915-aeaa-155c8d98a8a7_ContentBits">
    <vt:lpwstr>0</vt:lpwstr>
  </property>
</Properties>
</file>